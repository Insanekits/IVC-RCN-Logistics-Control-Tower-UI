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2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vipl365.sharepoint.com/sites/VI-RCN/OPERATIONS/CASHEW 2026-27/MIS TRACKER 2026-27/"/>
    </mc:Choice>
  </mc:AlternateContent>
  <xr:revisionPtr revIDLastSave="13953" documentId="8_{1F6A832C-9FCD-4002-899B-68F00B480B77}" xr6:coauthVersionLast="47" xr6:coauthVersionMax="47" xr10:uidLastSave="{F59ADDCF-92B0-4803-9609-C9271D30FA80}"/>
  <bookViews>
    <workbookView xWindow="-110" yWindow="-110" windowWidth="19420" windowHeight="10300" tabRatio="904" firstSheet="9" xr2:uid="{4628A3C5-F64F-418F-972C-534BEF3AA159}"/>
  </bookViews>
  <sheets>
    <sheet name="MIS 2026" sheetId="2" r:id="rId1"/>
    <sheet name="ISSUES OF THE DAY" sheetId="3" r:id="rId2"/>
    <sheet name="PURCHASE CONTRACTS" sheetId="5" r:id="rId3"/>
    <sheet name="CASHFLOW" sheetId="7" r:id="rId4"/>
    <sheet name="NIGERIA ISSUES" sheetId="10" state="hidden" r:id="rId5"/>
    <sheet name="IVC ISSUES" sheetId="11" state="hidden" r:id="rId6"/>
    <sheet name="GHANA ISSUES" sheetId="12" state="hidden" r:id="rId7"/>
    <sheet name="BURKINA ISSUES" sheetId="13" state="hidden" r:id="rId8"/>
    <sheet name="CANCEL SALES CONTRACT" sheetId="6" r:id="rId9"/>
    <sheet name="PCH Sheet" sheetId="14" r:id="rId10"/>
    <sheet name="ADDENDUMS" sheetId="4" r:id="rId11"/>
    <sheet name="Sales Dashboard" sheetId="8" r:id="rId12"/>
    <sheet name="Krishna's Tracer" sheetId="1" r:id="rId13"/>
    <sheet name="War Clause" sheetId="9" r:id="rId14"/>
  </sheets>
  <externalReferences>
    <externalReference r:id="rId15"/>
    <externalReference r:id="rId16"/>
    <externalReference r:id="rId17"/>
  </externalReferences>
  <definedNames>
    <definedName name="_xlnm._FilterDatabase" localSheetId="7" hidden="1">'BURKINA ISSUES'!$A$2:$M$39</definedName>
    <definedName name="_xlnm._FilterDatabase" localSheetId="8" hidden="1">'CANCEL SALES CONTRACT'!$A$2:$EG$2</definedName>
    <definedName name="_xlnm._FilterDatabase" localSheetId="3" hidden="1">CASHFLOW!$A$2:$AI$197</definedName>
    <definedName name="_xlnm._FilterDatabase" localSheetId="6" hidden="1">'GHANA ISSUES'!$A$2:$L$16</definedName>
    <definedName name="_xlnm._FilterDatabase" localSheetId="1" hidden="1">'ISSUES OF THE DAY'!$A$1:$L$101</definedName>
    <definedName name="_xlnm._FilterDatabase" localSheetId="5" hidden="1">'IVC ISSUES'!$A$2:$L$39</definedName>
    <definedName name="_xlnm._FilterDatabase" localSheetId="4" hidden="1">'NIGERIA ISSUES'!$A$2:$L$16</definedName>
    <definedName name="_xlnm._FilterDatabase" localSheetId="9" hidden="1">'PCH Sheet'!$A$3:$CZ$85</definedName>
    <definedName name="_xlnm._FilterDatabase" localSheetId="2" hidden="1">'PURCHASE CONTRACTS'!$A$2:$BD$22</definedName>
    <definedName name="_xlnm._FilterDatabase" localSheetId="0" hidden="1">'MIS 2026'!$A$2:$FJ$197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128" i="14" l="1"/>
  <c r="CK128" i="14"/>
  <c r="CJ128" i="14"/>
  <c r="CI128" i="14"/>
  <c r="CH128" i="14"/>
  <c r="CG128" i="14"/>
  <c r="CF128" i="14"/>
  <c r="CE128" i="14"/>
  <c r="CD128" i="14"/>
  <c r="CC128" i="14"/>
  <c r="CB128" i="14"/>
  <c r="CA128" i="14"/>
  <c r="BZ128" i="14"/>
  <c r="BY128" i="14"/>
  <c r="BX128" i="14"/>
  <c r="BW128" i="14"/>
  <c r="BV128" i="14"/>
  <c r="BU128" i="14"/>
  <c r="BT128" i="14"/>
  <c r="BS128" i="14"/>
  <c r="BR128" i="14"/>
  <c r="BQ128" i="14"/>
  <c r="BP128" i="14"/>
  <c r="BO128" i="14"/>
  <c r="BN128" i="14"/>
  <c r="BM128" i="14"/>
  <c r="BL128" i="14"/>
  <c r="BK128" i="14"/>
  <c r="BJ128" i="14"/>
  <c r="BI128" i="14"/>
  <c r="BH128" i="14"/>
  <c r="BG128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Z128" i="14"/>
  <c r="Y128" i="14"/>
  <c r="X128" i="14"/>
  <c r="W128" i="14"/>
  <c r="V128" i="14"/>
  <c r="U128" i="14"/>
  <c r="T128" i="14"/>
  <c r="R128" i="14"/>
  <c r="Q128" i="14"/>
  <c r="P128" i="14"/>
  <c r="O128" i="14"/>
  <c r="M128" i="14"/>
  <c r="L128" i="14"/>
  <c r="J128" i="14"/>
  <c r="I128" i="14"/>
  <c r="H128" i="14"/>
  <c r="C128" i="14" s="1"/>
  <c r="G128" i="14"/>
  <c r="F128" i="14"/>
  <c r="E128" i="14"/>
  <c r="D128" i="14"/>
  <c r="CM127" i="14"/>
  <c r="CK127" i="14"/>
  <c r="CJ127" i="14"/>
  <c r="CI127" i="14"/>
  <c r="CH127" i="14"/>
  <c r="CG127" i="14"/>
  <c r="CF127" i="14"/>
  <c r="CE127" i="14"/>
  <c r="CD127" i="14"/>
  <c r="CC127" i="14"/>
  <c r="CB127" i="14"/>
  <c r="CA127" i="14"/>
  <c r="BZ127" i="14"/>
  <c r="BY127" i="14"/>
  <c r="BX127" i="14"/>
  <c r="BW127" i="14"/>
  <c r="BV127" i="14"/>
  <c r="BU127" i="14"/>
  <c r="BT127" i="14"/>
  <c r="BS127" i="14"/>
  <c r="BR127" i="14"/>
  <c r="BQ127" i="14"/>
  <c r="BP127" i="14"/>
  <c r="BO127" i="14"/>
  <c r="BN127" i="14"/>
  <c r="BM127" i="14"/>
  <c r="BL127" i="14"/>
  <c r="BK127" i="14"/>
  <c r="BJ127" i="14"/>
  <c r="BI127" i="14"/>
  <c r="BH127" i="14"/>
  <c r="BG127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Z127" i="14"/>
  <c r="Y127" i="14"/>
  <c r="X127" i="14"/>
  <c r="W127" i="14"/>
  <c r="V127" i="14"/>
  <c r="U127" i="14"/>
  <c r="T127" i="14"/>
  <c r="R127" i="14"/>
  <c r="Q127" i="14"/>
  <c r="P127" i="14"/>
  <c r="O127" i="14"/>
  <c r="M127" i="14"/>
  <c r="L127" i="14"/>
  <c r="J127" i="14"/>
  <c r="I127" i="14"/>
  <c r="H127" i="14"/>
  <c r="C127" i="14" s="1"/>
  <c r="G127" i="14"/>
  <c r="F127" i="14"/>
  <c r="D127" i="14"/>
  <c r="CM126" i="14"/>
  <c r="CK126" i="14"/>
  <c r="CJ126" i="14"/>
  <c r="CI126" i="14"/>
  <c r="CH126" i="14"/>
  <c r="CG126" i="14"/>
  <c r="CF126" i="14"/>
  <c r="CE126" i="14"/>
  <c r="CD126" i="14"/>
  <c r="CC126" i="14"/>
  <c r="CB126" i="14"/>
  <c r="CA126" i="14"/>
  <c r="BZ126" i="14"/>
  <c r="BY126" i="14"/>
  <c r="BX126" i="14"/>
  <c r="BW126" i="14"/>
  <c r="BV126" i="14"/>
  <c r="BU126" i="14"/>
  <c r="BT126" i="14"/>
  <c r="BS126" i="14"/>
  <c r="BR126" i="14"/>
  <c r="BQ126" i="14"/>
  <c r="BP126" i="14"/>
  <c r="BO126" i="14"/>
  <c r="BN126" i="14"/>
  <c r="BM126" i="14"/>
  <c r="BL126" i="14"/>
  <c r="BK126" i="14"/>
  <c r="BJ126" i="14"/>
  <c r="BI126" i="14"/>
  <c r="BH126" i="14"/>
  <c r="BG126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Z126" i="14"/>
  <c r="Y126" i="14"/>
  <c r="X126" i="14"/>
  <c r="W126" i="14"/>
  <c r="V126" i="14"/>
  <c r="U126" i="14"/>
  <c r="T126" i="14"/>
  <c r="R126" i="14"/>
  <c r="Q126" i="14"/>
  <c r="P126" i="14"/>
  <c r="O126" i="14"/>
  <c r="M126" i="14"/>
  <c r="L126" i="14"/>
  <c r="J126" i="14"/>
  <c r="I126" i="14"/>
  <c r="H126" i="14"/>
  <c r="C126" i="14" s="1"/>
  <c r="G126" i="14"/>
  <c r="F126" i="14"/>
  <c r="D126" i="14"/>
  <c r="CM125" i="14"/>
  <c r="CK125" i="14"/>
  <c r="CJ125" i="14"/>
  <c r="CI125" i="14"/>
  <c r="CH125" i="14"/>
  <c r="CG125" i="14"/>
  <c r="CF125" i="14"/>
  <c r="CE125" i="14"/>
  <c r="CD125" i="14"/>
  <c r="CC125" i="14"/>
  <c r="CB125" i="14"/>
  <c r="CA125" i="14"/>
  <c r="BZ125" i="14"/>
  <c r="BY125" i="14"/>
  <c r="BX125" i="14"/>
  <c r="BW125" i="14"/>
  <c r="BV125" i="14"/>
  <c r="BU125" i="14"/>
  <c r="BT125" i="14"/>
  <c r="BS125" i="14"/>
  <c r="BR125" i="14"/>
  <c r="BQ125" i="14"/>
  <c r="BP125" i="14"/>
  <c r="BO125" i="14"/>
  <c r="BN125" i="14"/>
  <c r="BM125" i="14"/>
  <c r="BL125" i="14"/>
  <c r="BK125" i="14"/>
  <c r="BJ125" i="14"/>
  <c r="BI125" i="14"/>
  <c r="BH125" i="14"/>
  <c r="BG125" i="14"/>
  <c r="BF125" i="14"/>
  <c r="BE125" i="14"/>
  <c r="BD125" i="14"/>
  <c r="BC125" i="14"/>
  <c r="BB125" i="14"/>
  <c r="BA125" i="14"/>
  <c r="AZ125" i="14"/>
  <c r="AY125" i="14"/>
  <c r="AX125" i="14"/>
  <c r="AW125" i="14"/>
  <c r="AV125" i="14"/>
  <c r="AU125" i="14"/>
  <c r="AT125" i="14"/>
  <c r="AS125" i="14"/>
  <c r="AR125" i="14"/>
  <c r="AQ125" i="14"/>
  <c r="AO125" i="14"/>
  <c r="AN125" i="14"/>
  <c r="AM125" i="14"/>
  <c r="AL125" i="14"/>
  <c r="AK125" i="14"/>
  <c r="AJ125" i="14"/>
  <c r="AI125" i="14"/>
  <c r="AH125" i="14"/>
  <c r="AG125" i="14"/>
  <c r="AF125" i="14"/>
  <c r="AE125" i="14"/>
  <c r="AD125" i="14"/>
  <c r="AC125" i="14"/>
  <c r="AB125" i="14"/>
  <c r="Z125" i="14"/>
  <c r="Y125" i="14"/>
  <c r="X125" i="14"/>
  <c r="W125" i="14"/>
  <c r="V125" i="14"/>
  <c r="U125" i="14"/>
  <c r="T125" i="14"/>
  <c r="R125" i="14"/>
  <c r="Q125" i="14"/>
  <c r="P125" i="14"/>
  <c r="O125" i="14"/>
  <c r="M125" i="14"/>
  <c r="L125" i="14"/>
  <c r="J125" i="14"/>
  <c r="I125" i="14"/>
  <c r="H125" i="14"/>
  <c r="G125" i="14"/>
  <c r="F125" i="14"/>
  <c r="CM124" i="14"/>
  <c r="CK124" i="14"/>
  <c r="CJ124" i="14"/>
  <c r="CI124" i="14"/>
  <c r="CH124" i="14"/>
  <c r="CG124" i="14"/>
  <c r="CF124" i="14"/>
  <c r="CE124" i="14"/>
  <c r="CD124" i="14"/>
  <c r="CC124" i="14"/>
  <c r="CB124" i="14"/>
  <c r="CA124" i="14"/>
  <c r="BZ124" i="14"/>
  <c r="BY124" i="14"/>
  <c r="BX124" i="14"/>
  <c r="BW124" i="14"/>
  <c r="BV124" i="14"/>
  <c r="BU124" i="14"/>
  <c r="BT124" i="14"/>
  <c r="BS124" i="14"/>
  <c r="BR124" i="14"/>
  <c r="BQ124" i="14"/>
  <c r="BP124" i="14"/>
  <c r="BO124" i="14"/>
  <c r="BN124" i="14"/>
  <c r="BM124" i="14"/>
  <c r="BL124" i="14"/>
  <c r="BK124" i="14"/>
  <c r="BJ124" i="14"/>
  <c r="BI124" i="14"/>
  <c r="BH124" i="14"/>
  <c r="BG124" i="14"/>
  <c r="BF124" i="14"/>
  <c r="BE124" i="14"/>
  <c r="BD124" i="14"/>
  <c r="BC124" i="14"/>
  <c r="BB124" i="14"/>
  <c r="BA124" i="14"/>
  <c r="AZ124" i="14"/>
  <c r="AY124" i="14"/>
  <c r="AX124" i="14"/>
  <c r="AW124" i="14"/>
  <c r="AV124" i="14"/>
  <c r="AU124" i="14"/>
  <c r="AT124" i="14"/>
  <c r="AS124" i="14"/>
  <c r="AR124" i="14"/>
  <c r="AQ124" i="14"/>
  <c r="AO124" i="14"/>
  <c r="AN124" i="14"/>
  <c r="AM124" i="14"/>
  <c r="AL124" i="14"/>
  <c r="AK124" i="14"/>
  <c r="AJ124" i="14"/>
  <c r="AI124" i="14"/>
  <c r="AH124" i="14"/>
  <c r="AG124" i="14"/>
  <c r="AF124" i="14"/>
  <c r="AE124" i="14"/>
  <c r="AD124" i="14"/>
  <c r="AC124" i="14"/>
  <c r="AB124" i="14"/>
  <c r="Z124" i="14"/>
  <c r="Y124" i="14"/>
  <c r="X124" i="14"/>
  <c r="W124" i="14"/>
  <c r="V124" i="14"/>
  <c r="U124" i="14"/>
  <c r="T124" i="14"/>
  <c r="R124" i="14"/>
  <c r="Q124" i="14"/>
  <c r="P124" i="14"/>
  <c r="O124" i="14"/>
  <c r="M124" i="14"/>
  <c r="L124" i="14"/>
  <c r="J124" i="14"/>
  <c r="I124" i="14"/>
  <c r="H124" i="14"/>
  <c r="G124" i="14"/>
  <c r="F124" i="14"/>
  <c r="CM123" i="14"/>
  <c r="CK123" i="14"/>
  <c r="CJ123" i="14"/>
  <c r="CI123" i="14"/>
  <c r="CH123" i="14"/>
  <c r="CG123" i="14"/>
  <c r="CF123" i="14"/>
  <c r="CE123" i="14"/>
  <c r="CD123" i="14"/>
  <c r="CC123" i="14"/>
  <c r="CB123" i="14"/>
  <c r="CA123" i="14"/>
  <c r="BZ123" i="14"/>
  <c r="BY123" i="14"/>
  <c r="BX123" i="14"/>
  <c r="BW123" i="14"/>
  <c r="BV123" i="14"/>
  <c r="BU123" i="14"/>
  <c r="BT123" i="14"/>
  <c r="BS123" i="14"/>
  <c r="BR123" i="14"/>
  <c r="BQ123" i="14"/>
  <c r="BP123" i="14"/>
  <c r="BO123" i="14"/>
  <c r="BN123" i="14"/>
  <c r="BM123" i="14"/>
  <c r="BL123" i="14"/>
  <c r="BK123" i="14"/>
  <c r="BJ123" i="14"/>
  <c r="BI123" i="14"/>
  <c r="BH123" i="14"/>
  <c r="BG123" i="14"/>
  <c r="BF123" i="14"/>
  <c r="BE123" i="14"/>
  <c r="BD123" i="14"/>
  <c r="BC123" i="14"/>
  <c r="BB123" i="14"/>
  <c r="BA123" i="14"/>
  <c r="AZ123" i="14"/>
  <c r="AY123" i="14"/>
  <c r="AX123" i="14"/>
  <c r="AW123" i="14"/>
  <c r="AV123" i="14"/>
  <c r="AU123" i="14"/>
  <c r="AT123" i="14"/>
  <c r="AS123" i="14"/>
  <c r="AR123" i="14"/>
  <c r="AQ123" i="14"/>
  <c r="AO123" i="14"/>
  <c r="AN123" i="14"/>
  <c r="AM123" i="14"/>
  <c r="AL123" i="14"/>
  <c r="AK123" i="14"/>
  <c r="AJ123" i="14"/>
  <c r="AI123" i="14"/>
  <c r="AH123" i="14"/>
  <c r="AG123" i="14"/>
  <c r="AF123" i="14"/>
  <c r="AE123" i="14"/>
  <c r="AD123" i="14"/>
  <c r="AC123" i="14"/>
  <c r="AB123" i="14"/>
  <c r="Z123" i="14"/>
  <c r="Y123" i="14"/>
  <c r="X123" i="14"/>
  <c r="W123" i="14"/>
  <c r="V123" i="14"/>
  <c r="U123" i="14"/>
  <c r="T123" i="14"/>
  <c r="R123" i="14"/>
  <c r="Q123" i="14"/>
  <c r="P123" i="14"/>
  <c r="O123" i="14"/>
  <c r="M123" i="14"/>
  <c r="L123" i="14"/>
  <c r="J123" i="14"/>
  <c r="I123" i="14"/>
  <c r="H123" i="14"/>
  <c r="G123" i="14"/>
  <c r="F123" i="14"/>
  <c r="D123" i="14"/>
  <c r="C123" i="14"/>
  <c r="CM122" i="14"/>
  <c r="CK122" i="14"/>
  <c r="CJ122" i="14"/>
  <c r="CI122" i="14"/>
  <c r="CH122" i="14"/>
  <c r="CG122" i="14"/>
  <c r="CF122" i="14"/>
  <c r="CE122" i="14"/>
  <c r="CD122" i="14"/>
  <c r="CC122" i="14"/>
  <c r="CB122" i="14"/>
  <c r="CA122" i="14"/>
  <c r="BZ122" i="14"/>
  <c r="BY122" i="14"/>
  <c r="BX122" i="14"/>
  <c r="BW122" i="14"/>
  <c r="BV122" i="14"/>
  <c r="BU122" i="14"/>
  <c r="BT122" i="14"/>
  <c r="BS122" i="14"/>
  <c r="BR122" i="14"/>
  <c r="BQ122" i="14"/>
  <c r="BP122" i="14"/>
  <c r="BO122" i="14"/>
  <c r="BN122" i="14"/>
  <c r="BM122" i="14"/>
  <c r="BL122" i="14"/>
  <c r="BK122" i="14"/>
  <c r="BJ122" i="14"/>
  <c r="BI122" i="14"/>
  <c r="BH122" i="14"/>
  <c r="BG122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P122" i="14" s="1"/>
  <c r="AC122" i="14"/>
  <c r="AB122" i="14"/>
  <c r="Z122" i="14"/>
  <c r="Y122" i="14"/>
  <c r="X122" i="14"/>
  <c r="W122" i="14"/>
  <c r="V122" i="14"/>
  <c r="U122" i="14"/>
  <c r="T122" i="14"/>
  <c r="R122" i="14"/>
  <c r="Q122" i="14"/>
  <c r="P122" i="14"/>
  <c r="O122" i="14"/>
  <c r="M122" i="14"/>
  <c r="L122" i="14"/>
  <c r="J122" i="14"/>
  <c r="I122" i="14"/>
  <c r="H122" i="14"/>
  <c r="G122" i="14"/>
  <c r="F122" i="14"/>
  <c r="E122" i="14"/>
  <c r="D122" i="14"/>
  <c r="C122" i="14"/>
  <c r="A122" i="14"/>
  <c r="CM121" i="14"/>
  <c r="CK121" i="14"/>
  <c r="CJ121" i="14"/>
  <c r="CI121" i="14"/>
  <c r="CH121" i="14"/>
  <c r="CG121" i="14"/>
  <c r="CF121" i="14"/>
  <c r="CE121" i="14"/>
  <c r="CD121" i="14"/>
  <c r="CC121" i="14"/>
  <c r="CB121" i="14"/>
  <c r="CA121" i="14"/>
  <c r="BZ121" i="14"/>
  <c r="BY121" i="14"/>
  <c r="BX121" i="14"/>
  <c r="BW121" i="14"/>
  <c r="BV121" i="14"/>
  <c r="BU121" i="14"/>
  <c r="BT121" i="14"/>
  <c r="BS121" i="14"/>
  <c r="BR121" i="14"/>
  <c r="BQ121" i="14"/>
  <c r="BP121" i="14"/>
  <c r="BO121" i="14"/>
  <c r="BN121" i="14"/>
  <c r="BM121" i="14"/>
  <c r="BL121" i="14"/>
  <c r="BK121" i="14"/>
  <c r="BJ121" i="14"/>
  <c r="BI121" i="14"/>
  <c r="BH121" i="14"/>
  <c r="BG121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Z121" i="14"/>
  <c r="Y121" i="14"/>
  <c r="X121" i="14"/>
  <c r="W121" i="14"/>
  <c r="V121" i="14"/>
  <c r="U121" i="14"/>
  <c r="T121" i="14"/>
  <c r="R121" i="14"/>
  <c r="Q121" i="14"/>
  <c r="P121" i="14"/>
  <c r="O121" i="14"/>
  <c r="M121" i="14"/>
  <c r="L121" i="14"/>
  <c r="J121" i="14"/>
  <c r="I121" i="14"/>
  <c r="H121" i="14"/>
  <c r="C121" i="14" s="1"/>
  <c r="G121" i="14"/>
  <c r="F121" i="14"/>
  <c r="D121" i="14"/>
  <c r="CM120" i="14"/>
  <c r="CK120" i="14"/>
  <c r="CJ120" i="14"/>
  <c r="CI120" i="14"/>
  <c r="CH120" i="14"/>
  <c r="CG120" i="14"/>
  <c r="CF120" i="14"/>
  <c r="CE120" i="14"/>
  <c r="CD120" i="14"/>
  <c r="CC120" i="14"/>
  <c r="CB120" i="14"/>
  <c r="CA120" i="14"/>
  <c r="BZ120" i="14"/>
  <c r="BY120" i="14"/>
  <c r="BX120" i="14"/>
  <c r="BW120" i="14"/>
  <c r="BV120" i="14"/>
  <c r="BU120" i="14"/>
  <c r="BT120" i="14"/>
  <c r="BS120" i="14"/>
  <c r="BR120" i="14"/>
  <c r="BQ120" i="14"/>
  <c r="BP120" i="14"/>
  <c r="BO120" i="14"/>
  <c r="BN120" i="14"/>
  <c r="BM120" i="14"/>
  <c r="BL120" i="14"/>
  <c r="BK120" i="14"/>
  <c r="BJ120" i="14"/>
  <c r="BI120" i="14"/>
  <c r="BH120" i="14"/>
  <c r="BG120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P120" i="14" s="1"/>
  <c r="AC120" i="14"/>
  <c r="AB120" i="14"/>
  <c r="Z120" i="14"/>
  <c r="Y120" i="14"/>
  <c r="X120" i="14"/>
  <c r="W120" i="14"/>
  <c r="V120" i="14"/>
  <c r="U120" i="14"/>
  <c r="T120" i="14"/>
  <c r="R120" i="14"/>
  <c r="Q120" i="14"/>
  <c r="P120" i="14"/>
  <c r="O120" i="14"/>
  <c r="M120" i="14"/>
  <c r="L120" i="14"/>
  <c r="J120" i="14"/>
  <c r="I120" i="14"/>
  <c r="H120" i="14"/>
  <c r="C120" i="14" s="1"/>
  <c r="G120" i="14"/>
  <c r="F120" i="14"/>
  <c r="D120" i="14"/>
  <c r="CM119" i="14"/>
  <c r="CK119" i="14"/>
  <c r="CJ119" i="14"/>
  <c r="CI119" i="14"/>
  <c r="CH119" i="14"/>
  <c r="CG119" i="14"/>
  <c r="CF119" i="14"/>
  <c r="CE119" i="14"/>
  <c r="CD119" i="14"/>
  <c r="CC119" i="14"/>
  <c r="CB119" i="14"/>
  <c r="CA119" i="14"/>
  <c r="BZ119" i="14"/>
  <c r="BY119" i="14"/>
  <c r="BX119" i="14"/>
  <c r="BW119" i="14"/>
  <c r="BV119" i="14"/>
  <c r="BU119" i="14"/>
  <c r="BT119" i="14"/>
  <c r="BS119" i="14"/>
  <c r="BR119" i="14"/>
  <c r="BQ119" i="14"/>
  <c r="BP119" i="14"/>
  <c r="BO119" i="14"/>
  <c r="BN119" i="14"/>
  <c r="BM119" i="14"/>
  <c r="BL119" i="14"/>
  <c r="BK119" i="14"/>
  <c r="BJ119" i="14"/>
  <c r="BI119" i="14"/>
  <c r="BH119" i="14"/>
  <c r="BG119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Z119" i="14"/>
  <c r="Y119" i="14"/>
  <c r="X119" i="14"/>
  <c r="W119" i="14"/>
  <c r="V119" i="14"/>
  <c r="U119" i="14"/>
  <c r="T119" i="14"/>
  <c r="R119" i="14"/>
  <c r="Q119" i="14"/>
  <c r="P119" i="14"/>
  <c r="O119" i="14"/>
  <c r="M119" i="14"/>
  <c r="L119" i="14"/>
  <c r="J119" i="14"/>
  <c r="I119" i="14"/>
  <c r="H119" i="14"/>
  <c r="C119" i="14" s="1"/>
  <c r="G119" i="14"/>
  <c r="F119" i="14"/>
  <c r="D119" i="14"/>
  <c r="CM118" i="14"/>
  <c r="CK118" i="14"/>
  <c r="CJ118" i="14"/>
  <c r="CI118" i="14"/>
  <c r="CH118" i="14"/>
  <c r="CG118" i="14"/>
  <c r="CF118" i="14"/>
  <c r="CE118" i="14"/>
  <c r="CD118" i="14"/>
  <c r="CC118" i="14"/>
  <c r="CB118" i="14"/>
  <c r="CA118" i="14"/>
  <c r="BZ118" i="14"/>
  <c r="BY118" i="14"/>
  <c r="BX118" i="14"/>
  <c r="BW118" i="14"/>
  <c r="BV118" i="14"/>
  <c r="BU118" i="14"/>
  <c r="BT118" i="14"/>
  <c r="BS118" i="14"/>
  <c r="BR118" i="14"/>
  <c r="BQ118" i="14"/>
  <c r="BP118" i="14"/>
  <c r="BO118" i="14"/>
  <c r="BN118" i="14"/>
  <c r="BM118" i="14"/>
  <c r="BL118" i="14"/>
  <c r="BK118" i="14"/>
  <c r="BJ118" i="14"/>
  <c r="BI118" i="14"/>
  <c r="BH118" i="14"/>
  <c r="BG118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Z118" i="14"/>
  <c r="Y118" i="14"/>
  <c r="X118" i="14"/>
  <c r="W118" i="14"/>
  <c r="V118" i="14"/>
  <c r="U118" i="14"/>
  <c r="T118" i="14"/>
  <c r="R118" i="14"/>
  <c r="Q118" i="14"/>
  <c r="P118" i="14"/>
  <c r="O118" i="14"/>
  <c r="M118" i="14"/>
  <c r="L118" i="14"/>
  <c r="J118" i="14"/>
  <c r="I118" i="14"/>
  <c r="H118" i="14"/>
  <c r="C118" i="14" s="1"/>
  <c r="G118" i="14"/>
  <c r="F118" i="14"/>
  <c r="A118" i="14"/>
  <c r="CM117" i="14"/>
  <c r="CK117" i="14"/>
  <c r="CJ117" i="14"/>
  <c r="CI117" i="14"/>
  <c r="CH117" i="14"/>
  <c r="CG117" i="14"/>
  <c r="CF117" i="14"/>
  <c r="CE117" i="14"/>
  <c r="CD117" i="14"/>
  <c r="CC117" i="14"/>
  <c r="CB117" i="14"/>
  <c r="CA117" i="14"/>
  <c r="BZ117" i="14"/>
  <c r="BY117" i="14"/>
  <c r="BX117" i="14"/>
  <c r="BW117" i="14"/>
  <c r="BV117" i="14"/>
  <c r="BU117" i="14"/>
  <c r="BT117" i="14"/>
  <c r="BS117" i="14"/>
  <c r="BR117" i="14"/>
  <c r="BQ117" i="14"/>
  <c r="BP117" i="14"/>
  <c r="BO117" i="14"/>
  <c r="BN117" i="14"/>
  <c r="BM117" i="14"/>
  <c r="BL117" i="14"/>
  <c r="BK117" i="14"/>
  <c r="BJ117" i="14"/>
  <c r="BI117" i="14"/>
  <c r="BH117" i="14"/>
  <c r="BG117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Z117" i="14"/>
  <c r="Y117" i="14"/>
  <c r="X117" i="14"/>
  <c r="W117" i="14"/>
  <c r="V117" i="14"/>
  <c r="U117" i="14"/>
  <c r="T117" i="14"/>
  <c r="R117" i="14"/>
  <c r="Q117" i="14"/>
  <c r="P117" i="14"/>
  <c r="O117" i="14"/>
  <c r="M117" i="14"/>
  <c r="L117" i="14"/>
  <c r="J117" i="14"/>
  <c r="I117" i="14"/>
  <c r="H117" i="14"/>
  <c r="G117" i="14"/>
  <c r="F117" i="14"/>
  <c r="D117" i="14"/>
  <c r="A117" i="14"/>
  <c r="CM116" i="14"/>
  <c r="CK116" i="14"/>
  <c r="CJ116" i="14"/>
  <c r="CI116" i="14"/>
  <c r="CH116" i="14"/>
  <c r="CG116" i="14"/>
  <c r="CF116" i="14"/>
  <c r="CE116" i="14"/>
  <c r="CD116" i="14"/>
  <c r="CC116" i="14"/>
  <c r="CB116" i="14"/>
  <c r="CA116" i="14"/>
  <c r="BZ116" i="14"/>
  <c r="BY116" i="14"/>
  <c r="BX116" i="14"/>
  <c r="BW116" i="14"/>
  <c r="BV116" i="14"/>
  <c r="BU116" i="14"/>
  <c r="BT116" i="14"/>
  <c r="BS116" i="14"/>
  <c r="BR116" i="14"/>
  <c r="BQ116" i="14"/>
  <c r="BP116" i="14"/>
  <c r="BO116" i="14"/>
  <c r="BN116" i="14"/>
  <c r="BM116" i="14"/>
  <c r="BL116" i="14"/>
  <c r="BK116" i="14"/>
  <c r="BJ116" i="14"/>
  <c r="BI116" i="14"/>
  <c r="BH116" i="14"/>
  <c r="BG116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Z116" i="14"/>
  <c r="Y116" i="14"/>
  <c r="X116" i="14"/>
  <c r="W116" i="14"/>
  <c r="V116" i="14"/>
  <c r="U116" i="14"/>
  <c r="T116" i="14"/>
  <c r="R116" i="14"/>
  <c r="Q116" i="14"/>
  <c r="P116" i="14"/>
  <c r="O116" i="14"/>
  <c r="M116" i="14"/>
  <c r="L116" i="14"/>
  <c r="J116" i="14"/>
  <c r="I116" i="14"/>
  <c r="H116" i="14"/>
  <c r="G116" i="14"/>
  <c r="F116" i="14"/>
  <c r="D116" i="14"/>
  <c r="C116" i="14"/>
  <c r="A116" i="14"/>
  <c r="CM115" i="14"/>
  <c r="CK115" i="14"/>
  <c r="CJ115" i="14"/>
  <c r="CI115" i="14"/>
  <c r="CH115" i="14"/>
  <c r="CG115" i="14"/>
  <c r="CF115" i="14"/>
  <c r="CE115" i="14"/>
  <c r="CD115" i="14"/>
  <c r="CC115" i="14"/>
  <c r="CB115" i="14"/>
  <c r="CA115" i="14"/>
  <c r="BZ115" i="14"/>
  <c r="BY115" i="14"/>
  <c r="BX115" i="14"/>
  <c r="BW115" i="14"/>
  <c r="BV115" i="14"/>
  <c r="BU115" i="14"/>
  <c r="BT115" i="14"/>
  <c r="BS115" i="14"/>
  <c r="BR115" i="14"/>
  <c r="BQ115" i="14"/>
  <c r="BP115" i="14"/>
  <c r="BO115" i="14"/>
  <c r="BN115" i="14"/>
  <c r="BM115" i="14"/>
  <c r="BL115" i="14"/>
  <c r="BK115" i="14"/>
  <c r="BJ115" i="14"/>
  <c r="BI115" i="14"/>
  <c r="BH115" i="14"/>
  <c r="BG115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P115" i="14" s="1"/>
  <c r="AC115" i="14"/>
  <c r="AB115" i="14"/>
  <c r="Z115" i="14"/>
  <c r="Y115" i="14"/>
  <c r="X115" i="14"/>
  <c r="W115" i="14"/>
  <c r="V115" i="14"/>
  <c r="U115" i="14"/>
  <c r="T115" i="14"/>
  <c r="R115" i="14"/>
  <c r="Q115" i="14"/>
  <c r="P115" i="14"/>
  <c r="O115" i="14"/>
  <c r="M115" i="14"/>
  <c r="L115" i="14"/>
  <c r="J115" i="14"/>
  <c r="I115" i="14"/>
  <c r="H115" i="14"/>
  <c r="G115" i="14"/>
  <c r="F115" i="14"/>
  <c r="E115" i="14"/>
  <c r="D115" i="14"/>
  <c r="C115" i="14"/>
  <c r="A115" i="14"/>
  <c r="CM114" i="14"/>
  <c r="CK114" i="14"/>
  <c r="CJ114" i="14"/>
  <c r="CI114" i="14"/>
  <c r="CH114" i="14"/>
  <c r="CG114" i="14"/>
  <c r="CF114" i="14"/>
  <c r="CE114" i="14"/>
  <c r="CD114" i="14"/>
  <c r="CC114" i="14"/>
  <c r="CB114" i="14"/>
  <c r="CA114" i="14"/>
  <c r="BZ114" i="14"/>
  <c r="BY114" i="14"/>
  <c r="BX114" i="14"/>
  <c r="BW114" i="14"/>
  <c r="BV114" i="14"/>
  <c r="BU114" i="14"/>
  <c r="BT114" i="14"/>
  <c r="BS114" i="14"/>
  <c r="BR114" i="14"/>
  <c r="BQ114" i="14"/>
  <c r="BP114" i="14"/>
  <c r="BO114" i="14"/>
  <c r="BN114" i="14"/>
  <c r="BM114" i="14"/>
  <c r="BL114" i="14"/>
  <c r="BK114" i="14"/>
  <c r="BJ114" i="14"/>
  <c r="BI114" i="14"/>
  <c r="BH114" i="14"/>
  <c r="BG114" i="14"/>
  <c r="BF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AT114" i="14"/>
  <c r="AS114" i="14"/>
  <c r="AR114" i="14"/>
  <c r="AQ114" i="14"/>
  <c r="AO114" i="14"/>
  <c r="AN114" i="14"/>
  <c r="AM114" i="14"/>
  <c r="AL114" i="14"/>
  <c r="AK114" i="14"/>
  <c r="AJ114" i="14"/>
  <c r="AI114" i="14"/>
  <c r="AH114" i="14"/>
  <c r="AG114" i="14"/>
  <c r="AF114" i="14"/>
  <c r="AE114" i="14"/>
  <c r="AD114" i="14"/>
  <c r="AC114" i="14"/>
  <c r="AB114" i="14"/>
  <c r="Z114" i="14"/>
  <c r="Y114" i="14"/>
  <c r="X114" i="14"/>
  <c r="W114" i="14"/>
  <c r="V114" i="14"/>
  <c r="U114" i="14"/>
  <c r="T114" i="14"/>
  <c r="R114" i="14"/>
  <c r="Q114" i="14"/>
  <c r="P114" i="14"/>
  <c r="O114" i="14"/>
  <c r="M114" i="14"/>
  <c r="L114" i="14"/>
  <c r="J114" i="14"/>
  <c r="I114" i="14"/>
  <c r="H114" i="14"/>
  <c r="C114" i="14" s="1"/>
  <c r="G114" i="14"/>
  <c r="F114" i="14"/>
  <c r="E114" i="14"/>
  <c r="D114" i="14"/>
  <c r="CM113" i="14"/>
  <c r="CK113" i="14"/>
  <c r="CJ113" i="14"/>
  <c r="CI113" i="14"/>
  <c r="CH113" i="14"/>
  <c r="CG113" i="14"/>
  <c r="CF113" i="14"/>
  <c r="CE113" i="14"/>
  <c r="CD113" i="14"/>
  <c r="CC113" i="14"/>
  <c r="CB113" i="14"/>
  <c r="CA113" i="14"/>
  <c r="BZ113" i="14"/>
  <c r="BY113" i="14"/>
  <c r="BX113" i="14"/>
  <c r="BW113" i="14"/>
  <c r="BV113" i="14"/>
  <c r="BU113" i="14"/>
  <c r="BT113" i="14"/>
  <c r="BS113" i="14"/>
  <c r="BR113" i="14"/>
  <c r="BQ113" i="14"/>
  <c r="BP113" i="14"/>
  <c r="BO113" i="14"/>
  <c r="BN113" i="14"/>
  <c r="BM113" i="14"/>
  <c r="BL113" i="14"/>
  <c r="BK113" i="14"/>
  <c r="BJ113" i="14"/>
  <c r="BI113" i="14"/>
  <c r="BH113" i="14"/>
  <c r="BG113" i="14"/>
  <c r="BF113" i="14"/>
  <c r="BE113" i="14"/>
  <c r="BD113" i="14"/>
  <c r="BC113" i="14"/>
  <c r="BB113" i="14"/>
  <c r="BA113" i="14"/>
  <c r="AZ113" i="14"/>
  <c r="AY113" i="14"/>
  <c r="AX113" i="14"/>
  <c r="AW113" i="14"/>
  <c r="AV113" i="14"/>
  <c r="AU113" i="14"/>
  <c r="AT113" i="14"/>
  <c r="AS113" i="14"/>
  <c r="AR113" i="14"/>
  <c r="AQ113" i="14"/>
  <c r="AO113" i="14"/>
  <c r="AN113" i="14"/>
  <c r="AM113" i="14"/>
  <c r="AL113" i="14"/>
  <c r="AK113" i="14"/>
  <c r="AJ113" i="14"/>
  <c r="AI113" i="14"/>
  <c r="AH113" i="14"/>
  <c r="AG113" i="14"/>
  <c r="AF113" i="14"/>
  <c r="AE113" i="14"/>
  <c r="AD113" i="14"/>
  <c r="AC113" i="14"/>
  <c r="AB113" i="14"/>
  <c r="Z113" i="14"/>
  <c r="Y113" i="14"/>
  <c r="X113" i="14"/>
  <c r="W113" i="14"/>
  <c r="V113" i="14"/>
  <c r="U113" i="14"/>
  <c r="T113" i="14"/>
  <c r="R113" i="14"/>
  <c r="Q113" i="14"/>
  <c r="P113" i="14"/>
  <c r="O113" i="14"/>
  <c r="M113" i="14"/>
  <c r="L113" i="14"/>
  <c r="J113" i="14"/>
  <c r="I113" i="14"/>
  <c r="H113" i="14"/>
  <c r="G113" i="14"/>
  <c r="F113" i="14"/>
  <c r="A113" i="14"/>
  <c r="CM112" i="14"/>
  <c r="CK112" i="14"/>
  <c r="CJ112" i="14"/>
  <c r="CI112" i="14"/>
  <c r="CH112" i="14"/>
  <c r="CG112" i="14"/>
  <c r="CF112" i="14"/>
  <c r="CE112" i="14"/>
  <c r="CD112" i="14"/>
  <c r="CC112" i="14"/>
  <c r="CB112" i="14"/>
  <c r="CA112" i="14"/>
  <c r="BZ112" i="14"/>
  <c r="BY112" i="14"/>
  <c r="BX112" i="14"/>
  <c r="BW112" i="14"/>
  <c r="BV112" i="14"/>
  <c r="BU112" i="14"/>
  <c r="BT112" i="14"/>
  <c r="BS112" i="14"/>
  <c r="BR112" i="14"/>
  <c r="BQ112" i="14"/>
  <c r="BP112" i="14"/>
  <c r="BO112" i="14"/>
  <c r="BN112" i="14"/>
  <c r="BM112" i="14"/>
  <c r="BL112" i="14"/>
  <c r="BK112" i="14"/>
  <c r="BJ112" i="14"/>
  <c r="BI112" i="14"/>
  <c r="BH112" i="14"/>
  <c r="BG112" i="14"/>
  <c r="BF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AT112" i="14"/>
  <c r="AS112" i="14"/>
  <c r="AR112" i="14"/>
  <c r="AQ112" i="14"/>
  <c r="AO112" i="14"/>
  <c r="AN112" i="14"/>
  <c r="AM112" i="14"/>
  <c r="AL112" i="14"/>
  <c r="AK112" i="14"/>
  <c r="AJ112" i="14"/>
  <c r="AI112" i="14"/>
  <c r="AH112" i="14"/>
  <c r="AG112" i="14"/>
  <c r="AF112" i="14"/>
  <c r="AE112" i="14"/>
  <c r="AD112" i="14"/>
  <c r="AC112" i="14"/>
  <c r="AB112" i="14"/>
  <c r="Z112" i="14"/>
  <c r="Y112" i="14"/>
  <c r="X112" i="14"/>
  <c r="W112" i="14"/>
  <c r="V112" i="14"/>
  <c r="U112" i="14"/>
  <c r="T112" i="14"/>
  <c r="R112" i="14"/>
  <c r="Q112" i="14"/>
  <c r="D112" i="14" s="1"/>
  <c r="P112" i="14"/>
  <c r="O112" i="14"/>
  <c r="M112" i="14"/>
  <c r="L112" i="14"/>
  <c r="J112" i="14"/>
  <c r="I112" i="14"/>
  <c r="H112" i="14"/>
  <c r="C112" i="14" s="1"/>
  <c r="G112" i="14"/>
  <c r="F112" i="14"/>
  <c r="CM111" i="14"/>
  <c r="CK111" i="14"/>
  <c r="CJ111" i="14"/>
  <c r="CI111" i="14"/>
  <c r="CH111" i="14"/>
  <c r="CG111" i="14"/>
  <c r="CF111" i="14"/>
  <c r="CE111" i="14"/>
  <c r="CD111" i="14"/>
  <c r="CC111" i="14"/>
  <c r="CB111" i="14"/>
  <c r="CA111" i="14"/>
  <c r="BZ111" i="14"/>
  <c r="BY111" i="14"/>
  <c r="BX111" i="14"/>
  <c r="BW111" i="14"/>
  <c r="BV111" i="14"/>
  <c r="BU111" i="14"/>
  <c r="BT111" i="14"/>
  <c r="BS111" i="14"/>
  <c r="BR111" i="14"/>
  <c r="BQ111" i="14"/>
  <c r="BP111" i="14"/>
  <c r="BO111" i="14"/>
  <c r="BN111" i="14"/>
  <c r="BM111" i="14"/>
  <c r="BL111" i="14"/>
  <c r="BK111" i="14"/>
  <c r="BJ111" i="14"/>
  <c r="BI111" i="14"/>
  <c r="BH111" i="14"/>
  <c r="BG111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Z111" i="14"/>
  <c r="Y111" i="14"/>
  <c r="X111" i="14"/>
  <c r="W111" i="14"/>
  <c r="V111" i="14"/>
  <c r="U111" i="14"/>
  <c r="T111" i="14"/>
  <c r="R111" i="14"/>
  <c r="Q111" i="14"/>
  <c r="P111" i="14"/>
  <c r="O111" i="14"/>
  <c r="M111" i="14"/>
  <c r="L111" i="14"/>
  <c r="J111" i="14"/>
  <c r="I111" i="14"/>
  <c r="H111" i="14"/>
  <c r="G111" i="14"/>
  <c r="F111" i="14"/>
  <c r="CM110" i="14"/>
  <c r="CK110" i="14"/>
  <c r="CJ110" i="14"/>
  <c r="CI110" i="14"/>
  <c r="CH110" i="14"/>
  <c r="CG110" i="14"/>
  <c r="CF110" i="14"/>
  <c r="CE110" i="14"/>
  <c r="CD110" i="14"/>
  <c r="CC110" i="14"/>
  <c r="CB110" i="14"/>
  <c r="CA110" i="14"/>
  <c r="BZ110" i="14"/>
  <c r="BY110" i="14"/>
  <c r="BX110" i="14"/>
  <c r="BW110" i="14"/>
  <c r="BV110" i="14"/>
  <c r="BU110" i="14"/>
  <c r="BT110" i="14"/>
  <c r="BS110" i="14"/>
  <c r="BR110" i="14"/>
  <c r="BQ110" i="14"/>
  <c r="BP110" i="14"/>
  <c r="BO110" i="14"/>
  <c r="BN110" i="14"/>
  <c r="BM110" i="14"/>
  <c r="BL110" i="14"/>
  <c r="BK110" i="14"/>
  <c r="BJ110" i="14"/>
  <c r="BI110" i="14"/>
  <c r="BH110" i="14"/>
  <c r="BG110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Z110" i="14"/>
  <c r="Y110" i="14"/>
  <c r="X110" i="14"/>
  <c r="W110" i="14"/>
  <c r="V110" i="14"/>
  <c r="U110" i="14"/>
  <c r="T110" i="14"/>
  <c r="R110" i="14"/>
  <c r="Q110" i="14"/>
  <c r="P110" i="14"/>
  <c r="O110" i="14"/>
  <c r="M110" i="14"/>
  <c r="L110" i="14"/>
  <c r="J110" i="14"/>
  <c r="I110" i="14"/>
  <c r="H110" i="14"/>
  <c r="G110" i="14"/>
  <c r="F110" i="14"/>
  <c r="E110" i="14"/>
  <c r="A110" i="14"/>
  <c r="CM109" i="14"/>
  <c r="CK109" i="14"/>
  <c r="CJ109" i="14"/>
  <c r="CI109" i="14"/>
  <c r="CH109" i="14"/>
  <c r="CG109" i="14"/>
  <c r="CF109" i="14"/>
  <c r="CE109" i="14"/>
  <c r="CD109" i="14"/>
  <c r="CC109" i="14"/>
  <c r="CB109" i="14"/>
  <c r="CA109" i="14"/>
  <c r="BZ109" i="14"/>
  <c r="BY109" i="14"/>
  <c r="BX109" i="14"/>
  <c r="BW109" i="14"/>
  <c r="BV109" i="14"/>
  <c r="BU109" i="14"/>
  <c r="BT109" i="14"/>
  <c r="BS109" i="14"/>
  <c r="BR109" i="14"/>
  <c r="BQ109" i="14"/>
  <c r="BP109" i="14"/>
  <c r="BO109" i="14"/>
  <c r="BN109" i="14"/>
  <c r="BM109" i="14"/>
  <c r="BL109" i="14"/>
  <c r="BK109" i="14"/>
  <c r="BJ109" i="14"/>
  <c r="BI109" i="14"/>
  <c r="BH109" i="14"/>
  <c r="BG109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Z109" i="14"/>
  <c r="Y109" i="14"/>
  <c r="X109" i="14"/>
  <c r="W109" i="14"/>
  <c r="V109" i="14"/>
  <c r="U109" i="14"/>
  <c r="T109" i="14"/>
  <c r="R109" i="14"/>
  <c r="Q109" i="14"/>
  <c r="D109" i="14" s="1"/>
  <c r="P109" i="14"/>
  <c r="O109" i="14"/>
  <c r="M109" i="14"/>
  <c r="L109" i="14"/>
  <c r="J109" i="14"/>
  <c r="I109" i="14"/>
  <c r="H109" i="14"/>
  <c r="G109" i="14"/>
  <c r="F109" i="14"/>
  <c r="C109" i="14"/>
  <c r="A109" i="14"/>
  <c r="CM108" i="14"/>
  <c r="CK108" i="14"/>
  <c r="CJ108" i="14"/>
  <c r="CI108" i="14"/>
  <c r="CH108" i="14"/>
  <c r="CG108" i="14"/>
  <c r="CF108" i="14"/>
  <c r="CE108" i="14"/>
  <c r="CD108" i="14"/>
  <c r="CC108" i="14"/>
  <c r="CB108" i="14"/>
  <c r="CA108" i="14"/>
  <c r="BZ108" i="14"/>
  <c r="BY108" i="14"/>
  <c r="BX108" i="14"/>
  <c r="BW108" i="14"/>
  <c r="BV108" i="14"/>
  <c r="BU108" i="14"/>
  <c r="BT108" i="14"/>
  <c r="BS108" i="14"/>
  <c r="BR108" i="14"/>
  <c r="BQ108" i="14"/>
  <c r="BP108" i="14"/>
  <c r="BO108" i="14"/>
  <c r="BN108" i="14"/>
  <c r="BM108" i="14"/>
  <c r="BL108" i="14"/>
  <c r="BK108" i="14"/>
  <c r="BJ108" i="14"/>
  <c r="BI108" i="14"/>
  <c r="BH108" i="14"/>
  <c r="BG108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Z108" i="14"/>
  <c r="Y108" i="14"/>
  <c r="X108" i="14"/>
  <c r="W108" i="14"/>
  <c r="V108" i="14"/>
  <c r="CR108" i="14" s="1"/>
  <c r="U108" i="14"/>
  <c r="T108" i="14"/>
  <c r="R108" i="14"/>
  <c r="Q108" i="14"/>
  <c r="P108" i="14"/>
  <c r="O108" i="14"/>
  <c r="M108" i="14"/>
  <c r="L108" i="14"/>
  <c r="J108" i="14"/>
  <c r="I108" i="14"/>
  <c r="H108" i="14"/>
  <c r="G108" i="14"/>
  <c r="F108" i="14"/>
  <c r="E108" i="14"/>
  <c r="D108" i="14"/>
  <c r="C108" i="14"/>
  <c r="CM107" i="14"/>
  <c r="CK107" i="14"/>
  <c r="CJ107" i="14"/>
  <c r="CI107" i="14"/>
  <c r="CH107" i="14"/>
  <c r="CG107" i="14"/>
  <c r="CF107" i="14"/>
  <c r="CE107" i="14"/>
  <c r="CD107" i="14"/>
  <c r="CC107" i="14"/>
  <c r="CB107" i="14"/>
  <c r="CA107" i="14"/>
  <c r="BZ107" i="14"/>
  <c r="BY107" i="14"/>
  <c r="BX107" i="14"/>
  <c r="BW107" i="14"/>
  <c r="BV107" i="14"/>
  <c r="BU107" i="14"/>
  <c r="BT107" i="14"/>
  <c r="BS107" i="14"/>
  <c r="BR107" i="14"/>
  <c r="BQ107" i="14"/>
  <c r="BP107" i="14"/>
  <c r="BO107" i="14"/>
  <c r="BN107" i="14"/>
  <c r="BM107" i="14"/>
  <c r="BL107" i="14"/>
  <c r="BK107" i="14"/>
  <c r="BJ107" i="14"/>
  <c r="BI107" i="14"/>
  <c r="BH107" i="14"/>
  <c r="BG107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P107" i="14" s="1"/>
  <c r="AC107" i="14"/>
  <c r="AB107" i="14"/>
  <c r="Z107" i="14"/>
  <c r="Y107" i="14"/>
  <c r="X107" i="14"/>
  <c r="W107" i="14"/>
  <c r="V107" i="14"/>
  <c r="U107" i="14"/>
  <c r="T107" i="14"/>
  <c r="R107" i="14"/>
  <c r="Q107" i="14"/>
  <c r="P107" i="14"/>
  <c r="O107" i="14"/>
  <c r="M107" i="14"/>
  <c r="L107" i="14"/>
  <c r="J107" i="14"/>
  <c r="I107" i="14"/>
  <c r="H107" i="14"/>
  <c r="C107" i="14" s="1"/>
  <c r="G107" i="14"/>
  <c r="F107" i="14"/>
  <c r="E107" i="14"/>
  <c r="D107" i="14"/>
  <c r="CM106" i="14"/>
  <c r="CK106" i="14"/>
  <c r="CJ106" i="14"/>
  <c r="CI106" i="14"/>
  <c r="CH106" i="14"/>
  <c r="CG106" i="14"/>
  <c r="CF106" i="14"/>
  <c r="CE106" i="14"/>
  <c r="CD106" i="14"/>
  <c r="CC106" i="14"/>
  <c r="CB106" i="14"/>
  <c r="CA106" i="14"/>
  <c r="BZ106" i="14"/>
  <c r="BY106" i="14"/>
  <c r="BX106" i="14"/>
  <c r="BW106" i="14"/>
  <c r="BV106" i="14"/>
  <c r="BU106" i="14"/>
  <c r="BT106" i="14"/>
  <c r="BS106" i="14"/>
  <c r="BR106" i="14"/>
  <c r="BQ106" i="14"/>
  <c r="BP106" i="14"/>
  <c r="BO106" i="14"/>
  <c r="BN106" i="14"/>
  <c r="BM106" i="14"/>
  <c r="BL106" i="14"/>
  <c r="BK106" i="14"/>
  <c r="BJ106" i="14"/>
  <c r="BI106" i="14"/>
  <c r="BH106" i="14"/>
  <c r="BG106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P106" i="14" s="1"/>
  <c r="AC106" i="14"/>
  <c r="AB106" i="14"/>
  <c r="Z106" i="14"/>
  <c r="Y106" i="14"/>
  <c r="X106" i="14"/>
  <c r="W106" i="14"/>
  <c r="V106" i="14"/>
  <c r="U106" i="14"/>
  <c r="T106" i="14"/>
  <c r="R106" i="14"/>
  <c r="Q106" i="14"/>
  <c r="P106" i="14"/>
  <c r="O106" i="14"/>
  <c r="M106" i="14"/>
  <c r="L106" i="14"/>
  <c r="J106" i="14"/>
  <c r="I106" i="14"/>
  <c r="H106" i="14"/>
  <c r="C106" i="14" s="1"/>
  <c r="G106" i="14"/>
  <c r="F106" i="14"/>
  <c r="D106" i="14"/>
  <c r="CM105" i="14"/>
  <c r="CK105" i="14"/>
  <c r="CJ105" i="14"/>
  <c r="CI105" i="14"/>
  <c r="CH105" i="14"/>
  <c r="CG105" i="14"/>
  <c r="CF105" i="14"/>
  <c r="CE105" i="14"/>
  <c r="CD105" i="14"/>
  <c r="CC105" i="14"/>
  <c r="CB105" i="14"/>
  <c r="CA105" i="14"/>
  <c r="BZ105" i="14"/>
  <c r="BY105" i="14"/>
  <c r="BX105" i="14"/>
  <c r="BW105" i="14"/>
  <c r="BV105" i="14"/>
  <c r="BU105" i="14"/>
  <c r="BT105" i="14"/>
  <c r="BS105" i="14"/>
  <c r="BR105" i="14"/>
  <c r="BQ105" i="14"/>
  <c r="BP105" i="14"/>
  <c r="BO105" i="14"/>
  <c r="BN105" i="14"/>
  <c r="BM105" i="14"/>
  <c r="BL105" i="14"/>
  <c r="BK105" i="14"/>
  <c r="BJ105" i="14"/>
  <c r="BI105" i="14"/>
  <c r="BH105" i="14"/>
  <c r="BG105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Z105" i="14"/>
  <c r="Y105" i="14"/>
  <c r="X105" i="14"/>
  <c r="W105" i="14"/>
  <c r="V105" i="14"/>
  <c r="U105" i="14"/>
  <c r="T105" i="14"/>
  <c r="R105" i="14"/>
  <c r="Q105" i="14"/>
  <c r="P105" i="14"/>
  <c r="O105" i="14"/>
  <c r="M105" i="14"/>
  <c r="L105" i="14"/>
  <c r="J105" i="14"/>
  <c r="I105" i="14"/>
  <c r="H105" i="14"/>
  <c r="C105" i="14" s="1"/>
  <c r="G105" i="14"/>
  <c r="F105" i="14"/>
  <c r="D105" i="14"/>
  <c r="A105" i="14"/>
  <c r="CM104" i="14"/>
  <c r="CK104" i="14"/>
  <c r="CJ104" i="14"/>
  <c r="CI104" i="14"/>
  <c r="CH104" i="14"/>
  <c r="CG104" i="14"/>
  <c r="CF104" i="14"/>
  <c r="CE104" i="14"/>
  <c r="CD104" i="14"/>
  <c r="CC104" i="14"/>
  <c r="CB104" i="14"/>
  <c r="CA104" i="14"/>
  <c r="BZ104" i="14"/>
  <c r="BY104" i="14"/>
  <c r="BX104" i="14"/>
  <c r="BW104" i="14"/>
  <c r="BV104" i="14"/>
  <c r="BU104" i="14"/>
  <c r="BT104" i="14"/>
  <c r="BS104" i="14"/>
  <c r="BR104" i="14"/>
  <c r="BQ104" i="14"/>
  <c r="BP104" i="14"/>
  <c r="BO104" i="14"/>
  <c r="BN104" i="14"/>
  <c r="BM104" i="14"/>
  <c r="BL104" i="14"/>
  <c r="BK104" i="14"/>
  <c r="BJ104" i="14"/>
  <c r="BI104" i="14"/>
  <c r="BH104" i="14"/>
  <c r="BG104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Z104" i="14"/>
  <c r="Y104" i="14"/>
  <c r="X104" i="14"/>
  <c r="W104" i="14"/>
  <c r="V104" i="14"/>
  <c r="U104" i="14"/>
  <c r="T104" i="14"/>
  <c r="R104" i="14"/>
  <c r="Q104" i="14"/>
  <c r="P104" i="14"/>
  <c r="O104" i="14"/>
  <c r="M104" i="14"/>
  <c r="L104" i="14"/>
  <c r="J104" i="14"/>
  <c r="I104" i="14"/>
  <c r="H104" i="14"/>
  <c r="G104" i="14"/>
  <c r="F104" i="14"/>
  <c r="D104" i="14"/>
  <c r="C104" i="14"/>
  <c r="A104" i="14"/>
  <c r="CM103" i="14"/>
  <c r="CK103" i="14"/>
  <c r="CJ103" i="14"/>
  <c r="CI103" i="14"/>
  <c r="CH103" i="14"/>
  <c r="CG103" i="14"/>
  <c r="CF103" i="14"/>
  <c r="CE103" i="14"/>
  <c r="CD103" i="14"/>
  <c r="CC103" i="14"/>
  <c r="CB103" i="14"/>
  <c r="CA103" i="14"/>
  <c r="BZ103" i="14"/>
  <c r="BY103" i="14"/>
  <c r="BX103" i="14"/>
  <c r="BW103" i="14"/>
  <c r="BV103" i="14"/>
  <c r="BU103" i="14"/>
  <c r="BT103" i="14"/>
  <c r="BS103" i="14"/>
  <c r="BR103" i="14"/>
  <c r="BQ103" i="14"/>
  <c r="BP103" i="14"/>
  <c r="BO103" i="14"/>
  <c r="BN103" i="14"/>
  <c r="BM103" i="14"/>
  <c r="BL103" i="14"/>
  <c r="BK103" i="14"/>
  <c r="BJ103" i="14"/>
  <c r="BI103" i="14"/>
  <c r="BH103" i="14"/>
  <c r="BG103" i="14"/>
  <c r="BF103" i="14"/>
  <c r="BE103" i="14"/>
  <c r="BD103" i="14"/>
  <c r="BC103" i="14"/>
  <c r="BB103" i="14"/>
  <c r="BA103" i="14"/>
  <c r="AZ103" i="14"/>
  <c r="AY103" i="14"/>
  <c r="AX103" i="14"/>
  <c r="AW103" i="14"/>
  <c r="AV103" i="14"/>
  <c r="AU103" i="14"/>
  <c r="AT103" i="14"/>
  <c r="AS103" i="14"/>
  <c r="AR103" i="14"/>
  <c r="AQ103" i="14"/>
  <c r="AO103" i="14"/>
  <c r="AN103" i="14"/>
  <c r="AM103" i="14"/>
  <c r="AL103" i="14"/>
  <c r="AK103" i="14"/>
  <c r="AJ103" i="14"/>
  <c r="AI103" i="14"/>
  <c r="AH103" i="14"/>
  <c r="AG103" i="14"/>
  <c r="AF103" i="14"/>
  <c r="AE103" i="14"/>
  <c r="AD103" i="14"/>
  <c r="AC103" i="14"/>
  <c r="AB103" i="14"/>
  <c r="Z103" i="14"/>
  <c r="Y103" i="14"/>
  <c r="X103" i="14"/>
  <c r="W103" i="14"/>
  <c r="V103" i="14"/>
  <c r="U103" i="14"/>
  <c r="T103" i="14"/>
  <c r="R103" i="14"/>
  <c r="Q103" i="14"/>
  <c r="P103" i="14"/>
  <c r="O103" i="14"/>
  <c r="M103" i="14"/>
  <c r="L103" i="14"/>
  <c r="J103" i="14"/>
  <c r="I103" i="14"/>
  <c r="H103" i="14"/>
  <c r="C103" i="14" s="1"/>
  <c r="G103" i="14"/>
  <c r="F103" i="14"/>
  <c r="E103" i="14"/>
  <c r="D103" i="14"/>
  <c r="A103" i="14"/>
  <c r="CM102" i="14"/>
  <c r="CK102" i="14"/>
  <c r="CJ102" i="14"/>
  <c r="CI102" i="14"/>
  <c r="CH102" i="14"/>
  <c r="CG102" i="14"/>
  <c r="CF102" i="14"/>
  <c r="CE102" i="14"/>
  <c r="CD102" i="14"/>
  <c r="CC102" i="14"/>
  <c r="CB102" i="14"/>
  <c r="CA102" i="14"/>
  <c r="BZ102" i="14"/>
  <c r="BY102" i="14"/>
  <c r="BX102" i="14"/>
  <c r="BW102" i="14"/>
  <c r="BV102" i="14"/>
  <c r="BU102" i="14"/>
  <c r="BT102" i="14"/>
  <c r="BS102" i="14"/>
  <c r="BR102" i="14"/>
  <c r="BQ102" i="14"/>
  <c r="BP102" i="14"/>
  <c r="BO102" i="14"/>
  <c r="BN102" i="14"/>
  <c r="BM102" i="14"/>
  <c r="BL102" i="14"/>
  <c r="BK102" i="14"/>
  <c r="BJ102" i="14"/>
  <c r="BI102" i="14"/>
  <c r="BH102" i="14"/>
  <c r="BG102" i="14"/>
  <c r="BF102" i="14"/>
  <c r="BE102" i="14"/>
  <c r="BD102" i="14"/>
  <c r="BC102" i="14"/>
  <c r="BB102" i="14"/>
  <c r="BA102" i="14"/>
  <c r="AZ102" i="14"/>
  <c r="AY102" i="14"/>
  <c r="AX102" i="14"/>
  <c r="AW102" i="14"/>
  <c r="AV102" i="14"/>
  <c r="AU102" i="14"/>
  <c r="AT102" i="14"/>
  <c r="AS102" i="14"/>
  <c r="AR102" i="14"/>
  <c r="AQ102" i="14"/>
  <c r="AO102" i="14"/>
  <c r="AN102" i="14"/>
  <c r="AM102" i="14"/>
  <c r="AL102" i="14"/>
  <c r="AK102" i="14"/>
  <c r="AJ102" i="14"/>
  <c r="AI102" i="14"/>
  <c r="AH102" i="14"/>
  <c r="AG102" i="14"/>
  <c r="AF102" i="14"/>
  <c r="AE102" i="14"/>
  <c r="AD102" i="14"/>
  <c r="AP102" i="14" s="1"/>
  <c r="AC102" i="14"/>
  <c r="AB102" i="14"/>
  <c r="Z102" i="14"/>
  <c r="Y102" i="14"/>
  <c r="X102" i="14"/>
  <c r="W102" i="14"/>
  <c r="V102" i="14"/>
  <c r="U102" i="14"/>
  <c r="T102" i="14"/>
  <c r="R102" i="14"/>
  <c r="Q102" i="14"/>
  <c r="P102" i="14"/>
  <c r="O102" i="14"/>
  <c r="M102" i="14"/>
  <c r="L102" i="14"/>
  <c r="J102" i="14"/>
  <c r="I102" i="14"/>
  <c r="H102" i="14"/>
  <c r="G102" i="14"/>
  <c r="F102" i="14"/>
  <c r="D102" i="14"/>
  <c r="C102" i="14"/>
  <c r="A102" i="14"/>
  <c r="CM101" i="14"/>
  <c r="CK101" i="14"/>
  <c r="CJ101" i="14"/>
  <c r="CI101" i="14"/>
  <c r="CH101" i="14"/>
  <c r="CG101" i="14"/>
  <c r="CF101" i="14"/>
  <c r="CE101" i="14"/>
  <c r="CD101" i="14"/>
  <c r="CC101" i="14"/>
  <c r="CB101" i="14"/>
  <c r="CA101" i="14"/>
  <c r="BZ101" i="14"/>
  <c r="BY101" i="14"/>
  <c r="BX101" i="14"/>
  <c r="BW101" i="14"/>
  <c r="BV101" i="14"/>
  <c r="BU101" i="14"/>
  <c r="BT101" i="14"/>
  <c r="BS101" i="14"/>
  <c r="BR101" i="14"/>
  <c r="BQ101" i="14"/>
  <c r="BP101" i="14"/>
  <c r="BO101" i="14"/>
  <c r="BN101" i="14"/>
  <c r="BM101" i="14"/>
  <c r="BL101" i="14"/>
  <c r="BK101" i="14"/>
  <c r="BJ101" i="14"/>
  <c r="BI101" i="14"/>
  <c r="BH101" i="14"/>
  <c r="BG101" i="14"/>
  <c r="BF101" i="14"/>
  <c r="BE101" i="14"/>
  <c r="BD101" i="14"/>
  <c r="BC101" i="14"/>
  <c r="BB101" i="14"/>
  <c r="BA101" i="14"/>
  <c r="AZ101" i="14"/>
  <c r="AY101" i="14"/>
  <c r="AX101" i="14"/>
  <c r="AW101" i="14"/>
  <c r="AV101" i="14"/>
  <c r="AU101" i="14"/>
  <c r="AT101" i="14"/>
  <c r="AS101" i="14"/>
  <c r="AR101" i="14"/>
  <c r="AQ101" i="14"/>
  <c r="AO101" i="14"/>
  <c r="AN101" i="14"/>
  <c r="AM101" i="14"/>
  <c r="AL101" i="14"/>
  <c r="AK101" i="14"/>
  <c r="AJ101" i="14"/>
  <c r="AI101" i="14"/>
  <c r="AH101" i="14"/>
  <c r="AG101" i="14"/>
  <c r="AF101" i="14"/>
  <c r="AE101" i="14"/>
  <c r="AD101" i="14"/>
  <c r="AC101" i="14"/>
  <c r="AB101" i="14"/>
  <c r="Z101" i="14"/>
  <c r="Y101" i="14"/>
  <c r="X101" i="14"/>
  <c r="W101" i="14"/>
  <c r="V101" i="14"/>
  <c r="U101" i="14"/>
  <c r="T101" i="14"/>
  <c r="R101" i="14"/>
  <c r="Q101" i="14"/>
  <c r="P101" i="14"/>
  <c r="O101" i="14"/>
  <c r="M101" i="14"/>
  <c r="L101" i="14"/>
  <c r="J101" i="14"/>
  <c r="I101" i="14"/>
  <c r="H101" i="14"/>
  <c r="G101" i="14"/>
  <c r="F101" i="14"/>
  <c r="E101" i="14"/>
  <c r="D101" i="14"/>
  <c r="C101" i="14"/>
  <c r="CM100" i="14"/>
  <c r="CK100" i="14"/>
  <c r="CJ100" i="14"/>
  <c r="CI100" i="14"/>
  <c r="CH100" i="14"/>
  <c r="CG100" i="14"/>
  <c r="CF100" i="14"/>
  <c r="CE100" i="14"/>
  <c r="CD100" i="14"/>
  <c r="CC100" i="14"/>
  <c r="CB100" i="14"/>
  <c r="CA100" i="14"/>
  <c r="BZ100" i="14"/>
  <c r="BY100" i="14"/>
  <c r="BX100" i="14"/>
  <c r="BW100" i="14"/>
  <c r="BV100" i="14"/>
  <c r="BU100" i="14"/>
  <c r="BT100" i="14"/>
  <c r="BS100" i="14"/>
  <c r="BR100" i="14"/>
  <c r="BQ100" i="14"/>
  <c r="BP100" i="14"/>
  <c r="BO100" i="14"/>
  <c r="BN100" i="14"/>
  <c r="BM100" i="14"/>
  <c r="BL100" i="14"/>
  <c r="BK100" i="14"/>
  <c r="BJ100" i="14"/>
  <c r="BI100" i="14"/>
  <c r="BH100" i="14"/>
  <c r="BG100" i="14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Z100" i="14"/>
  <c r="Y100" i="14"/>
  <c r="X100" i="14"/>
  <c r="W100" i="14"/>
  <c r="V100" i="14"/>
  <c r="U100" i="14"/>
  <c r="T100" i="14"/>
  <c r="R100" i="14"/>
  <c r="Q100" i="14"/>
  <c r="P100" i="14"/>
  <c r="O100" i="14"/>
  <c r="M100" i="14"/>
  <c r="L100" i="14"/>
  <c r="J100" i="14"/>
  <c r="I100" i="14"/>
  <c r="H100" i="14"/>
  <c r="C100" i="14" s="1"/>
  <c r="G100" i="14"/>
  <c r="F100" i="14"/>
  <c r="E100" i="14"/>
  <c r="D100" i="14"/>
  <c r="CM99" i="14"/>
  <c r="CK99" i="14"/>
  <c r="CJ99" i="14"/>
  <c r="CI99" i="14"/>
  <c r="CH99" i="14"/>
  <c r="CG99" i="14"/>
  <c r="CF99" i="14"/>
  <c r="CE99" i="14"/>
  <c r="CD99" i="14"/>
  <c r="CC99" i="14"/>
  <c r="CB99" i="14"/>
  <c r="CA99" i="14"/>
  <c r="BZ99" i="14"/>
  <c r="BY99" i="14"/>
  <c r="BX99" i="14"/>
  <c r="BW99" i="14"/>
  <c r="BV99" i="14"/>
  <c r="BU99" i="14"/>
  <c r="BT99" i="14"/>
  <c r="BS99" i="14"/>
  <c r="BR99" i="14"/>
  <c r="BQ99" i="14"/>
  <c r="BP99" i="14"/>
  <c r="BO99" i="14"/>
  <c r="BN99" i="14"/>
  <c r="BM99" i="14"/>
  <c r="BL99" i="14"/>
  <c r="BK99" i="14"/>
  <c r="BJ99" i="14"/>
  <c r="BI99" i="14"/>
  <c r="BH99" i="14"/>
  <c r="BG99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P99" i="14" s="1"/>
  <c r="AC99" i="14"/>
  <c r="AB99" i="14"/>
  <c r="Z99" i="14"/>
  <c r="Y99" i="14"/>
  <c r="X99" i="14"/>
  <c r="W99" i="14"/>
  <c r="V99" i="14"/>
  <c r="U99" i="14"/>
  <c r="T99" i="14"/>
  <c r="R99" i="14"/>
  <c r="Q99" i="14"/>
  <c r="P99" i="14"/>
  <c r="O99" i="14"/>
  <c r="M99" i="14"/>
  <c r="L99" i="14"/>
  <c r="J99" i="14"/>
  <c r="I99" i="14"/>
  <c r="H99" i="14"/>
  <c r="C99" i="14" s="1"/>
  <c r="G99" i="14"/>
  <c r="F99" i="14"/>
  <c r="D99" i="14"/>
  <c r="CM98" i="14"/>
  <c r="CK98" i="14"/>
  <c r="CJ98" i="14"/>
  <c r="CI98" i="14"/>
  <c r="CH98" i="14"/>
  <c r="CG98" i="14"/>
  <c r="CF98" i="14"/>
  <c r="CE98" i="14"/>
  <c r="CD98" i="14"/>
  <c r="CC98" i="14"/>
  <c r="CB98" i="14"/>
  <c r="CA98" i="14"/>
  <c r="BZ98" i="14"/>
  <c r="BY98" i="14"/>
  <c r="BX98" i="14"/>
  <c r="BW98" i="14"/>
  <c r="BV98" i="14"/>
  <c r="BU98" i="14"/>
  <c r="BT98" i="14"/>
  <c r="BS98" i="14"/>
  <c r="BR98" i="14"/>
  <c r="BQ98" i="14"/>
  <c r="BP98" i="14"/>
  <c r="BO98" i="14"/>
  <c r="BN98" i="14"/>
  <c r="BM98" i="14"/>
  <c r="BL98" i="14"/>
  <c r="BK98" i="14"/>
  <c r="BJ98" i="14"/>
  <c r="BI98" i="14"/>
  <c r="BH98" i="14"/>
  <c r="BG98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Z98" i="14"/>
  <c r="Y98" i="14"/>
  <c r="X98" i="14"/>
  <c r="W98" i="14"/>
  <c r="V98" i="14"/>
  <c r="U98" i="14"/>
  <c r="T98" i="14"/>
  <c r="R98" i="14"/>
  <c r="Q98" i="14"/>
  <c r="D98" i="14" s="1"/>
  <c r="P98" i="14"/>
  <c r="O98" i="14"/>
  <c r="M98" i="14"/>
  <c r="L98" i="14"/>
  <c r="J98" i="14"/>
  <c r="I98" i="14"/>
  <c r="H98" i="14"/>
  <c r="C98" i="14" s="1"/>
  <c r="G98" i="14"/>
  <c r="F98" i="14"/>
  <c r="CM97" i="14"/>
  <c r="CK97" i="14"/>
  <c r="CJ97" i="14"/>
  <c r="CI97" i="14"/>
  <c r="CH97" i="14"/>
  <c r="CG97" i="14"/>
  <c r="CF97" i="14"/>
  <c r="CE97" i="14"/>
  <c r="CD97" i="14"/>
  <c r="CC97" i="14"/>
  <c r="CB97" i="14"/>
  <c r="CA97" i="14"/>
  <c r="BZ97" i="14"/>
  <c r="BY97" i="14"/>
  <c r="BX97" i="14"/>
  <c r="BW97" i="14"/>
  <c r="BV97" i="14"/>
  <c r="BU97" i="14"/>
  <c r="BT97" i="14"/>
  <c r="BS97" i="14"/>
  <c r="BR97" i="14"/>
  <c r="BQ97" i="14"/>
  <c r="BP97" i="14"/>
  <c r="BO97" i="14"/>
  <c r="BN97" i="14"/>
  <c r="BM97" i="14"/>
  <c r="BL97" i="14"/>
  <c r="BK97" i="14"/>
  <c r="BJ97" i="14"/>
  <c r="BI97" i="14"/>
  <c r="BH97" i="14"/>
  <c r="BG97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P97" i="14" s="1"/>
  <c r="AC97" i="14"/>
  <c r="AB97" i="14"/>
  <c r="Z97" i="14"/>
  <c r="Y97" i="14"/>
  <c r="X97" i="14"/>
  <c r="W97" i="14"/>
  <c r="V97" i="14"/>
  <c r="U97" i="14"/>
  <c r="T97" i="14"/>
  <c r="R97" i="14"/>
  <c r="Q97" i="14"/>
  <c r="P97" i="14"/>
  <c r="O97" i="14"/>
  <c r="M97" i="14"/>
  <c r="L97" i="14"/>
  <c r="J97" i="14"/>
  <c r="I97" i="14"/>
  <c r="H97" i="14"/>
  <c r="C97" i="14" s="1"/>
  <c r="G97" i="14"/>
  <c r="F97" i="14"/>
  <c r="D97" i="14"/>
  <c r="CM96" i="14"/>
  <c r="CK96" i="14"/>
  <c r="CJ96" i="14"/>
  <c r="CI96" i="14"/>
  <c r="CH96" i="14"/>
  <c r="CG96" i="14"/>
  <c r="CF96" i="14"/>
  <c r="CE96" i="14"/>
  <c r="CD96" i="14"/>
  <c r="CC96" i="14"/>
  <c r="CB96" i="14"/>
  <c r="CA96" i="14"/>
  <c r="BZ96" i="14"/>
  <c r="BY96" i="14"/>
  <c r="BX96" i="14"/>
  <c r="BW96" i="14"/>
  <c r="BV96" i="14"/>
  <c r="BU96" i="14"/>
  <c r="BT96" i="14"/>
  <c r="BS96" i="14"/>
  <c r="BR96" i="14"/>
  <c r="BQ96" i="14"/>
  <c r="BP96" i="14"/>
  <c r="BO96" i="14"/>
  <c r="BN96" i="14"/>
  <c r="BM96" i="14"/>
  <c r="BL96" i="14"/>
  <c r="BK96" i="14"/>
  <c r="BJ96" i="14"/>
  <c r="BI96" i="14"/>
  <c r="BH96" i="14"/>
  <c r="BG96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Z96" i="14"/>
  <c r="Y96" i="14"/>
  <c r="X96" i="14"/>
  <c r="W96" i="14"/>
  <c r="V96" i="14"/>
  <c r="U96" i="14"/>
  <c r="T96" i="14"/>
  <c r="R96" i="14"/>
  <c r="Q96" i="14"/>
  <c r="P96" i="14"/>
  <c r="O96" i="14"/>
  <c r="M96" i="14"/>
  <c r="L96" i="14"/>
  <c r="J96" i="14"/>
  <c r="I96" i="14"/>
  <c r="H96" i="14"/>
  <c r="G96" i="14"/>
  <c r="F96" i="14"/>
  <c r="CM95" i="14"/>
  <c r="CK95" i="14"/>
  <c r="CJ95" i="14"/>
  <c r="CI95" i="14"/>
  <c r="CH95" i="14"/>
  <c r="CG95" i="14"/>
  <c r="CF95" i="14"/>
  <c r="CE95" i="14"/>
  <c r="CD95" i="14"/>
  <c r="CC95" i="14"/>
  <c r="CB95" i="14"/>
  <c r="CA95" i="14"/>
  <c r="BZ95" i="14"/>
  <c r="BY95" i="14"/>
  <c r="BX95" i="14"/>
  <c r="BW95" i="14"/>
  <c r="BV95" i="14"/>
  <c r="BU95" i="14"/>
  <c r="BT95" i="14"/>
  <c r="BS95" i="14"/>
  <c r="BR95" i="14"/>
  <c r="BQ95" i="14"/>
  <c r="BP95" i="14"/>
  <c r="BO95" i="14"/>
  <c r="BN95" i="14"/>
  <c r="BM95" i="14"/>
  <c r="BL95" i="14"/>
  <c r="BK95" i="14"/>
  <c r="BJ95" i="14"/>
  <c r="BI95" i="14"/>
  <c r="BH95" i="14"/>
  <c r="BG95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P95" i="14" s="1"/>
  <c r="AC95" i="14"/>
  <c r="AB95" i="14"/>
  <c r="Z95" i="14"/>
  <c r="Y95" i="14"/>
  <c r="X95" i="14"/>
  <c r="W95" i="14"/>
  <c r="V95" i="14"/>
  <c r="U95" i="14"/>
  <c r="T95" i="14"/>
  <c r="R95" i="14"/>
  <c r="Q95" i="14"/>
  <c r="P95" i="14"/>
  <c r="O95" i="14"/>
  <c r="M95" i="14"/>
  <c r="L95" i="14"/>
  <c r="J95" i="14"/>
  <c r="I95" i="14"/>
  <c r="H95" i="14"/>
  <c r="C95" i="14" s="1"/>
  <c r="G95" i="14"/>
  <c r="F95" i="14"/>
  <c r="D95" i="14"/>
  <c r="CM94" i="14"/>
  <c r="CK94" i="14"/>
  <c r="CJ94" i="14"/>
  <c r="CI94" i="14"/>
  <c r="CH94" i="14"/>
  <c r="CG94" i="14"/>
  <c r="CF94" i="14"/>
  <c r="CE94" i="14"/>
  <c r="CD94" i="14"/>
  <c r="CC94" i="14"/>
  <c r="CB94" i="14"/>
  <c r="CA94" i="14"/>
  <c r="BZ94" i="14"/>
  <c r="BY94" i="14"/>
  <c r="BX94" i="14"/>
  <c r="BW94" i="14"/>
  <c r="BV94" i="14"/>
  <c r="BU94" i="14"/>
  <c r="BT94" i="14"/>
  <c r="BS94" i="14"/>
  <c r="BR94" i="14"/>
  <c r="BQ94" i="14"/>
  <c r="BP94" i="14"/>
  <c r="BO94" i="14"/>
  <c r="BN94" i="14"/>
  <c r="BM94" i="14"/>
  <c r="BL94" i="14"/>
  <c r="BK94" i="14"/>
  <c r="BJ94" i="14"/>
  <c r="BI94" i="14"/>
  <c r="BH94" i="14"/>
  <c r="BG94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Z94" i="14"/>
  <c r="Y94" i="14"/>
  <c r="X94" i="14"/>
  <c r="W94" i="14"/>
  <c r="V94" i="14"/>
  <c r="U94" i="14"/>
  <c r="T94" i="14"/>
  <c r="R94" i="14"/>
  <c r="Q94" i="14"/>
  <c r="P94" i="14"/>
  <c r="O94" i="14"/>
  <c r="M94" i="14"/>
  <c r="L94" i="14"/>
  <c r="J94" i="14"/>
  <c r="I94" i="14"/>
  <c r="H94" i="14"/>
  <c r="G94" i="14"/>
  <c r="F94" i="14"/>
  <c r="CM93" i="14"/>
  <c r="CK93" i="14"/>
  <c r="CJ93" i="14"/>
  <c r="CI93" i="14"/>
  <c r="CH93" i="14"/>
  <c r="CG93" i="14"/>
  <c r="CF93" i="14"/>
  <c r="CE93" i="14"/>
  <c r="CD93" i="14"/>
  <c r="CC93" i="14"/>
  <c r="CB93" i="14"/>
  <c r="CA93" i="14"/>
  <c r="BZ93" i="14"/>
  <c r="BY93" i="14"/>
  <c r="BX93" i="14"/>
  <c r="BW93" i="14"/>
  <c r="BV93" i="14"/>
  <c r="BU93" i="14"/>
  <c r="BT93" i="14"/>
  <c r="BS93" i="14"/>
  <c r="BR93" i="14"/>
  <c r="BQ93" i="14"/>
  <c r="BP93" i="14"/>
  <c r="BO93" i="14"/>
  <c r="BN93" i="14"/>
  <c r="BM93" i="14"/>
  <c r="BL93" i="14"/>
  <c r="BK93" i="14"/>
  <c r="BJ93" i="14"/>
  <c r="BI93" i="14"/>
  <c r="BH93" i="14"/>
  <c r="BG93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Z93" i="14"/>
  <c r="Y93" i="14"/>
  <c r="X93" i="14"/>
  <c r="W93" i="14"/>
  <c r="V93" i="14"/>
  <c r="U93" i="14"/>
  <c r="T93" i="14"/>
  <c r="R93" i="14"/>
  <c r="Q93" i="14"/>
  <c r="P93" i="14"/>
  <c r="O93" i="14"/>
  <c r="M93" i="14"/>
  <c r="L93" i="14"/>
  <c r="J93" i="14"/>
  <c r="I93" i="14"/>
  <c r="H93" i="14"/>
  <c r="G93" i="14"/>
  <c r="F93" i="14"/>
  <c r="E93" i="14"/>
  <c r="A93" i="14"/>
  <c r="CM92" i="14"/>
  <c r="CK92" i="14"/>
  <c r="CJ92" i="14"/>
  <c r="CI92" i="14"/>
  <c r="CH92" i="14"/>
  <c r="CG92" i="14"/>
  <c r="CF92" i="14"/>
  <c r="CE92" i="14"/>
  <c r="CD92" i="14"/>
  <c r="CC92" i="14"/>
  <c r="CB92" i="14"/>
  <c r="CA92" i="14"/>
  <c r="BZ92" i="14"/>
  <c r="BY92" i="14"/>
  <c r="BX92" i="14"/>
  <c r="BW92" i="14"/>
  <c r="BV92" i="14"/>
  <c r="BU92" i="14"/>
  <c r="BT92" i="14"/>
  <c r="BS92" i="14"/>
  <c r="BR92" i="14"/>
  <c r="BQ92" i="14"/>
  <c r="BP92" i="14"/>
  <c r="BO92" i="14"/>
  <c r="BN92" i="14"/>
  <c r="BM92" i="14"/>
  <c r="BL92" i="14"/>
  <c r="BK92" i="14"/>
  <c r="BJ92" i="14"/>
  <c r="BI92" i="14"/>
  <c r="BH92" i="14"/>
  <c r="BG92" i="14"/>
  <c r="BF92" i="14"/>
  <c r="BE92" i="14"/>
  <c r="BD92" i="14"/>
  <c r="BC92" i="14"/>
  <c r="BB92" i="14"/>
  <c r="BA92" i="14"/>
  <c r="AZ92" i="14"/>
  <c r="AY92" i="14"/>
  <c r="AX92" i="14"/>
  <c r="AW92" i="14"/>
  <c r="AV92" i="14"/>
  <c r="AU92" i="14"/>
  <c r="AT92" i="14"/>
  <c r="AS92" i="14"/>
  <c r="AR92" i="14"/>
  <c r="AQ92" i="14"/>
  <c r="AO92" i="14"/>
  <c r="AN92" i="14"/>
  <c r="AM92" i="14"/>
  <c r="AL92" i="14"/>
  <c r="AK92" i="14"/>
  <c r="AJ92" i="14"/>
  <c r="AI92" i="14"/>
  <c r="AH92" i="14"/>
  <c r="AG92" i="14"/>
  <c r="AF92" i="14"/>
  <c r="AE92" i="14"/>
  <c r="AD92" i="14"/>
  <c r="AC92" i="14"/>
  <c r="AB92" i="14"/>
  <c r="Z92" i="14"/>
  <c r="Y92" i="14"/>
  <c r="X92" i="14"/>
  <c r="W92" i="14"/>
  <c r="V92" i="14"/>
  <c r="U92" i="14"/>
  <c r="T92" i="14"/>
  <c r="R92" i="14"/>
  <c r="Q92" i="14"/>
  <c r="D92" i="14" s="1"/>
  <c r="P92" i="14"/>
  <c r="O92" i="14"/>
  <c r="M92" i="14"/>
  <c r="L92" i="14"/>
  <c r="J92" i="14"/>
  <c r="I92" i="14"/>
  <c r="H92" i="14"/>
  <c r="G92" i="14"/>
  <c r="F92" i="14"/>
  <c r="E92" i="14"/>
  <c r="C92" i="14"/>
  <c r="A92" i="14"/>
  <c r="CM91" i="14"/>
  <c r="CK91" i="14"/>
  <c r="CJ91" i="14"/>
  <c r="CI91" i="14"/>
  <c r="CH91" i="14"/>
  <c r="CG91" i="14"/>
  <c r="CF91" i="14"/>
  <c r="CE91" i="14"/>
  <c r="CD91" i="14"/>
  <c r="CC91" i="14"/>
  <c r="CB91" i="14"/>
  <c r="CA91" i="14"/>
  <c r="BZ91" i="14"/>
  <c r="BY91" i="14"/>
  <c r="BX91" i="14"/>
  <c r="BW91" i="14"/>
  <c r="BV91" i="14"/>
  <c r="BU91" i="14"/>
  <c r="BT91" i="14"/>
  <c r="BS91" i="14"/>
  <c r="BR91" i="14"/>
  <c r="BQ91" i="14"/>
  <c r="BP91" i="14"/>
  <c r="BO91" i="14"/>
  <c r="BN91" i="14"/>
  <c r="BM91" i="14"/>
  <c r="BL91" i="14"/>
  <c r="BK91" i="14"/>
  <c r="BJ91" i="14"/>
  <c r="BI91" i="14"/>
  <c r="BH91" i="14"/>
  <c r="BG91" i="14"/>
  <c r="BF91" i="14"/>
  <c r="BE91" i="14"/>
  <c r="BD91" i="14"/>
  <c r="BC91" i="14"/>
  <c r="BB91" i="14"/>
  <c r="BA91" i="14"/>
  <c r="AZ91" i="14"/>
  <c r="AY91" i="14"/>
  <c r="AX91" i="14"/>
  <c r="AW91" i="14"/>
  <c r="AV91" i="14"/>
  <c r="AU91" i="14"/>
  <c r="AT91" i="14"/>
  <c r="AS91" i="14"/>
  <c r="AR91" i="14"/>
  <c r="AQ91" i="14"/>
  <c r="AO91" i="14"/>
  <c r="AN91" i="14"/>
  <c r="AM91" i="14"/>
  <c r="AL91" i="14"/>
  <c r="AK91" i="14"/>
  <c r="AJ91" i="14"/>
  <c r="AI91" i="14"/>
  <c r="AH91" i="14"/>
  <c r="AG91" i="14"/>
  <c r="AF91" i="14"/>
  <c r="AE91" i="14"/>
  <c r="AD91" i="14"/>
  <c r="AC91" i="14"/>
  <c r="AB91" i="14"/>
  <c r="Z91" i="14"/>
  <c r="Y91" i="14"/>
  <c r="X91" i="14"/>
  <c r="W91" i="14"/>
  <c r="V91" i="14"/>
  <c r="U91" i="14"/>
  <c r="T91" i="14"/>
  <c r="R91" i="14"/>
  <c r="Q91" i="14"/>
  <c r="P91" i="14"/>
  <c r="O91" i="14"/>
  <c r="M91" i="14"/>
  <c r="L91" i="14"/>
  <c r="J91" i="14"/>
  <c r="I91" i="14"/>
  <c r="H91" i="14"/>
  <c r="G91" i="14"/>
  <c r="F91" i="14"/>
  <c r="D91" i="14"/>
  <c r="C91" i="14"/>
  <c r="CM90" i="14"/>
  <c r="CK90" i="14"/>
  <c r="CJ90" i="14"/>
  <c r="CI90" i="14"/>
  <c r="CH90" i="14"/>
  <c r="CG90" i="14"/>
  <c r="CF90" i="14"/>
  <c r="CE90" i="14"/>
  <c r="CD90" i="14"/>
  <c r="CC90" i="14"/>
  <c r="CB90" i="14"/>
  <c r="CA90" i="14"/>
  <c r="BZ90" i="14"/>
  <c r="BY90" i="14"/>
  <c r="BX90" i="14"/>
  <c r="BW90" i="14"/>
  <c r="BV90" i="14"/>
  <c r="BU90" i="14"/>
  <c r="BT90" i="14"/>
  <c r="BS90" i="14"/>
  <c r="BR90" i="14"/>
  <c r="BQ90" i="14"/>
  <c r="BP90" i="14"/>
  <c r="BO90" i="14"/>
  <c r="BN90" i="14"/>
  <c r="BM90" i="14"/>
  <c r="BL90" i="14"/>
  <c r="BK90" i="14"/>
  <c r="BJ90" i="14"/>
  <c r="BI90" i="14"/>
  <c r="BH90" i="14"/>
  <c r="BG90" i="14"/>
  <c r="BF90" i="14"/>
  <c r="BE90" i="14"/>
  <c r="BD90" i="14"/>
  <c r="BC90" i="14"/>
  <c r="BB90" i="14"/>
  <c r="BA90" i="14"/>
  <c r="AZ90" i="14"/>
  <c r="AY90" i="14"/>
  <c r="AX90" i="14"/>
  <c r="AW90" i="14"/>
  <c r="AV90" i="14"/>
  <c r="AU90" i="14"/>
  <c r="AT90" i="14"/>
  <c r="AS90" i="14"/>
  <c r="AR90" i="14"/>
  <c r="AQ90" i="14"/>
  <c r="AO90" i="14"/>
  <c r="AN90" i="14"/>
  <c r="AM90" i="14"/>
  <c r="AL90" i="14"/>
  <c r="AK90" i="14"/>
  <c r="AJ90" i="14"/>
  <c r="AI90" i="14"/>
  <c r="AH90" i="14"/>
  <c r="AG90" i="14"/>
  <c r="AF90" i="14"/>
  <c r="AE90" i="14"/>
  <c r="AD90" i="14"/>
  <c r="AP90" i="14" s="1"/>
  <c r="AC90" i="14"/>
  <c r="AB90" i="14"/>
  <c r="Z90" i="14"/>
  <c r="Y90" i="14"/>
  <c r="X90" i="14"/>
  <c r="W90" i="14"/>
  <c r="V90" i="14"/>
  <c r="U90" i="14"/>
  <c r="T90" i="14"/>
  <c r="R90" i="14"/>
  <c r="Q90" i="14"/>
  <c r="P90" i="14"/>
  <c r="O90" i="14"/>
  <c r="M90" i="14"/>
  <c r="L90" i="14"/>
  <c r="J90" i="14"/>
  <c r="I90" i="14"/>
  <c r="H90" i="14"/>
  <c r="C90" i="14" s="1"/>
  <c r="G90" i="14"/>
  <c r="F90" i="14"/>
  <c r="D90" i="14"/>
  <c r="CM89" i="14"/>
  <c r="CK89" i="14"/>
  <c r="CJ89" i="14"/>
  <c r="CI89" i="14"/>
  <c r="CH89" i="14"/>
  <c r="CG89" i="14"/>
  <c r="CF89" i="14"/>
  <c r="CE89" i="14"/>
  <c r="CD89" i="14"/>
  <c r="CC89" i="14"/>
  <c r="CB89" i="14"/>
  <c r="CA89" i="14"/>
  <c r="BZ89" i="14"/>
  <c r="BY89" i="14"/>
  <c r="BX89" i="14"/>
  <c r="BW89" i="14"/>
  <c r="BV89" i="14"/>
  <c r="BU89" i="14"/>
  <c r="BT89" i="14"/>
  <c r="BS89" i="14"/>
  <c r="BR89" i="14"/>
  <c r="BQ89" i="14"/>
  <c r="BP89" i="14"/>
  <c r="BO89" i="14"/>
  <c r="BN89" i="14"/>
  <c r="BM89" i="14"/>
  <c r="BL89" i="14"/>
  <c r="BK89" i="14"/>
  <c r="BJ89" i="14"/>
  <c r="BI89" i="14"/>
  <c r="BH89" i="14"/>
  <c r="BG89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Z89" i="14"/>
  <c r="Y89" i="14"/>
  <c r="X89" i="14"/>
  <c r="W89" i="14"/>
  <c r="V89" i="14"/>
  <c r="U89" i="14"/>
  <c r="T89" i="14"/>
  <c r="R89" i="14"/>
  <c r="Q89" i="14"/>
  <c r="P89" i="14"/>
  <c r="O89" i="14"/>
  <c r="M89" i="14"/>
  <c r="L89" i="14"/>
  <c r="J89" i="14"/>
  <c r="I89" i="14"/>
  <c r="H89" i="14"/>
  <c r="G89" i="14"/>
  <c r="F89" i="14"/>
  <c r="E89" i="14"/>
  <c r="CM88" i="14"/>
  <c r="CK88" i="14"/>
  <c r="CJ88" i="14"/>
  <c r="CI88" i="14"/>
  <c r="CH88" i="14"/>
  <c r="CG88" i="14"/>
  <c r="CF88" i="14"/>
  <c r="CE88" i="14"/>
  <c r="CD88" i="14"/>
  <c r="CC88" i="14"/>
  <c r="CB88" i="14"/>
  <c r="CA88" i="14"/>
  <c r="BZ88" i="14"/>
  <c r="BY88" i="14"/>
  <c r="BX88" i="14"/>
  <c r="BW88" i="14"/>
  <c r="BV88" i="14"/>
  <c r="BU88" i="14"/>
  <c r="BT88" i="14"/>
  <c r="BS88" i="14"/>
  <c r="BR88" i="14"/>
  <c r="BQ88" i="14"/>
  <c r="BP88" i="14"/>
  <c r="BO88" i="14"/>
  <c r="BN88" i="14"/>
  <c r="BM88" i="14"/>
  <c r="BL88" i="14"/>
  <c r="BK88" i="14"/>
  <c r="BJ88" i="14"/>
  <c r="BI88" i="14"/>
  <c r="BH88" i="14"/>
  <c r="BG88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Z88" i="14"/>
  <c r="Y88" i="14"/>
  <c r="X88" i="14"/>
  <c r="W88" i="14"/>
  <c r="V88" i="14"/>
  <c r="U88" i="14"/>
  <c r="T88" i="14"/>
  <c r="R88" i="14"/>
  <c r="Q88" i="14"/>
  <c r="P88" i="14"/>
  <c r="O88" i="14"/>
  <c r="M88" i="14"/>
  <c r="L88" i="14"/>
  <c r="J88" i="14"/>
  <c r="I88" i="14"/>
  <c r="H88" i="14"/>
  <c r="G88" i="14"/>
  <c r="F88" i="14"/>
  <c r="CM87" i="14"/>
  <c r="CK87" i="14"/>
  <c r="CJ87" i="14"/>
  <c r="CI87" i="14"/>
  <c r="CH87" i="14"/>
  <c r="CG87" i="14"/>
  <c r="CF87" i="14"/>
  <c r="CE87" i="14"/>
  <c r="CD87" i="14"/>
  <c r="CC87" i="14"/>
  <c r="CB87" i="14"/>
  <c r="CA87" i="14"/>
  <c r="BZ87" i="14"/>
  <c r="BY87" i="14"/>
  <c r="BX87" i="14"/>
  <c r="BW87" i="14"/>
  <c r="BV87" i="14"/>
  <c r="BU87" i="14"/>
  <c r="BT87" i="14"/>
  <c r="BS87" i="14"/>
  <c r="BR87" i="14"/>
  <c r="BQ87" i="14"/>
  <c r="BP87" i="14"/>
  <c r="BO87" i="14"/>
  <c r="BN87" i="14"/>
  <c r="BM87" i="14"/>
  <c r="BL87" i="14"/>
  <c r="BK87" i="14"/>
  <c r="BJ87" i="14"/>
  <c r="BI87" i="14"/>
  <c r="BH87" i="14"/>
  <c r="BG87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Z87" i="14"/>
  <c r="Y87" i="14"/>
  <c r="X87" i="14"/>
  <c r="W87" i="14"/>
  <c r="V87" i="14"/>
  <c r="U87" i="14"/>
  <c r="T87" i="14"/>
  <c r="R87" i="14"/>
  <c r="Q87" i="14"/>
  <c r="P87" i="14"/>
  <c r="O87" i="14"/>
  <c r="M87" i="14"/>
  <c r="L87" i="14"/>
  <c r="J87" i="14"/>
  <c r="I87" i="14"/>
  <c r="H87" i="14"/>
  <c r="G87" i="14"/>
  <c r="F87" i="14"/>
  <c r="CM86" i="14"/>
  <c r="CK86" i="14"/>
  <c r="CJ86" i="14"/>
  <c r="CI86" i="14"/>
  <c r="CH86" i="14"/>
  <c r="CG86" i="14"/>
  <c r="CF86" i="14"/>
  <c r="CE86" i="14"/>
  <c r="CD86" i="14"/>
  <c r="CC86" i="14"/>
  <c r="CB86" i="14"/>
  <c r="CA86" i="14"/>
  <c r="BZ86" i="14"/>
  <c r="BY86" i="14"/>
  <c r="BX86" i="14"/>
  <c r="BW86" i="14"/>
  <c r="BV86" i="14"/>
  <c r="BU86" i="14"/>
  <c r="BT86" i="14"/>
  <c r="BS86" i="14"/>
  <c r="BR86" i="14"/>
  <c r="BQ86" i="14"/>
  <c r="BP86" i="14"/>
  <c r="BO86" i="14"/>
  <c r="BN86" i="14"/>
  <c r="BM86" i="14"/>
  <c r="BL86" i="14"/>
  <c r="BK86" i="14"/>
  <c r="BJ86" i="14"/>
  <c r="BI86" i="14"/>
  <c r="BH86" i="14"/>
  <c r="BG86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Z86" i="14"/>
  <c r="Y86" i="14"/>
  <c r="X86" i="14"/>
  <c r="W86" i="14"/>
  <c r="V86" i="14"/>
  <c r="U86" i="14"/>
  <c r="T86" i="14"/>
  <c r="R86" i="14"/>
  <c r="Q86" i="14"/>
  <c r="P86" i="14"/>
  <c r="O86" i="14"/>
  <c r="M86" i="14"/>
  <c r="L86" i="14"/>
  <c r="J86" i="14"/>
  <c r="I86" i="14"/>
  <c r="H86" i="14"/>
  <c r="G86" i="14"/>
  <c r="F86" i="14"/>
  <c r="CM85" i="14"/>
  <c r="CK85" i="14"/>
  <c r="CJ85" i="14"/>
  <c r="CI85" i="14"/>
  <c r="CH85" i="14"/>
  <c r="CG85" i="14"/>
  <c r="CF85" i="14"/>
  <c r="CE85" i="14"/>
  <c r="CD85" i="14"/>
  <c r="CC85" i="14"/>
  <c r="CB85" i="14"/>
  <c r="CA85" i="14"/>
  <c r="BZ85" i="14"/>
  <c r="BY85" i="14"/>
  <c r="BX85" i="14"/>
  <c r="BW85" i="14"/>
  <c r="BV85" i="14"/>
  <c r="BU85" i="14"/>
  <c r="BT85" i="14"/>
  <c r="BS85" i="14"/>
  <c r="BR85" i="14"/>
  <c r="BQ85" i="14"/>
  <c r="BP85" i="14"/>
  <c r="BO85" i="14"/>
  <c r="BN85" i="14"/>
  <c r="BM85" i="14"/>
  <c r="BL85" i="14"/>
  <c r="BK85" i="14"/>
  <c r="BJ85" i="14"/>
  <c r="BI85" i="14"/>
  <c r="BH85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Z85" i="14"/>
  <c r="Y85" i="14"/>
  <c r="X85" i="14"/>
  <c r="W85" i="14"/>
  <c r="V85" i="14"/>
  <c r="CR85" i="14" s="1"/>
  <c r="U85" i="14"/>
  <c r="T85" i="14"/>
  <c r="R85" i="14"/>
  <c r="Q85" i="14"/>
  <c r="P85" i="14"/>
  <c r="O85" i="14"/>
  <c r="M85" i="14"/>
  <c r="L85" i="14"/>
  <c r="J85" i="14"/>
  <c r="I85" i="14"/>
  <c r="H85" i="14"/>
  <c r="C85" i="14" s="1"/>
  <c r="G85" i="14"/>
  <c r="F85" i="14"/>
  <c r="E85" i="14"/>
  <c r="CM84" i="14"/>
  <c r="CK84" i="14"/>
  <c r="CJ84" i="14"/>
  <c r="CI84" i="14"/>
  <c r="CH84" i="14"/>
  <c r="CG84" i="14"/>
  <c r="CF84" i="14"/>
  <c r="CE84" i="14"/>
  <c r="CD84" i="14"/>
  <c r="CC84" i="14"/>
  <c r="CB84" i="14"/>
  <c r="CA84" i="14"/>
  <c r="BZ84" i="14"/>
  <c r="BY84" i="14"/>
  <c r="BX84" i="14"/>
  <c r="BW84" i="14"/>
  <c r="BV84" i="14"/>
  <c r="BU84" i="14"/>
  <c r="BT84" i="14"/>
  <c r="BS84" i="14"/>
  <c r="BR84" i="14"/>
  <c r="BQ84" i="14"/>
  <c r="BP84" i="14"/>
  <c r="BO84" i="14"/>
  <c r="BN84" i="14"/>
  <c r="BM84" i="14"/>
  <c r="BL84" i="14"/>
  <c r="BK84" i="14"/>
  <c r="BJ84" i="14"/>
  <c r="BI84" i="14"/>
  <c r="BH84" i="14"/>
  <c r="BG84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CX84" i="14" s="1"/>
  <c r="AS84" i="14"/>
  <c r="AR84" i="14"/>
  <c r="AQ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Z84" i="14"/>
  <c r="Y84" i="14"/>
  <c r="X84" i="14"/>
  <c r="W84" i="14"/>
  <c r="CS84" i="14" s="1"/>
  <c r="V84" i="14"/>
  <c r="U84" i="14"/>
  <c r="T84" i="14"/>
  <c r="R84" i="14"/>
  <c r="Q84" i="14"/>
  <c r="P84" i="14"/>
  <c r="O84" i="14"/>
  <c r="M84" i="14"/>
  <c r="L84" i="14"/>
  <c r="J84" i="14"/>
  <c r="I84" i="14"/>
  <c r="H84" i="14"/>
  <c r="G84" i="14"/>
  <c r="F84" i="14"/>
  <c r="CZ84" i="14" s="1"/>
  <c r="C84" i="14"/>
  <c r="CM83" i="14"/>
  <c r="CK83" i="14"/>
  <c r="CJ83" i="14"/>
  <c r="CI83" i="14"/>
  <c r="CH83" i="14"/>
  <c r="CG83" i="14"/>
  <c r="CF83" i="14"/>
  <c r="CE83" i="14"/>
  <c r="CD83" i="14"/>
  <c r="CC83" i="14"/>
  <c r="CB83" i="14"/>
  <c r="CA83" i="14"/>
  <c r="BZ83" i="14"/>
  <c r="BY83" i="14"/>
  <c r="BX83" i="14"/>
  <c r="BW83" i="14"/>
  <c r="BV83" i="14"/>
  <c r="BU83" i="14"/>
  <c r="CV83" i="14" s="1"/>
  <c r="BT83" i="14"/>
  <c r="BS83" i="14"/>
  <c r="BR83" i="14"/>
  <c r="BQ83" i="14"/>
  <c r="BP83" i="14"/>
  <c r="BO83" i="14"/>
  <c r="BN83" i="14"/>
  <c r="BM83" i="14"/>
  <c r="BL83" i="14"/>
  <c r="BK83" i="14"/>
  <c r="BJ83" i="14"/>
  <c r="BI83" i="14"/>
  <c r="BH83" i="14"/>
  <c r="BG83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P83" i="14" s="1"/>
  <c r="AC83" i="14"/>
  <c r="AB83" i="14"/>
  <c r="Z83" i="14"/>
  <c r="Y83" i="14"/>
  <c r="X83" i="14"/>
  <c r="W83" i="14"/>
  <c r="V83" i="14"/>
  <c r="U83" i="14"/>
  <c r="T83" i="14"/>
  <c r="R83" i="14"/>
  <c r="Q83" i="14"/>
  <c r="D83" i="14" s="1"/>
  <c r="P83" i="14"/>
  <c r="O83" i="14"/>
  <c r="M83" i="14"/>
  <c r="L83" i="14"/>
  <c r="J83" i="14"/>
  <c r="I83" i="14"/>
  <c r="H83" i="14"/>
  <c r="C83" i="14" s="1"/>
  <c r="G83" i="14"/>
  <c r="F83" i="14"/>
  <c r="CZ83" i="14" s="1"/>
  <c r="CM82" i="14"/>
  <c r="CK82" i="14"/>
  <c r="CJ82" i="14"/>
  <c r="CI82" i="14"/>
  <c r="CH82" i="14"/>
  <c r="CG82" i="14"/>
  <c r="CF82" i="14"/>
  <c r="CE82" i="14"/>
  <c r="CD82" i="14"/>
  <c r="CC82" i="14"/>
  <c r="CB82" i="14"/>
  <c r="CA82" i="14"/>
  <c r="BZ82" i="14"/>
  <c r="BY82" i="14"/>
  <c r="BX82" i="14"/>
  <c r="BW82" i="14"/>
  <c r="BV82" i="14"/>
  <c r="BU82" i="14"/>
  <c r="CV82" i="14" s="1"/>
  <c r="BT82" i="14"/>
  <c r="BS82" i="14"/>
  <c r="BR82" i="14"/>
  <c r="BQ82" i="14"/>
  <c r="BP82" i="14"/>
  <c r="BO82" i="14"/>
  <c r="BN82" i="14"/>
  <c r="BM82" i="14"/>
  <c r="BL82" i="14"/>
  <c r="BK82" i="14"/>
  <c r="BJ82" i="14"/>
  <c r="BI82" i="14"/>
  <c r="BH82" i="14"/>
  <c r="BG82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P82" i="14" s="1"/>
  <c r="AC82" i="14"/>
  <c r="AB82" i="14"/>
  <c r="Z82" i="14"/>
  <c r="Y82" i="14"/>
  <c r="X82" i="14"/>
  <c r="W82" i="14"/>
  <c r="V82" i="14"/>
  <c r="U82" i="14"/>
  <c r="T82" i="14"/>
  <c r="R82" i="14"/>
  <c r="Q82" i="14"/>
  <c r="D82" i="14" s="1"/>
  <c r="P82" i="14"/>
  <c r="O82" i="14"/>
  <c r="M82" i="14"/>
  <c r="L82" i="14"/>
  <c r="J82" i="14"/>
  <c r="I82" i="14"/>
  <c r="H82" i="14"/>
  <c r="G82" i="14"/>
  <c r="F82" i="14"/>
  <c r="CZ82" i="14" s="1"/>
  <c r="C82" i="14"/>
  <c r="CM81" i="14"/>
  <c r="CK81" i="14"/>
  <c r="CJ81" i="14"/>
  <c r="CI81" i="14"/>
  <c r="CH81" i="14"/>
  <c r="CG81" i="14"/>
  <c r="CF81" i="14"/>
  <c r="CE81" i="14"/>
  <c r="CD81" i="14"/>
  <c r="CC81" i="14"/>
  <c r="CB81" i="14"/>
  <c r="CA81" i="14"/>
  <c r="BZ81" i="14"/>
  <c r="BY81" i="14"/>
  <c r="BX81" i="14"/>
  <c r="BW81" i="14"/>
  <c r="BV81" i="14"/>
  <c r="BU81" i="14"/>
  <c r="CV81" i="14" s="1"/>
  <c r="BT81" i="14"/>
  <c r="BS81" i="14"/>
  <c r="BR81" i="14"/>
  <c r="BQ81" i="14"/>
  <c r="BP81" i="14"/>
  <c r="BO81" i="14"/>
  <c r="BN81" i="14"/>
  <c r="BM81" i="14"/>
  <c r="BL81" i="14"/>
  <c r="BK81" i="14"/>
  <c r="BJ81" i="14"/>
  <c r="BI81" i="14"/>
  <c r="BH81" i="14"/>
  <c r="BG81" i="14"/>
  <c r="BF81" i="14"/>
  <c r="BE81" i="14"/>
  <c r="BD81" i="14"/>
  <c r="BC81" i="14"/>
  <c r="BB81" i="14"/>
  <c r="BA81" i="14"/>
  <c r="AZ81" i="14"/>
  <c r="AY81" i="14"/>
  <c r="AX81" i="14"/>
  <c r="AW81" i="14"/>
  <c r="AV81" i="14"/>
  <c r="AU81" i="14"/>
  <c r="AT81" i="14"/>
  <c r="AS81" i="14"/>
  <c r="AR81" i="14"/>
  <c r="AQ81" i="14"/>
  <c r="AO81" i="14"/>
  <c r="AN81" i="14"/>
  <c r="AM81" i="14"/>
  <c r="AL81" i="14"/>
  <c r="AK81" i="14"/>
  <c r="AJ81" i="14"/>
  <c r="AI81" i="14"/>
  <c r="AH81" i="14"/>
  <c r="AG81" i="14"/>
  <c r="AF81" i="14"/>
  <c r="AE81" i="14"/>
  <c r="AD81" i="14"/>
  <c r="AC81" i="14"/>
  <c r="AB81" i="14"/>
  <c r="Z81" i="14"/>
  <c r="Y81" i="14"/>
  <c r="X81" i="14"/>
  <c r="W81" i="14"/>
  <c r="V81" i="14"/>
  <c r="U81" i="14"/>
  <c r="T81" i="14"/>
  <c r="R81" i="14"/>
  <c r="Q81" i="14"/>
  <c r="P81" i="14"/>
  <c r="O81" i="14"/>
  <c r="M81" i="14"/>
  <c r="L81" i="14"/>
  <c r="J81" i="14"/>
  <c r="I81" i="14"/>
  <c r="H81" i="14"/>
  <c r="C81" i="14" s="1"/>
  <c r="G81" i="14"/>
  <c r="F81" i="14"/>
  <c r="CZ81" i="14" s="1"/>
  <c r="E81" i="14"/>
  <c r="CM80" i="14"/>
  <c r="CK80" i="14"/>
  <c r="CJ80" i="14"/>
  <c r="CI80" i="14"/>
  <c r="CH80" i="14"/>
  <c r="CG80" i="14"/>
  <c r="CF80" i="14"/>
  <c r="CE80" i="14"/>
  <c r="CD80" i="14"/>
  <c r="CC80" i="14"/>
  <c r="CB80" i="14"/>
  <c r="CA80" i="14"/>
  <c r="BZ80" i="14"/>
  <c r="BY80" i="14"/>
  <c r="BX80" i="14"/>
  <c r="BW80" i="14"/>
  <c r="BV80" i="14"/>
  <c r="BU80" i="14"/>
  <c r="CV80" i="14" s="1"/>
  <c r="BT80" i="14"/>
  <c r="BS80" i="14"/>
  <c r="BR80" i="14"/>
  <c r="BQ80" i="14"/>
  <c r="BP80" i="14"/>
  <c r="BO80" i="14"/>
  <c r="BN80" i="14"/>
  <c r="BM80" i="14"/>
  <c r="BL80" i="14"/>
  <c r="BK80" i="14"/>
  <c r="BJ80" i="14"/>
  <c r="BI80" i="14"/>
  <c r="BH80" i="14"/>
  <c r="BG80" i="14"/>
  <c r="BF80" i="14"/>
  <c r="BE80" i="14"/>
  <c r="BD80" i="14"/>
  <c r="BC80" i="14"/>
  <c r="BB80" i="14"/>
  <c r="BA80" i="14"/>
  <c r="AZ80" i="14"/>
  <c r="AY80" i="14"/>
  <c r="AX80" i="14"/>
  <c r="AW80" i="14"/>
  <c r="AV80" i="14"/>
  <c r="AU80" i="14"/>
  <c r="AT80" i="14"/>
  <c r="AS80" i="14"/>
  <c r="AR80" i="14"/>
  <c r="AQ80" i="14"/>
  <c r="AO80" i="14"/>
  <c r="AN80" i="14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Z80" i="14"/>
  <c r="Y80" i="14"/>
  <c r="X80" i="14"/>
  <c r="W80" i="14"/>
  <c r="V80" i="14"/>
  <c r="U80" i="14"/>
  <c r="T80" i="14"/>
  <c r="R80" i="14"/>
  <c r="Q80" i="14"/>
  <c r="D80" i="14" s="1"/>
  <c r="P80" i="14"/>
  <c r="O80" i="14"/>
  <c r="M80" i="14"/>
  <c r="L80" i="14"/>
  <c r="J80" i="14"/>
  <c r="I80" i="14"/>
  <c r="H80" i="14"/>
  <c r="C80" i="14" s="1"/>
  <c r="G80" i="14"/>
  <c r="F80" i="14"/>
  <c r="CZ80" i="14" s="1"/>
  <c r="CM79" i="14"/>
  <c r="CK79" i="14"/>
  <c r="CJ79" i="14"/>
  <c r="CI79" i="14"/>
  <c r="CH79" i="14"/>
  <c r="CG79" i="14"/>
  <c r="CF79" i="14"/>
  <c r="CE79" i="14"/>
  <c r="CD79" i="14"/>
  <c r="CC79" i="14"/>
  <c r="CB79" i="14"/>
  <c r="CA79" i="14"/>
  <c r="BZ79" i="14"/>
  <c r="BY79" i="14"/>
  <c r="BX79" i="14"/>
  <c r="BW79" i="14"/>
  <c r="BV79" i="14"/>
  <c r="BU79" i="14"/>
  <c r="BT79" i="14"/>
  <c r="BS79" i="14"/>
  <c r="BR79" i="14"/>
  <c r="BQ79" i="14"/>
  <c r="BP79" i="14"/>
  <c r="BO79" i="14"/>
  <c r="BN79" i="14"/>
  <c r="BM79" i="14"/>
  <c r="BL79" i="14"/>
  <c r="BK79" i="14"/>
  <c r="BJ79" i="14"/>
  <c r="BI79" i="14"/>
  <c r="BH79" i="14"/>
  <c r="BG79" i="14"/>
  <c r="BF79" i="14"/>
  <c r="BE79" i="14"/>
  <c r="BD79" i="14"/>
  <c r="BC79" i="14"/>
  <c r="BB79" i="14"/>
  <c r="BA79" i="14"/>
  <c r="AZ79" i="14"/>
  <c r="AY79" i="14"/>
  <c r="AX79" i="14"/>
  <c r="AW79" i="14"/>
  <c r="AV79" i="14"/>
  <c r="AU79" i="14"/>
  <c r="AT79" i="14"/>
  <c r="AS79" i="14"/>
  <c r="AR79" i="14"/>
  <c r="AQ79" i="14"/>
  <c r="AO79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Z79" i="14"/>
  <c r="Y79" i="14"/>
  <c r="X79" i="14"/>
  <c r="W79" i="14"/>
  <c r="V79" i="14"/>
  <c r="U79" i="14"/>
  <c r="T79" i="14"/>
  <c r="R79" i="14"/>
  <c r="Q79" i="14"/>
  <c r="P79" i="14"/>
  <c r="O79" i="14"/>
  <c r="M79" i="14"/>
  <c r="L79" i="14"/>
  <c r="J79" i="14"/>
  <c r="I79" i="14"/>
  <c r="H79" i="14"/>
  <c r="G79" i="14"/>
  <c r="F79" i="14"/>
  <c r="CZ79" i="14" s="1"/>
  <c r="E79" i="14"/>
  <c r="C79" i="14"/>
  <c r="A79" i="14"/>
  <c r="CM78" i="14"/>
  <c r="CK78" i="14"/>
  <c r="CJ78" i="14"/>
  <c r="CI78" i="14"/>
  <c r="CH78" i="14"/>
  <c r="CG78" i="14"/>
  <c r="CF78" i="14"/>
  <c r="CE78" i="14"/>
  <c r="CD78" i="14"/>
  <c r="CC78" i="14"/>
  <c r="CB78" i="14"/>
  <c r="CA78" i="14"/>
  <c r="BZ78" i="14"/>
  <c r="BY78" i="14"/>
  <c r="BX78" i="14"/>
  <c r="BW78" i="14"/>
  <c r="BV78" i="14"/>
  <c r="BU78" i="14"/>
  <c r="CV78" i="14" s="1"/>
  <c r="BT78" i="14"/>
  <c r="BS78" i="14"/>
  <c r="BR78" i="14"/>
  <c r="BQ78" i="14"/>
  <c r="BP78" i="14"/>
  <c r="BO78" i="14"/>
  <c r="BN78" i="14"/>
  <c r="BM78" i="14"/>
  <c r="BL78" i="14"/>
  <c r="BK78" i="14"/>
  <c r="BJ78" i="14"/>
  <c r="BI78" i="14"/>
  <c r="BH78" i="14"/>
  <c r="BG78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Z78" i="14"/>
  <c r="Y78" i="14"/>
  <c r="X78" i="14"/>
  <c r="W78" i="14"/>
  <c r="V78" i="14"/>
  <c r="U78" i="14"/>
  <c r="T78" i="14"/>
  <c r="R78" i="14"/>
  <c r="Q78" i="14"/>
  <c r="D78" i="14" s="1"/>
  <c r="P78" i="14"/>
  <c r="O78" i="14"/>
  <c r="M78" i="14"/>
  <c r="L78" i="14"/>
  <c r="J78" i="14"/>
  <c r="I78" i="14"/>
  <c r="H78" i="14"/>
  <c r="C78" i="14" s="1"/>
  <c r="G78" i="14"/>
  <c r="F78" i="14"/>
  <c r="CZ78" i="14" s="1"/>
  <c r="CM77" i="14"/>
  <c r="CK77" i="14"/>
  <c r="CJ77" i="14"/>
  <c r="CI77" i="14"/>
  <c r="CH77" i="14"/>
  <c r="CG77" i="14"/>
  <c r="CF77" i="14"/>
  <c r="CE77" i="14"/>
  <c r="CD77" i="14"/>
  <c r="CC77" i="14"/>
  <c r="CB77" i="14"/>
  <c r="CA77" i="14"/>
  <c r="BZ77" i="14"/>
  <c r="BY77" i="14"/>
  <c r="BX77" i="14"/>
  <c r="BW77" i="14"/>
  <c r="BV77" i="14"/>
  <c r="BU77" i="14"/>
  <c r="CV77" i="14" s="1"/>
  <c r="BT77" i="14"/>
  <c r="BS77" i="14"/>
  <c r="BR77" i="14"/>
  <c r="BQ77" i="14"/>
  <c r="BP77" i="14"/>
  <c r="BO77" i="14"/>
  <c r="BN77" i="14"/>
  <c r="BM77" i="14"/>
  <c r="BL77" i="14"/>
  <c r="BK77" i="14"/>
  <c r="BJ77" i="14"/>
  <c r="BI77" i="14"/>
  <c r="BH77" i="14"/>
  <c r="BG77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Z77" i="14"/>
  <c r="Y77" i="14"/>
  <c r="X77" i="14"/>
  <c r="W77" i="14"/>
  <c r="V77" i="14"/>
  <c r="U77" i="14"/>
  <c r="T77" i="14"/>
  <c r="R77" i="14"/>
  <c r="Q77" i="14"/>
  <c r="P77" i="14"/>
  <c r="O77" i="14"/>
  <c r="M77" i="14"/>
  <c r="L77" i="14"/>
  <c r="J77" i="14"/>
  <c r="I77" i="14"/>
  <c r="H77" i="14"/>
  <c r="G77" i="14"/>
  <c r="F77" i="14"/>
  <c r="CZ77" i="14" s="1"/>
  <c r="E77" i="14"/>
  <c r="D77" i="14"/>
  <c r="C77" i="14"/>
  <c r="A77" i="14"/>
  <c r="CM76" i="14"/>
  <c r="CK76" i="14"/>
  <c r="CJ76" i="14"/>
  <c r="CI76" i="14"/>
  <c r="CH76" i="14"/>
  <c r="CG76" i="14"/>
  <c r="CF76" i="14"/>
  <c r="CE76" i="14"/>
  <c r="CD76" i="14"/>
  <c r="CC76" i="14"/>
  <c r="CB76" i="14"/>
  <c r="CA76" i="14"/>
  <c r="BZ76" i="14"/>
  <c r="BY76" i="14"/>
  <c r="BX76" i="14"/>
  <c r="BW76" i="14"/>
  <c r="BV76" i="14"/>
  <c r="BU76" i="14"/>
  <c r="CV76" i="14" s="1"/>
  <c r="BT76" i="14"/>
  <c r="BS76" i="14"/>
  <c r="BR76" i="14"/>
  <c r="BQ76" i="14"/>
  <c r="BP76" i="14"/>
  <c r="BO76" i="14"/>
  <c r="BN76" i="14"/>
  <c r="BM76" i="14"/>
  <c r="BL76" i="14"/>
  <c r="BK76" i="14"/>
  <c r="BJ76" i="14"/>
  <c r="BI76" i="14"/>
  <c r="BH76" i="14"/>
  <c r="BG76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Z76" i="14"/>
  <c r="Y76" i="14"/>
  <c r="X76" i="14"/>
  <c r="W76" i="14"/>
  <c r="V76" i="14"/>
  <c r="U76" i="14"/>
  <c r="T76" i="14"/>
  <c r="R76" i="14"/>
  <c r="Q76" i="14"/>
  <c r="P76" i="14"/>
  <c r="O76" i="14"/>
  <c r="M76" i="14"/>
  <c r="L76" i="14"/>
  <c r="J76" i="14"/>
  <c r="I76" i="14"/>
  <c r="H76" i="14"/>
  <c r="C76" i="14" s="1"/>
  <c r="G76" i="14"/>
  <c r="F76" i="14"/>
  <c r="CZ76" i="14" s="1"/>
  <c r="CM75" i="14"/>
  <c r="CK75" i="14"/>
  <c r="CJ75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V75" i="14"/>
  <c r="BU75" i="14"/>
  <c r="CV75" i="14" s="1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H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CY75" i="14" s="1"/>
  <c r="AB75" i="14"/>
  <c r="Z75" i="14"/>
  <c r="Y75" i="14"/>
  <c r="X75" i="14"/>
  <c r="W75" i="14"/>
  <c r="V75" i="14"/>
  <c r="U75" i="14"/>
  <c r="T75" i="14"/>
  <c r="R75" i="14"/>
  <c r="Q75" i="14"/>
  <c r="P75" i="14"/>
  <c r="O75" i="14"/>
  <c r="M75" i="14"/>
  <c r="L75" i="14"/>
  <c r="J75" i="14"/>
  <c r="I75" i="14"/>
  <c r="H75" i="14"/>
  <c r="G75" i="14"/>
  <c r="F75" i="14"/>
  <c r="CZ75" i="14" s="1"/>
  <c r="E75" i="14"/>
  <c r="D75" i="14"/>
  <c r="C75" i="14"/>
  <c r="CM74" i="14"/>
  <c r="CK74" i="14"/>
  <c r="CJ74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V74" i="14"/>
  <c r="BU74" i="14"/>
  <c r="CV74" i="14" s="1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H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Z74" i="14"/>
  <c r="Y74" i="14"/>
  <c r="X74" i="14"/>
  <c r="W74" i="14"/>
  <c r="V74" i="14"/>
  <c r="U74" i="14"/>
  <c r="T74" i="14"/>
  <c r="R74" i="14"/>
  <c r="Q74" i="14"/>
  <c r="P74" i="14"/>
  <c r="O74" i="14"/>
  <c r="M74" i="14"/>
  <c r="L74" i="14"/>
  <c r="J74" i="14"/>
  <c r="I74" i="14"/>
  <c r="H74" i="14"/>
  <c r="C74" i="14" s="1"/>
  <c r="G74" i="14"/>
  <c r="F74" i="14"/>
  <c r="CZ74" i="14" s="1"/>
  <c r="E74" i="14"/>
  <c r="CM73" i="14"/>
  <c r="CK73" i="14"/>
  <c r="CJ73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V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H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Z73" i="14"/>
  <c r="Y73" i="14"/>
  <c r="X73" i="14"/>
  <c r="W73" i="14"/>
  <c r="V73" i="14"/>
  <c r="U73" i="14"/>
  <c r="T73" i="14"/>
  <c r="R73" i="14"/>
  <c r="Q73" i="14"/>
  <c r="P73" i="14"/>
  <c r="O73" i="14"/>
  <c r="M73" i="14"/>
  <c r="L73" i="14"/>
  <c r="J73" i="14"/>
  <c r="I73" i="14"/>
  <c r="H73" i="14"/>
  <c r="G73" i="14"/>
  <c r="F73" i="14"/>
  <c r="CZ73" i="14" s="1"/>
  <c r="CM72" i="14"/>
  <c r="CK72" i="14"/>
  <c r="CJ72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V72" i="14"/>
  <c r="BU72" i="14"/>
  <c r="CV72" i="14" s="1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H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Z72" i="14"/>
  <c r="Y72" i="14"/>
  <c r="X72" i="14"/>
  <c r="W72" i="14"/>
  <c r="V72" i="14"/>
  <c r="U72" i="14"/>
  <c r="T72" i="14"/>
  <c r="R72" i="14"/>
  <c r="Q72" i="14"/>
  <c r="P72" i="14"/>
  <c r="O72" i="14"/>
  <c r="M72" i="14"/>
  <c r="L72" i="14"/>
  <c r="J72" i="14"/>
  <c r="I72" i="14"/>
  <c r="H72" i="14"/>
  <c r="C72" i="14" s="1"/>
  <c r="G72" i="14"/>
  <c r="F72" i="14"/>
  <c r="CZ72" i="14" s="1"/>
  <c r="E72" i="14"/>
  <c r="CM71" i="14"/>
  <c r="CK71" i="14"/>
  <c r="CJ71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V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H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CY71" i="14" s="1"/>
  <c r="AB71" i="14"/>
  <c r="Z71" i="14"/>
  <c r="Y71" i="14"/>
  <c r="X71" i="14"/>
  <c r="W71" i="14"/>
  <c r="V71" i="14"/>
  <c r="U71" i="14"/>
  <c r="T71" i="14"/>
  <c r="R71" i="14"/>
  <c r="Q71" i="14"/>
  <c r="P71" i="14"/>
  <c r="O71" i="14"/>
  <c r="M71" i="14"/>
  <c r="L71" i="14"/>
  <c r="J71" i="14"/>
  <c r="I71" i="14"/>
  <c r="H71" i="14"/>
  <c r="G71" i="14"/>
  <c r="F71" i="14"/>
  <c r="CZ71" i="14" s="1"/>
  <c r="A71" i="14"/>
  <c r="CM70" i="14"/>
  <c r="CK70" i="14"/>
  <c r="CJ70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V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H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Z70" i="14"/>
  <c r="Y70" i="14"/>
  <c r="X70" i="14"/>
  <c r="W70" i="14"/>
  <c r="V70" i="14"/>
  <c r="U70" i="14"/>
  <c r="T70" i="14"/>
  <c r="R70" i="14"/>
  <c r="Q70" i="14"/>
  <c r="P70" i="14"/>
  <c r="O70" i="14"/>
  <c r="M70" i="14"/>
  <c r="L70" i="14"/>
  <c r="J70" i="14"/>
  <c r="I70" i="14"/>
  <c r="H70" i="14"/>
  <c r="G70" i="14"/>
  <c r="F70" i="14"/>
  <c r="CZ70" i="14" s="1"/>
  <c r="E70" i="14"/>
  <c r="C70" i="14"/>
  <c r="CM69" i="14"/>
  <c r="CK69" i="14"/>
  <c r="CJ69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V69" i="14"/>
  <c r="BU69" i="14"/>
  <c r="CV69" i="14" s="1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H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Z69" i="14"/>
  <c r="Y69" i="14"/>
  <c r="X69" i="14"/>
  <c r="W69" i="14"/>
  <c r="V69" i="14"/>
  <c r="U69" i="14"/>
  <c r="T69" i="14"/>
  <c r="R69" i="14"/>
  <c r="Q69" i="14"/>
  <c r="D69" i="14" s="1"/>
  <c r="P69" i="14"/>
  <c r="O69" i="14"/>
  <c r="M69" i="14"/>
  <c r="L69" i="14"/>
  <c r="J69" i="14"/>
  <c r="I69" i="14"/>
  <c r="H69" i="14"/>
  <c r="C69" i="14" s="1"/>
  <c r="G69" i="14"/>
  <c r="F69" i="14"/>
  <c r="CZ69" i="14" s="1"/>
  <c r="CM68" i="14"/>
  <c r="CK68" i="14"/>
  <c r="CJ68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V68" i="14"/>
  <c r="BU68" i="14"/>
  <c r="CV68" i="14" s="1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H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R68" i="14"/>
  <c r="AQ68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Z68" i="14"/>
  <c r="Y68" i="14"/>
  <c r="X68" i="14"/>
  <c r="W68" i="14"/>
  <c r="V68" i="14"/>
  <c r="U68" i="14"/>
  <c r="T68" i="14"/>
  <c r="R68" i="14"/>
  <c r="Q68" i="14"/>
  <c r="P68" i="14"/>
  <c r="O68" i="14"/>
  <c r="M68" i="14"/>
  <c r="L68" i="14"/>
  <c r="J68" i="14"/>
  <c r="I68" i="14"/>
  <c r="H68" i="14"/>
  <c r="G68" i="14"/>
  <c r="F68" i="14"/>
  <c r="CZ68" i="14" s="1"/>
  <c r="D68" i="14"/>
  <c r="C68" i="14"/>
  <c r="A68" i="14"/>
  <c r="CM67" i="14"/>
  <c r="CK67" i="14"/>
  <c r="CJ67" i="14"/>
  <c r="CI67" i="14"/>
  <c r="CH67" i="14"/>
  <c r="CG67" i="14"/>
  <c r="CF67" i="14"/>
  <c r="CE67" i="14"/>
  <c r="CD67" i="14"/>
  <c r="CC67" i="14"/>
  <c r="CB67" i="14"/>
  <c r="CA67" i="14"/>
  <c r="BZ67" i="14"/>
  <c r="BY67" i="14"/>
  <c r="BX67" i="14"/>
  <c r="BW67" i="14"/>
  <c r="BV67" i="14"/>
  <c r="BU67" i="14"/>
  <c r="CV67" i="14" s="1"/>
  <c r="BT67" i="14"/>
  <c r="BS67" i="14"/>
  <c r="BR67" i="14"/>
  <c r="BQ67" i="14"/>
  <c r="BP67" i="14"/>
  <c r="BO67" i="14"/>
  <c r="BN67" i="14"/>
  <c r="BM67" i="14"/>
  <c r="BL67" i="14"/>
  <c r="BK67" i="14"/>
  <c r="BJ67" i="14"/>
  <c r="BI67" i="14"/>
  <c r="BH67" i="14"/>
  <c r="BG67" i="14"/>
  <c r="BF67" i="14"/>
  <c r="BE67" i="14"/>
  <c r="BD67" i="14"/>
  <c r="BC67" i="14"/>
  <c r="BB67" i="14"/>
  <c r="BA67" i="14"/>
  <c r="AZ67" i="14"/>
  <c r="AY67" i="14"/>
  <c r="AX67" i="14"/>
  <c r="AW67" i="14"/>
  <c r="AV67" i="14"/>
  <c r="AU67" i="14"/>
  <c r="AT67" i="14"/>
  <c r="AS67" i="14"/>
  <c r="AR67" i="14"/>
  <c r="AQ67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P67" i="14" s="1"/>
  <c r="AC67" i="14"/>
  <c r="AB67" i="14"/>
  <c r="Z67" i="14"/>
  <c r="Y67" i="14"/>
  <c r="X67" i="14"/>
  <c r="W67" i="14"/>
  <c r="V67" i="14"/>
  <c r="U67" i="14"/>
  <c r="T67" i="14"/>
  <c r="R67" i="14"/>
  <c r="Q67" i="14"/>
  <c r="P67" i="14"/>
  <c r="O67" i="14"/>
  <c r="M67" i="14"/>
  <c r="L67" i="14"/>
  <c r="J67" i="14"/>
  <c r="I67" i="14"/>
  <c r="H67" i="14"/>
  <c r="G67" i="14"/>
  <c r="F67" i="14"/>
  <c r="CZ67" i="14" s="1"/>
  <c r="CM66" i="14"/>
  <c r="CK66" i="14"/>
  <c r="CJ66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V66" i="14"/>
  <c r="BU66" i="14"/>
  <c r="CV66" i="14" s="1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H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AT66" i="14"/>
  <c r="AS66" i="14"/>
  <c r="AR66" i="14"/>
  <c r="AQ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Z66" i="14"/>
  <c r="Y66" i="14"/>
  <c r="X66" i="14"/>
  <c r="W66" i="14"/>
  <c r="V66" i="14"/>
  <c r="U66" i="14"/>
  <c r="T66" i="14"/>
  <c r="R66" i="14"/>
  <c r="Q66" i="14"/>
  <c r="P66" i="14"/>
  <c r="O66" i="14"/>
  <c r="M66" i="14"/>
  <c r="L66" i="14"/>
  <c r="J66" i="14"/>
  <c r="I66" i="14"/>
  <c r="H66" i="14"/>
  <c r="G66" i="14"/>
  <c r="F66" i="14"/>
  <c r="CZ66" i="14" s="1"/>
  <c r="D66" i="14"/>
  <c r="C66" i="14"/>
  <c r="A66" i="14"/>
  <c r="CM65" i="14"/>
  <c r="CK65" i="14"/>
  <c r="CJ65" i="14"/>
  <c r="CI65" i="14"/>
  <c r="CH65" i="14"/>
  <c r="CG65" i="14"/>
  <c r="CF65" i="14"/>
  <c r="CE65" i="14"/>
  <c r="CD65" i="14"/>
  <c r="CC65" i="14"/>
  <c r="CB65" i="14"/>
  <c r="CA65" i="14"/>
  <c r="BZ65" i="14"/>
  <c r="BY65" i="14"/>
  <c r="BX65" i="14"/>
  <c r="BW65" i="14"/>
  <c r="BV65" i="14"/>
  <c r="BU65" i="14"/>
  <c r="BT65" i="14"/>
  <c r="BS65" i="14"/>
  <c r="BR65" i="14"/>
  <c r="BQ65" i="14"/>
  <c r="BP65" i="14"/>
  <c r="BO65" i="14"/>
  <c r="BN65" i="14"/>
  <c r="BM65" i="14"/>
  <c r="BL65" i="14"/>
  <c r="BK65" i="14"/>
  <c r="BJ65" i="14"/>
  <c r="BI65" i="14"/>
  <c r="BH65" i="14"/>
  <c r="BG65" i="14"/>
  <c r="BF65" i="14"/>
  <c r="BE65" i="14"/>
  <c r="BD65" i="14"/>
  <c r="BC65" i="14"/>
  <c r="BB65" i="14"/>
  <c r="BA65" i="14"/>
  <c r="AZ65" i="14"/>
  <c r="AY65" i="14"/>
  <c r="AX65" i="14"/>
  <c r="AW65" i="14"/>
  <c r="AV65" i="14"/>
  <c r="AU65" i="14"/>
  <c r="AT65" i="14"/>
  <c r="AS65" i="14"/>
  <c r="AR65" i="14"/>
  <c r="AQ65" i="14"/>
  <c r="AO65" i="14"/>
  <c r="AN65" i="14"/>
  <c r="AM65" i="14"/>
  <c r="AL65" i="14"/>
  <c r="AK65" i="14"/>
  <c r="AJ65" i="14"/>
  <c r="AI65" i="14"/>
  <c r="AH65" i="14"/>
  <c r="AG65" i="14"/>
  <c r="AF65" i="14"/>
  <c r="AE65" i="14"/>
  <c r="AD65" i="14"/>
  <c r="AC65" i="14"/>
  <c r="AB65" i="14"/>
  <c r="Z65" i="14"/>
  <c r="Y65" i="14"/>
  <c r="X65" i="14"/>
  <c r="W65" i="14"/>
  <c r="V65" i="14"/>
  <c r="U65" i="14"/>
  <c r="T65" i="14"/>
  <c r="R65" i="14"/>
  <c r="Q65" i="14"/>
  <c r="P65" i="14"/>
  <c r="O65" i="14"/>
  <c r="M65" i="14"/>
  <c r="L65" i="14"/>
  <c r="J65" i="14"/>
  <c r="I65" i="14"/>
  <c r="H65" i="14"/>
  <c r="G65" i="14"/>
  <c r="F65" i="14"/>
  <c r="CZ65" i="14" s="1"/>
  <c r="CM64" i="14"/>
  <c r="CK64" i="14"/>
  <c r="CJ64" i="14"/>
  <c r="CI64" i="14"/>
  <c r="CH64" i="14"/>
  <c r="CG64" i="14"/>
  <c r="CF64" i="14"/>
  <c r="CE64" i="14"/>
  <c r="CD64" i="14"/>
  <c r="CC64" i="14"/>
  <c r="CB64" i="14"/>
  <c r="CA64" i="14"/>
  <c r="BZ64" i="14"/>
  <c r="BY64" i="14"/>
  <c r="BX64" i="14"/>
  <c r="BW64" i="14"/>
  <c r="BV64" i="14"/>
  <c r="BU64" i="14"/>
  <c r="CV64" i="14" s="1"/>
  <c r="BT64" i="14"/>
  <c r="BS64" i="14"/>
  <c r="BR64" i="14"/>
  <c r="BQ64" i="14"/>
  <c r="BP64" i="14"/>
  <c r="BO64" i="14"/>
  <c r="BN64" i="14"/>
  <c r="BM64" i="14"/>
  <c r="BL64" i="14"/>
  <c r="BK64" i="14"/>
  <c r="BJ64" i="14"/>
  <c r="BI64" i="14"/>
  <c r="BH64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Z64" i="14"/>
  <c r="Y64" i="14"/>
  <c r="X64" i="14"/>
  <c r="W64" i="14"/>
  <c r="V64" i="14"/>
  <c r="U64" i="14"/>
  <c r="T64" i="14"/>
  <c r="R64" i="14"/>
  <c r="Q64" i="14"/>
  <c r="P64" i="14"/>
  <c r="O64" i="14"/>
  <c r="M64" i="14"/>
  <c r="L64" i="14"/>
  <c r="J64" i="14"/>
  <c r="I64" i="14"/>
  <c r="H64" i="14"/>
  <c r="C64" i="14" s="1"/>
  <c r="G64" i="14"/>
  <c r="F64" i="14"/>
  <c r="CZ64" i="14" s="1"/>
  <c r="D64" i="14"/>
  <c r="CM63" i="14"/>
  <c r="CK63" i="14"/>
  <c r="CJ63" i="14"/>
  <c r="CI63" i="14"/>
  <c r="CH63" i="14"/>
  <c r="CG63" i="14"/>
  <c r="CF63" i="14"/>
  <c r="CE63" i="14"/>
  <c r="CD63" i="14"/>
  <c r="CC63" i="14"/>
  <c r="CB63" i="14"/>
  <c r="CA63" i="14"/>
  <c r="BZ63" i="14"/>
  <c r="BY63" i="14"/>
  <c r="BX63" i="14"/>
  <c r="BW63" i="14"/>
  <c r="BV63" i="14"/>
  <c r="BU63" i="14"/>
  <c r="BT63" i="14"/>
  <c r="BS63" i="14"/>
  <c r="BR63" i="14"/>
  <c r="BQ63" i="14"/>
  <c r="BP63" i="14"/>
  <c r="BO63" i="14"/>
  <c r="BN63" i="14"/>
  <c r="BM63" i="14"/>
  <c r="BL63" i="14"/>
  <c r="BK63" i="14"/>
  <c r="BJ63" i="14"/>
  <c r="BI63" i="14"/>
  <c r="BH63" i="14"/>
  <c r="BG63" i="14"/>
  <c r="BF63" i="14"/>
  <c r="BE63" i="14"/>
  <c r="BD63" i="14"/>
  <c r="BC63" i="14"/>
  <c r="BB63" i="14"/>
  <c r="BA63" i="14"/>
  <c r="AZ63" i="14"/>
  <c r="AY63" i="14"/>
  <c r="AX63" i="14"/>
  <c r="AW63" i="14"/>
  <c r="AV63" i="14"/>
  <c r="AU63" i="14"/>
  <c r="AT63" i="14"/>
  <c r="AS63" i="14"/>
  <c r="AR63" i="14"/>
  <c r="AQ63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Z63" i="14"/>
  <c r="Y63" i="14"/>
  <c r="X63" i="14"/>
  <c r="W63" i="14"/>
  <c r="V63" i="14"/>
  <c r="U63" i="14"/>
  <c r="T63" i="14"/>
  <c r="R63" i="14"/>
  <c r="Q63" i="14"/>
  <c r="P63" i="14"/>
  <c r="O63" i="14"/>
  <c r="M63" i="14"/>
  <c r="L63" i="14"/>
  <c r="J63" i="14"/>
  <c r="I63" i="14"/>
  <c r="H63" i="14"/>
  <c r="G63" i="14"/>
  <c r="F63" i="14"/>
  <c r="CZ63" i="14" s="1"/>
  <c r="E63" i="14"/>
  <c r="A63" i="14"/>
  <c r="CM62" i="14"/>
  <c r="CK62" i="14"/>
  <c r="CJ62" i="14"/>
  <c r="CI62" i="14"/>
  <c r="CH62" i="14"/>
  <c r="CG62" i="14"/>
  <c r="CF62" i="14"/>
  <c r="CE62" i="14"/>
  <c r="CD62" i="14"/>
  <c r="CC62" i="14"/>
  <c r="CB62" i="14"/>
  <c r="CA62" i="14"/>
  <c r="BZ62" i="14"/>
  <c r="BY62" i="14"/>
  <c r="BX62" i="14"/>
  <c r="BW62" i="14"/>
  <c r="BV62" i="14"/>
  <c r="BU62" i="14"/>
  <c r="CV62" i="14" s="1"/>
  <c r="BT62" i="14"/>
  <c r="BS62" i="14"/>
  <c r="BR62" i="14"/>
  <c r="BQ62" i="14"/>
  <c r="BP62" i="14"/>
  <c r="BO62" i="14"/>
  <c r="BN62" i="14"/>
  <c r="BM62" i="14"/>
  <c r="BL62" i="14"/>
  <c r="BK62" i="14"/>
  <c r="BJ62" i="14"/>
  <c r="BI62" i="14"/>
  <c r="BH62" i="14"/>
  <c r="BG62" i="14"/>
  <c r="BF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Z62" i="14"/>
  <c r="Y62" i="14"/>
  <c r="X62" i="14"/>
  <c r="W62" i="14"/>
  <c r="V62" i="14"/>
  <c r="U62" i="14"/>
  <c r="T62" i="14"/>
  <c r="R62" i="14"/>
  <c r="Q62" i="14"/>
  <c r="P62" i="14"/>
  <c r="O62" i="14"/>
  <c r="M62" i="14"/>
  <c r="L62" i="14"/>
  <c r="J62" i="14"/>
  <c r="I62" i="14"/>
  <c r="H62" i="14"/>
  <c r="C62" i="14" s="1"/>
  <c r="G62" i="14"/>
  <c r="F62" i="14"/>
  <c r="CZ62" i="14" s="1"/>
  <c r="E62" i="14"/>
  <c r="D62" i="14"/>
  <c r="CM61" i="14"/>
  <c r="CK61" i="14"/>
  <c r="CJ61" i="14"/>
  <c r="CI61" i="14"/>
  <c r="CH61" i="14"/>
  <c r="CG61" i="14"/>
  <c r="CF61" i="14"/>
  <c r="CE61" i="14"/>
  <c r="CD61" i="14"/>
  <c r="CC61" i="14"/>
  <c r="CB61" i="14"/>
  <c r="CA61" i="14"/>
  <c r="BZ61" i="14"/>
  <c r="BY61" i="14"/>
  <c r="BX61" i="14"/>
  <c r="BW61" i="14"/>
  <c r="BV61" i="14"/>
  <c r="BU61" i="14"/>
  <c r="CV61" i="14" s="1"/>
  <c r="BT61" i="14"/>
  <c r="BS61" i="14"/>
  <c r="BR61" i="14"/>
  <c r="BQ61" i="14"/>
  <c r="BP61" i="14"/>
  <c r="BO61" i="14"/>
  <c r="BN61" i="14"/>
  <c r="BM61" i="14"/>
  <c r="BL61" i="14"/>
  <c r="BK61" i="14"/>
  <c r="BJ61" i="14"/>
  <c r="BI61" i="14"/>
  <c r="BH61" i="14"/>
  <c r="BG61" i="14"/>
  <c r="BF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Z61" i="14"/>
  <c r="Y61" i="14"/>
  <c r="X61" i="14"/>
  <c r="W61" i="14"/>
  <c r="V61" i="14"/>
  <c r="U61" i="14"/>
  <c r="T61" i="14"/>
  <c r="R61" i="14"/>
  <c r="Q61" i="14"/>
  <c r="P61" i="14"/>
  <c r="O61" i="14"/>
  <c r="M61" i="14"/>
  <c r="L61" i="14"/>
  <c r="J61" i="14"/>
  <c r="I61" i="14"/>
  <c r="H61" i="14"/>
  <c r="G61" i="14"/>
  <c r="F61" i="14"/>
  <c r="CZ61" i="14" s="1"/>
  <c r="E61" i="14"/>
  <c r="D61" i="14"/>
  <c r="C61" i="14"/>
  <c r="A61" i="14"/>
  <c r="CM60" i="14"/>
  <c r="CK60" i="14"/>
  <c r="CJ60" i="14"/>
  <c r="CI60" i="14"/>
  <c r="CH60" i="14"/>
  <c r="CG60" i="14"/>
  <c r="CF60" i="14"/>
  <c r="CE60" i="14"/>
  <c r="CD60" i="14"/>
  <c r="CC60" i="14"/>
  <c r="CB60" i="14"/>
  <c r="CA60" i="14"/>
  <c r="BZ60" i="14"/>
  <c r="BY60" i="14"/>
  <c r="BX60" i="14"/>
  <c r="BW60" i="14"/>
  <c r="BV60" i="14"/>
  <c r="BU60" i="14"/>
  <c r="CV60" i="14" s="1"/>
  <c r="BT60" i="14"/>
  <c r="BS60" i="14"/>
  <c r="BR60" i="14"/>
  <c r="BQ60" i="14"/>
  <c r="BP60" i="14"/>
  <c r="BO60" i="14"/>
  <c r="BN60" i="14"/>
  <c r="BM60" i="14"/>
  <c r="BL60" i="14"/>
  <c r="BK60" i="14"/>
  <c r="BJ60" i="14"/>
  <c r="BI60" i="14"/>
  <c r="BH60" i="14"/>
  <c r="BG60" i="14"/>
  <c r="BF60" i="14"/>
  <c r="BE60" i="14"/>
  <c r="BD60" i="14"/>
  <c r="BC60" i="14"/>
  <c r="BB60" i="14"/>
  <c r="BA60" i="14"/>
  <c r="AZ60" i="14"/>
  <c r="AY60" i="14"/>
  <c r="AX60" i="14"/>
  <c r="AW60" i="14"/>
  <c r="AV60" i="14"/>
  <c r="AU60" i="14"/>
  <c r="AT60" i="14"/>
  <c r="AS60" i="14"/>
  <c r="AR60" i="14"/>
  <c r="AQ60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Z60" i="14"/>
  <c r="Y60" i="14"/>
  <c r="X60" i="14"/>
  <c r="W60" i="14"/>
  <c r="V60" i="14"/>
  <c r="U60" i="14"/>
  <c r="T60" i="14"/>
  <c r="R60" i="14"/>
  <c r="Q60" i="14"/>
  <c r="P60" i="14"/>
  <c r="O60" i="14"/>
  <c r="M60" i="14"/>
  <c r="L60" i="14"/>
  <c r="J60" i="14"/>
  <c r="I60" i="14"/>
  <c r="H60" i="14"/>
  <c r="C60" i="14" s="1"/>
  <c r="G60" i="14"/>
  <c r="F60" i="14"/>
  <c r="CZ60" i="14" s="1"/>
  <c r="E60" i="14"/>
  <c r="D60" i="14"/>
  <c r="CM59" i="14"/>
  <c r="CK59" i="14"/>
  <c r="CJ59" i="14"/>
  <c r="CI59" i="14"/>
  <c r="CH59" i="14"/>
  <c r="CG59" i="14"/>
  <c r="CF59" i="14"/>
  <c r="CE59" i="14"/>
  <c r="CD59" i="14"/>
  <c r="CC59" i="14"/>
  <c r="CB59" i="14"/>
  <c r="CA59" i="14"/>
  <c r="BZ59" i="14"/>
  <c r="BY59" i="14"/>
  <c r="BX59" i="14"/>
  <c r="BW59" i="14"/>
  <c r="BV59" i="14"/>
  <c r="BU59" i="14"/>
  <c r="BT59" i="14"/>
  <c r="BS59" i="14"/>
  <c r="BR59" i="14"/>
  <c r="BQ59" i="14"/>
  <c r="BP59" i="14"/>
  <c r="BO59" i="14"/>
  <c r="BN59" i="14"/>
  <c r="BM59" i="14"/>
  <c r="BL59" i="14"/>
  <c r="BK59" i="14"/>
  <c r="BJ59" i="14"/>
  <c r="BI59" i="14"/>
  <c r="BH59" i="14"/>
  <c r="BG59" i="14"/>
  <c r="BF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CY59" i="14" s="1"/>
  <c r="AB59" i="14"/>
  <c r="Z59" i="14"/>
  <c r="Y59" i="14"/>
  <c r="X59" i="14"/>
  <c r="W59" i="14"/>
  <c r="V59" i="14"/>
  <c r="U59" i="14"/>
  <c r="T59" i="14"/>
  <c r="R59" i="14"/>
  <c r="Q59" i="14"/>
  <c r="P59" i="14"/>
  <c r="O59" i="14"/>
  <c r="M59" i="14"/>
  <c r="L59" i="14"/>
  <c r="J59" i="14"/>
  <c r="I59" i="14"/>
  <c r="H59" i="14"/>
  <c r="G59" i="14"/>
  <c r="F59" i="14"/>
  <c r="CZ59" i="14" s="1"/>
  <c r="CM58" i="14"/>
  <c r="CK58" i="14"/>
  <c r="CJ58" i="14"/>
  <c r="CI58" i="14"/>
  <c r="CH58" i="14"/>
  <c r="CG58" i="14"/>
  <c r="CF58" i="14"/>
  <c r="CE58" i="14"/>
  <c r="CD58" i="14"/>
  <c r="CC58" i="14"/>
  <c r="CB58" i="14"/>
  <c r="CA58" i="14"/>
  <c r="BZ58" i="14"/>
  <c r="BY58" i="14"/>
  <c r="BX58" i="14"/>
  <c r="BW58" i="14"/>
  <c r="BV58" i="14"/>
  <c r="BU58" i="14"/>
  <c r="BT58" i="14"/>
  <c r="BS58" i="14"/>
  <c r="BR58" i="14"/>
  <c r="BQ58" i="14"/>
  <c r="BP58" i="14"/>
  <c r="BO58" i="14"/>
  <c r="BN58" i="14"/>
  <c r="BM58" i="14"/>
  <c r="BL58" i="14"/>
  <c r="BK58" i="14"/>
  <c r="BJ58" i="14"/>
  <c r="BI58" i="14"/>
  <c r="BH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Z58" i="14"/>
  <c r="Y58" i="14"/>
  <c r="X58" i="14"/>
  <c r="W58" i="14"/>
  <c r="V58" i="14"/>
  <c r="U58" i="14"/>
  <c r="T58" i="14"/>
  <c r="R58" i="14"/>
  <c r="Q58" i="14"/>
  <c r="P58" i="14"/>
  <c r="O58" i="14"/>
  <c r="M58" i="14"/>
  <c r="L58" i="14"/>
  <c r="J58" i="14"/>
  <c r="I58" i="14"/>
  <c r="H58" i="14"/>
  <c r="C58" i="14" s="1"/>
  <c r="G58" i="14"/>
  <c r="F58" i="14"/>
  <c r="CZ58" i="14" s="1"/>
  <c r="E58" i="14"/>
  <c r="A58" i="14"/>
  <c r="CM57" i="14"/>
  <c r="CK57" i="14"/>
  <c r="CJ57" i="14"/>
  <c r="CI57" i="14"/>
  <c r="CH57" i="14"/>
  <c r="CG57" i="14"/>
  <c r="CF57" i="14"/>
  <c r="CE57" i="14"/>
  <c r="CD57" i="14"/>
  <c r="CC57" i="14"/>
  <c r="CB57" i="14"/>
  <c r="CA57" i="14"/>
  <c r="BZ57" i="14"/>
  <c r="BY57" i="14"/>
  <c r="BX57" i="14"/>
  <c r="BW57" i="14"/>
  <c r="BV57" i="14"/>
  <c r="BU57" i="14"/>
  <c r="BT57" i="14"/>
  <c r="BS57" i="14"/>
  <c r="BR57" i="14"/>
  <c r="BQ57" i="14"/>
  <c r="BP57" i="14"/>
  <c r="BO57" i="14"/>
  <c r="BN57" i="14"/>
  <c r="BM57" i="14"/>
  <c r="BL57" i="14"/>
  <c r="BK57" i="14"/>
  <c r="BJ57" i="14"/>
  <c r="BI57" i="14"/>
  <c r="BH57" i="14"/>
  <c r="BG57" i="14"/>
  <c r="BF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CY57" i="14" s="1"/>
  <c r="AB57" i="14"/>
  <c r="Z57" i="14"/>
  <c r="Y57" i="14"/>
  <c r="X57" i="14"/>
  <c r="W57" i="14"/>
  <c r="V57" i="14"/>
  <c r="U57" i="14"/>
  <c r="T57" i="14"/>
  <c r="R57" i="14"/>
  <c r="Q57" i="14"/>
  <c r="P57" i="14"/>
  <c r="O57" i="14"/>
  <c r="M57" i="14"/>
  <c r="L57" i="14"/>
  <c r="J57" i="14"/>
  <c r="I57" i="14"/>
  <c r="H57" i="14"/>
  <c r="G57" i="14"/>
  <c r="F57" i="14"/>
  <c r="CZ57" i="14" s="1"/>
  <c r="E57" i="14"/>
  <c r="C57" i="14"/>
  <c r="A57" i="14"/>
  <c r="CM56" i="14"/>
  <c r="CK56" i="14"/>
  <c r="CJ56" i="14"/>
  <c r="CI56" i="14"/>
  <c r="CH56" i="14"/>
  <c r="CG56" i="14"/>
  <c r="CF56" i="14"/>
  <c r="CE56" i="14"/>
  <c r="CD56" i="14"/>
  <c r="CC56" i="14"/>
  <c r="CB56" i="14"/>
  <c r="CA56" i="14"/>
  <c r="BZ56" i="14"/>
  <c r="BY56" i="14"/>
  <c r="BX56" i="14"/>
  <c r="BW56" i="14"/>
  <c r="BV56" i="14"/>
  <c r="BU56" i="14"/>
  <c r="BT56" i="14"/>
  <c r="BS56" i="14"/>
  <c r="BR56" i="14"/>
  <c r="BQ56" i="14"/>
  <c r="BP56" i="14"/>
  <c r="BO56" i="14"/>
  <c r="BN56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CY56" i="14" s="1"/>
  <c r="AB56" i="14"/>
  <c r="Z56" i="14"/>
  <c r="Y56" i="14"/>
  <c r="X56" i="14"/>
  <c r="W56" i="14"/>
  <c r="V56" i="14"/>
  <c r="U56" i="14"/>
  <c r="T56" i="14"/>
  <c r="R56" i="14"/>
  <c r="Q56" i="14"/>
  <c r="P56" i="14"/>
  <c r="O56" i="14"/>
  <c r="M56" i="14"/>
  <c r="L56" i="14"/>
  <c r="J56" i="14"/>
  <c r="I56" i="14"/>
  <c r="H56" i="14"/>
  <c r="C56" i="14" s="1"/>
  <c r="G56" i="14"/>
  <c r="F56" i="14"/>
  <c r="CZ56" i="14" s="1"/>
  <c r="CM55" i="14"/>
  <c r="CK55" i="14"/>
  <c r="CJ55" i="14"/>
  <c r="CI55" i="14"/>
  <c r="CH55" i="14"/>
  <c r="CG55" i="14"/>
  <c r="CF55" i="14"/>
  <c r="CE55" i="14"/>
  <c r="CD55" i="14"/>
  <c r="CC55" i="14"/>
  <c r="CB55" i="14"/>
  <c r="CA55" i="14"/>
  <c r="BZ55" i="14"/>
  <c r="BY55" i="14"/>
  <c r="BX55" i="14"/>
  <c r="BW55" i="14"/>
  <c r="BV55" i="14"/>
  <c r="BU55" i="14"/>
  <c r="CV55" i="14" s="1"/>
  <c r="BT55" i="14"/>
  <c r="BS55" i="14"/>
  <c r="BR55" i="14"/>
  <c r="BQ55" i="14"/>
  <c r="BP55" i="14"/>
  <c r="BO55" i="14"/>
  <c r="BN55" i="14"/>
  <c r="BM55" i="14"/>
  <c r="BL55" i="14"/>
  <c r="BK55" i="14"/>
  <c r="BJ55" i="14"/>
  <c r="BI55" i="14"/>
  <c r="BH55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Z55" i="14"/>
  <c r="Y55" i="14"/>
  <c r="X55" i="14"/>
  <c r="W55" i="14"/>
  <c r="V55" i="14"/>
  <c r="U55" i="14"/>
  <c r="T55" i="14"/>
  <c r="R55" i="14"/>
  <c r="Q55" i="14"/>
  <c r="P55" i="14"/>
  <c r="O55" i="14"/>
  <c r="M55" i="14"/>
  <c r="L55" i="14"/>
  <c r="J55" i="14"/>
  <c r="I55" i="14"/>
  <c r="H55" i="14"/>
  <c r="C55" i="14" s="1"/>
  <c r="G55" i="14"/>
  <c r="F55" i="14"/>
  <c r="CZ55" i="14" s="1"/>
  <c r="E55" i="14"/>
  <c r="D55" i="14"/>
  <c r="A55" i="14"/>
  <c r="CM54" i="14"/>
  <c r="CK54" i="14"/>
  <c r="CJ54" i="14"/>
  <c r="CI54" i="14"/>
  <c r="CH54" i="14"/>
  <c r="CG54" i="14"/>
  <c r="CF54" i="14"/>
  <c r="CE54" i="14"/>
  <c r="CD54" i="14"/>
  <c r="CC54" i="14"/>
  <c r="CB54" i="14"/>
  <c r="CA54" i="14"/>
  <c r="BZ54" i="14"/>
  <c r="BY54" i="14"/>
  <c r="BX54" i="14"/>
  <c r="BW54" i="14"/>
  <c r="BV54" i="14"/>
  <c r="BU54" i="14"/>
  <c r="CV54" i="14" s="1"/>
  <c r="BT54" i="14"/>
  <c r="BS54" i="14"/>
  <c r="BR54" i="14"/>
  <c r="BQ54" i="14"/>
  <c r="BP54" i="14"/>
  <c r="BO54" i="14"/>
  <c r="BN54" i="14"/>
  <c r="BM54" i="14"/>
  <c r="BL54" i="14"/>
  <c r="BK54" i="14"/>
  <c r="BJ54" i="14"/>
  <c r="BI54" i="14"/>
  <c r="BH54" i="14"/>
  <c r="BG54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Z54" i="14"/>
  <c r="Y54" i="14"/>
  <c r="X54" i="14"/>
  <c r="W54" i="14"/>
  <c r="V54" i="14"/>
  <c r="U54" i="14"/>
  <c r="T54" i="14"/>
  <c r="R54" i="14"/>
  <c r="Q54" i="14"/>
  <c r="P54" i="14"/>
  <c r="O54" i="14"/>
  <c r="M54" i="14"/>
  <c r="L54" i="14"/>
  <c r="J54" i="14"/>
  <c r="I54" i="14"/>
  <c r="H54" i="14"/>
  <c r="G54" i="14"/>
  <c r="F54" i="14"/>
  <c r="CZ54" i="14" s="1"/>
  <c r="D54" i="14"/>
  <c r="C54" i="14"/>
  <c r="CM53" i="14"/>
  <c r="CK53" i="14"/>
  <c r="CJ53" i="14"/>
  <c r="CI53" i="14"/>
  <c r="CH53" i="14"/>
  <c r="CG53" i="14"/>
  <c r="CF53" i="14"/>
  <c r="CE53" i="14"/>
  <c r="CD53" i="14"/>
  <c r="CC53" i="14"/>
  <c r="CB53" i="14"/>
  <c r="CA53" i="14"/>
  <c r="BZ53" i="14"/>
  <c r="BY53" i="14"/>
  <c r="BX53" i="14"/>
  <c r="BW53" i="14"/>
  <c r="BV53" i="14"/>
  <c r="BU53" i="14"/>
  <c r="BT53" i="14"/>
  <c r="BS53" i="14"/>
  <c r="BR53" i="14"/>
  <c r="BQ53" i="14"/>
  <c r="BP53" i="14"/>
  <c r="BO53" i="14"/>
  <c r="BN53" i="14"/>
  <c r="BM53" i="14"/>
  <c r="BL53" i="14"/>
  <c r="BK53" i="14"/>
  <c r="BJ53" i="14"/>
  <c r="BI53" i="14"/>
  <c r="BH53" i="14"/>
  <c r="BG53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Z53" i="14"/>
  <c r="Y53" i="14"/>
  <c r="X53" i="14"/>
  <c r="W53" i="14"/>
  <c r="V53" i="14"/>
  <c r="U53" i="14"/>
  <c r="T53" i="14"/>
  <c r="R53" i="14"/>
  <c r="Q53" i="14"/>
  <c r="P53" i="14"/>
  <c r="O53" i="14"/>
  <c r="M53" i="14"/>
  <c r="L53" i="14"/>
  <c r="J53" i="14"/>
  <c r="I53" i="14"/>
  <c r="H53" i="14"/>
  <c r="G53" i="14"/>
  <c r="F53" i="14"/>
  <c r="CZ53" i="14" s="1"/>
  <c r="E53" i="14"/>
  <c r="A53" i="14"/>
  <c r="CM52" i="14"/>
  <c r="CK52" i="14"/>
  <c r="CJ52" i="14"/>
  <c r="CI52" i="14"/>
  <c r="CH52" i="14"/>
  <c r="CG52" i="14"/>
  <c r="CF52" i="14"/>
  <c r="CE52" i="14"/>
  <c r="CD52" i="14"/>
  <c r="CC52" i="14"/>
  <c r="CB52" i="14"/>
  <c r="CA52" i="14"/>
  <c r="BZ52" i="14"/>
  <c r="BY52" i="14"/>
  <c r="BX52" i="14"/>
  <c r="BW52" i="14"/>
  <c r="BV52" i="14"/>
  <c r="BU52" i="14"/>
  <c r="CV52" i="14" s="1"/>
  <c r="BT52" i="14"/>
  <c r="BS52" i="14"/>
  <c r="BR52" i="14"/>
  <c r="BQ52" i="14"/>
  <c r="BP52" i="14"/>
  <c r="BO52" i="14"/>
  <c r="BN52" i="14"/>
  <c r="BM52" i="14"/>
  <c r="BL52" i="14"/>
  <c r="BK52" i="14"/>
  <c r="BJ52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Z52" i="14"/>
  <c r="Y52" i="14"/>
  <c r="X52" i="14"/>
  <c r="W52" i="14"/>
  <c r="V52" i="14"/>
  <c r="U52" i="14"/>
  <c r="T52" i="14"/>
  <c r="R52" i="14"/>
  <c r="Q52" i="14"/>
  <c r="P52" i="14"/>
  <c r="O52" i="14"/>
  <c r="M52" i="14"/>
  <c r="L52" i="14"/>
  <c r="J52" i="14"/>
  <c r="I52" i="14"/>
  <c r="H52" i="14"/>
  <c r="C52" i="14" s="1"/>
  <c r="G52" i="14"/>
  <c r="F52" i="14"/>
  <c r="CZ52" i="14" s="1"/>
  <c r="D52" i="14"/>
  <c r="CM51" i="14"/>
  <c r="CK51" i="14"/>
  <c r="CJ51" i="14"/>
  <c r="CI51" i="14"/>
  <c r="CH51" i="14"/>
  <c r="CG51" i="14"/>
  <c r="CF51" i="14"/>
  <c r="CE51" i="14"/>
  <c r="CD51" i="14"/>
  <c r="CC51" i="14"/>
  <c r="CB51" i="14"/>
  <c r="CA51" i="14"/>
  <c r="BZ51" i="14"/>
  <c r="BY51" i="14"/>
  <c r="BX51" i="14"/>
  <c r="BW51" i="14"/>
  <c r="BV51" i="14"/>
  <c r="BU51" i="14"/>
  <c r="BT51" i="14"/>
  <c r="BS51" i="14"/>
  <c r="BR51" i="14"/>
  <c r="BQ51" i="14"/>
  <c r="BP51" i="14"/>
  <c r="BO51" i="14"/>
  <c r="BN51" i="14"/>
  <c r="BM51" i="14"/>
  <c r="BL51" i="14"/>
  <c r="BK51" i="14"/>
  <c r="BJ51" i="14"/>
  <c r="BI51" i="14"/>
  <c r="BH51" i="14"/>
  <c r="BG51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Z51" i="14"/>
  <c r="Y51" i="14"/>
  <c r="X51" i="14"/>
  <c r="W51" i="14"/>
  <c r="V51" i="14"/>
  <c r="U51" i="14"/>
  <c r="T51" i="14"/>
  <c r="R51" i="14"/>
  <c r="Q51" i="14"/>
  <c r="P51" i="14"/>
  <c r="O51" i="14"/>
  <c r="M51" i="14"/>
  <c r="L51" i="14"/>
  <c r="J51" i="14"/>
  <c r="I51" i="14"/>
  <c r="H51" i="14"/>
  <c r="G51" i="14"/>
  <c r="F51" i="14"/>
  <c r="CZ51" i="14" s="1"/>
  <c r="E51" i="14"/>
  <c r="A51" i="14"/>
  <c r="CM50" i="14"/>
  <c r="CK50" i="14"/>
  <c r="CJ50" i="14"/>
  <c r="CI50" i="14"/>
  <c r="CH50" i="14"/>
  <c r="CG50" i="14"/>
  <c r="CF50" i="14"/>
  <c r="CE50" i="14"/>
  <c r="CD50" i="14"/>
  <c r="CC50" i="14"/>
  <c r="CB50" i="14"/>
  <c r="CA50" i="14"/>
  <c r="BZ50" i="14"/>
  <c r="BY50" i="14"/>
  <c r="BX50" i="14"/>
  <c r="BW50" i="14"/>
  <c r="BV50" i="14"/>
  <c r="BU50" i="14"/>
  <c r="CV50" i="14" s="1"/>
  <c r="BT50" i="14"/>
  <c r="BS50" i="14"/>
  <c r="BR50" i="14"/>
  <c r="BQ50" i="14"/>
  <c r="BP50" i="14"/>
  <c r="BO50" i="14"/>
  <c r="BN50" i="14"/>
  <c r="BM50" i="14"/>
  <c r="BL50" i="14"/>
  <c r="BK50" i="14"/>
  <c r="BJ50" i="14"/>
  <c r="BI50" i="14"/>
  <c r="BH50" i="14"/>
  <c r="BG50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CY50" i="14" s="1"/>
  <c r="AB50" i="14"/>
  <c r="Z50" i="14"/>
  <c r="Y50" i="14"/>
  <c r="X50" i="14"/>
  <c r="W50" i="14"/>
  <c r="V50" i="14"/>
  <c r="U50" i="14"/>
  <c r="T50" i="14"/>
  <c r="R50" i="14"/>
  <c r="Q50" i="14"/>
  <c r="P50" i="14"/>
  <c r="O50" i="14"/>
  <c r="M50" i="14"/>
  <c r="L50" i="14"/>
  <c r="J50" i="14"/>
  <c r="I50" i="14"/>
  <c r="H50" i="14"/>
  <c r="C50" i="14" s="1"/>
  <c r="G50" i="14"/>
  <c r="F50" i="14"/>
  <c r="CZ50" i="14" s="1"/>
  <c r="D50" i="14"/>
  <c r="CM49" i="14"/>
  <c r="CK49" i="14"/>
  <c r="CJ49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V49" i="14"/>
  <c r="BU49" i="14"/>
  <c r="CV49" i="14" s="1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H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Z49" i="14"/>
  <c r="Y49" i="14"/>
  <c r="X49" i="14"/>
  <c r="W49" i="14"/>
  <c r="V49" i="14"/>
  <c r="U49" i="14"/>
  <c r="T49" i="14"/>
  <c r="R49" i="14"/>
  <c r="Q49" i="14"/>
  <c r="P49" i="14"/>
  <c r="O49" i="14"/>
  <c r="M49" i="14"/>
  <c r="L49" i="14"/>
  <c r="J49" i="14"/>
  <c r="I49" i="14"/>
  <c r="H49" i="14"/>
  <c r="G49" i="14"/>
  <c r="F49" i="14"/>
  <c r="CZ49" i="14" s="1"/>
  <c r="C49" i="14"/>
  <c r="CM48" i="14"/>
  <c r="CK48" i="14"/>
  <c r="CJ48" i="14"/>
  <c r="CI48" i="14"/>
  <c r="CH48" i="14"/>
  <c r="CG48" i="14"/>
  <c r="CF48" i="14"/>
  <c r="CE48" i="14"/>
  <c r="CD48" i="14"/>
  <c r="CC48" i="14"/>
  <c r="CB48" i="14"/>
  <c r="CA48" i="14"/>
  <c r="BZ48" i="14"/>
  <c r="BY48" i="14"/>
  <c r="BX48" i="14"/>
  <c r="BW48" i="14"/>
  <c r="BV48" i="14"/>
  <c r="BU48" i="14"/>
  <c r="BT48" i="14"/>
  <c r="BS48" i="14"/>
  <c r="BR48" i="14"/>
  <c r="BQ48" i="14"/>
  <c r="BP48" i="14"/>
  <c r="BO48" i="14"/>
  <c r="BN48" i="14"/>
  <c r="BM48" i="14"/>
  <c r="BL48" i="14"/>
  <c r="BK48" i="14"/>
  <c r="BJ48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Z48" i="14"/>
  <c r="Y48" i="14"/>
  <c r="X48" i="14"/>
  <c r="W48" i="14"/>
  <c r="V48" i="14"/>
  <c r="U48" i="14"/>
  <c r="T48" i="14"/>
  <c r="R48" i="14"/>
  <c r="Q48" i="14"/>
  <c r="P48" i="14"/>
  <c r="O48" i="14"/>
  <c r="M48" i="14"/>
  <c r="L48" i="14"/>
  <c r="J48" i="14"/>
  <c r="I48" i="14"/>
  <c r="H48" i="14"/>
  <c r="G48" i="14"/>
  <c r="F48" i="14"/>
  <c r="CZ48" i="14" s="1"/>
  <c r="CM47" i="14"/>
  <c r="CK47" i="14"/>
  <c r="CJ47" i="14"/>
  <c r="CI47" i="14"/>
  <c r="CH47" i="14"/>
  <c r="CG47" i="14"/>
  <c r="CF47" i="14"/>
  <c r="CE47" i="14"/>
  <c r="CD47" i="14"/>
  <c r="CC47" i="14"/>
  <c r="CB47" i="14"/>
  <c r="CA47" i="14"/>
  <c r="BZ47" i="14"/>
  <c r="BY47" i="14"/>
  <c r="BX47" i="14"/>
  <c r="BW47" i="14"/>
  <c r="BV47" i="14"/>
  <c r="BU47" i="14"/>
  <c r="CV47" i="14" s="1"/>
  <c r="BT47" i="14"/>
  <c r="BS47" i="14"/>
  <c r="BR47" i="14"/>
  <c r="BQ47" i="14"/>
  <c r="BP47" i="14"/>
  <c r="BO47" i="14"/>
  <c r="BN47" i="14"/>
  <c r="BM47" i="14"/>
  <c r="BL47" i="14"/>
  <c r="BK47" i="14"/>
  <c r="BJ47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CY47" i="14" s="1"/>
  <c r="AB47" i="14"/>
  <c r="Z47" i="14"/>
  <c r="Y47" i="14"/>
  <c r="X47" i="14"/>
  <c r="W47" i="14"/>
  <c r="V47" i="14"/>
  <c r="U47" i="14"/>
  <c r="T47" i="14"/>
  <c r="R47" i="14"/>
  <c r="Q47" i="14"/>
  <c r="P47" i="14"/>
  <c r="O47" i="14"/>
  <c r="M47" i="14"/>
  <c r="L47" i="14"/>
  <c r="J47" i="14"/>
  <c r="I47" i="14"/>
  <c r="H47" i="14"/>
  <c r="G47" i="14"/>
  <c r="F47" i="14"/>
  <c r="CZ47" i="14" s="1"/>
  <c r="D47" i="14"/>
  <c r="C47" i="14"/>
  <c r="CM46" i="14"/>
  <c r="CK46" i="14"/>
  <c r="CJ46" i="14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V46" i="14"/>
  <c r="BU46" i="14"/>
  <c r="CV46" i="14" s="1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H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CY46" i="14" s="1"/>
  <c r="AB46" i="14"/>
  <c r="Z46" i="14"/>
  <c r="Y46" i="14"/>
  <c r="X46" i="14"/>
  <c r="W46" i="14"/>
  <c r="V46" i="14"/>
  <c r="U46" i="14"/>
  <c r="T46" i="14"/>
  <c r="R46" i="14"/>
  <c r="Q46" i="14"/>
  <c r="P46" i="14"/>
  <c r="O46" i="14"/>
  <c r="M46" i="14"/>
  <c r="L46" i="14"/>
  <c r="J46" i="14"/>
  <c r="I46" i="14"/>
  <c r="H46" i="14"/>
  <c r="G46" i="14"/>
  <c r="F46" i="14"/>
  <c r="CZ46" i="14" s="1"/>
  <c r="CM45" i="14"/>
  <c r="CK45" i="14"/>
  <c r="CJ45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V45" i="14"/>
  <c r="BU45" i="14"/>
  <c r="CV45" i="14" s="1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H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Z45" i="14"/>
  <c r="Y45" i="14"/>
  <c r="X45" i="14"/>
  <c r="W45" i="14"/>
  <c r="V45" i="14"/>
  <c r="U45" i="14"/>
  <c r="T45" i="14"/>
  <c r="R45" i="14"/>
  <c r="Q45" i="14"/>
  <c r="D45" i="14" s="1"/>
  <c r="P45" i="14"/>
  <c r="O45" i="14"/>
  <c r="M45" i="14"/>
  <c r="L45" i="14"/>
  <c r="J45" i="14"/>
  <c r="I45" i="14"/>
  <c r="H45" i="14"/>
  <c r="C45" i="14" s="1"/>
  <c r="G45" i="14"/>
  <c r="F45" i="14"/>
  <c r="CZ45" i="14" s="1"/>
  <c r="A45" i="14"/>
  <c r="CM44" i="14"/>
  <c r="CK44" i="14"/>
  <c r="CJ44" i="14"/>
  <c r="CI44" i="14"/>
  <c r="CH44" i="14"/>
  <c r="CG44" i="14"/>
  <c r="CF44" i="14"/>
  <c r="CE44" i="14"/>
  <c r="CD44" i="14"/>
  <c r="CC44" i="14"/>
  <c r="CB44" i="14"/>
  <c r="CA44" i="14"/>
  <c r="BZ44" i="14"/>
  <c r="BY44" i="14"/>
  <c r="BX44" i="14"/>
  <c r="BW44" i="14"/>
  <c r="BV44" i="14"/>
  <c r="BU44" i="14"/>
  <c r="BT44" i="14"/>
  <c r="BS44" i="14"/>
  <c r="BR44" i="14"/>
  <c r="BQ44" i="14"/>
  <c r="BP44" i="14"/>
  <c r="BO44" i="14"/>
  <c r="BN44" i="14"/>
  <c r="BM44" i="14"/>
  <c r="BL44" i="14"/>
  <c r="BK44" i="14"/>
  <c r="BJ44" i="14"/>
  <c r="BI44" i="14"/>
  <c r="BH44" i="14"/>
  <c r="BG44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CY44" i="14" s="1"/>
  <c r="AB44" i="14"/>
  <c r="Z44" i="14"/>
  <c r="Y44" i="14"/>
  <c r="X44" i="14"/>
  <c r="CU44" i="14" s="1"/>
  <c r="W44" i="14"/>
  <c r="V44" i="14"/>
  <c r="U44" i="14"/>
  <c r="T44" i="14"/>
  <c r="R44" i="14"/>
  <c r="Q44" i="14"/>
  <c r="P44" i="14"/>
  <c r="O44" i="14"/>
  <c r="M44" i="14"/>
  <c r="L44" i="14"/>
  <c r="J44" i="14"/>
  <c r="I44" i="14"/>
  <c r="H44" i="14"/>
  <c r="G44" i="14"/>
  <c r="F44" i="14"/>
  <c r="CZ44" i="14" s="1"/>
  <c r="A44" i="14"/>
  <c r="CM43" i="14"/>
  <c r="CK43" i="14"/>
  <c r="CJ43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V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H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CY43" i="14" s="1"/>
  <c r="AB43" i="14"/>
  <c r="Z43" i="14"/>
  <c r="Y43" i="14"/>
  <c r="X43" i="14"/>
  <c r="CU43" i="14" s="1"/>
  <c r="W43" i="14"/>
  <c r="V43" i="14"/>
  <c r="CR43" i="14" s="1"/>
  <c r="U43" i="14"/>
  <c r="T43" i="14"/>
  <c r="R43" i="14"/>
  <c r="Q43" i="14"/>
  <c r="P43" i="14"/>
  <c r="O43" i="14"/>
  <c r="M43" i="14"/>
  <c r="L43" i="14"/>
  <c r="J43" i="14"/>
  <c r="I43" i="14"/>
  <c r="H43" i="14"/>
  <c r="C43" i="14" s="1"/>
  <c r="G43" i="14"/>
  <c r="F43" i="14"/>
  <c r="CZ43" i="14" s="1"/>
  <c r="D43" i="14"/>
  <c r="CM42" i="14"/>
  <c r="CK42" i="14"/>
  <c r="CJ42" i="14"/>
  <c r="CI42" i="14"/>
  <c r="CH42" i="14"/>
  <c r="CG42" i="14"/>
  <c r="CF42" i="14"/>
  <c r="CE42" i="14"/>
  <c r="CD42" i="14"/>
  <c r="CC42" i="14"/>
  <c r="CB42" i="14"/>
  <c r="CA42" i="14"/>
  <c r="BZ42" i="14"/>
  <c r="BY42" i="14"/>
  <c r="BX42" i="14"/>
  <c r="BW42" i="14"/>
  <c r="BV42" i="14"/>
  <c r="BU42" i="14"/>
  <c r="CV42" i="14" s="1"/>
  <c r="BT42" i="14"/>
  <c r="BS42" i="14"/>
  <c r="BR42" i="14"/>
  <c r="BQ42" i="14"/>
  <c r="BP42" i="14"/>
  <c r="BO42" i="14"/>
  <c r="BN42" i="14"/>
  <c r="BM42" i="14"/>
  <c r="BL42" i="14"/>
  <c r="BK42" i="14"/>
  <c r="BJ42" i="14"/>
  <c r="BI42" i="14"/>
  <c r="BH42" i="14"/>
  <c r="BG42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Z42" i="14"/>
  <c r="Y42" i="14"/>
  <c r="X42" i="14"/>
  <c r="W42" i="14"/>
  <c r="V42" i="14"/>
  <c r="U42" i="14"/>
  <c r="T42" i="14"/>
  <c r="R42" i="14"/>
  <c r="Q42" i="14"/>
  <c r="P42" i="14"/>
  <c r="O42" i="14"/>
  <c r="M42" i="14"/>
  <c r="L42" i="14"/>
  <c r="J42" i="14"/>
  <c r="I42" i="14"/>
  <c r="H42" i="14"/>
  <c r="G42" i="14"/>
  <c r="F42" i="14"/>
  <c r="CZ42" i="14" s="1"/>
  <c r="E42" i="14"/>
  <c r="CM41" i="14"/>
  <c r="CK41" i="14"/>
  <c r="CJ41" i="14"/>
  <c r="CI41" i="14"/>
  <c r="CH41" i="14"/>
  <c r="CG41" i="14"/>
  <c r="CF41" i="14"/>
  <c r="CE41" i="14"/>
  <c r="CD41" i="14"/>
  <c r="CC41" i="14"/>
  <c r="CB41" i="14"/>
  <c r="CA41" i="14"/>
  <c r="BZ41" i="14"/>
  <c r="BY41" i="14"/>
  <c r="BX41" i="14"/>
  <c r="BW41" i="14"/>
  <c r="BV41" i="14"/>
  <c r="BU41" i="14"/>
  <c r="CV41" i="14" s="1"/>
  <c r="BT41" i="14"/>
  <c r="BS41" i="14"/>
  <c r="BR41" i="14"/>
  <c r="BQ41" i="14"/>
  <c r="BP41" i="14"/>
  <c r="BO41" i="14"/>
  <c r="BN41" i="14"/>
  <c r="BM41" i="14"/>
  <c r="BL41" i="14"/>
  <c r="BK41" i="14"/>
  <c r="BJ41" i="14"/>
  <c r="BI41" i="14"/>
  <c r="BH41" i="14"/>
  <c r="BG41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Z41" i="14"/>
  <c r="Y41" i="14"/>
  <c r="X41" i="14"/>
  <c r="W41" i="14"/>
  <c r="V41" i="14"/>
  <c r="U41" i="14"/>
  <c r="T41" i="14"/>
  <c r="R41" i="14"/>
  <c r="Q41" i="14"/>
  <c r="P41" i="14"/>
  <c r="O41" i="14"/>
  <c r="M41" i="14"/>
  <c r="L41" i="14"/>
  <c r="J41" i="14"/>
  <c r="I41" i="14"/>
  <c r="H41" i="14"/>
  <c r="C41" i="14" s="1"/>
  <c r="G41" i="14"/>
  <c r="F41" i="14"/>
  <c r="CZ41" i="14" s="1"/>
  <c r="E41" i="14"/>
  <c r="CM40" i="14"/>
  <c r="CK40" i="14"/>
  <c r="CJ40" i="14"/>
  <c r="CI40" i="14"/>
  <c r="CH40" i="14"/>
  <c r="CG40" i="14"/>
  <c r="CF40" i="14"/>
  <c r="CE40" i="14"/>
  <c r="CD40" i="14"/>
  <c r="CC40" i="14"/>
  <c r="CB40" i="14"/>
  <c r="CA40" i="14"/>
  <c r="BZ40" i="14"/>
  <c r="BY40" i="14"/>
  <c r="BX40" i="14"/>
  <c r="BW40" i="14"/>
  <c r="BV40" i="14"/>
  <c r="BU40" i="14"/>
  <c r="CV40" i="14" s="1"/>
  <c r="BT40" i="14"/>
  <c r="BS40" i="14"/>
  <c r="BR40" i="14"/>
  <c r="BQ40" i="14"/>
  <c r="BP40" i="14"/>
  <c r="BO40" i="14"/>
  <c r="BN40" i="14"/>
  <c r="BM40" i="14"/>
  <c r="BL40" i="14"/>
  <c r="BK40" i="14"/>
  <c r="BJ40" i="14"/>
  <c r="BI40" i="14"/>
  <c r="BH40" i="14"/>
  <c r="BG40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Z40" i="14"/>
  <c r="Y40" i="14"/>
  <c r="X40" i="14"/>
  <c r="W40" i="14"/>
  <c r="V40" i="14"/>
  <c r="U40" i="14"/>
  <c r="T40" i="14"/>
  <c r="R40" i="14"/>
  <c r="Q40" i="14"/>
  <c r="P40" i="14"/>
  <c r="O40" i="14"/>
  <c r="M40" i="14"/>
  <c r="L40" i="14"/>
  <c r="J40" i="14"/>
  <c r="I40" i="14"/>
  <c r="H40" i="14"/>
  <c r="G40" i="14"/>
  <c r="F40" i="14"/>
  <c r="CZ40" i="14" s="1"/>
  <c r="D40" i="14"/>
  <c r="C40" i="14"/>
  <c r="A40" i="14"/>
  <c r="CM39" i="14"/>
  <c r="CK39" i="14"/>
  <c r="CJ39" i="14"/>
  <c r="CI39" i="14"/>
  <c r="CH39" i="14"/>
  <c r="CG39" i="14"/>
  <c r="CF39" i="14"/>
  <c r="CE39" i="14"/>
  <c r="CD39" i="14"/>
  <c r="CC39" i="14"/>
  <c r="CB39" i="14"/>
  <c r="CA39" i="14"/>
  <c r="BZ39" i="14"/>
  <c r="BY39" i="14"/>
  <c r="BX39" i="14"/>
  <c r="BW39" i="14"/>
  <c r="BV39" i="14"/>
  <c r="BU39" i="14"/>
  <c r="BT39" i="14"/>
  <c r="BS39" i="14"/>
  <c r="BR39" i="14"/>
  <c r="BQ39" i="14"/>
  <c r="BP39" i="14"/>
  <c r="BO39" i="14"/>
  <c r="BN39" i="14"/>
  <c r="BM39" i="14"/>
  <c r="BL39" i="14"/>
  <c r="BK39" i="14"/>
  <c r="BJ39" i="14"/>
  <c r="BI39" i="14"/>
  <c r="BH39" i="14"/>
  <c r="BG39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Z39" i="14"/>
  <c r="Y39" i="14"/>
  <c r="X39" i="14"/>
  <c r="W39" i="14"/>
  <c r="V39" i="14"/>
  <c r="U39" i="14"/>
  <c r="T39" i="14"/>
  <c r="R39" i="14"/>
  <c r="Q39" i="14"/>
  <c r="P39" i="14"/>
  <c r="O39" i="14"/>
  <c r="M39" i="14"/>
  <c r="L39" i="14"/>
  <c r="J39" i="14"/>
  <c r="I39" i="14"/>
  <c r="H39" i="14"/>
  <c r="C39" i="14" s="1"/>
  <c r="G39" i="14"/>
  <c r="F39" i="14"/>
  <c r="CZ39" i="14" s="1"/>
  <c r="CM38" i="14"/>
  <c r="CK38" i="14"/>
  <c r="CJ38" i="14"/>
  <c r="CI38" i="14"/>
  <c r="CH38" i="14"/>
  <c r="CG38" i="14"/>
  <c r="CF38" i="14"/>
  <c r="CE38" i="14"/>
  <c r="CD38" i="14"/>
  <c r="CC38" i="14"/>
  <c r="CB38" i="14"/>
  <c r="CA38" i="14"/>
  <c r="BZ38" i="14"/>
  <c r="BY38" i="14"/>
  <c r="BX38" i="14"/>
  <c r="BW38" i="14"/>
  <c r="BV38" i="14"/>
  <c r="BU38" i="14"/>
  <c r="CV38" i="14" s="1"/>
  <c r="BT38" i="14"/>
  <c r="BS38" i="14"/>
  <c r="BR38" i="14"/>
  <c r="BQ38" i="14"/>
  <c r="BP38" i="14"/>
  <c r="BO38" i="14"/>
  <c r="BN38" i="14"/>
  <c r="BM38" i="14"/>
  <c r="BL38" i="14"/>
  <c r="BK38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CY38" i="14" s="1"/>
  <c r="AB38" i="14"/>
  <c r="Z38" i="14"/>
  <c r="Y38" i="14"/>
  <c r="X38" i="14"/>
  <c r="W38" i="14"/>
  <c r="V38" i="14"/>
  <c r="U38" i="14"/>
  <c r="T38" i="14"/>
  <c r="R38" i="14"/>
  <c r="Q38" i="14"/>
  <c r="D38" i="14" s="1"/>
  <c r="P38" i="14"/>
  <c r="O38" i="14"/>
  <c r="M38" i="14"/>
  <c r="L38" i="14"/>
  <c r="J38" i="14"/>
  <c r="I38" i="14"/>
  <c r="H38" i="14"/>
  <c r="C38" i="14" s="1"/>
  <c r="G38" i="14"/>
  <c r="F38" i="14"/>
  <c r="CZ38" i="14" s="1"/>
  <c r="CM37" i="14"/>
  <c r="CK37" i="14"/>
  <c r="CJ37" i="14"/>
  <c r="CI37" i="14"/>
  <c r="CH37" i="14"/>
  <c r="CG37" i="14"/>
  <c r="CF37" i="14"/>
  <c r="CE37" i="14"/>
  <c r="CD37" i="14"/>
  <c r="CC37" i="14"/>
  <c r="CB37" i="14"/>
  <c r="CA37" i="14"/>
  <c r="BZ37" i="14"/>
  <c r="BY37" i="14"/>
  <c r="BX37" i="14"/>
  <c r="BW37" i="14"/>
  <c r="BV37" i="14"/>
  <c r="BU37" i="14"/>
  <c r="BT37" i="14"/>
  <c r="BS37" i="14"/>
  <c r="BR37" i="14"/>
  <c r="BQ37" i="14"/>
  <c r="BP37" i="14"/>
  <c r="BO37" i="14"/>
  <c r="BN37" i="14"/>
  <c r="BM37" i="14"/>
  <c r="BL37" i="14"/>
  <c r="BK37" i="14"/>
  <c r="BJ37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Z37" i="14"/>
  <c r="Y37" i="14"/>
  <c r="X37" i="14"/>
  <c r="W37" i="14"/>
  <c r="V37" i="14"/>
  <c r="U37" i="14"/>
  <c r="T37" i="14"/>
  <c r="R37" i="14"/>
  <c r="Q37" i="14"/>
  <c r="P37" i="14"/>
  <c r="O37" i="14"/>
  <c r="M37" i="14"/>
  <c r="L37" i="14"/>
  <c r="J37" i="14"/>
  <c r="I37" i="14"/>
  <c r="H37" i="14"/>
  <c r="G37" i="14"/>
  <c r="F37" i="14"/>
  <c r="CZ37" i="14" s="1"/>
  <c r="CM36" i="14"/>
  <c r="CK36" i="14"/>
  <c r="CJ36" i="14"/>
  <c r="CI36" i="14"/>
  <c r="CH36" i="14"/>
  <c r="CG36" i="14"/>
  <c r="CF36" i="14"/>
  <c r="CE36" i="14"/>
  <c r="CD36" i="14"/>
  <c r="CC36" i="14"/>
  <c r="CB36" i="14"/>
  <c r="CA36" i="14"/>
  <c r="BZ36" i="14"/>
  <c r="BY36" i="14"/>
  <c r="BX36" i="14"/>
  <c r="BW36" i="14"/>
  <c r="BV36" i="14"/>
  <c r="BU36" i="14"/>
  <c r="CV36" i="14" s="1"/>
  <c r="BT36" i="14"/>
  <c r="BS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CY36" i="14" s="1"/>
  <c r="AB36" i="14"/>
  <c r="Z36" i="14"/>
  <c r="Y36" i="14"/>
  <c r="X36" i="14"/>
  <c r="W36" i="14"/>
  <c r="V36" i="14"/>
  <c r="U36" i="14"/>
  <c r="T36" i="14"/>
  <c r="R36" i="14"/>
  <c r="Q36" i="14"/>
  <c r="P36" i="14"/>
  <c r="O36" i="14"/>
  <c r="M36" i="14"/>
  <c r="L36" i="14"/>
  <c r="J36" i="14"/>
  <c r="I36" i="14"/>
  <c r="H36" i="14"/>
  <c r="G36" i="14"/>
  <c r="F36" i="14"/>
  <c r="CZ36" i="14" s="1"/>
  <c r="D36" i="14"/>
  <c r="C36" i="14"/>
  <c r="CM35" i="14"/>
  <c r="CK35" i="14"/>
  <c r="CJ35" i="14"/>
  <c r="CI35" i="14"/>
  <c r="CH35" i="14"/>
  <c r="CG35" i="14"/>
  <c r="CF35" i="14"/>
  <c r="CE35" i="14"/>
  <c r="CD35" i="14"/>
  <c r="CC35" i="14"/>
  <c r="CB35" i="14"/>
  <c r="CA35" i="14"/>
  <c r="BZ35" i="14"/>
  <c r="BY35" i="14"/>
  <c r="BX35" i="14"/>
  <c r="BW35" i="14"/>
  <c r="BV35" i="14"/>
  <c r="BU35" i="14"/>
  <c r="CV35" i="14" s="1"/>
  <c r="BT35" i="14"/>
  <c r="BS35" i="14"/>
  <c r="BR35" i="14"/>
  <c r="BQ35" i="14"/>
  <c r="BP35" i="14"/>
  <c r="BO35" i="14"/>
  <c r="BN35" i="14"/>
  <c r="BM35" i="14"/>
  <c r="BL35" i="14"/>
  <c r="BK35" i="14"/>
  <c r="BJ35" i="14"/>
  <c r="BI35" i="14"/>
  <c r="BH35" i="14"/>
  <c r="BG35" i="14"/>
  <c r="BF35" i="14"/>
  <c r="BE35" i="14"/>
  <c r="BD35" i="14"/>
  <c r="BC35" i="14"/>
  <c r="BB35" i="14"/>
  <c r="BA35" i="14"/>
  <c r="AZ35" i="14"/>
  <c r="AY35" i="14"/>
  <c r="AX35" i="14"/>
  <c r="AW35" i="14"/>
  <c r="AV35" i="14"/>
  <c r="AU35" i="14"/>
  <c r="AT35" i="14"/>
  <c r="AS35" i="14"/>
  <c r="AR35" i="14"/>
  <c r="AQ35" i="14"/>
  <c r="AO35" i="14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Z35" i="14"/>
  <c r="Y35" i="14"/>
  <c r="X35" i="14"/>
  <c r="W35" i="14"/>
  <c r="V35" i="14"/>
  <c r="U35" i="14"/>
  <c r="T35" i="14"/>
  <c r="R35" i="14"/>
  <c r="Q35" i="14"/>
  <c r="P35" i="14"/>
  <c r="O35" i="14"/>
  <c r="M35" i="14"/>
  <c r="L35" i="14"/>
  <c r="J35" i="14"/>
  <c r="I35" i="14"/>
  <c r="H35" i="14"/>
  <c r="G35" i="14"/>
  <c r="F35" i="14"/>
  <c r="CZ35" i="14" s="1"/>
  <c r="D35" i="14"/>
  <c r="C35" i="14"/>
  <c r="A35" i="14"/>
  <c r="CM34" i="14"/>
  <c r="CK34" i="14"/>
  <c r="CJ34" i="14"/>
  <c r="CI34" i="14"/>
  <c r="CH34" i="14"/>
  <c r="CG34" i="14"/>
  <c r="CF34" i="14"/>
  <c r="CE34" i="14"/>
  <c r="CD34" i="14"/>
  <c r="CC34" i="14"/>
  <c r="CB34" i="14"/>
  <c r="CA34" i="14"/>
  <c r="BZ34" i="14"/>
  <c r="BY34" i="14"/>
  <c r="BX34" i="14"/>
  <c r="BW34" i="14"/>
  <c r="BV34" i="14"/>
  <c r="BU34" i="14"/>
  <c r="CV34" i="14" s="1"/>
  <c r="BT34" i="14"/>
  <c r="BS34" i="14"/>
  <c r="BR34" i="14"/>
  <c r="BQ34" i="14"/>
  <c r="BP34" i="14"/>
  <c r="BO34" i="14"/>
  <c r="BN34" i="14"/>
  <c r="BM34" i="14"/>
  <c r="BL34" i="14"/>
  <c r="BK34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Z34" i="14"/>
  <c r="Y34" i="14"/>
  <c r="X34" i="14"/>
  <c r="W34" i="14"/>
  <c r="V34" i="14"/>
  <c r="U34" i="14"/>
  <c r="T34" i="14"/>
  <c r="R34" i="14"/>
  <c r="Q34" i="14"/>
  <c r="P34" i="14"/>
  <c r="O34" i="14"/>
  <c r="M34" i="14"/>
  <c r="L34" i="14"/>
  <c r="J34" i="14"/>
  <c r="I34" i="14"/>
  <c r="H34" i="14"/>
  <c r="C34" i="14" s="1"/>
  <c r="G34" i="14"/>
  <c r="F34" i="14"/>
  <c r="CZ34" i="14" s="1"/>
  <c r="CM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CV33" i="14" s="1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Z33" i="14"/>
  <c r="Y33" i="14"/>
  <c r="X33" i="14"/>
  <c r="W33" i="14"/>
  <c r="CS33" i="14" s="1"/>
  <c r="V33" i="14"/>
  <c r="U33" i="14"/>
  <c r="T33" i="14"/>
  <c r="R33" i="14"/>
  <c r="Q33" i="14"/>
  <c r="D33" i="14" s="1"/>
  <c r="P33" i="14"/>
  <c r="O33" i="14"/>
  <c r="M33" i="14"/>
  <c r="L33" i="14"/>
  <c r="J33" i="14"/>
  <c r="I33" i="14"/>
  <c r="H33" i="14"/>
  <c r="G33" i="14"/>
  <c r="F33" i="14"/>
  <c r="CZ33" i="14" s="1"/>
  <c r="E33" i="14"/>
  <c r="C33" i="14"/>
  <c r="CM32" i="14"/>
  <c r="CK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Z32" i="14"/>
  <c r="Y32" i="14"/>
  <c r="X32" i="14"/>
  <c r="W32" i="14"/>
  <c r="V32" i="14"/>
  <c r="U32" i="14"/>
  <c r="T32" i="14"/>
  <c r="R32" i="14"/>
  <c r="Q32" i="14"/>
  <c r="P32" i="14"/>
  <c r="O32" i="14"/>
  <c r="M32" i="14"/>
  <c r="L32" i="14"/>
  <c r="J32" i="14"/>
  <c r="I32" i="14"/>
  <c r="H32" i="14"/>
  <c r="G32" i="14"/>
  <c r="F32" i="14"/>
  <c r="CZ32" i="14" s="1"/>
  <c r="CM31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BY31" i="14"/>
  <c r="BX31" i="14"/>
  <c r="BW31" i="14"/>
  <c r="BV31" i="14"/>
  <c r="BU31" i="14"/>
  <c r="CV31" i="14" s="1"/>
  <c r="BT31" i="14"/>
  <c r="BS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CY31" i="14" s="1"/>
  <c r="AB31" i="14"/>
  <c r="Z31" i="14"/>
  <c r="Y31" i="14"/>
  <c r="X31" i="14"/>
  <c r="W31" i="14"/>
  <c r="V31" i="14"/>
  <c r="U31" i="14"/>
  <c r="T31" i="14"/>
  <c r="R31" i="14"/>
  <c r="Q31" i="14"/>
  <c r="P31" i="14"/>
  <c r="O31" i="14"/>
  <c r="M31" i="14"/>
  <c r="L31" i="14"/>
  <c r="J31" i="14"/>
  <c r="I31" i="14"/>
  <c r="H31" i="14"/>
  <c r="G31" i="14"/>
  <c r="F31" i="14"/>
  <c r="CZ31" i="14" s="1"/>
  <c r="D31" i="14"/>
  <c r="C31" i="14"/>
  <c r="A31" i="14"/>
  <c r="CM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P30" i="14" s="1"/>
  <c r="AC30" i="14"/>
  <c r="AB30" i="14"/>
  <c r="Z30" i="14"/>
  <c r="Y30" i="14"/>
  <c r="X30" i="14"/>
  <c r="W30" i="14"/>
  <c r="V30" i="14"/>
  <c r="U30" i="14"/>
  <c r="T30" i="14"/>
  <c r="R30" i="14"/>
  <c r="Q30" i="14"/>
  <c r="P30" i="14"/>
  <c r="O30" i="14"/>
  <c r="M30" i="14"/>
  <c r="L30" i="14"/>
  <c r="J30" i="14"/>
  <c r="I30" i="14"/>
  <c r="H30" i="14"/>
  <c r="G30" i="14"/>
  <c r="F30" i="14"/>
  <c r="CZ30" i="14" s="1"/>
  <c r="C30" i="14"/>
  <c r="A30" i="14"/>
  <c r="CM29" i="14"/>
  <c r="CK29" i="14"/>
  <c r="CJ29" i="14"/>
  <c r="CI29" i="14"/>
  <c r="CH29" i="14"/>
  <c r="CG29" i="14"/>
  <c r="CF29" i="14"/>
  <c r="CE29" i="14"/>
  <c r="CD29" i="14"/>
  <c r="CC29" i="14"/>
  <c r="CB29" i="14"/>
  <c r="CA29" i="14"/>
  <c r="BZ29" i="14"/>
  <c r="BY29" i="14"/>
  <c r="BX29" i="14"/>
  <c r="BW29" i="14"/>
  <c r="BV29" i="14"/>
  <c r="BU29" i="14"/>
  <c r="CV29" i="14" s="1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CY29" i="14" s="1"/>
  <c r="AB29" i="14"/>
  <c r="Z29" i="14"/>
  <c r="Y29" i="14"/>
  <c r="X29" i="14"/>
  <c r="CU29" i="14" s="1"/>
  <c r="W29" i="14"/>
  <c r="V29" i="14"/>
  <c r="CR29" i="14" s="1"/>
  <c r="U29" i="14"/>
  <c r="T29" i="14"/>
  <c r="R29" i="14"/>
  <c r="Q29" i="14"/>
  <c r="P29" i="14"/>
  <c r="O29" i="14"/>
  <c r="M29" i="14"/>
  <c r="L29" i="14"/>
  <c r="J29" i="14"/>
  <c r="I29" i="14"/>
  <c r="H29" i="14"/>
  <c r="C29" i="14" s="1"/>
  <c r="G29" i="14"/>
  <c r="F29" i="14"/>
  <c r="CZ29" i="14" s="1"/>
  <c r="D29" i="14"/>
  <c r="CM28" i="14"/>
  <c r="CK28" i="14"/>
  <c r="CJ28" i="14"/>
  <c r="CI28" i="14"/>
  <c r="CH28" i="14"/>
  <c r="CG28" i="14"/>
  <c r="CF28" i="14"/>
  <c r="CE28" i="14"/>
  <c r="CD28" i="14"/>
  <c r="CC28" i="14"/>
  <c r="CB28" i="14"/>
  <c r="CA28" i="14"/>
  <c r="BZ28" i="14"/>
  <c r="BY28" i="14"/>
  <c r="BX28" i="14"/>
  <c r="BW28" i="14"/>
  <c r="BV28" i="14"/>
  <c r="BU28" i="14"/>
  <c r="CV28" i="14" s="1"/>
  <c r="BT28" i="14"/>
  <c r="BS28" i="14"/>
  <c r="BR28" i="14"/>
  <c r="BQ28" i="14"/>
  <c r="BP28" i="14"/>
  <c r="BO28" i="14"/>
  <c r="BN28" i="14"/>
  <c r="BM28" i="14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Z28" i="14"/>
  <c r="Y28" i="14"/>
  <c r="X28" i="14"/>
  <c r="W28" i="14"/>
  <c r="V28" i="14"/>
  <c r="U28" i="14"/>
  <c r="T28" i="14"/>
  <c r="R28" i="14"/>
  <c r="Q28" i="14"/>
  <c r="P28" i="14"/>
  <c r="O28" i="14"/>
  <c r="M28" i="14"/>
  <c r="L28" i="14"/>
  <c r="J28" i="14"/>
  <c r="I28" i="14"/>
  <c r="H28" i="14"/>
  <c r="G28" i="14"/>
  <c r="F28" i="14"/>
  <c r="CZ28" i="14" s="1"/>
  <c r="E28" i="14"/>
  <c r="CM27" i="14"/>
  <c r="CK27" i="14"/>
  <c r="CJ27" i="14"/>
  <c r="CI27" i="14"/>
  <c r="CH27" i="14"/>
  <c r="CG27" i="14"/>
  <c r="CF27" i="14"/>
  <c r="CE27" i="14"/>
  <c r="CD27" i="14"/>
  <c r="CC27" i="14"/>
  <c r="CB27" i="14"/>
  <c r="CA27" i="14"/>
  <c r="BZ27" i="14"/>
  <c r="BY27" i="14"/>
  <c r="BX27" i="14"/>
  <c r="BW27" i="14"/>
  <c r="BV27" i="14"/>
  <c r="BU27" i="14"/>
  <c r="BT27" i="14"/>
  <c r="BS27" i="14"/>
  <c r="BR27" i="14"/>
  <c r="BQ27" i="14"/>
  <c r="BP27" i="14"/>
  <c r="BO27" i="14"/>
  <c r="BN27" i="14"/>
  <c r="BM27" i="14"/>
  <c r="BL27" i="14"/>
  <c r="BK27" i="14"/>
  <c r="BJ27" i="14"/>
  <c r="BI27" i="14"/>
  <c r="BH27" i="14"/>
  <c r="BG27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CY27" i="14" s="1"/>
  <c r="AB27" i="14"/>
  <c r="Z27" i="14"/>
  <c r="Y27" i="14"/>
  <c r="X27" i="14"/>
  <c r="W27" i="14"/>
  <c r="V27" i="14"/>
  <c r="U27" i="14"/>
  <c r="T27" i="14"/>
  <c r="R27" i="14"/>
  <c r="Q27" i="14"/>
  <c r="P27" i="14"/>
  <c r="O27" i="14"/>
  <c r="M27" i="14"/>
  <c r="L27" i="14"/>
  <c r="J27" i="14"/>
  <c r="I27" i="14"/>
  <c r="H27" i="14"/>
  <c r="C27" i="14" s="1"/>
  <c r="G27" i="14"/>
  <c r="F27" i="14"/>
  <c r="CZ27" i="14" s="1"/>
  <c r="CM26" i="14"/>
  <c r="CK26" i="14"/>
  <c r="CJ26" i="14"/>
  <c r="CI26" i="14"/>
  <c r="CH26" i="14"/>
  <c r="CG26" i="14"/>
  <c r="CF26" i="14"/>
  <c r="CE26" i="14"/>
  <c r="CD26" i="14"/>
  <c r="CC26" i="14"/>
  <c r="CB26" i="14"/>
  <c r="CA26" i="14"/>
  <c r="BZ26" i="14"/>
  <c r="BY26" i="14"/>
  <c r="BX26" i="14"/>
  <c r="BW26" i="14"/>
  <c r="BV26" i="14"/>
  <c r="BU26" i="14"/>
  <c r="CV26" i="14" s="1"/>
  <c r="BT26" i="14"/>
  <c r="BS26" i="14"/>
  <c r="BR26" i="14"/>
  <c r="BQ26" i="14"/>
  <c r="BP26" i="14"/>
  <c r="BO26" i="14"/>
  <c r="BN26" i="14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Z26" i="14"/>
  <c r="Y26" i="14"/>
  <c r="X26" i="14"/>
  <c r="W26" i="14"/>
  <c r="V26" i="14"/>
  <c r="U26" i="14"/>
  <c r="T26" i="14"/>
  <c r="R26" i="14"/>
  <c r="Q26" i="14"/>
  <c r="P26" i="14"/>
  <c r="O26" i="14"/>
  <c r="M26" i="14"/>
  <c r="L26" i="14"/>
  <c r="J26" i="14"/>
  <c r="I26" i="14"/>
  <c r="H26" i="14"/>
  <c r="G26" i="14"/>
  <c r="F26" i="14"/>
  <c r="CZ26" i="14" s="1"/>
  <c r="D26" i="14"/>
  <c r="C26" i="14"/>
  <c r="A26" i="14"/>
  <c r="CM25" i="14"/>
  <c r="CK25" i="14"/>
  <c r="CJ25" i="14"/>
  <c r="CI25" i="14"/>
  <c r="CH25" i="14"/>
  <c r="CG25" i="14"/>
  <c r="CF25" i="14"/>
  <c r="CE25" i="14"/>
  <c r="CD25" i="14"/>
  <c r="CC25" i="14"/>
  <c r="CB25" i="14"/>
  <c r="CA25" i="14"/>
  <c r="BZ25" i="14"/>
  <c r="BY25" i="14"/>
  <c r="BX25" i="14"/>
  <c r="BW25" i="14"/>
  <c r="BV25" i="14"/>
  <c r="BU25" i="14"/>
  <c r="BT25" i="14"/>
  <c r="BS25" i="14"/>
  <c r="BR25" i="14"/>
  <c r="BQ25" i="14"/>
  <c r="BP25" i="14"/>
  <c r="BO25" i="14"/>
  <c r="BN25" i="14"/>
  <c r="BM25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Z25" i="14"/>
  <c r="Y25" i="14"/>
  <c r="X25" i="14"/>
  <c r="W25" i="14"/>
  <c r="V25" i="14"/>
  <c r="U25" i="14"/>
  <c r="T25" i="14"/>
  <c r="R25" i="14"/>
  <c r="Q25" i="14"/>
  <c r="P25" i="14"/>
  <c r="O25" i="14"/>
  <c r="M25" i="14"/>
  <c r="L25" i="14"/>
  <c r="J25" i="14"/>
  <c r="I25" i="14"/>
  <c r="H25" i="14"/>
  <c r="C25" i="14" s="1"/>
  <c r="G25" i="14"/>
  <c r="F25" i="14"/>
  <c r="CZ25" i="14" s="1"/>
  <c r="CM24" i="14"/>
  <c r="CK24" i="14"/>
  <c r="CJ24" i="14"/>
  <c r="CI24" i="14"/>
  <c r="CH24" i="14"/>
  <c r="CG24" i="14"/>
  <c r="CF24" i="14"/>
  <c r="CE24" i="14"/>
  <c r="CD24" i="14"/>
  <c r="CC24" i="14"/>
  <c r="CB24" i="14"/>
  <c r="CA24" i="14"/>
  <c r="BZ24" i="14"/>
  <c r="BY24" i="14"/>
  <c r="BX24" i="14"/>
  <c r="BW24" i="14"/>
  <c r="BV24" i="14"/>
  <c r="BU24" i="14"/>
  <c r="CV24" i="14" s="1"/>
  <c r="BT24" i="14"/>
  <c r="BS24" i="14"/>
  <c r="BR24" i="14"/>
  <c r="BQ24" i="14"/>
  <c r="BP24" i="14"/>
  <c r="BO24" i="14"/>
  <c r="BN24" i="14"/>
  <c r="BM24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CY24" i="14" s="1"/>
  <c r="AB24" i="14"/>
  <c r="Z24" i="14"/>
  <c r="Y24" i="14"/>
  <c r="X24" i="14"/>
  <c r="W24" i="14"/>
  <c r="V24" i="14"/>
  <c r="U24" i="14"/>
  <c r="T24" i="14"/>
  <c r="R24" i="14"/>
  <c r="Q24" i="14"/>
  <c r="P24" i="14"/>
  <c r="O24" i="14"/>
  <c r="M24" i="14"/>
  <c r="L24" i="14"/>
  <c r="J24" i="14"/>
  <c r="I24" i="14"/>
  <c r="H24" i="14"/>
  <c r="C24" i="14" s="1"/>
  <c r="G24" i="14"/>
  <c r="F24" i="14"/>
  <c r="CZ24" i="14" s="1"/>
  <c r="D24" i="14"/>
  <c r="CM23" i="14"/>
  <c r="CK23" i="14"/>
  <c r="CJ23" i="14"/>
  <c r="CI23" i="14"/>
  <c r="CH23" i="14"/>
  <c r="CG23" i="14"/>
  <c r="CF23" i="14"/>
  <c r="CE23" i="14"/>
  <c r="CD23" i="14"/>
  <c r="CC23" i="14"/>
  <c r="CB23" i="14"/>
  <c r="CA23" i="14"/>
  <c r="BZ23" i="14"/>
  <c r="BY23" i="14"/>
  <c r="BX23" i="14"/>
  <c r="BW23" i="14"/>
  <c r="BV23" i="14"/>
  <c r="BU23" i="14"/>
  <c r="BT23" i="14"/>
  <c r="BS23" i="14"/>
  <c r="BR23" i="14"/>
  <c r="BQ23" i="14"/>
  <c r="BP23" i="14"/>
  <c r="BO23" i="14"/>
  <c r="BN23" i="14"/>
  <c r="BM23" i="14"/>
  <c r="BL23" i="14"/>
  <c r="BK23" i="14"/>
  <c r="BJ23" i="14"/>
  <c r="BI23" i="14"/>
  <c r="BH23" i="14"/>
  <c r="BG23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Z23" i="14"/>
  <c r="Y23" i="14"/>
  <c r="X23" i="14"/>
  <c r="W23" i="14"/>
  <c r="V23" i="14"/>
  <c r="U23" i="14"/>
  <c r="T23" i="14"/>
  <c r="R23" i="14"/>
  <c r="Q23" i="14"/>
  <c r="P23" i="14"/>
  <c r="O23" i="14"/>
  <c r="M23" i="14"/>
  <c r="L23" i="14"/>
  <c r="J23" i="14"/>
  <c r="I23" i="14"/>
  <c r="H23" i="14"/>
  <c r="G23" i="14"/>
  <c r="F23" i="14"/>
  <c r="CZ23" i="14" s="1"/>
  <c r="CM22" i="14"/>
  <c r="CK22" i="14"/>
  <c r="CJ22" i="14"/>
  <c r="CI22" i="14"/>
  <c r="CH22" i="14"/>
  <c r="CG22" i="14"/>
  <c r="CF22" i="14"/>
  <c r="CE22" i="14"/>
  <c r="CD22" i="14"/>
  <c r="CC22" i="14"/>
  <c r="CB22" i="14"/>
  <c r="CA22" i="14"/>
  <c r="BZ22" i="14"/>
  <c r="BY22" i="14"/>
  <c r="BX22" i="14"/>
  <c r="BW22" i="14"/>
  <c r="BV22" i="14"/>
  <c r="BU22" i="14"/>
  <c r="CV22" i="14" s="1"/>
  <c r="BT22" i="14"/>
  <c r="BS22" i="14"/>
  <c r="BR22" i="14"/>
  <c r="BQ22" i="14"/>
  <c r="BP22" i="14"/>
  <c r="BO22" i="14"/>
  <c r="BN22" i="14"/>
  <c r="BM22" i="14"/>
  <c r="BL22" i="14"/>
  <c r="BK22" i="14"/>
  <c r="BJ22" i="14"/>
  <c r="BI22" i="14"/>
  <c r="BH22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Z22" i="14"/>
  <c r="Y22" i="14"/>
  <c r="X22" i="14"/>
  <c r="W22" i="14"/>
  <c r="V22" i="14"/>
  <c r="U22" i="14"/>
  <c r="T22" i="14"/>
  <c r="R22" i="14"/>
  <c r="Q22" i="14"/>
  <c r="P22" i="14"/>
  <c r="O22" i="14"/>
  <c r="M22" i="14"/>
  <c r="L22" i="14"/>
  <c r="J22" i="14"/>
  <c r="I22" i="14"/>
  <c r="H22" i="14"/>
  <c r="C22" i="14" s="1"/>
  <c r="G22" i="14"/>
  <c r="F22" i="14"/>
  <c r="CZ22" i="14" s="1"/>
  <c r="E22" i="14"/>
  <c r="D22" i="14"/>
  <c r="CM21" i="14"/>
  <c r="CK21" i="14"/>
  <c r="CJ21" i="14"/>
  <c r="CI21" i="14"/>
  <c r="CH21" i="14"/>
  <c r="CG21" i="14"/>
  <c r="CF21" i="14"/>
  <c r="CE21" i="14"/>
  <c r="CD21" i="14"/>
  <c r="CC21" i="14"/>
  <c r="CB21" i="14"/>
  <c r="CA21" i="14"/>
  <c r="BZ21" i="14"/>
  <c r="BY21" i="14"/>
  <c r="BX21" i="14"/>
  <c r="BW21" i="14"/>
  <c r="BV21" i="14"/>
  <c r="BU21" i="14"/>
  <c r="CV21" i="14" s="1"/>
  <c r="BT21" i="14"/>
  <c r="BS21" i="14"/>
  <c r="BR21" i="14"/>
  <c r="BQ21" i="14"/>
  <c r="BP21" i="14"/>
  <c r="BO21" i="14"/>
  <c r="BN21" i="14"/>
  <c r="BM21" i="14"/>
  <c r="BL21" i="14"/>
  <c r="BK21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CY21" i="14" s="1"/>
  <c r="AB21" i="14"/>
  <c r="Z21" i="14"/>
  <c r="Y21" i="14"/>
  <c r="X21" i="14"/>
  <c r="W21" i="14"/>
  <c r="V21" i="14"/>
  <c r="CR21" i="14" s="1"/>
  <c r="U21" i="14"/>
  <c r="T21" i="14"/>
  <c r="R21" i="14"/>
  <c r="Q21" i="14"/>
  <c r="P21" i="14"/>
  <c r="O21" i="14"/>
  <c r="M21" i="14"/>
  <c r="L21" i="14"/>
  <c r="J21" i="14"/>
  <c r="I21" i="14"/>
  <c r="H21" i="14"/>
  <c r="G21" i="14"/>
  <c r="F21" i="14"/>
  <c r="CZ21" i="14" s="1"/>
  <c r="E21" i="14"/>
  <c r="C21" i="14"/>
  <c r="CM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U20" i="14"/>
  <c r="BT20" i="14"/>
  <c r="BS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CY20" i="14" s="1"/>
  <c r="AB20" i="14"/>
  <c r="Z20" i="14"/>
  <c r="Y20" i="14"/>
  <c r="X20" i="14"/>
  <c r="W20" i="14"/>
  <c r="V20" i="14"/>
  <c r="U20" i="14"/>
  <c r="T20" i="14"/>
  <c r="R20" i="14"/>
  <c r="Q20" i="14"/>
  <c r="P20" i="14"/>
  <c r="O20" i="14"/>
  <c r="M20" i="14"/>
  <c r="L20" i="14"/>
  <c r="J20" i="14"/>
  <c r="I20" i="14"/>
  <c r="H20" i="14"/>
  <c r="G20" i="14"/>
  <c r="F20" i="14"/>
  <c r="CZ20" i="14" s="1"/>
  <c r="CM19" i="14"/>
  <c r="CK19" i="14"/>
  <c r="CJ19" i="14"/>
  <c r="CI19" i="14"/>
  <c r="CH19" i="14"/>
  <c r="CG19" i="14"/>
  <c r="CF19" i="14"/>
  <c r="CE19" i="14"/>
  <c r="CD19" i="14"/>
  <c r="CC19" i="14"/>
  <c r="CB19" i="14"/>
  <c r="CA19" i="14"/>
  <c r="BZ19" i="14"/>
  <c r="BY19" i="14"/>
  <c r="BX19" i="14"/>
  <c r="BW19" i="14"/>
  <c r="BV19" i="14"/>
  <c r="BU19" i="14"/>
  <c r="CV19" i="14" s="1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Z19" i="14"/>
  <c r="Y19" i="14"/>
  <c r="X19" i="14"/>
  <c r="W19" i="14"/>
  <c r="V19" i="14"/>
  <c r="U19" i="14"/>
  <c r="T19" i="14"/>
  <c r="R19" i="14"/>
  <c r="Q19" i="14"/>
  <c r="D19" i="14" s="1"/>
  <c r="P19" i="14"/>
  <c r="O19" i="14"/>
  <c r="M19" i="14"/>
  <c r="L19" i="14"/>
  <c r="J19" i="14"/>
  <c r="I19" i="14"/>
  <c r="H19" i="14"/>
  <c r="G19" i="14"/>
  <c r="F19" i="14"/>
  <c r="CZ19" i="14" s="1"/>
  <c r="E19" i="14"/>
  <c r="C19" i="14"/>
  <c r="A19" i="14"/>
  <c r="CM18" i="14"/>
  <c r="CK18" i="14"/>
  <c r="CJ18" i="14"/>
  <c r="CI18" i="14"/>
  <c r="CH18" i="14"/>
  <c r="CG18" i="14"/>
  <c r="CF18" i="14"/>
  <c r="CE18" i="14"/>
  <c r="CD18" i="14"/>
  <c r="CC18" i="14"/>
  <c r="CB18" i="14"/>
  <c r="CA18" i="14"/>
  <c r="BZ18" i="14"/>
  <c r="BY18" i="14"/>
  <c r="BX18" i="14"/>
  <c r="BW18" i="14"/>
  <c r="BV18" i="14"/>
  <c r="BU18" i="14"/>
  <c r="CV18" i="14" s="1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CY18" i="14" s="1"/>
  <c r="AB18" i="14"/>
  <c r="Z18" i="14"/>
  <c r="Y18" i="14"/>
  <c r="X18" i="14"/>
  <c r="W18" i="14"/>
  <c r="V18" i="14"/>
  <c r="U18" i="14"/>
  <c r="T18" i="14"/>
  <c r="R18" i="14"/>
  <c r="Q18" i="14"/>
  <c r="P18" i="14"/>
  <c r="O18" i="14"/>
  <c r="M18" i="14"/>
  <c r="L18" i="14"/>
  <c r="J18" i="14"/>
  <c r="I18" i="14"/>
  <c r="H18" i="14"/>
  <c r="C18" i="14" s="1"/>
  <c r="G18" i="14"/>
  <c r="F18" i="14"/>
  <c r="CZ18" i="14" s="1"/>
  <c r="D18" i="14"/>
  <c r="CM17" i="14"/>
  <c r="CK17" i="14"/>
  <c r="CJ17" i="14"/>
  <c r="CI17" i="14"/>
  <c r="CH17" i="14"/>
  <c r="CG17" i="14"/>
  <c r="CF17" i="14"/>
  <c r="CE17" i="14"/>
  <c r="CD17" i="14"/>
  <c r="CC17" i="14"/>
  <c r="CB17" i="14"/>
  <c r="CA17" i="14"/>
  <c r="BZ17" i="14"/>
  <c r="BY17" i="14"/>
  <c r="BX17" i="14"/>
  <c r="BW17" i="14"/>
  <c r="BV17" i="14"/>
  <c r="BU17" i="14"/>
  <c r="CV17" i="14" s="1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CY17" i="14" s="1"/>
  <c r="AB17" i="14"/>
  <c r="Z17" i="14"/>
  <c r="Y17" i="14"/>
  <c r="X17" i="14"/>
  <c r="CU17" i="14" s="1"/>
  <c r="W17" i="14"/>
  <c r="V17" i="14"/>
  <c r="U17" i="14"/>
  <c r="T17" i="14"/>
  <c r="R17" i="14"/>
  <c r="Q17" i="14"/>
  <c r="P17" i="14"/>
  <c r="O17" i="14"/>
  <c r="M17" i="14"/>
  <c r="L17" i="14"/>
  <c r="J17" i="14"/>
  <c r="I17" i="14"/>
  <c r="H17" i="14"/>
  <c r="G17" i="14"/>
  <c r="F17" i="14"/>
  <c r="CZ17" i="14" s="1"/>
  <c r="CM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CV16" i="14" s="1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P16" i="14" s="1"/>
  <c r="AC16" i="14"/>
  <c r="CY16" i="14" s="1"/>
  <c r="AB16" i="14"/>
  <c r="Z16" i="14"/>
  <c r="Y16" i="14"/>
  <c r="X16" i="14"/>
  <c r="W16" i="14"/>
  <c r="V16" i="14"/>
  <c r="CR16" i="14" s="1"/>
  <c r="U16" i="14"/>
  <c r="T16" i="14"/>
  <c r="R16" i="14"/>
  <c r="Q16" i="14"/>
  <c r="P16" i="14"/>
  <c r="O16" i="14"/>
  <c r="M16" i="14"/>
  <c r="L16" i="14"/>
  <c r="J16" i="14"/>
  <c r="I16" i="14"/>
  <c r="H16" i="14"/>
  <c r="G16" i="14"/>
  <c r="F16" i="14"/>
  <c r="CZ16" i="14" s="1"/>
  <c r="E16" i="14"/>
  <c r="D16" i="14"/>
  <c r="C16" i="14"/>
  <c r="CM15" i="14"/>
  <c r="CK15" i="14"/>
  <c r="CJ15" i="14"/>
  <c r="CI15" i="14"/>
  <c r="CH15" i="14"/>
  <c r="CG15" i="14"/>
  <c r="CF15" i="14"/>
  <c r="CE15" i="14"/>
  <c r="CD15" i="14"/>
  <c r="CC15" i="14"/>
  <c r="CB15" i="14"/>
  <c r="CA15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Z15" i="14"/>
  <c r="Y15" i="14"/>
  <c r="X15" i="14"/>
  <c r="W15" i="14"/>
  <c r="V15" i="14"/>
  <c r="U15" i="14"/>
  <c r="T15" i="14"/>
  <c r="R15" i="14"/>
  <c r="Q15" i="14"/>
  <c r="P15" i="14"/>
  <c r="O15" i="14"/>
  <c r="M15" i="14"/>
  <c r="L15" i="14"/>
  <c r="J15" i="14"/>
  <c r="I15" i="14"/>
  <c r="H15" i="14"/>
  <c r="G15" i="14"/>
  <c r="F15" i="14"/>
  <c r="CZ15" i="14" s="1"/>
  <c r="CM14" i="14"/>
  <c r="CK14" i="14"/>
  <c r="CJ14" i="14"/>
  <c r="CI14" i="14"/>
  <c r="CH14" i="14"/>
  <c r="CG14" i="14"/>
  <c r="CF14" i="14"/>
  <c r="CE14" i="14"/>
  <c r="CD14" i="14"/>
  <c r="CC14" i="14"/>
  <c r="CB14" i="14"/>
  <c r="CA14" i="14"/>
  <c r="BZ14" i="14"/>
  <c r="BY14" i="14"/>
  <c r="BX14" i="14"/>
  <c r="BW14" i="14"/>
  <c r="BV14" i="14"/>
  <c r="BU14" i="14"/>
  <c r="CV14" i="14" s="1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Z14" i="14"/>
  <c r="Y14" i="14"/>
  <c r="X14" i="14"/>
  <c r="W14" i="14"/>
  <c r="V14" i="14"/>
  <c r="U14" i="14"/>
  <c r="T14" i="14"/>
  <c r="R14" i="14"/>
  <c r="Q14" i="14"/>
  <c r="P14" i="14"/>
  <c r="O14" i="14"/>
  <c r="M14" i="14"/>
  <c r="L14" i="14"/>
  <c r="J14" i="14"/>
  <c r="I14" i="14"/>
  <c r="H14" i="14"/>
  <c r="G14" i="14"/>
  <c r="F14" i="14"/>
  <c r="CZ14" i="14" s="1"/>
  <c r="D14" i="14"/>
  <c r="C14" i="14"/>
  <c r="A14" i="14"/>
  <c r="CM13" i="14"/>
  <c r="CK13" i="14"/>
  <c r="CJ13" i="14"/>
  <c r="CI13" i="14"/>
  <c r="CH13" i="14"/>
  <c r="CG13" i="14"/>
  <c r="CF13" i="14"/>
  <c r="CE13" i="14"/>
  <c r="CD13" i="14"/>
  <c r="CC13" i="14"/>
  <c r="CB13" i="14"/>
  <c r="CA13" i="14"/>
  <c r="BZ13" i="14"/>
  <c r="BY13" i="14"/>
  <c r="BX13" i="14"/>
  <c r="BW13" i="14"/>
  <c r="BV13" i="14"/>
  <c r="BU13" i="14"/>
  <c r="CV13" i="14" s="1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Z13" i="14"/>
  <c r="Y13" i="14"/>
  <c r="X13" i="14"/>
  <c r="W13" i="14"/>
  <c r="V13" i="14"/>
  <c r="U13" i="14"/>
  <c r="T13" i="14"/>
  <c r="R13" i="14"/>
  <c r="Q13" i="14"/>
  <c r="P13" i="14"/>
  <c r="O13" i="14"/>
  <c r="M13" i="14"/>
  <c r="L13" i="14"/>
  <c r="J13" i="14"/>
  <c r="I13" i="14"/>
  <c r="H13" i="14"/>
  <c r="G13" i="14"/>
  <c r="F13" i="14"/>
  <c r="CZ13" i="14" s="1"/>
  <c r="D13" i="14"/>
  <c r="C13" i="14"/>
  <c r="A13" i="14"/>
  <c r="CM12" i="14"/>
  <c r="CK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V12" i="14"/>
  <c r="BU12" i="14"/>
  <c r="CV12" i="14" s="1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CY12" i="14" s="1"/>
  <c r="AB12" i="14"/>
  <c r="Z12" i="14"/>
  <c r="Y12" i="14"/>
  <c r="X12" i="14"/>
  <c r="W12" i="14"/>
  <c r="V12" i="14"/>
  <c r="U12" i="14"/>
  <c r="T12" i="14"/>
  <c r="R12" i="14"/>
  <c r="Q12" i="14"/>
  <c r="P12" i="14"/>
  <c r="O12" i="14"/>
  <c r="M12" i="14"/>
  <c r="L12" i="14"/>
  <c r="J12" i="14"/>
  <c r="I12" i="14"/>
  <c r="H12" i="14"/>
  <c r="C12" i="14" s="1"/>
  <c r="G12" i="14"/>
  <c r="F12" i="14"/>
  <c r="CZ12" i="14" s="1"/>
  <c r="CM11" i="14"/>
  <c r="CK11" i="14"/>
  <c r="CJ11" i="14"/>
  <c r="CI11" i="14"/>
  <c r="CH11" i="14"/>
  <c r="CG11" i="14"/>
  <c r="CF11" i="14"/>
  <c r="CE11" i="14"/>
  <c r="CD11" i="14"/>
  <c r="CC11" i="14"/>
  <c r="CB11" i="14"/>
  <c r="CA11" i="14"/>
  <c r="BZ11" i="14"/>
  <c r="BY11" i="14"/>
  <c r="BX11" i="14"/>
  <c r="BW11" i="14"/>
  <c r="BV11" i="14"/>
  <c r="BU11" i="14"/>
  <c r="CV11" i="14" s="1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CY11" i="14" s="1"/>
  <c r="AB11" i="14"/>
  <c r="Z11" i="14"/>
  <c r="Y11" i="14"/>
  <c r="X11" i="14"/>
  <c r="W11" i="14"/>
  <c r="V11" i="14"/>
  <c r="U11" i="14"/>
  <c r="T11" i="14"/>
  <c r="R11" i="14"/>
  <c r="Q11" i="14"/>
  <c r="P11" i="14"/>
  <c r="O11" i="14"/>
  <c r="M11" i="14"/>
  <c r="L11" i="14"/>
  <c r="J11" i="14"/>
  <c r="I11" i="14"/>
  <c r="H11" i="14"/>
  <c r="C11" i="14" s="1"/>
  <c r="G11" i="14"/>
  <c r="F11" i="14"/>
  <c r="CZ11" i="14" s="1"/>
  <c r="CM10" i="14"/>
  <c r="CK10" i="14"/>
  <c r="CJ10" i="14"/>
  <c r="CI10" i="14"/>
  <c r="CH10" i="14"/>
  <c r="CG10" i="14"/>
  <c r="CF10" i="14"/>
  <c r="CE10" i="14"/>
  <c r="CD10" i="14"/>
  <c r="CC10" i="14"/>
  <c r="CB10" i="14"/>
  <c r="CA10" i="14"/>
  <c r="BZ10" i="14"/>
  <c r="BY10" i="14"/>
  <c r="BX10" i="14"/>
  <c r="BW10" i="14"/>
  <c r="BV10" i="14"/>
  <c r="BU10" i="14"/>
  <c r="CV10" i="14" s="1"/>
  <c r="BT10" i="14"/>
  <c r="BS10" i="14"/>
  <c r="BR10" i="14"/>
  <c r="BQ10" i="14"/>
  <c r="BP10" i="14"/>
  <c r="BO10" i="14"/>
  <c r="BN10" i="14"/>
  <c r="BM10" i="14"/>
  <c r="BL10" i="14"/>
  <c r="BK10" i="14"/>
  <c r="BJ10" i="14"/>
  <c r="BI10" i="14"/>
  <c r="BH10" i="14"/>
  <c r="BG10" i="14"/>
  <c r="BF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Z10" i="14"/>
  <c r="Y10" i="14"/>
  <c r="X10" i="14"/>
  <c r="W10" i="14"/>
  <c r="V10" i="14"/>
  <c r="U10" i="14"/>
  <c r="T10" i="14"/>
  <c r="R10" i="14"/>
  <c r="Q10" i="14"/>
  <c r="P10" i="14"/>
  <c r="O10" i="14"/>
  <c r="M10" i="14"/>
  <c r="L10" i="14"/>
  <c r="J10" i="14"/>
  <c r="I10" i="14"/>
  <c r="H10" i="14"/>
  <c r="G10" i="14"/>
  <c r="F10" i="14"/>
  <c r="CZ10" i="14" s="1"/>
  <c r="A10" i="14"/>
  <c r="CM9" i="14"/>
  <c r="CK9" i="14"/>
  <c r="CJ9" i="14"/>
  <c r="CI9" i="14"/>
  <c r="CH9" i="14"/>
  <c r="CG9" i="14"/>
  <c r="CF9" i="14"/>
  <c r="CE9" i="14"/>
  <c r="CD9" i="14"/>
  <c r="CC9" i="14"/>
  <c r="CB9" i="14"/>
  <c r="CA9" i="14"/>
  <c r="BZ9" i="14"/>
  <c r="BY9" i="14"/>
  <c r="BX9" i="14"/>
  <c r="BW9" i="14"/>
  <c r="BV9" i="14"/>
  <c r="BU9" i="14"/>
  <c r="CV9" i="14" s="1"/>
  <c r="BT9" i="14"/>
  <c r="BS9" i="14"/>
  <c r="BR9" i="14"/>
  <c r="BQ9" i="14"/>
  <c r="BP9" i="14"/>
  <c r="BO9" i="14"/>
  <c r="BN9" i="14"/>
  <c r="BM9" i="14"/>
  <c r="BL9" i="14"/>
  <c r="BK9" i="14"/>
  <c r="BJ9" i="14"/>
  <c r="BI9" i="14"/>
  <c r="BH9" i="14"/>
  <c r="BG9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Z9" i="14"/>
  <c r="Y9" i="14"/>
  <c r="X9" i="14"/>
  <c r="W9" i="14"/>
  <c r="V9" i="14"/>
  <c r="U9" i="14"/>
  <c r="T9" i="14"/>
  <c r="R9" i="14"/>
  <c r="Q9" i="14"/>
  <c r="D9" i="14" s="1"/>
  <c r="P9" i="14"/>
  <c r="O9" i="14"/>
  <c r="M9" i="14"/>
  <c r="L9" i="14"/>
  <c r="J9" i="14"/>
  <c r="I9" i="14"/>
  <c r="H9" i="14"/>
  <c r="C9" i="14" s="1"/>
  <c r="G9" i="14"/>
  <c r="F9" i="14"/>
  <c r="CZ9" i="14" s="1"/>
  <c r="CM8" i="14"/>
  <c r="CK8" i="14"/>
  <c r="CJ8" i="14"/>
  <c r="CI8" i="14"/>
  <c r="CH8" i="14"/>
  <c r="CG8" i="14"/>
  <c r="CF8" i="14"/>
  <c r="CE8" i="14"/>
  <c r="CD8" i="14"/>
  <c r="CC8" i="14"/>
  <c r="CB8" i="14"/>
  <c r="CA8" i="14"/>
  <c r="BZ8" i="14"/>
  <c r="BY8" i="14"/>
  <c r="BX8" i="14"/>
  <c r="BW8" i="14"/>
  <c r="BV8" i="14"/>
  <c r="BU8" i="14"/>
  <c r="CV8" i="14" s="1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P8" i="14" s="1"/>
  <c r="AC8" i="14"/>
  <c r="CY8" i="14" s="1"/>
  <c r="AB8" i="14"/>
  <c r="Z8" i="14"/>
  <c r="Y8" i="14"/>
  <c r="X8" i="14"/>
  <c r="W8" i="14"/>
  <c r="V8" i="14"/>
  <c r="U8" i="14"/>
  <c r="T8" i="14"/>
  <c r="R8" i="14"/>
  <c r="Q8" i="14"/>
  <c r="D8" i="14" s="1"/>
  <c r="P8" i="14"/>
  <c r="O8" i="14"/>
  <c r="M8" i="14"/>
  <c r="L8" i="14"/>
  <c r="J8" i="14"/>
  <c r="I8" i="14"/>
  <c r="H8" i="14"/>
  <c r="G8" i="14"/>
  <c r="F8" i="14"/>
  <c r="CZ8" i="14" s="1"/>
  <c r="E8" i="14"/>
  <c r="C8" i="14"/>
  <c r="CM7" i="14"/>
  <c r="CK7" i="14"/>
  <c r="CJ7" i="14"/>
  <c r="CI7" i="14"/>
  <c r="CH7" i="14"/>
  <c r="CG7" i="14"/>
  <c r="CF7" i="14"/>
  <c r="CE7" i="14"/>
  <c r="CD7" i="14"/>
  <c r="CC7" i="14"/>
  <c r="CB7" i="14"/>
  <c r="CA7" i="14"/>
  <c r="BZ7" i="14"/>
  <c r="BY7" i="14"/>
  <c r="BX7" i="14"/>
  <c r="BW7" i="14"/>
  <c r="BV7" i="14"/>
  <c r="BU7" i="14"/>
  <c r="CV7" i="14" s="1"/>
  <c r="BT7" i="14"/>
  <c r="BS7" i="14"/>
  <c r="BR7" i="14"/>
  <c r="BQ7" i="14"/>
  <c r="BP7" i="14"/>
  <c r="BO7" i="14"/>
  <c r="BN7" i="14"/>
  <c r="BM7" i="14"/>
  <c r="BL7" i="14"/>
  <c r="BK7" i="14"/>
  <c r="BJ7" i="14"/>
  <c r="BI7" i="14"/>
  <c r="BH7" i="14"/>
  <c r="BG7" i="14"/>
  <c r="BF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CX7" i="14" s="1"/>
  <c r="AS7" i="14"/>
  <c r="AR7" i="14"/>
  <c r="AQ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Z7" i="14"/>
  <c r="Y7" i="14"/>
  <c r="X7" i="14"/>
  <c r="W7" i="14"/>
  <c r="V7" i="14"/>
  <c r="U7" i="14"/>
  <c r="T7" i="14"/>
  <c r="R7" i="14"/>
  <c r="Q7" i="14"/>
  <c r="P7" i="14"/>
  <c r="O7" i="14"/>
  <c r="M7" i="14"/>
  <c r="L7" i="14"/>
  <c r="J7" i="14"/>
  <c r="I7" i="14"/>
  <c r="H7" i="14"/>
  <c r="C7" i="14" s="1"/>
  <c r="G7" i="14"/>
  <c r="F7" i="14"/>
  <c r="CZ7" i="14" s="1"/>
  <c r="CM6" i="14"/>
  <c r="CK6" i="14"/>
  <c r="CJ6" i="14"/>
  <c r="CI6" i="14"/>
  <c r="CH6" i="14"/>
  <c r="CG6" i="14"/>
  <c r="CF6" i="14"/>
  <c r="CE6" i="14"/>
  <c r="CD6" i="14"/>
  <c r="CC6" i="14"/>
  <c r="CB6" i="14"/>
  <c r="CA6" i="14"/>
  <c r="BZ6" i="14"/>
  <c r="BY6" i="14"/>
  <c r="BX6" i="14"/>
  <c r="BW6" i="14"/>
  <c r="BV6" i="14"/>
  <c r="BU6" i="14"/>
  <c r="CV6" i="14" s="1"/>
  <c r="BT6" i="14"/>
  <c r="BS6" i="14"/>
  <c r="BR6" i="14"/>
  <c r="BQ6" i="14"/>
  <c r="BP6" i="14"/>
  <c r="BO6" i="14"/>
  <c r="BN6" i="14"/>
  <c r="BM6" i="14"/>
  <c r="BL6" i="14"/>
  <c r="BK6" i="14"/>
  <c r="BJ6" i="14"/>
  <c r="BI6" i="14"/>
  <c r="BH6" i="14"/>
  <c r="BG6" i="14"/>
  <c r="BF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P6" i="14" s="1"/>
  <c r="AC6" i="14"/>
  <c r="CY6" i="14" s="1"/>
  <c r="AB6" i="14"/>
  <c r="Z6" i="14"/>
  <c r="Y6" i="14"/>
  <c r="X6" i="14"/>
  <c r="W6" i="14"/>
  <c r="V6" i="14"/>
  <c r="U6" i="14"/>
  <c r="T6" i="14"/>
  <c r="R6" i="14"/>
  <c r="Q6" i="14"/>
  <c r="D6" i="14" s="1"/>
  <c r="P6" i="14"/>
  <c r="O6" i="14"/>
  <c r="M6" i="14"/>
  <c r="L6" i="14"/>
  <c r="J6" i="14"/>
  <c r="I6" i="14"/>
  <c r="H6" i="14"/>
  <c r="G6" i="14"/>
  <c r="F6" i="14"/>
  <c r="CZ6" i="14" s="1"/>
  <c r="C6" i="14"/>
  <c r="A6" i="14"/>
  <c r="CM5" i="14"/>
  <c r="CK5" i="14"/>
  <c r="CJ5" i="14"/>
  <c r="CI5" i="14"/>
  <c r="CH5" i="14"/>
  <c r="CG5" i="14"/>
  <c r="CF5" i="14"/>
  <c r="CE5" i="14"/>
  <c r="CD5" i="14"/>
  <c r="CC5" i="14"/>
  <c r="CB5" i="14"/>
  <c r="CA5" i="14"/>
  <c r="BZ5" i="14"/>
  <c r="BY5" i="14"/>
  <c r="BX5" i="14"/>
  <c r="BW5" i="14"/>
  <c r="BV5" i="14"/>
  <c r="BU5" i="14"/>
  <c r="CV5" i="14" s="1"/>
  <c r="BT5" i="14"/>
  <c r="BS5" i="14"/>
  <c r="BR5" i="14"/>
  <c r="BQ5" i="14"/>
  <c r="BP5" i="14"/>
  <c r="BO5" i="14"/>
  <c r="BN5" i="14"/>
  <c r="BM5" i="14"/>
  <c r="BL5" i="14"/>
  <c r="BK5" i="14"/>
  <c r="BJ5" i="14"/>
  <c r="BI5" i="14"/>
  <c r="BH5" i="14"/>
  <c r="BG5" i="14"/>
  <c r="BF5" i="14"/>
  <c r="BE5" i="14"/>
  <c r="BD5" i="14"/>
  <c r="BC5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Z5" i="14"/>
  <c r="Y5" i="14"/>
  <c r="X5" i="14"/>
  <c r="W5" i="14"/>
  <c r="V5" i="14"/>
  <c r="U5" i="14"/>
  <c r="T5" i="14"/>
  <c r="R5" i="14"/>
  <c r="Q5" i="14"/>
  <c r="P5" i="14"/>
  <c r="O5" i="14"/>
  <c r="M5" i="14"/>
  <c r="L5" i="14"/>
  <c r="J5" i="14"/>
  <c r="I5" i="14"/>
  <c r="H5" i="14"/>
  <c r="C5" i="14" s="1"/>
  <c r="G5" i="14"/>
  <c r="F5" i="14"/>
  <c r="CZ5" i="14" s="1"/>
  <c r="E5" i="14"/>
  <c r="CV4" i="14"/>
  <c r="CM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CX4" i="14" s="1"/>
  <c r="AS4" i="14"/>
  <c r="AR4" i="14"/>
  <c r="AQ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Z4" i="14"/>
  <c r="Y4" i="14"/>
  <c r="X4" i="14"/>
  <c r="W4" i="14"/>
  <c r="V4" i="14"/>
  <c r="U4" i="14"/>
  <c r="T4" i="14"/>
  <c r="R4" i="14"/>
  <c r="Q4" i="14"/>
  <c r="P4" i="14"/>
  <c r="O4" i="14"/>
  <c r="M4" i="14"/>
  <c r="L4" i="14"/>
  <c r="J4" i="14"/>
  <c r="I4" i="14"/>
  <c r="H4" i="14"/>
  <c r="C4" i="14" s="1"/>
  <c r="G4" i="14"/>
  <c r="F4" i="14"/>
  <c r="CZ4" i="14" s="1"/>
  <c r="DD2" i="14" a="1"/>
  <c r="DD2" i="14" s="1"/>
  <c r="AP128" i="14" l="1"/>
  <c r="AP127" i="14"/>
  <c r="AP126" i="14"/>
  <c r="AP123" i="14"/>
  <c r="CR123" i="14"/>
  <c r="CR122" i="14"/>
  <c r="AP121" i="14"/>
  <c r="AP119" i="14"/>
  <c r="AP118" i="14"/>
  <c r="AP116" i="14"/>
  <c r="CR116" i="14"/>
  <c r="CR115" i="14"/>
  <c r="AP114" i="14"/>
  <c r="AP113" i="14"/>
  <c r="AP112" i="14"/>
  <c r="CR111" i="14"/>
  <c r="AP109" i="14"/>
  <c r="AP108" i="14"/>
  <c r="AP105" i="14"/>
  <c r="AP104" i="14"/>
  <c r="CR104" i="14"/>
  <c r="AP103" i="14"/>
  <c r="CR102" i="14"/>
  <c r="AP101" i="14"/>
  <c r="CR101" i="14"/>
  <c r="AP100" i="14"/>
  <c r="AP98" i="14"/>
  <c r="CR97" i="14"/>
  <c r="CR95" i="14"/>
  <c r="CR94" i="14"/>
  <c r="CR93" i="14"/>
  <c r="AP92" i="14"/>
  <c r="CR92" i="14"/>
  <c r="AP91" i="14"/>
  <c r="CR91" i="14"/>
  <c r="AP88" i="14"/>
  <c r="CR87" i="14"/>
  <c r="CR86" i="14"/>
  <c r="AP84" i="14"/>
  <c r="CX83" i="14"/>
  <c r="CW83" i="14"/>
  <c r="CR82" i="14"/>
  <c r="CW81" i="14"/>
  <c r="AP81" i="14"/>
  <c r="CT81" i="14"/>
  <c r="AP80" i="14"/>
  <c r="CR80" i="14"/>
  <c r="CX79" i="14"/>
  <c r="CT79" i="14"/>
  <c r="CX78" i="14"/>
  <c r="AP78" i="14"/>
  <c r="AP77" i="14"/>
  <c r="CT77" i="14"/>
  <c r="CS77" i="14"/>
  <c r="AP76" i="14"/>
  <c r="AP75" i="14"/>
  <c r="CT75" i="14"/>
  <c r="CW74" i="14"/>
  <c r="CS73" i="14"/>
  <c r="CR73" i="14"/>
  <c r="CX72" i="14"/>
  <c r="CW72" i="14"/>
  <c r="AP72" i="14"/>
  <c r="CT72" i="14"/>
  <c r="CT71" i="14"/>
  <c r="CR71" i="14"/>
  <c r="CX70" i="14"/>
  <c r="CW70" i="14"/>
  <c r="AP70" i="14"/>
  <c r="CT69" i="14"/>
  <c r="CS69" i="14"/>
  <c r="CX68" i="14"/>
  <c r="AP68" i="14"/>
  <c r="CR68" i="14"/>
  <c r="CT67" i="14"/>
  <c r="CS67" i="14"/>
  <c r="CW66" i="14"/>
  <c r="AP66" i="14"/>
  <c r="CS66" i="14"/>
  <c r="CR66" i="14"/>
  <c r="AP65" i="14"/>
  <c r="CT65" i="14"/>
  <c r="CR65" i="14"/>
  <c r="CX64" i="14"/>
  <c r="CW64" i="14"/>
  <c r="AP64" i="14"/>
  <c r="CS64" i="14"/>
  <c r="CT63" i="14"/>
  <c r="CS63" i="14"/>
  <c r="CR63" i="14"/>
  <c r="CW62" i="14"/>
  <c r="AP62" i="14"/>
  <c r="AP61" i="14"/>
  <c r="CT61" i="14"/>
  <c r="CS61" i="14"/>
  <c r="CR61" i="14"/>
  <c r="CW60" i="14"/>
  <c r="CS59" i="14"/>
  <c r="CR59" i="14"/>
  <c r="CV58" i="14"/>
  <c r="CX58" i="14"/>
  <c r="CW58" i="14"/>
  <c r="AP58" i="14"/>
  <c r="CT58" i="14"/>
  <c r="CT57" i="14"/>
  <c r="CR57" i="14"/>
  <c r="CX56" i="14"/>
  <c r="CW56" i="14"/>
  <c r="AP56" i="14"/>
  <c r="CT55" i="14"/>
  <c r="CS55" i="14"/>
  <c r="CX54" i="14"/>
  <c r="AP54" i="14"/>
  <c r="CT53" i="14"/>
  <c r="CS53" i="14"/>
  <c r="CX52" i="14"/>
  <c r="CW52" i="14"/>
  <c r="AP52" i="14"/>
  <c r="CT51" i="14"/>
  <c r="CR51" i="14"/>
  <c r="CX50" i="14"/>
  <c r="CW50" i="14"/>
  <c r="AP50" i="14"/>
  <c r="CT49" i="14"/>
  <c r="CS49" i="14"/>
  <c r="CX48" i="14"/>
  <c r="AP48" i="14"/>
  <c r="AP47" i="14"/>
  <c r="CX45" i="14"/>
  <c r="CW45" i="14"/>
  <c r="CR45" i="14"/>
  <c r="CX44" i="14"/>
  <c r="CT44" i="14"/>
  <c r="CV43" i="14"/>
  <c r="CX43" i="14"/>
  <c r="AP43" i="14"/>
  <c r="CT42" i="14"/>
  <c r="CS42" i="14"/>
  <c r="CR42" i="14"/>
  <c r="CX41" i="14"/>
  <c r="CW41" i="14"/>
  <c r="AP40" i="14"/>
  <c r="CS40" i="14"/>
  <c r="CR40" i="14"/>
  <c r="CR39" i="14"/>
  <c r="CX38" i="14"/>
  <c r="CW38" i="14"/>
  <c r="AP37" i="14"/>
  <c r="CW36" i="14"/>
  <c r="AP36" i="14"/>
  <c r="CR36" i="14"/>
  <c r="CT35" i="14"/>
  <c r="CS35" i="14"/>
  <c r="CR35" i="14"/>
  <c r="CX34" i="14"/>
  <c r="AP34" i="14"/>
  <c r="AP33" i="14"/>
  <c r="CT33" i="14"/>
  <c r="CS32" i="14"/>
  <c r="CR32" i="14"/>
  <c r="CW31" i="14"/>
  <c r="CR31" i="14"/>
  <c r="CR30" i="14"/>
  <c r="CX29" i="14"/>
  <c r="CW29" i="14"/>
  <c r="AP29" i="14"/>
  <c r="CT28" i="14"/>
  <c r="CS28" i="14"/>
  <c r="CR28" i="14"/>
  <c r="CX27" i="14"/>
  <c r="CW27" i="14"/>
  <c r="CW26" i="14"/>
  <c r="AP26" i="14"/>
  <c r="CS26" i="14"/>
  <c r="CR26" i="14"/>
  <c r="AP25" i="14"/>
  <c r="CS25" i="14"/>
  <c r="CW24" i="14"/>
  <c r="CR23" i="14"/>
  <c r="CW22" i="14"/>
  <c r="AP22" i="14"/>
  <c r="CT22" i="14"/>
  <c r="CT21" i="14"/>
  <c r="CS21" i="14"/>
  <c r="CX20" i="14"/>
  <c r="CW20" i="14"/>
  <c r="AP19" i="14"/>
  <c r="CT19" i="14"/>
  <c r="CS19" i="14"/>
  <c r="CR19" i="14"/>
  <c r="AP18" i="14"/>
  <c r="CS18" i="14"/>
  <c r="CW17" i="14"/>
  <c r="CW16" i="14"/>
  <c r="CT16" i="14"/>
  <c r="CS16" i="14"/>
  <c r="AP15" i="14"/>
  <c r="CR15" i="14"/>
  <c r="CW14" i="14"/>
  <c r="CS14" i="14"/>
  <c r="CR14" i="14"/>
  <c r="CS13" i="14"/>
  <c r="CR13" i="14"/>
  <c r="CX12" i="14"/>
  <c r="CW12" i="14"/>
  <c r="AP12" i="14"/>
  <c r="CS11" i="14"/>
  <c r="CX10" i="14"/>
  <c r="CW10" i="14"/>
  <c r="CS10" i="14"/>
  <c r="CX9" i="14"/>
  <c r="AP9" i="14"/>
  <c r="CT8" i="14"/>
  <c r="CS8" i="14"/>
  <c r="CR8" i="14"/>
  <c r="AP7" i="14"/>
  <c r="CX6" i="14"/>
  <c r="CT6" i="14"/>
  <c r="CR6" i="14"/>
  <c r="CW5" i="14"/>
  <c r="CR4" i="14"/>
  <c r="E127" i="14"/>
  <c r="CR127" i="14"/>
  <c r="A126" i="14"/>
  <c r="CR126" i="14"/>
  <c r="E125" i="14"/>
  <c r="CR125" i="14"/>
  <c r="E124" i="14"/>
  <c r="CR124" i="14"/>
  <c r="E123" i="14"/>
  <c r="A123" i="14"/>
  <c r="E121" i="14"/>
  <c r="A121" i="14"/>
  <c r="CR121" i="14"/>
  <c r="CR120" i="14"/>
  <c r="CR119" i="14"/>
  <c r="E118" i="14"/>
  <c r="CR118" i="14"/>
  <c r="E117" i="14"/>
  <c r="CR117" i="14"/>
  <c r="E116" i="14"/>
  <c r="D113" i="14"/>
  <c r="CR113" i="14"/>
  <c r="A112" i="14"/>
  <c r="CR112" i="14"/>
  <c r="E111" i="14"/>
  <c r="A111" i="14"/>
  <c r="AP111" i="14"/>
  <c r="C111" i="14"/>
  <c r="E109" i="14"/>
  <c r="CR109" i="14"/>
  <c r="A108" i="14"/>
  <c r="E106" i="14"/>
  <c r="A106" i="14"/>
  <c r="CR106" i="14"/>
  <c r="CR105" i="14"/>
  <c r="CR99" i="14"/>
  <c r="E98" i="14"/>
  <c r="CR98" i="14"/>
  <c r="E97" i="14"/>
  <c r="AP96" i="14"/>
  <c r="A95" i="14"/>
  <c r="C94" i="14"/>
  <c r="C93" i="14"/>
  <c r="E91" i="14"/>
  <c r="A91" i="14"/>
  <c r="E90" i="14"/>
  <c r="A90" i="14"/>
  <c r="CR90" i="14"/>
  <c r="A88" i="14"/>
  <c r="CR88" i="14"/>
  <c r="AP87" i="14"/>
  <c r="E86" i="14"/>
  <c r="C86" i="14"/>
  <c r="E84" i="14"/>
  <c r="CT84" i="14"/>
  <c r="E83" i="14"/>
  <c r="CS83" i="14"/>
  <c r="CR83" i="14"/>
  <c r="CX82" i="14"/>
  <c r="CX81" i="14"/>
  <c r="A81" i="14"/>
  <c r="CS81" i="14"/>
  <c r="CS80" i="14"/>
  <c r="AP79" i="14"/>
  <c r="E78" i="14"/>
  <c r="CT78" i="14"/>
  <c r="CS78" i="14"/>
  <c r="CR78" i="14"/>
  <c r="CW77" i="14"/>
  <c r="CR77" i="14"/>
  <c r="CX76" i="14"/>
  <c r="CU76" i="14"/>
  <c r="CT76" i="14"/>
  <c r="CS76" i="14"/>
  <c r="CR75" i="14"/>
  <c r="A74" i="14"/>
  <c r="CT74" i="14"/>
  <c r="CU73" i="14"/>
  <c r="CT73" i="14"/>
  <c r="C73" i="14"/>
  <c r="D72" i="14"/>
  <c r="A72" i="14"/>
  <c r="E71" i="14"/>
  <c r="CW71" i="14"/>
  <c r="C71" i="14"/>
  <c r="CT70" i="14"/>
  <c r="E69" i="14"/>
  <c r="CX69" i="14"/>
  <c r="CW69" i="14"/>
  <c r="CR69" i="14"/>
  <c r="CT68" i="14"/>
  <c r="CS68" i="14"/>
  <c r="CX67" i="14"/>
  <c r="CR67" i="14"/>
  <c r="CX66" i="14"/>
  <c r="CT66" i="14"/>
  <c r="E65" i="14"/>
  <c r="C65" i="14"/>
  <c r="E64" i="14"/>
  <c r="A64" i="14"/>
  <c r="CT64" i="14"/>
  <c r="CR64" i="14"/>
  <c r="CX63" i="14"/>
  <c r="CW63" i="14"/>
  <c r="C63" i="14"/>
  <c r="CX62" i="14"/>
  <c r="CT62" i="14"/>
  <c r="CS62" i="14"/>
  <c r="CX61" i="14"/>
  <c r="CW61" i="14"/>
  <c r="CX60" i="14"/>
  <c r="CT60" i="14"/>
  <c r="CU59" i="14"/>
  <c r="CT59" i="14"/>
  <c r="C59" i="14"/>
  <c r="D58" i="14"/>
  <c r="CW57" i="14"/>
  <c r="AP57" i="14"/>
  <c r="E56" i="14"/>
  <c r="CU56" i="14"/>
  <c r="CT56" i="14"/>
  <c r="CX55" i="14"/>
  <c r="CW55" i="14"/>
  <c r="A54" i="14"/>
  <c r="CS54" i="14"/>
  <c r="CR54" i="14"/>
  <c r="CX53" i="14"/>
  <c r="CS52" i="14"/>
  <c r="CR52" i="14"/>
  <c r="C51" i="14"/>
  <c r="E50" i="14"/>
  <c r="CR50" i="14"/>
  <c r="E49" i="14"/>
  <c r="CX49" i="14"/>
  <c r="AP49" i="14"/>
  <c r="CR49" i="14"/>
  <c r="CU48" i="14"/>
  <c r="CT48" i="14"/>
  <c r="CS48" i="14"/>
  <c r="E47" i="14"/>
  <c r="CW47" i="14"/>
  <c r="CR47" i="14"/>
  <c r="A46" i="14"/>
  <c r="AP46" i="14"/>
  <c r="CU46" i="14"/>
  <c r="CT46" i="14"/>
  <c r="AP45" i="14"/>
  <c r="CT45" i="14"/>
  <c r="E44" i="14"/>
  <c r="CW44" i="14"/>
  <c r="AP44" i="14"/>
  <c r="CR44" i="14"/>
  <c r="C44" i="14"/>
  <c r="E43" i="14"/>
  <c r="CT43" i="14"/>
  <c r="CW42" i="14"/>
  <c r="C42" i="14"/>
  <c r="CS41" i="14"/>
  <c r="E40" i="14"/>
  <c r="CX40" i="14"/>
  <c r="CW40" i="14"/>
  <c r="CX39" i="14"/>
  <c r="CS39" i="14"/>
  <c r="E38" i="14"/>
  <c r="AP38" i="14"/>
  <c r="CT38" i="14"/>
  <c r="CS38" i="14"/>
  <c r="CR38" i="14"/>
  <c r="E37" i="14"/>
  <c r="CU37" i="14"/>
  <c r="CT37" i="14"/>
  <c r="CS37" i="14"/>
  <c r="CR37" i="14"/>
  <c r="E36" i="14"/>
  <c r="CX36" i="14"/>
  <c r="A36" i="14"/>
  <c r="CX35" i="14"/>
  <c r="CW35" i="14"/>
  <c r="D34" i="14"/>
  <c r="E34" i="14"/>
  <c r="CR34" i="14"/>
  <c r="A32" i="14"/>
  <c r="AP32" i="14"/>
  <c r="CU32" i="14"/>
  <c r="CT32" i="14"/>
  <c r="E31" i="14"/>
  <c r="CX31" i="14"/>
  <c r="AP31" i="14"/>
  <c r="CT31" i="14"/>
  <c r="E30" i="14"/>
  <c r="CX30" i="14"/>
  <c r="CW30" i="14"/>
  <c r="CT30" i="14"/>
  <c r="CS30" i="14"/>
  <c r="E29" i="14"/>
  <c r="A29" i="14"/>
  <c r="CT29" i="14"/>
  <c r="CW28" i="14"/>
  <c r="AP28" i="14"/>
  <c r="C28" i="14"/>
  <c r="E27" i="14"/>
  <c r="CU27" i="14"/>
  <c r="CT27" i="14"/>
  <c r="CR27" i="14"/>
  <c r="E26" i="14"/>
  <c r="CX26" i="14"/>
  <c r="CX25" i="14"/>
  <c r="CT25" i="14"/>
  <c r="CR25" i="14"/>
  <c r="CX24" i="14"/>
  <c r="CT24" i="14"/>
  <c r="CR24" i="14"/>
  <c r="A23" i="14"/>
  <c r="AP23" i="14"/>
  <c r="CT23" i="14"/>
  <c r="CX22" i="14"/>
  <c r="CS22" i="14"/>
  <c r="CX21" i="14"/>
  <c r="CW21" i="14"/>
  <c r="CU21" i="14"/>
  <c r="AP20" i="14"/>
  <c r="CU20" i="14"/>
  <c r="CT20" i="14"/>
  <c r="CR20" i="14"/>
  <c r="CX19" i="14"/>
  <c r="CW19" i="14"/>
  <c r="E18" i="14"/>
  <c r="CX18" i="14"/>
  <c r="CU18" i="14"/>
  <c r="CT18" i="14"/>
  <c r="CR18" i="14"/>
  <c r="E17" i="14"/>
  <c r="CX17" i="14"/>
  <c r="AP17" i="14"/>
  <c r="CX16" i="14"/>
  <c r="A16" i="14"/>
  <c r="CU16" i="14"/>
  <c r="CU15" i="14"/>
  <c r="CS15" i="14"/>
  <c r="C15" i="14"/>
  <c r="CX14" i="14"/>
  <c r="AP14" i="14"/>
  <c r="E13" i="14"/>
  <c r="CX13" i="14"/>
  <c r="CW13" i="14"/>
  <c r="CS12" i="14"/>
  <c r="CR12" i="14"/>
  <c r="E11" i="14"/>
  <c r="CX11" i="14"/>
  <c r="AP11" i="14"/>
  <c r="CT11" i="14"/>
  <c r="CR11" i="14"/>
  <c r="E10" i="14"/>
  <c r="AP10" i="14"/>
  <c r="CR10" i="14"/>
  <c r="E9" i="14"/>
  <c r="CT9" i="14"/>
  <c r="CR9" i="14"/>
  <c r="CW8" i="14"/>
  <c r="D7" i="14"/>
  <c r="E7" i="14"/>
  <c r="CR7" i="14"/>
  <c r="I1" i="14"/>
  <c r="E6" i="14"/>
  <c r="D5" i="14"/>
  <c r="CX5" i="14"/>
  <c r="CT5" i="14"/>
  <c r="CS5" i="14"/>
  <c r="CR5" i="14"/>
  <c r="D4" i="14"/>
  <c r="AP4" i="14"/>
  <c r="CS4" i="14"/>
  <c r="CY84" i="14"/>
  <c r="CU84" i="14"/>
  <c r="CT82" i="14"/>
  <c r="CS82" i="14"/>
  <c r="CY81" i="14"/>
  <c r="CU81" i="14"/>
  <c r="CY79" i="14"/>
  <c r="CU79" i="14"/>
  <c r="CS79" i="14"/>
  <c r="CR79" i="14"/>
  <c r="CY78" i="14"/>
  <c r="CU78" i="14"/>
  <c r="CY77" i="14"/>
  <c r="CU77" i="14"/>
  <c r="CU75" i="14"/>
  <c r="CS75" i="14"/>
  <c r="CY74" i="14"/>
  <c r="CU74" i="14"/>
  <c r="CY72" i="14"/>
  <c r="CU72" i="14"/>
  <c r="CU71" i="14"/>
  <c r="CS71" i="14"/>
  <c r="CY70" i="14"/>
  <c r="CU70" i="14"/>
  <c r="CY68" i="14"/>
  <c r="CU68" i="14"/>
  <c r="CY66" i="14"/>
  <c r="CU66" i="14"/>
  <c r="CY64" i="14"/>
  <c r="CU64" i="14"/>
  <c r="CY63" i="14"/>
  <c r="CU63" i="14"/>
  <c r="CY62" i="14"/>
  <c r="CU62" i="14"/>
  <c r="CY61" i="14"/>
  <c r="CU61" i="14"/>
  <c r="A60" i="14"/>
  <c r="CU60" i="14"/>
  <c r="CY58" i="14"/>
  <c r="CU58" i="14"/>
  <c r="CU57" i="14"/>
  <c r="CS57" i="14"/>
  <c r="CY55" i="14"/>
  <c r="CU55" i="14"/>
  <c r="CW53" i="14"/>
  <c r="CY53" i="14"/>
  <c r="CU53" i="14"/>
  <c r="CY52" i="14"/>
  <c r="CU52" i="14"/>
  <c r="CY51" i="14"/>
  <c r="CU51" i="14"/>
  <c r="CY49" i="14"/>
  <c r="CU49" i="14"/>
  <c r="CU47" i="14"/>
  <c r="CS47" i="14"/>
  <c r="CY45" i="14"/>
  <c r="CU45" i="14"/>
  <c r="A43" i="14"/>
  <c r="CW43" i="14"/>
  <c r="CY42" i="14"/>
  <c r="CU42" i="14"/>
  <c r="CY40" i="14"/>
  <c r="CU40" i="14"/>
  <c r="CU36" i="14"/>
  <c r="CS36" i="14"/>
  <c r="CY33" i="14"/>
  <c r="CU33" i="14"/>
  <c r="CU31" i="14"/>
  <c r="CS31" i="14"/>
  <c r="CY30" i="14"/>
  <c r="CU30" i="14"/>
  <c r="CY28" i="14"/>
  <c r="CU28" i="14"/>
  <c r="CY26" i="14"/>
  <c r="CU26" i="14"/>
  <c r="CU24" i="14"/>
  <c r="CS24" i="14"/>
  <c r="CU22" i="14"/>
  <c r="CY22" i="14"/>
  <c r="CY19" i="14"/>
  <c r="CU19" i="14"/>
  <c r="A17" i="14"/>
  <c r="CT17" i="14"/>
  <c r="CY14" i="14"/>
  <c r="CU14" i="14"/>
  <c r="CW9" i="14"/>
  <c r="CY9" i="14"/>
  <c r="CW7" i="14"/>
  <c r="CY7" i="14"/>
  <c r="CY5" i="14"/>
  <c r="CU5" i="14"/>
  <c r="D39" i="14"/>
  <c r="CX73" i="14"/>
  <c r="D124" i="14"/>
  <c r="A128" i="14"/>
  <c r="CU6" i="14"/>
  <c r="CU8" i="14"/>
  <c r="C10" i="14"/>
  <c r="CT10" i="14"/>
  <c r="A11" i="14"/>
  <c r="D12" i="14"/>
  <c r="CT13" i="14"/>
  <c r="E14" i="14"/>
  <c r="CS17" i="14"/>
  <c r="AP21" i="14"/>
  <c r="CV25" i="14"/>
  <c r="D25" i="14"/>
  <c r="CS27" i="14"/>
  <c r="D28" i="14"/>
  <c r="CY32" i="14"/>
  <c r="CT36" i="14"/>
  <c r="AP39" i="14"/>
  <c r="CR41" i="14"/>
  <c r="CX42" i="14"/>
  <c r="E45" i="14"/>
  <c r="A47" i="14"/>
  <c r="CW49" i="14"/>
  <c r="A49" i="14"/>
  <c r="E52" i="14"/>
  <c r="CY69" i="14"/>
  <c r="CU69" i="14"/>
  <c r="A69" i="14"/>
  <c r="CS72" i="14"/>
  <c r="D93" i="14"/>
  <c r="AP124" i="14"/>
  <c r="A124" i="14"/>
  <c r="CX80" i="14"/>
  <c r="CW80" i="14"/>
  <c r="A80" i="14"/>
  <c r="CS7" i="14"/>
  <c r="CV20" i="14"/>
  <c r="D20" i="14"/>
  <c r="CS34" i="14"/>
  <c r="CV63" i="14"/>
  <c r="D63" i="14"/>
  <c r="CV53" i="14"/>
  <c r="D53" i="14"/>
  <c r="D17" i="14"/>
  <c r="D11" i="14"/>
  <c r="CY37" i="14"/>
  <c r="CT41" i="14"/>
  <c r="CS74" i="14"/>
  <c r="CR74" i="14"/>
  <c r="CX75" i="14"/>
  <c r="CY76" i="14"/>
  <c r="A85" i="14"/>
  <c r="D111" i="14"/>
  <c r="CY4" i="14"/>
  <c r="CU4" i="14"/>
  <c r="D23" i="14"/>
  <c r="CY67" i="14"/>
  <c r="CW67" i="14"/>
  <c r="CU67" i="14"/>
  <c r="A67" i="14"/>
  <c r="CV73" i="14"/>
  <c r="D73" i="14"/>
  <c r="CT12" i="14"/>
  <c r="CX23" i="14"/>
  <c r="CW23" i="14"/>
  <c r="CT39" i="14"/>
  <c r="AP73" i="14"/>
  <c r="CW73" i="14"/>
  <c r="A73" i="14"/>
  <c r="CT83" i="14"/>
  <c r="D87" i="14"/>
  <c r="D125" i="14"/>
  <c r="A8" i="14"/>
  <c r="CR22" i="14"/>
  <c r="CT34" i="14"/>
  <c r="AP42" i="14"/>
  <c r="CS50" i="14"/>
  <c r="AP63" i="14"/>
  <c r="CS70" i="14"/>
  <c r="CR70" i="14"/>
  <c r="AP125" i="14"/>
  <c r="A125" i="14"/>
  <c r="AP24" i="14"/>
  <c r="CT50" i="14"/>
  <c r="AP53" i="14"/>
  <c r="CS56" i="14"/>
  <c r="CR56" i="14"/>
  <c r="D59" i="14"/>
  <c r="CV59" i="14"/>
  <c r="CY82" i="14"/>
  <c r="CU82" i="14"/>
  <c r="A82" i="14"/>
  <c r="D94" i="14"/>
  <c r="CX8" i="14"/>
  <c r="D15" i="14"/>
  <c r="CU25" i="14"/>
  <c r="A25" i="14"/>
  <c r="A28" i="14"/>
  <c r="D37" i="14"/>
  <c r="CV37" i="14"/>
  <c r="CW46" i="14"/>
  <c r="CV48" i="14"/>
  <c r="D48" i="14"/>
  <c r="AP59" i="14"/>
  <c r="CW59" i="14"/>
  <c r="A59" i="14"/>
  <c r="A75" i="14"/>
  <c r="CW75" i="14"/>
  <c r="CU83" i="14"/>
  <c r="AP86" i="14"/>
  <c r="A86" i="14"/>
  <c r="AP94" i="14"/>
  <c r="A15" i="14"/>
  <c r="CV23" i="14"/>
  <c r="CX28" i="14"/>
  <c r="CW32" i="14"/>
  <c r="CW33" i="14"/>
  <c r="A33" i="14"/>
  <c r="CU34" i="14"/>
  <c r="CY34" i="14"/>
  <c r="CX37" i="14"/>
  <c r="CW37" i="14"/>
  <c r="A37" i="14"/>
  <c r="A42" i="14"/>
  <c r="CR72" i="14"/>
  <c r="A4" i="14"/>
  <c r="E23" i="14"/>
  <c r="A24" i="14"/>
  <c r="D42" i="14"/>
  <c r="D85" i="14"/>
  <c r="CW4" i="14"/>
  <c r="AP5" i="14"/>
  <c r="CS6" i="14"/>
  <c r="CW6" i="14"/>
  <c r="E20" i="14"/>
  <c r="CS29" i="14"/>
  <c r="E32" i="14"/>
  <c r="CR33" i="14"/>
  <c r="CS45" i="14"/>
  <c r="CS46" i="14"/>
  <c r="CR46" i="14"/>
  <c r="CX47" i="14"/>
  <c r="CT47" i="14"/>
  <c r="CR58" i="14"/>
  <c r="CX59" i="14"/>
  <c r="CY65" i="14"/>
  <c r="CU65" i="14"/>
  <c r="E4" i="14"/>
  <c r="A9" i="14"/>
  <c r="CY10" i="14"/>
  <c r="CU10" i="14"/>
  <c r="CU11" i="14"/>
  <c r="CY13" i="14"/>
  <c r="CU13" i="14"/>
  <c r="CT14" i="14"/>
  <c r="CV15" i="14"/>
  <c r="CR17" i="14"/>
  <c r="CW18" i="14"/>
  <c r="A18" i="14"/>
  <c r="CS20" i="14"/>
  <c r="A21" i="14"/>
  <c r="C23" i="14"/>
  <c r="E24" i="14"/>
  <c r="CV30" i="14"/>
  <c r="D30" i="14"/>
  <c r="C32" i="14"/>
  <c r="CX33" i="14"/>
  <c r="CY35" i="14"/>
  <c r="CU35" i="14"/>
  <c r="E35" i="14"/>
  <c r="CU38" i="14"/>
  <c r="E46" i="14"/>
  <c r="CY48" i="14"/>
  <c r="CU54" i="14"/>
  <c r="AP55" i="14"/>
  <c r="CS58" i="14"/>
  <c r="E67" i="14"/>
  <c r="CR107" i="14"/>
  <c r="CU39" i="14"/>
  <c r="A39" i="14"/>
  <c r="CW11" i="14"/>
  <c r="CU12" i="14"/>
  <c r="CW15" i="14"/>
  <c r="C20" i="14"/>
  <c r="A22" i="14"/>
  <c r="A38" i="14"/>
  <c r="CV39" i="14"/>
  <c r="C46" i="14"/>
  <c r="A70" i="14"/>
  <c r="CV71" i="14"/>
  <c r="D71" i="14"/>
  <c r="C87" i="14"/>
  <c r="D89" i="14"/>
  <c r="CT4" i="14"/>
  <c r="A5" i="14"/>
  <c r="CU7" i="14"/>
  <c r="CU9" i="14"/>
  <c r="D10" i="14"/>
  <c r="AP13" i="14"/>
  <c r="CY15" i="14"/>
  <c r="C17" i="14"/>
  <c r="D21" i="14"/>
  <c r="CW25" i="14"/>
  <c r="CV27" i="14"/>
  <c r="D27" i="14"/>
  <c r="AP35" i="14"/>
  <c r="CW39" i="14"/>
  <c r="CU41" i="14"/>
  <c r="A41" i="14"/>
  <c r="CY41" i="14"/>
  <c r="CV51" i="14"/>
  <c r="D51" i="14"/>
  <c r="A56" i="14"/>
  <c r="CX65" i="14"/>
  <c r="CW65" i="14"/>
  <c r="A65" i="14"/>
  <c r="AP71" i="14"/>
  <c r="CY80" i="14"/>
  <c r="CU80" i="14"/>
  <c r="AP89" i="14"/>
  <c r="A89" i="14"/>
  <c r="CR100" i="14"/>
  <c r="A101" i="14"/>
  <c r="A107" i="14"/>
  <c r="E15" i="14"/>
  <c r="CY23" i="14"/>
  <c r="CU23" i="14"/>
  <c r="CY25" i="14"/>
  <c r="AP27" i="14"/>
  <c r="A27" i="14"/>
  <c r="CW34" i="14"/>
  <c r="CY39" i="14"/>
  <c r="D41" i="14"/>
  <c r="CS43" i="14"/>
  <c r="CV44" i="14"/>
  <c r="D44" i="14"/>
  <c r="E48" i="14"/>
  <c r="D49" i="14"/>
  <c r="CU50" i="14"/>
  <c r="AP51" i="14"/>
  <c r="CX51" i="14"/>
  <c r="CW51" i="14"/>
  <c r="E54" i="14"/>
  <c r="CV57" i="14"/>
  <c r="D57" i="14"/>
  <c r="CS60" i="14"/>
  <c r="CR60" i="14"/>
  <c r="CX77" i="14"/>
  <c r="A84" i="14"/>
  <c r="CW84" i="14"/>
  <c r="D96" i="14"/>
  <c r="E99" i="14"/>
  <c r="A7" i="14"/>
  <c r="A12" i="14"/>
  <c r="CS9" i="14"/>
  <c r="E12" i="14"/>
  <c r="CT15" i="14"/>
  <c r="E25" i="14"/>
  <c r="CV32" i="14"/>
  <c r="D32" i="14"/>
  <c r="C37" i="14"/>
  <c r="E39" i="14"/>
  <c r="C48" i="14"/>
  <c r="E76" i="14"/>
  <c r="A96" i="14"/>
  <c r="A100" i="14"/>
  <c r="CT52" i="14"/>
  <c r="CT54" i="14"/>
  <c r="CY54" i="14"/>
  <c r="CY60" i="14"/>
  <c r="CV65" i="14"/>
  <c r="D65" i="14"/>
  <c r="E66" i="14"/>
  <c r="E68" i="14"/>
  <c r="AP69" i="14"/>
  <c r="CR81" i="14"/>
  <c r="CW82" i="14"/>
  <c r="CY83" i="14"/>
  <c r="CR84" i="14"/>
  <c r="D88" i="14"/>
  <c r="AP93" i="14"/>
  <c r="A94" i="14"/>
  <c r="E102" i="14"/>
  <c r="CR128" i="14"/>
  <c r="CX57" i="14"/>
  <c r="CX71" i="14"/>
  <c r="A78" i="14"/>
  <c r="AP85" i="14"/>
  <c r="D86" i="14"/>
  <c r="A87" i="14"/>
  <c r="A98" i="14"/>
  <c r="CV56" i="14"/>
  <c r="D56" i="14"/>
  <c r="A20" i="14"/>
  <c r="CT26" i="14"/>
  <c r="AP41" i="14"/>
  <c r="A48" i="14"/>
  <c r="A50" i="14"/>
  <c r="CR53" i="14"/>
  <c r="CR55" i="14"/>
  <c r="E59" i="14"/>
  <c r="D67" i="14"/>
  <c r="AP74" i="14"/>
  <c r="CW76" i="14"/>
  <c r="A76" i="14"/>
  <c r="CR89" i="14"/>
  <c r="D110" i="14"/>
  <c r="CR114" i="14"/>
  <c r="A34" i="14"/>
  <c r="CT40" i="14"/>
  <c r="CS44" i="14"/>
  <c r="CS51" i="14"/>
  <c r="CW54" i="14"/>
  <c r="AP60" i="14"/>
  <c r="CV70" i="14"/>
  <c r="D70" i="14"/>
  <c r="CY73" i="14"/>
  <c r="E82" i="14"/>
  <c r="E94" i="14"/>
  <c r="C96" i="14"/>
  <c r="E96" i="14"/>
  <c r="AP110" i="14"/>
  <c r="E113" i="14"/>
  <c r="C53" i="14"/>
  <c r="A62" i="14"/>
  <c r="D81" i="14"/>
  <c r="E88" i="14"/>
  <c r="C89" i="14"/>
  <c r="A99" i="14"/>
  <c r="CX15" i="14"/>
  <c r="CS23" i="14"/>
  <c r="CX32" i="14"/>
  <c r="CX46" i="14"/>
  <c r="CS65" i="14"/>
  <c r="CW68" i="14"/>
  <c r="E80" i="14"/>
  <c r="D46" i="14"/>
  <c r="A52" i="14"/>
  <c r="C67" i="14"/>
  <c r="CX74" i="14"/>
  <c r="D76" i="14"/>
  <c r="CV79" i="14"/>
  <c r="D79" i="14"/>
  <c r="A83" i="14"/>
  <c r="E87" i="14"/>
  <c r="C88" i="14"/>
  <c r="A119" i="14"/>
  <c r="CT7" i="14"/>
  <c r="CW48" i="14"/>
  <c r="D74" i="14"/>
  <c r="CW78" i="14"/>
  <c r="CW79" i="14"/>
  <c r="CT80" i="14"/>
  <c r="CV84" i="14"/>
  <c r="D84" i="14"/>
  <c r="A97" i="14"/>
  <c r="CR103" i="14"/>
  <c r="E104" i="14"/>
  <c r="E105" i="14"/>
  <c r="E112" i="14"/>
  <c r="C113" i="14"/>
  <c r="C117" i="14"/>
  <c r="E126" i="14"/>
  <c r="A127" i="14"/>
  <c r="CR110" i="14"/>
  <c r="D118" i="14"/>
  <c r="C110" i="14"/>
  <c r="C125" i="14"/>
  <c r="E95" i="14"/>
  <c r="A114" i="14"/>
  <c r="AP117" i="14"/>
  <c r="E120" i="14"/>
  <c r="CR48" i="14"/>
  <c r="CR62" i="14"/>
  <c r="CR76" i="14"/>
  <c r="CR96" i="14"/>
  <c r="E73" i="14"/>
  <c r="E119" i="14"/>
  <c r="A120" i="14"/>
  <c r="C124" i="14"/>
  <c r="CP180" i="2" l="1"/>
  <c r="CP179" i="2"/>
  <c r="CP178" i="2"/>
  <c r="CP177" i="2"/>
  <c r="CP176" i="2"/>
  <c r="CP175" i="2"/>
  <c r="CP174" i="2"/>
  <c r="CP173" i="2"/>
  <c r="CP169" i="2"/>
  <c r="CQ174" i="2"/>
  <c r="CQ175" i="2"/>
  <c r="CQ178" i="2"/>
  <c r="CK174" i="2"/>
  <c r="CK175" i="2"/>
  <c r="CK176" i="2"/>
  <c r="CK177" i="2"/>
  <c r="CK178" i="2"/>
  <c r="CE178" i="2"/>
  <c r="CE175" i="2"/>
  <c r="N136" i="2"/>
  <c r="N91" i="2"/>
  <c r="H182" i="2"/>
  <c r="CO10" i="6"/>
  <c r="CT10" i="6"/>
  <c r="CU10" i="6"/>
  <c r="CV10" i="6"/>
  <c r="CW10" i="6"/>
  <c r="CX10" i="6"/>
  <c r="CZ10" i="6"/>
  <c r="DB10" i="6"/>
  <c r="DD10" i="6"/>
  <c r="DE10" i="6"/>
  <c r="DF10" i="6"/>
  <c r="DG10" i="6"/>
  <c r="DH10" i="6"/>
  <c r="DI10" i="6"/>
  <c r="DJ10" i="6"/>
  <c r="DM10" i="6"/>
  <c r="DN10" i="6"/>
  <c r="DO10" i="6"/>
  <c r="DP10" i="6"/>
  <c r="DQ10" i="6"/>
  <c r="DR10" i="6"/>
  <c r="DS10" i="6"/>
  <c r="DZ10" i="6"/>
  <c r="EM10" i="6"/>
  <c r="EU10" i="6"/>
  <c r="EW10" i="6"/>
  <c r="FC10" i="6"/>
  <c r="FK10" i="6"/>
  <c r="FL10" i="6"/>
  <c r="FR10" i="6"/>
  <c r="FS10" i="6"/>
  <c r="CJ10" i="6"/>
  <c r="CD10" i="6"/>
  <c r="O10" i="6" s="1"/>
  <c r="BW10" i="6"/>
  <c r="AY10" i="6"/>
  <c r="CP10" i="6" s="1"/>
  <c r="AF10" i="6"/>
  <c r="AI10" i="6"/>
  <c r="Q10" i="6"/>
  <c r="R10" i="6"/>
  <c r="G10" i="6"/>
  <c r="J10" i="6"/>
  <c r="K10" i="6"/>
  <c r="L10" i="6"/>
  <c r="M10" i="6"/>
  <c r="N10" i="6"/>
  <c r="A10" i="6"/>
  <c r="E10" i="6"/>
  <c r="F10" i="6"/>
  <c r="W2" i="2"/>
  <c r="CP106" i="2"/>
  <c r="CE84" i="2"/>
  <c r="ER140" i="2"/>
  <c r="EJ140" i="2"/>
  <c r="D176" i="7"/>
  <c r="E176" i="7"/>
  <c r="F176" i="7"/>
  <c r="H176" i="7"/>
  <c r="J176" i="7"/>
  <c r="L176" i="7"/>
  <c r="M176" i="7"/>
  <c r="N176" i="7"/>
  <c r="P176" i="7"/>
  <c r="Q176" i="7"/>
  <c r="R176" i="7"/>
  <c r="S176" i="7"/>
  <c r="U176" i="7"/>
  <c r="V176" i="7"/>
  <c r="W176" i="7"/>
  <c r="X176" i="7"/>
  <c r="Z176" i="7"/>
  <c r="AB176" i="7"/>
  <c r="AC176" i="7"/>
  <c r="AD176" i="7"/>
  <c r="AG176" i="7"/>
  <c r="D177" i="7"/>
  <c r="E177" i="7"/>
  <c r="F177" i="7"/>
  <c r="H177" i="7"/>
  <c r="J177" i="7"/>
  <c r="L177" i="7"/>
  <c r="M177" i="7"/>
  <c r="N177" i="7"/>
  <c r="P177" i="7"/>
  <c r="Q177" i="7"/>
  <c r="R177" i="7"/>
  <c r="S177" i="7"/>
  <c r="U177" i="7"/>
  <c r="V177" i="7"/>
  <c r="W177" i="7"/>
  <c r="X177" i="7"/>
  <c r="Z177" i="7"/>
  <c r="AB177" i="7"/>
  <c r="AC177" i="7"/>
  <c r="AD177" i="7"/>
  <c r="AG177" i="7"/>
  <c r="D178" i="7"/>
  <c r="E178" i="7"/>
  <c r="F178" i="7"/>
  <c r="H178" i="7"/>
  <c r="J178" i="7"/>
  <c r="L178" i="7"/>
  <c r="M178" i="7"/>
  <c r="N178" i="7"/>
  <c r="P178" i="7"/>
  <c r="Q178" i="7"/>
  <c r="R178" i="7"/>
  <c r="S178" i="7"/>
  <c r="U178" i="7"/>
  <c r="V178" i="7"/>
  <c r="W178" i="7"/>
  <c r="X178" i="7"/>
  <c r="Z178" i="7"/>
  <c r="AB178" i="7"/>
  <c r="AC178" i="7"/>
  <c r="AD178" i="7"/>
  <c r="AG178" i="7"/>
  <c r="D179" i="7"/>
  <c r="E179" i="7"/>
  <c r="F179" i="7"/>
  <c r="H179" i="7"/>
  <c r="J179" i="7"/>
  <c r="L179" i="7"/>
  <c r="M179" i="7"/>
  <c r="N179" i="7"/>
  <c r="P179" i="7"/>
  <c r="Q179" i="7"/>
  <c r="R179" i="7"/>
  <c r="S179" i="7"/>
  <c r="U179" i="7"/>
  <c r="V179" i="7"/>
  <c r="W179" i="7"/>
  <c r="X179" i="7"/>
  <c r="Z179" i="7"/>
  <c r="AB179" i="7"/>
  <c r="AC179" i="7"/>
  <c r="AD179" i="7"/>
  <c r="AG179" i="7"/>
  <c r="D180" i="7"/>
  <c r="E180" i="7"/>
  <c r="F180" i="7"/>
  <c r="H180" i="7"/>
  <c r="J180" i="7"/>
  <c r="L180" i="7"/>
  <c r="M180" i="7"/>
  <c r="N180" i="7"/>
  <c r="P180" i="7"/>
  <c r="Q180" i="7"/>
  <c r="R180" i="7"/>
  <c r="S180" i="7"/>
  <c r="U180" i="7"/>
  <c r="V180" i="7"/>
  <c r="W180" i="7"/>
  <c r="X180" i="7"/>
  <c r="Z180" i="7"/>
  <c r="AB180" i="7"/>
  <c r="AC180" i="7"/>
  <c r="AD180" i="7"/>
  <c r="AG180" i="7"/>
  <c r="D181" i="7"/>
  <c r="E181" i="7"/>
  <c r="F181" i="7"/>
  <c r="H181" i="7"/>
  <c r="J181" i="7"/>
  <c r="L181" i="7"/>
  <c r="M181" i="7"/>
  <c r="N181" i="7"/>
  <c r="P181" i="7"/>
  <c r="Q181" i="7"/>
  <c r="R181" i="7"/>
  <c r="S181" i="7"/>
  <c r="U181" i="7"/>
  <c r="V181" i="7"/>
  <c r="W181" i="7"/>
  <c r="X181" i="7"/>
  <c r="Z181" i="7"/>
  <c r="AB181" i="7"/>
  <c r="AC181" i="7"/>
  <c r="AD181" i="7"/>
  <c r="AG181" i="7"/>
  <c r="D182" i="7"/>
  <c r="E182" i="7"/>
  <c r="F182" i="7"/>
  <c r="H182" i="7"/>
  <c r="J182" i="7"/>
  <c r="L182" i="7"/>
  <c r="M182" i="7"/>
  <c r="N182" i="7"/>
  <c r="P182" i="7"/>
  <c r="Q182" i="7"/>
  <c r="R182" i="7"/>
  <c r="S182" i="7"/>
  <c r="U182" i="7"/>
  <c r="V182" i="7"/>
  <c r="W182" i="7"/>
  <c r="X182" i="7"/>
  <c r="Z182" i="7"/>
  <c r="AB182" i="7"/>
  <c r="AC182" i="7"/>
  <c r="AD182" i="7"/>
  <c r="AG182" i="7"/>
  <c r="D183" i="7"/>
  <c r="E183" i="7"/>
  <c r="F183" i="7"/>
  <c r="H183" i="7"/>
  <c r="J183" i="7"/>
  <c r="L183" i="7"/>
  <c r="M183" i="7"/>
  <c r="N183" i="7"/>
  <c r="P183" i="7"/>
  <c r="Q183" i="7"/>
  <c r="R183" i="7"/>
  <c r="S183" i="7"/>
  <c r="U183" i="7"/>
  <c r="V183" i="7"/>
  <c r="W183" i="7"/>
  <c r="X183" i="7"/>
  <c r="Z183" i="7"/>
  <c r="AB183" i="7"/>
  <c r="AC183" i="7"/>
  <c r="AD183" i="7"/>
  <c r="AG183" i="7"/>
  <c r="D184" i="7"/>
  <c r="E184" i="7"/>
  <c r="H184" i="7"/>
  <c r="J184" i="7"/>
  <c r="L184" i="7"/>
  <c r="M184" i="7"/>
  <c r="N184" i="7"/>
  <c r="P184" i="7"/>
  <c r="Q184" i="7"/>
  <c r="R184" i="7"/>
  <c r="S184" i="7"/>
  <c r="U184" i="7"/>
  <c r="V184" i="7"/>
  <c r="W184" i="7"/>
  <c r="X184" i="7"/>
  <c r="Z184" i="7"/>
  <c r="AB184" i="7"/>
  <c r="AC184" i="7"/>
  <c r="AD184" i="7"/>
  <c r="AG184" i="7"/>
  <c r="D185" i="7"/>
  <c r="E185" i="7"/>
  <c r="H185" i="7"/>
  <c r="J185" i="7"/>
  <c r="L185" i="7"/>
  <c r="M185" i="7"/>
  <c r="N185" i="7"/>
  <c r="P185" i="7"/>
  <c r="Q185" i="7"/>
  <c r="R185" i="7"/>
  <c r="S185" i="7"/>
  <c r="U185" i="7"/>
  <c r="V185" i="7"/>
  <c r="W185" i="7"/>
  <c r="X185" i="7"/>
  <c r="Z185" i="7"/>
  <c r="AB185" i="7"/>
  <c r="AC185" i="7"/>
  <c r="AD185" i="7"/>
  <c r="AG185" i="7"/>
  <c r="D186" i="7"/>
  <c r="E186" i="7"/>
  <c r="H186" i="7"/>
  <c r="J186" i="7"/>
  <c r="L186" i="7"/>
  <c r="M186" i="7"/>
  <c r="N186" i="7"/>
  <c r="P186" i="7"/>
  <c r="Q186" i="7"/>
  <c r="R186" i="7"/>
  <c r="S186" i="7"/>
  <c r="U186" i="7"/>
  <c r="V186" i="7"/>
  <c r="W186" i="7"/>
  <c r="X186" i="7"/>
  <c r="Z186" i="7"/>
  <c r="AB186" i="7"/>
  <c r="AC186" i="7"/>
  <c r="AD186" i="7"/>
  <c r="AG186" i="7"/>
  <c r="B187" i="7"/>
  <c r="D187" i="7"/>
  <c r="E187" i="7"/>
  <c r="F187" i="7"/>
  <c r="H187" i="7"/>
  <c r="J187" i="7"/>
  <c r="L187" i="7"/>
  <c r="M187" i="7"/>
  <c r="N187" i="7"/>
  <c r="P187" i="7"/>
  <c r="Q187" i="7"/>
  <c r="R187" i="7"/>
  <c r="S187" i="7"/>
  <c r="U187" i="7"/>
  <c r="V187" i="7"/>
  <c r="W187" i="7"/>
  <c r="X187" i="7"/>
  <c r="Z187" i="7"/>
  <c r="AB187" i="7"/>
  <c r="AC187" i="7"/>
  <c r="AD187" i="7"/>
  <c r="AE187" i="7"/>
  <c r="AG187" i="7"/>
  <c r="B188" i="7"/>
  <c r="D188" i="7"/>
  <c r="E188" i="7"/>
  <c r="F188" i="7"/>
  <c r="H188" i="7"/>
  <c r="J188" i="7"/>
  <c r="L188" i="7"/>
  <c r="M188" i="7"/>
  <c r="N188" i="7"/>
  <c r="P188" i="7"/>
  <c r="Q188" i="7"/>
  <c r="R188" i="7"/>
  <c r="S188" i="7"/>
  <c r="U188" i="7"/>
  <c r="V188" i="7"/>
  <c r="W188" i="7"/>
  <c r="X188" i="7"/>
  <c r="Z188" i="7"/>
  <c r="AB188" i="7"/>
  <c r="AC188" i="7"/>
  <c r="AD188" i="7"/>
  <c r="AE188" i="7"/>
  <c r="AG188" i="7"/>
  <c r="D189" i="7"/>
  <c r="E189" i="7"/>
  <c r="H189" i="7"/>
  <c r="J189" i="7"/>
  <c r="L189" i="7"/>
  <c r="M189" i="7"/>
  <c r="N189" i="7"/>
  <c r="P189" i="7"/>
  <c r="Q189" i="7"/>
  <c r="R189" i="7"/>
  <c r="S189" i="7"/>
  <c r="U189" i="7"/>
  <c r="V189" i="7"/>
  <c r="W189" i="7"/>
  <c r="X189" i="7"/>
  <c r="Z189" i="7"/>
  <c r="AB189" i="7"/>
  <c r="AC189" i="7"/>
  <c r="AD189" i="7"/>
  <c r="AG189" i="7"/>
  <c r="D190" i="7"/>
  <c r="E190" i="7"/>
  <c r="H190" i="7"/>
  <c r="J190" i="7"/>
  <c r="L190" i="7"/>
  <c r="M190" i="7"/>
  <c r="N190" i="7"/>
  <c r="P190" i="7"/>
  <c r="Q190" i="7"/>
  <c r="R190" i="7"/>
  <c r="S190" i="7"/>
  <c r="U190" i="7"/>
  <c r="V190" i="7"/>
  <c r="W190" i="7"/>
  <c r="X190" i="7"/>
  <c r="Z190" i="7"/>
  <c r="AB190" i="7"/>
  <c r="AC190" i="7"/>
  <c r="AD190" i="7"/>
  <c r="AG190" i="7"/>
  <c r="D191" i="7"/>
  <c r="E191" i="7"/>
  <c r="H191" i="7"/>
  <c r="J191" i="7"/>
  <c r="L191" i="7"/>
  <c r="M191" i="7"/>
  <c r="N191" i="7"/>
  <c r="P191" i="7"/>
  <c r="Q191" i="7"/>
  <c r="R191" i="7"/>
  <c r="S191" i="7"/>
  <c r="U191" i="7"/>
  <c r="V191" i="7"/>
  <c r="W191" i="7"/>
  <c r="X191" i="7"/>
  <c r="Z191" i="7"/>
  <c r="AB191" i="7"/>
  <c r="AC191" i="7"/>
  <c r="AD191" i="7"/>
  <c r="AG191" i="7"/>
  <c r="D192" i="7"/>
  <c r="E192" i="7"/>
  <c r="H192" i="7"/>
  <c r="J192" i="7"/>
  <c r="L192" i="7"/>
  <c r="M192" i="7"/>
  <c r="N192" i="7"/>
  <c r="P192" i="7"/>
  <c r="Q192" i="7"/>
  <c r="R192" i="7"/>
  <c r="S192" i="7"/>
  <c r="U192" i="7"/>
  <c r="V192" i="7"/>
  <c r="W192" i="7"/>
  <c r="X192" i="7"/>
  <c r="Z192" i="7"/>
  <c r="AB192" i="7"/>
  <c r="AC192" i="7"/>
  <c r="AD192" i="7"/>
  <c r="AG192" i="7"/>
  <c r="D193" i="7"/>
  <c r="E193" i="7"/>
  <c r="F193" i="7"/>
  <c r="H193" i="7"/>
  <c r="J193" i="7"/>
  <c r="L193" i="7"/>
  <c r="M193" i="7"/>
  <c r="N193" i="7"/>
  <c r="P193" i="7"/>
  <c r="Q193" i="7"/>
  <c r="R193" i="7"/>
  <c r="S193" i="7"/>
  <c r="U193" i="7"/>
  <c r="V193" i="7"/>
  <c r="W193" i="7"/>
  <c r="X193" i="7"/>
  <c r="Z193" i="7"/>
  <c r="AB193" i="7"/>
  <c r="AC193" i="7"/>
  <c r="AD193" i="7"/>
  <c r="AG193" i="7"/>
  <c r="D194" i="7"/>
  <c r="E194" i="7"/>
  <c r="H194" i="7"/>
  <c r="J194" i="7"/>
  <c r="L194" i="7"/>
  <c r="M194" i="7"/>
  <c r="N194" i="7"/>
  <c r="P194" i="7"/>
  <c r="Q194" i="7"/>
  <c r="R194" i="7"/>
  <c r="S194" i="7"/>
  <c r="U194" i="7"/>
  <c r="V194" i="7"/>
  <c r="W194" i="7"/>
  <c r="X194" i="7"/>
  <c r="Z194" i="7"/>
  <c r="AB194" i="7"/>
  <c r="AC194" i="7"/>
  <c r="AD194" i="7"/>
  <c r="AG194" i="7"/>
  <c r="D195" i="7"/>
  <c r="E195" i="7"/>
  <c r="H195" i="7"/>
  <c r="J195" i="7"/>
  <c r="L195" i="7"/>
  <c r="M195" i="7"/>
  <c r="N195" i="7"/>
  <c r="P195" i="7"/>
  <c r="Q195" i="7"/>
  <c r="R195" i="7"/>
  <c r="S195" i="7"/>
  <c r="U195" i="7"/>
  <c r="V195" i="7"/>
  <c r="W195" i="7"/>
  <c r="X195" i="7"/>
  <c r="Z195" i="7"/>
  <c r="AB195" i="7"/>
  <c r="AC195" i="7"/>
  <c r="AD195" i="7"/>
  <c r="AG195" i="7"/>
  <c r="D196" i="7"/>
  <c r="E196" i="7"/>
  <c r="H196" i="7"/>
  <c r="J196" i="7"/>
  <c r="L196" i="7"/>
  <c r="M196" i="7"/>
  <c r="N196" i="7"/>
  <c r="P196" i="7"/>
  <c r="Q196" i="7"/>
  <c r="R196" i="7"/>
  <c r="S196" i="7"/>
  <c r="U196" i="7"/>
  <c r="V196" i="7"/>
  <c r="W196" i="7"/>
  <c r="X196" i="7"/>
  <c r="Z196" i="7"/>
  <c r="AB196" i="7"/>
  <c r="AC196" i="7"/>
  <c r="AD196" i="7"/>
  <c r="AG196" i="7"/>
  <c r="D197" i="7"/>
  <c r="E197" i="7"/>
  <c r="F197" i="7"/>
  <c r="H197" i="7"/>
  <c r="J197" i="7"/>
  <c r="L197" i="7"/>
  <c r="M197" i="7"/>
  <c r="N197" i="7"/>
  <c r="P197" i="7"/>
  <c r="Q197" i="7"/>
  <c r="R197" i="7"/>
  <c r="S197" i="7"/>
  <c r="U197" i="7"/>
  <c r="V197" i="7"/>
  <c r="W197" i="7"/>
  <c r="X197" i="7"/>
  <c r="Z197" i="7"/>
  <c r="AB197" i="7"/>
  <c r="AC197" i="7"/>
  <c r="AD197" i="7"/>
  <c r="AG197" i="7"/>
  <c r="G177" i="7" l="1"/>
  <c r="K177" i="7" s="1"/>
  <c r="G179" i="7"/>
  <c r="K179" i="7" s="1"/>
  <c r="G178" i="7"/>
  <c r="K178" i="7" s="1"/>
  <c r="G180" i="7"/>
  <c r="K180" i="7" s="1"/>
  <c r="G176" i="7"/>
  <c r="K176" i="7" s="1"/>
  <c r="G181" i="7"/>
  <c r="K181" i="7" s="1"/>
  <c r="G183" i="7"/>
  <c r="K183" i="7" s="1"/>
  <c r="AI185" i="7"/>
  <c r="AI178" i="7"/>
  <c r="G193" i="7"/>
  <c r="K193" i="7" s="1"/>
  <c r="AI176" i="7"/>
  <c r="G188" i="7"/>
  <c r="K188" i="7" s="1"/>
  <c r="AI181" i="7"/>
  <c r="G187" i="7"/>
  <c r="K187" i="7" s="1"/>
  <c r="AI196" i="7"/>
  <c r="AI182" i="7"/>
  <c r="AI183" i="7"/>
  <c r="G197" i="7"/>
  <c r="K197" i="7" s="1"/>
  <c r="AI179" i="7"/>
  <c r="AI192" i="7"/>
  <c r="AI197" i="7"/>
  <c r="AI190" i="7"/>
  <c r="AI187" i="7"/>
  <c r="AI189" i="7"/>
  <c r="AI186" i="7"/>
  <c r="G182" i="7"/>
  <c r="K182" i="7" s="1"/>
  <c r="AI177" i="7"/>
  <c r="AI194" i="7"/>
  <c r="AI193" i="7"/>
  <c r="AI184" i="7"/>
  <c r="AI191" i="7"/>
  <c r="AI188" i="7"/>
  <c r="AI180" i="7"/>
  <c r="AI195" i="7"/>
  <c r="DA197" i="2" l="1"/>
  <c r="DC197" i="2"/>
  <c r="DE197" i="2"/>
  <c r="DF197" i="2"/>
  <c r="DG197" i="2"/>
  <c r="DH197" i="2"/>
  <c r="DI197" i="2"/>
  <c r="DJ197" i="2"/>
  <c r="DK197" i="2"/>
  <c r="DN197" i="2"/>
  <c r="DT197" i="2" s="1"/>
  <c r="DO197" i="2"/>
  <c r="DP197" i="2"/>
  <c r="DQ197" i="2"/>
  <c r="DR197" i="2"/>
  <c r="DS197" i="2"/>
  <c r="EA197" i="2"/>
  <c r="EN197" i="2"/>
  <c r="EV197" i="2"/>
  <c r="B197" i="7" s="1"/>
  <c r="EX197" i="2"/>
  <c r="FD197" i="2"/>
  <c r="FL197" i="2"/>
  <c r="FM197" i="2"/>
  <c r="FS197" i="2"/>
  <c r="FT197" i="2"/>
  <c r="CU197" i="2"/>
  <c r="CV197" i="2"/>
  <c r="CW197" i="2"/>
  <c r="CX197" i="2"/>
  <c r="CY197" i="2"/>
  <c r="CP197" i="2"/>
  <c r="S197" i="2" s="1"/>
  <c r="CK197" i="2"/>
  <c r="R197" i="2" s="1"/>
  <c r="CE197" i="2"/>
  <c r="P197" i="2" s="1"/>
  <c r="BX197" i="2"/>
  <c r="AZ197" i="2"/>
  <c r="AG197" i="2"/>
  <c r="AJ197" i="2"/>
  <c r="H197" i="2"/>
  <c r="O197" i="7" s="1"/>
  <c r="K197" i="2"/>
  <c r="L197" i="2"/>
  <c r="M197" i="2"/>
  <c r="N197" i="2"/>
  <c r="AE197" i="7" s="1"/>
  <c r="O197" i="2"/>
  <c r="A197" i="2"/>
  <c r="E197" i="2"/>
  <c r="F197" i="2"/>
  <c r="CQ197" i="2" l="1"/>
  <c r="T197" i="7"/>
  <c r="Y197" i="7" s="1"/>
  <c r="AA197" i="7" s="1"/>
  <c r="T197" i="2"/>
  <c r="AH197" i="7"/>
  <c r="C197" i="7"/>
  <c r="CE174" i="2" l="1"/>
  <c r="BX175" i="2"/>
  <c r="BX174" i="2"/>
  <c r="BA175" i="2"/>
  <c r="BA174" i="2"/>
  <c r="AG174" i="2"/>
  <c r="AJ174" i="2"/>
  <c r="AG175" i="2"/>
  <c r="AJ175" i="2"/>
  <c r="FT190" i="2" l="1"/>
  <c r="FS190" i="2"/>
  <c r="EV190" i="2"/>
  <c r="B190" i="7" s="1"/>
  <c r="F190" i="7"/>
  <c r="G190" i="7" s="1"/>
  <c r="K190" i="7" s="1"/>
  <c r="CK190" i="2"/>
  <c r="R190" i="2" s="1"/>
  <c r="CE190" i="2"/>
  <c r="P190" i="2" s="1"/>
  <c r="BU190" i="2"/>
  <c r="AZ190" i="2"/>
  <c r="AJ190" i="2"/>
  <c r="AG190" i="2"/>
  <c r="S190" i="2"/>
  <c r="O190" i="2"/>
  <c r="N190" i="2"/>
  <c r="AE190" i="7" s="1"/>
  <c r="M190" i="2"/>
  <c r="L190" i="2"/>
  <c r="K190" i="2"/>
  <c r="H190" i="2"/>
  <c r="O190" i="7" s="1"/>
  <c r="F190" i="2"/>
  <c r="E190" i="2"/>
  <c r="A190" i="2"/>
  <c r="M175" i="2"/>
  <c r="M174" i="2"/>
  <c r="L175" i="2"/>
  <c r="L174" i="2"/>
  <c r="R175" i="2"/>
  <c r="P175" i="2"/>
  <c r="O175" i="2"/>
  <c r="N175" i="2"/>
  <c r="R174" i="2"/>
  <c r="P174" i="2"/>
  <c r="O174" i="2"/>
  <c r="N174" i="2"/>
  <c r="K175" i="2"/>
  <c r="K174" i="2"/>
  <c r="H175" i="2"/>
  <c r="F175" i="2"/>
  <c r="E175" i="2"/>
  <c r="H174" i="2"/>
  <c r="F174" i="2"/>
  <c r="E174" i="2"/>
  <c r="A175" i="2"/>
  <c r="A174" i="2"/>
  <c r="CQ190" i="2" l="1"/>
  <c r="T190" i="7"/>
  <c r="Y190" i="7" s="1"/>
  <c r="AA190" i="7" s="1"/>
  <c r="AH190" i="7"/>
  <c r="C190" i="7"/>
  <c r="AZ188" i="2"/>
  <c r="T188" i="7" s="1"/>
  <c r="Y188" i="7" s="1"/>
  <c r="AA188" i="7" s="1"/>
  <c r="AZ187" i="2"/>
  <c r="T187" i="7" s="1"/>
  <c r="Y187" i="7" s="1"/>
  <c r="AA187" i="7" s="1"/>
  <c r="EK196" i="2" l="1"/>
  <c r="F196" i="7" s="1"/>
  <c r="G196" i="7" s="1"/>
  <c r="K196" i="7" s="1"/>
  <c r="EV196" i="2"/>
  <c r="B196" i="7" s="1"/>
  <c r="FS196" i="2"/>
  <c r="FT196" i="2"/>
  <c r="CK196" i="2"/>
  <c r="R196" i="2" s="1"/>
  <c r="CE196" i="2"/>
  <c r="P196" i="2" s="1"/>
  <c r="BU196" i="2"/>
  <c r="AZ196" i="2"/>
  <c r="AG196" i="2"/>
  <c r="AJ196" i="2"/>
  <c r="S196" i="2"/>
  <c r="A196" i="2"/>
  <c r="E196" i="2"/>
  <c r="F196" i="2"/>
  <c r="H196" i="2"/>
  <c r="O196" i="7" s="1"/>
  <c r="K196" i="2"/>
  <c r="L196" i="2"/>
  <c r="M196" i="2"/>
  <c r="N196" i="2"/>
  <c r="AE196" i="7" s="1"/>
  <c r="O196" i="2"/>
  <c r="F195" i="7"/>
  <c r="G195" i="7" s="1"/>
  <c r="K195" i="7" s="1"/>
  <c r="EV195" i="2"/>
  <c r="B195" i="7" s="1"/>
  <c r="FS195" i="2"/>
  <c r="FT195" i="2"/>
  <c r="CK195" i="2"/>
  <c r="R195" i="2" s="1"/>
  <c r="CE195" i="2"/>
  <c r="P195" i="2" s="1"/>
  <c r="BU195" i="2"/>
  <c r="AZ195" i="2"/>
  <c r="AG195" i="2"/>
  <c r="AJ195" i="2"/>
  <c r="S195" i="2"/>
  <c r="A195" i="2"/>
  <c r="E195" i="2"/>
  <c r="F195" i="2"/>
  <c r="H195" i="2"/>
  <c r="O195" i="7" s="1"/>
  <c r="K195" i="2"/>
  <c r="L195" i="2"/>
  <c r="M195" i="2"/>
  <c r="N195" i="2"/>
  <c r="AE195" i="7" s="1"/>
  <c r="O195" i="2"/>
  <c r="BX178" i="2"/>
  <c r="CU101" i="2"/>
  <c r="CV101" i="2"/>
  <c r="CW101" i="2"/>
  <c r="CX101" i="2"/>
  <c r="CY101" i="2"/>
  <c r="DA101" i="2"/>
  <c r="DC101" i="2"/>
  <c r="DE101" i="2"/>
  <c r="DF101" i="2"/>
  <c r="DG101" i="2"/>
  <c r="DH101" i="2"/>
  <c r="DI101" i="2"/>
  <c r="DJ101" i="2"/>
  <c r="DK101" i="2"/>
  <c r="DN101" i="2"/>
  <c r="DT101" i="2" s="1"/>
  <c r="DO101" i="2"/>
  <c r="DP101" i="2"/>
  <c r="DQ101" i="2"/>
  <c r="DR101" i="2"/>
  <c r="DS101" i="2"/>
  <c r="EA101" i="2"/>
  <c r="EN101" i="2"/>
  <c r="EV101" i="2"/>
  <c r="EX101" i="2"/>
  <c r="FD101" i="2"/>
  <c r="FL194" i="2"/>
  <c r="FM194" i="2"/>
  <c r="FS194" i="2"/>
  <c r="FT194" i="2"/>
  <c r="CP101" i="2"/>
  <c r="S101" i="2" s="1"/>
  <c r="CK101" i="2"/>
  <c r="R101" i="2" s="1"/>
  <c r="CE101" i="2"/>
  <c r="P101" i="2" s="1"/>
  <c r="BX101" i="2"/>
  <c r="AZ101" i="2"/>
  <c r="BA101" i="2"/>
  <c r="AG101" i="2"/>
  <c r="AJ101" i="2"/>
  <c r="A101" i="2"/>
  <c r="E101" i="2"/>
  <c r="F101" i="2"/>
  <c r="H101" i="2"/>
  <c r="K101" i="2"/>
  <c r="L101" i="2"/>
  <c r="M101" i="2"/>
  <c r="N101" i="2"/>
  <c r="O101" i="2"/>
  <c r="CU179" i="2"/>
  <c r="CV179" i="2"/>
  <c r="CW179" i="2"/>
  <c r="CX179" i="2"/>
  <c r="CY179" i="2"/>
  <c r="DA179" i="2"/>
  <c r="DC179" i="2"/>
  <c r="DE179" i="2"/>
  <c r="DF179" i="2"/>
  <c r="DG179" i="2"/>
  <c r="DH179" i="2"/>
  <c r="DI179" i="2"/>
  <c r="DJ179" i="2"/>
  <c r="DK179" i="2"/>
  <c r="DN179" i="2"/>
  <c r="DT179" i="2" s="1"/>
  <c r="DO179" i="2"/>
  <c r="DP179" i="2"/>
  <c r="DQ179" i="2"/>
  <c r="DR179" i="2"/>
  <c r="DS179" i="2"/>
  <c r="EA179" i="2"/>
  <c r="EN179" i="2"/>
  <c r="EV179" i="2"/>
  <c r="EX179" i="2"/>
  <c r="FD179" i="2"/>
  <c r="FL193" i="2"/>
  <c r="FM193" i="2"/>
  <c r="FS193" i="2"/>
  <c r="FT193" i="2"/>
  <c r="S179" i="2"/>
  <c r="CK179" i="2"/>
  <c r="R179" i="2" s="1"/>
  <c r="CE179" i="2"/>
  <c r="P179" i="2" s="1"/>
  <c r="BX179" i="2"/>
  <c r="AZ179" i="2"/>
  <c r="T179" i="7" s="1"/>
  <c r="Y179" i="7" s="1"/>
  <c r="AA179" i="7" s="1"/>
  <c r="BA179" i="2"/>
  <c r="AG179" i="2"/>
  <c r="AJ179" i="2"/>
  <c r="A179" i="2"/>
  <c r="E179" i="2"/>
  <c r="F179" i="2"/>
  <c r="H179" i="2"/>
  <c r="K179" i="2"/>
  <c r="L179" i="2"/>
  <c r="M179" i="2"/>
  <c r="N179" i="2"/>
  <c r="O179" i="2"/>
  <c r="CU100" i="2"/>
  <c r="CV100" i="2"/>
  <c r="CW100" i="2"/>
  <c r="CX100" i="2"/>
  <c r="CY100" i="2"/>
  <c r="DA100" i="2"/>
  <c r="DC100" i="2"/>
  <c r="DE100" i="2"/>
  <c r="DF100" i="2"/>
  <c r="DG100" i="2"/>
  <c r="DH100" i="2"/>
  <c r="DI100" i="2"/>
  <c r="DJ100" i="2"/>
  <c r="DK100" i="2"/>
  <c r="DN100" i="2"/>
  <c r="DT100" i="2" s="1"/>
  <c r="DO100" i="2"/>
  <c r="DP100" i="2"/>
  <c r="DQ100" i="2"/>
  <c r="DR100" i="2"/>
  <c r="DS100" i="2"/>
  <c r="EA100" i="2"/>
  <c r="EN100" i="2"/>
  <c r="EV100" i="2"/>
  <c r="EX100" i="2"/>
  <c r="FD100" i="2"/>
  <c r="FL192" i="2"/>
  <c r="FM192" i="2"/>
  <c r="FS192" i="2"/>
  <c r="FT192" i="2"/>
  <c r="CP100" i="2"/>
  <c r="S100" i="2" s="1"/>
  <c r="CK100" i="2"/>
  <c r="R100" i="2" s="1"/>
  <c r="CE100" i="2"/>
  <c r="P100" i="2" s="1"/>
  <c r="BX100" i="2"/>
  <c r="AZ100" i="2"/>
  <c r="BA100" i="2"/>
  <c r="AG100" i="2"/>
  <c r="AJ100" i="2"/>
  <c r="A100" i="2"/>
  <c r="E100" i="2"/>
  <c r="F100" i="2"/>
  <c r="H100" i="2"/>
  <c r="K100" i="2"/>
  <c r="L100" i="2"/>
  <c r="M100" i="2"/>
  <c r="N100" i="2"/>
  <c r="O100" i="2"/>
  <c r="F191" i="7"/>
  <c r="G191" i="7" s="1"/>
  <c r="K191" i="7" s="1"/>
  <c r="EV191" i="2"/>
  <c r="B191" i="7" s="1"/>
  <c r="FS191" i="2"/>
  <c r="FT191" i="2"/>
  <c r="CK191" i="2"/>
  <c r="R191" i="2" s="1"/>
  <c r="CE191" i="2"/>
  <c r="P191" i="2" s="1"/>
  <c r="BU191" i="2"/>
  <c r="AZ191" i="2"/>
  <c r="AG191" i="2"/>
  <c r="AJ191" i="2"/>
  <c r="S191" i="2"/>
  <c r="A191" i="2"/>
  <c r="E191" i="2"/>
  <c r="F191" i="2"/>
  <c r="H191" i="2"/>
  <c r="O191" i="7" s="1"/>
  <c r="K191" i="2"/>
  <c r="L191" i="2"/>
  <c r="M191" i="2"/>
  <c r="N191" i="2"/>
  <c r="AE191" i="7" s="1"/>
  <c r="O191" i="2"/>
  <c r="BA178" i="2"/>
  <c r="AJ178" i="2"/>
  <c r="AG178" i="2"/>
  <c r="R178" i="2"/>
  <c r="P178" i="2"/>
  <c r="O178" i="2"/>
  <c r="N178" i="2"/>
  <c r="K178" i="2"/>
  <c r="H178" i="2"/>
  <c r="F178" i="2"/>
  <c r="E178" i="2"/>
  <c r="A178" i="2"/>
  <c r="B179" i="7" l="1"/>
  <c r="AE179" i="7"/>
  <c r="O179" i="7"/>
  <c r="AH179" i="7"/>
  <c r="C179" i="7"/>
  <c r="AH196" i="7"/>
  <c r="C196" i="7"/>
  <c r="CQ100" i="2"/>
  <c r="CQ179" i="2"/>
  <c r="CQ196" i="2"/>
  <c r="T196" i="7"/>
  <c r="Y196" i="7" s="1"/>
  <c r="AA196" i="7" s="1"/>
  <c r="AH195" i="7"/>
  <c r="C195" i="7"/>
  <c r="CQ191" i="2"/>
  <c r="T191" i="7"/>
  <c r="Y191" i="7" s="1"/>
  <c r="AA191" i="7" s="1"/>
  <c r="CQ101" i="2"/>
  <c r="CQ195" i="2"/>
  <c r="T195" i="7"/>
  <c r="Y195" i="7" s="1"/>
  <c r="AA195" i="7" s="1"/>
  <c r="AH191" i="7"/>
  <c r="C191" i="7"/>
  <c r="F189" i="7"/>
  <c r="G189" i="7" s="1"/>
  <c r="K189" i="7" s="1"/>
  <c r="EV189" i="2"/>
  <c r="B189" i="7" s="1"/>
  <c r="FS189" i="2"/>
  <c r="FT189" i="2"/>
  <c r="CK189" i="2"/>
  <c r="R189" i="2" s="1"/>
  <c r="CE189" i="2"/>
  <c r="P189" i="2" s="1"/>
  <c r="BU189" i="2"/>
  <c r="AZ189" i="2"/>
  <c r="AG189" i="2"/>
  <c r="AJ189" i="2"/>
  <c r="S189" i="2"/>
  <c r="A189" i="2"/>
  <c r="E189" i="2"/>
  <c r="F189" i="2"/>
  <c r="H189" i="2"/>
  <c r="O189" i="7" s="1"/>
  <c r="K189" i="2"/>
  <c r="L189" i="2"/>
  <c r="M189" i="2"/>
  <c r="N189" i="2"/>
  <c r="AE189" i="7" s="1"/>
  <c r="O189" i="2"/>
  <c r="X22" i="5"/>
  <c r="M22" i="5"/>
  <c r="FT188" i="2"/>
  <c r="FS188" i="2"/>
  <c r="EN188" i="2"/>
  <c r="EA188" i="2"/>
  <c r="DS188" i="2"/>
  <c r="DR188" i="2"/>
  <c r="DQ188" i="2"/>
  <c r="DP188" i="2"/>
  <c r="DO188" i="2"/>
  <c r="DN188" i="2"/>
  <c r="DT188" i="2" s="1"/>
  <c r="DK188" i="2"/>
  <c r="DJ188" i="2"/>
  <c r="DI188" i="2"/>
  <c r="DH188" i="2"/>
  <c r="DG188" i="2"/>
  <c r="DF188" i="2"/>
  <c r="DE188" i="2"/>
  <c r="DC188" i="2"/>
  <c r="DA188" i="2"/>
  <c r="CY188" i="2"/>
  <c r="CX188" i="2"/>
  <c r="CW188" i="2"/>
  <c r="CV188" i="2"/>
  <c r="CU188" i="2"/>
  <c r="CQ188" i="2"/>
  <c r="CP188" i="2"/>
  <c r="S188" i="2" s="1"/>
  <c r="AJ188" i="2"/>
  <c r="AG188" i="2"/>
  <c r="L188" i="2"/>
  <c r="K188" i="2"/>
  <c r="H188" i="2"/>
  <c r="O188" i="7" s="1"/>
  <c r="F188" i="2"/>
  <c r="E188" i="2"/>
  <c r="A188" i="2"/>
  <c r="FT187" i="2"/>
  <c r="FS187" i="2"/>
  <c r="EN187" i="2"/>
  <c r="EA187" i="2"/>
  <c r="DS187" i="2"/>
  <c r="DR187" i="2"/>
  <c r="DQ187" i="2"/>
  <c r="DP187" i="2"/>
  <c r="DO187" i="2"/>
  <c r="DN187" i="2"/>
  <c r="DT187" i="2" s="1"/>
  <c r="DK187" i="2"/>
  <c r="DJ187" i="2"/>
  <c r="DI187" i="2"/>
  <c r="DH187" i="2"/>
  <c r="DG187" i="2"/>
  <c r="DF187" i="2"/>
  <c r="DE187" i="2"/>
  <c r="DC187" i="2"/>
  <c r="DA187" i="2"/>
  <c r="CY187" i="2"/>
  <c r="CX187" i="2"/>
  <c r="CW187" i="2"/>
  <c r="CV187" i="2"/>
  <c r="CU187" i="2"/>
  <c r="CQ187" i="2"/>
  <c r="CP187" i="2"/>
  <c r="S187" i="2" s="1"/>
  <c r="AJ187" i="2"/>
  <c r="AG187" i="2"/>
  <c r="L187" i="2"/>
  <c r="K187" i="2"/>
  <c r="H187" i="2"/>
  <c r="O187" i="7" s="1"/>
  <c r="F187" i="2"/>
  <c r="E187" i="2"/>
  <c r="A187" i="2"/>
  <c r="AZ106" i="2"/>
  <c r="AJ96" i="2"/>
  <c r="AJ106" i="2"/>
  <c r="EV186" i="2"/>
  <c r="B186" i="7" s="1"/>
  <c r="FS186" i="2"/>
  <c r="FT186" i="2"/>
  <c r="F186" i="7"/>
  <c r="G186" i="7" s="1"/>
  <c r="K186" i="7" s="1"/>
  <c r="CK186" i="2"/>
  <c r="R186" i="2" s="1"/>
  <c r="CE186" i="2"/>
  <c r="P186" i="2" s="1"/>
  <c r="BU186" i="2"/>
  <c r="AZ186" i="2"/>
  <c r="AG186" i="2"/>
  <c r="AJ186" i="2"/>
  <c r="S186" i="2"/>
  <c r="A186" i="2"/>
  <c r="E186" i="2"/>
  <c r="F186" i="2"/>
  <c r="H186" i="2"/>
  <c r="O186" i="7" s="1"/>
  <c r="K186" i="2"/>
  <c r="L186" i="2"/>
  <c r="M186" i="2"/>
  <c r="N186" i="2"/>
  <c r="AE186" i="7" s="1"/>
  <c r="O186" i="2"/>
  <c r="AH189" i="7" l="1"/>
  <c r="C189" i="7"/>
  <c r="T188" i="2"/>
  <c r="AH188" i="7"/>
  <c r="C188" i="7"/>
  <c r="AH186" i="7"/>
  <c r="C186" i="7"/>
  <c r="CQ189" i="2"/>
  <c r="T189" i="7"/>
  <c r="Y189" i="7" s="1"/>
  <c r="AA189" i="7" s="1"/>
  <c r="CQ186" i="2"/>
  <c r="T186" i="7"/>
  <c r="Y186" i="7" s="1"/>
  <c r="AA186" i="7" s="1"/>
  <c r="T187" i="2"/>
  <c r="AH187" i="7"/>
  <c r="C187" i="7"/>
  <c r="A184" i="2"/>
  <c r="E184" i="2"/>
  <c r="F184" i="2"/>
  <c r="H184" i="2"/>
  <c r="O184" i="7" s="1"/>
  <c r="K184" i="2"/>
  <c r="L184" i="2"/>
  <c r="M184" i="2"/>
  <c r="N184" i="2"/>
  <c r="AE184" i="7" s="1"/>
  <c r="O184" i="2"/>
  <c r="S184" i="2"/>
  <c r="AG184" i="2"/>
  <c r="AJ184" i="2"/>
  <c r="AZ184" i="2"/>
  <c r="BU184" i="2"/>
  <c r="CE184" i="2"/>
  <c r="P184" i="2" s="1"/>
  <c r="CK184" i="2"/>
  <c r="R184" i="2" s="1"/>
  <c r="F184" i="7"/>
  <c r="G184" i="7" s="1"/>
  <c r="K184" i="7" s="1"/>
  <c r="EV184" i="2"/>
  <c r="B184" i="7" s="1"/>
  <c r="FS184" i="2"/>
  <c r="FT184" i="2"/>
  <c r="A185" i="2"/>
  <c r="E185" i="2"/>
  <c r="F185" i="2"/>
  <c r="H185" i="2"/>
  <c r="O185" i="7" s="1"/>
  <c r="K185" i="2"/>
  <c r="L185" i="2"/>
  <c r="M185" i="2"/>
  <c r="N185" i="2"/>
  <c r="AE185" i="7" s="1"/>
  <c r="O185" i="2"/>
  <c r="S185" i="2"/>
  <c r="AG185" i="2"/>
  <c r="AJ185" i="2"/>
  <c r="AZ185" i="2"/>
  <c r="BU185" i="2"/>
  <c r="CE185" i="2"/>
  <c r="P185" i="2" s="1"/>
  <c r="CK185" i="2"/>
  <c r="R185" i="2" s="1"/>
  <c r="F185" i="7"/>
  <c r="G185" i="7" s="1"/>
  <c r="K185" i="7" s="1"/>
  <c r="EV185" i="2"/>
  <c r="B185" i="7" s="1"/>
  <c r="FS185" i="2"/>
  <c r="FT185" i="2"/>
  <c r="CQ184" i="2" l="1"/>
  <c r="T184" i="7"/>
  <c r="Y184" i="7" s="1"/>
  <c r="AA184" i="7" s="1"/>
  <c r="C185" i="7"/>
  <c r="AH185" i="7"/>
  <c r="CQ185" i="2"/>
  <c r="T185" i="7"/>
  <c r="Y185" i="7" s="1"/>
  <c r="AA185" i="7" s="1"/>
  <c r="AH184" i="7"/>
  <c r="C184" i="7"/>
  <c r="CU177" i="2"/>
  <c r="CV177" i="2"/>
  <c r="CW177" i="2"/>
  <c r="CX177" i="2"/>
  <c r="CY177" i="2"/>
  <c r="DA177" i="2"/>
  <c r="DC177" i="2"/>
  <c r="DE177" i="2"/>
  <c r="DF177" i="2"/>
  <c r="DG177" i="2"/>
  <c r="DH177" i="2"/>
  <c r="DI177" i="2"/>
  <c r="DJ177" i="2"/>
  <c r="DK177" i="2"/>
  <c r="DN177" i="2"/>
  <c r="DT177" i="2" s="1"/>
  <c r="DO177" i="2"/>
  <c r="DP177" i="2"/>
  <c r="DQ177" i="2"/>
  <c r="DR177" i="2"/>
  <c r="DS177" i="2"/>
  <c r="EA177" i="2"/>
  <c r="EN177" i="2"/>
  <c r="EV177" i="2"/>
  <c r="EX177" i="2"/>
  <c r="FD177" i="2"/>
  <c r="FL182" i="2"/>
  <c r="FM182" i="2"/>
  <c r="FS182" i="2"/>
  <c r="FT182" i="2"/>
  <c r="S177" i="2"/>
  <c r="R177" i="2"/>
  <c r="CE177" i="2"/>
  <c r="P177" i="2" s="1"/>
  <c r="BX177" i="2"/>
  <c r="AZ177" i="2"/>
  <c r="CQ177" i="2" s="1"/>
  <c r="BA177" i="2"/>
  <c r="AG177" i="2"/>
  <c r="AJ177" i="2"/>
  <c r="A177" i="2"/>
  <c r="E177" i="2"/>
  <c r="F177" i="2"/>
  <c r="H177" i="2"/>
  <c r="O182" i="7" s="1"/>
  <c r="K177" i="2"/>
  <c r="L177" i="2"/>
  <c r="M177" i="2"/>
  <c r="N177" i="2"/>
  <c r="O177" i="2"/>
  <c r="CU176" i="2"/>
  <c r="CV176" i="2"/>
  <c r="CW176" i="2"/>
  <c r="CX176" i="2"/>
  <c r="CY176" i="2"/>
  <c r="DA176" i="2"/>
  <c r="DC176" i="2"/>
  <c r="DE176" i="2"/>
  <c r="DF176" i="2"/>
  <c r="DG176" i="2"/>
  <c r="DH176" i="2"/>
  <c r="DI176" i="2"/>
  <c r="DJ176" i="2"/>
  <c r="DK176" i="2"/>
  <c r="DN176" i="2"/>
  <c r="DT176" i="2" s="1"/>
  <c r="DO176" i="2"/>
  <c r="DP176" i="2"/>
  <c r="DQ176" i="2"/>
  <c r="DR176" i="2"/>
  <c r="DS176" i="2"/>
  <c r="EA176" i="2"/>
  <c r="EN176" i="2"/>
  <c r="EV176" i="2"/>
  <c r="EX176" i="2"/>
  <c r="FD176" i="2"/>
  <c r="FL181" i="2"/>
  <c r="FM181" i="2"/>
  <c r="FS181" i="2"/>
  <c r="FT181" i="2"/>
  <c r="S176" i="2"/>
  <c r="R176" i="2"/>
  <c r="CE176" i="2"/>
  <c r="P176" i="2" s="1"/>
  <c r="BX176" i="2"/>
  <c r="AZ176" i="2"/>
  <c r="CQ176" i="2" s="1"/>
  <c r="BA176" i="2"/>
  <c r="AG176" i="2"/>
  <c r="AJ176" i="2"/>
  <c r="A176" i="2"/>
  <c r="E176" i="2"/>
  <c r="F176" i="2"/>
  <c r="H176" i="2"/>
  <c r="K176" i="2"/>
  <c r="L176" i="2"/>
  <c r="M176" i="2"/>
  <c r="N176" i="2"/>
  <c r="O176" i="2"/>
  <c r="BJ54" i="2" l="1"/>
  <c r="V82" i="7" s="1"/>
  <c r="M57" i="2"/>
  <c r="FT178" i="2"/>
  <c r="FS178" i="2"/>
  <c r="FM178" i="2"/>
  <c r="FL178" i="2"/>
  <c r="FD173" i="2"/>
  <c r="EX173" i="2"/>
  <c r="EV173" i="2"/>
  <c r="B178" i="7" s="1"/>
  <c r="EN173" i="2"/>
  <c r="EA173" i="2"/>
  <c r="DS173" i="2"/>
  <c r="DR173" i="2"/>
  <c r="DQ173" i="2"/>
  <c r="DP173" i="2"/>
  <c r="DO173" i="2"/>
  <c r="DN173" i="2"/>
  <c r="DT173" i="2" s="1"/>
  <c r="DK173" i="2"/>
  <c r="DJ173" i="2"/>
  <c r="DI173" i="2"/>
  <c r="DH173" i="2"/>
  <c r="DG173" i="2"/>
  <c r="DF173" i="2"/>
  <c r="DE173" i="2"/>
  <c r="DC173" i="2"/>
  <c r="DA173" i="2"/>
  <c r="CY173" i="2"/>
  <c r="CX173" i="2"/>
  <c r="CW173" i="2"/>
  <c r="CV173" i="2"/>
  <c r="CU173" i="2"/>
  <c r="S173" i="2"/>
  <c r="CK173" i="2"/>
  <c r="R173" i="2" s="1"/>
  <c r="CE173" i="2"/>
  <c r="P173" i="2" s="1"/>
  <c r="BX173" i="2"/>
  <c r="BA173" i="2"/>
  <c r="AZ173" i="2"/>
  <c r="T173" i="7" s="1"/>
  <c r="AJ173" i="2"/>
  <c r="AG173" i="2"/>
  <c r="O173" i="2"/>
  <c r="N173" i="2"/>
  <c r="AE178" i="7" s="1"/>
  <c r="M173" i="2"/>
  <c r="L173" i="2"/>
  <c r="K173" i="2"/>
  <c r="H173" i="2"/>
  <c r="O178" i="7" s="1"/>
  <c r="F173" i="2"/>
  <c r="E173" i="2"/>
  <c r="A173" i="2"/>
  <c r="AF99" i="2"/>
  <c r="E99" i="7" s="1"/>
  <c r="AF67" i="2"/>
  <c r="AF65" i="2"/>
  <c r="AF46" i="2"/>
  <c r="E46" i="7" s="1"/>
  <c r="AF16" i="2"/>
  <c r="E16" i="7" s="1"/>
  <c r="AF58" i="2"/>
  <c r="AF50" i="2"/>
  <c r="AF47" i="2"/>
  <c r="AF22" i="2"/>
  <c r="AF14" i="2"/>
  <c r="AF12" i="2"/>
  <c r="D4" i="7"/>
  <c r="E4" i="7"/>
  <c r="F4" i="7"/>
  <c r="H4" i="7"/>
  <c r="J4" i="7"/>
  <c r="L4" i="7"/>
  <c r="M4" i="7"/>
  <c r="N4" i="7"/>
  <c r="P4" i="7"/>
  <c r="Q4" i="7"/>
  <c r="R4" i="7"/>
  <c r="S4" i="7"/>
  <c r="T4" i="7"/>
  <c r="U4" i="7"/>
  <c r="V4" i="7"/>
  <c r="W4" i="7"/>
  <c r="X4" i="7"/>
  <c r="AB4" i="7"/>
  <c r="AI4" i="7" s="1"/>
  <c r="AC4" i="7"/>
  <c r="AD4" i="7"/>
  <c r="AG4" i="7"/>
  <c r="D5" i="7"/>
  <c r="E5" i="7"/>
  <c r="F5" i="7"/>
  <c r="H5" i="7"/>
  <c r="J5" i="7"/>
  <c r="L5" i="7"/>
  <c r="M5" i="7"/>
  <c r="N5" i="7"/>
  <c r="P5" i="7"/>
  <c r="Q5" i="7"/>
  <c r="R5" i="7"/>
  <c r="S5" i="7"/>
  <c r="U5" i="7"/>
  <c r="V5" i="7"/>
  <c r="W5" i="7"/>
  <c r="X5" i="7"/>
  <c r="Z5" i="7"/>
  <c r="AB5" i="7"/>
  <c r="AI5" i="7" s="1"/>
  <c r="AC5" i="7"/>
  <c r="AD5" i="7"/>
  <c r="AG5" i="7"/>
  <c r="D6" i="7"/>
  <c r="E6" i="7"/>
  <c r="F6" i="7"/>
  <c r="H6" i="7"/>
  <c r="J6" i="7"/>
  <c r="L6" i="7"/>
  <c r="M6" i="7"/>
  <c r="N6" i="7"/>
  <c r="P6" i="7"/>
  <c r="Q6" i="7"/>
  <c r="R6" i="7"/>
  <c r="S6" i="7"/>
  <c r="U6" i="7"/>
  <c r="V6" i="7"/>
  <c r="W6" i="7"/>
  <c r="X6" i="7"/>
  <c r="Z6" i="7"/>
  <c r="AB6" i="7"/>
  <c r="AC6" i="7"/>
  <c r="AD6" i="7"/>
  <c r="AG6" i="7"/>
  <c r="D7" i="7"/>
  <c r="E7" i="7"/>
  <c r="F7" i="7"/>
  <c r="H7" i="7"/>
  <c r="J7" i="7"/>
  <c r="L7" i="7"/>
  <c r="M7" i="7"/>
  <c r="N7" i="7"/>
  <c r="P7" i="7"/>
  <c r="Q7" i="7"/>
  <c r="R7" i="7"/>
  <c r="S7" i="7"/>
  <c r="U7" i="7"/>
  <c r="V7" i="7"/>
  <c r="W7" i="7"/>
  <c r="X7" i="7"/>
  <c r="Z7" i="7"/>
  <c r="AB7" i="7"/>
  <c r="AC7" i="7"/>
  <c r="AD7" i="7"/>
  <c r="AG7" i="7"/>
  <c r="D8" i="7"/>
  <c r="E8" i="7"/>
  <c r="F8" i="7"/>
  <c r="H8" i="7"/>
  <c r="J8" i="7"/>
  <c r="L8" i="7"/>
  <c r="M8" i="7"/>
  <c r="N8" i="7"/>
  <c r="P8" i="7"/>
  <c r="Q8" i="7"/>
  <c r="R8" i="7"/>
  <c r="S8" i="7"/>
  <c r="U8" i="7"/>
  <c r="V8" i="7"/>
  <c r="W8" i="7"/>
  <c r="X8" i="7"/>
  <c r="Z8" i="7"/>
  <c r="AB8" i="7"/>
  <c r="AC8" i="7"/>
  <c r="AD8" i="7"/>
  <c r="AG8" i="7"/>
  <c r="D9" i="7"/>
  <c r="E9" i="7"/>
  <c r="F9" i="7"/>
  <c r="H9" i="7"/>
  <c r="J9" i="7"/>
  <c r="L9" i="7"/>
  <c r="M9" i="7"/>
  <c r="N9" i="7"/>
  <c r="P9" i="7"/>
  <c r="Q9" i="7"/>
  <c r="R9" i="7"/>
  <c r="S9" i="7"/>
  <c r="U9" i="7"/>
  <c r="V9" i="7"/>
  <c r="W9" i="7"/>
  <c r="X9" i="7"/>
  <c r="Z9" i="7"/>
  <c r="AB9" i="7"/>
  <c r="AC9" i="7"/>
  <c r="AD9" i="7"/>
  <c r="AG9" i="7"/>
  <c r="D10" i="7"/>
  <c r="E10" i="7"/>
  <c r="F10" i="7"/>
  <c r="H10" i="7"/>
  <c r="J10" i="7"/>
  <c r="L10" i="7"/>
  <c r="M10" i="7"/>
  <c r="N10" i="7"/>
  <c r="P10" i="7"/>
  <c r="Q10" i="7"/>
  <c r="R10" i="7"/>
  <c r="S10" i="7"/>
  <c r="U10" i="7"/>
  <c r="V10" i="7"/>
  <c r="W10" i="7"/>
  <c r="X10" i="7"/>
  <c r="Z10" i="7"/>
  <c r="AB10" i="7"/>
  <c r="AI10" i="7" s="1"/>
  <c r="AC10" i="7"/>
  <c r="AD10" i="7"/>
  <c r="AG10" i="7"/>
  <c r="D11" i="7"/>
  <c r="E11" i="7"/>
  <c r="F11" i="7"/>
  <c r="H11" i="7"/>
  <c r="J11" i="7"/>
  <c r="L11" i="7"/>
  <c r="M11" i="7"/>
  <c r="N11" i="7"/>
  <c r="P11" i="7"/>
  <c r="Q11" i="7"/>
  <c r="R11" i="7"/>
  <c r="S11" i="7"/>
  <c r="U11" i="7"/>
  <c r="V11" i="7"/>
  <c r="W11" i="7"/>
  <c r="X11" i="7"/>
  <c r="Z11" i="7"/>
  <c r="AB11" i="7"/>
  <c r="AC11" i="7"/>
  <c r="AD11" i="7"/>
  <c r="AG11" i="7"/>
  <c r="D12" i="7"/>
  <c r="F12" i="7"/>
  <c r="H12" i="7"/>
  <c r="J12" i="7"/>
  <c r="L12" i="7"/>
  <c r="M12" i="7"/>
  <c r="N12" i="7"/>
  <c r="P12" i="7"/>
  <c r="Q12" i="7"/>
  <c r="R12" i="7"/>
  <c r="S12" i="7"/>
  <c r="U12" i="7"/>
  <c r="V12" i="7"/>
  <c r="W12" i="7"/>
  <c r="X12" i="7"/>
  <c r="Z12" i="7"/>
  <c r="AB12" i="7"/>
  <c r="AI12" i="7" s="1"/>
  <c r="AC12" i="7"/>
  <c r="AD12" i="7"/>
  <c r="AG12" i="7"/>
  <c r="D13" i="7"/>
  <c r="E13" i="7"/>
  <c r="F13" i="7"/>
  <c r="H13" i="7"/>
  <c r="J13" i="7"/>
  <c r="L13" i="7"/>
  <c r="M13" i="7"/>
  <c r="N13" i="7"/>
  <c r="P13" i="7"/>
  <c r="Q13" i="7"/>
  <c r="R13" i="7"/>
  <c r="S13" i="7"/>
  <c r="U13" i="7"/>
  <c r="V13" i="7"/>
  <c r="W13" i="7"/>
  <c r="X13" i="7"/>
  <c r="Z13" i="7"/>
  <c r="AB13" i="7"/>
  <c r="AC13" i="7"/>
  <c r="AD13" i="7"/>
  <c r="AG13" i="7"/>
  <c r="D14" i="7"/>
  <c r="F14" i="7"/>
  <c r="H14" i="7"/>
  <c r="J14" i="7"/>
  <c r="L14" i="7"/>
  <c r="M14" i="7"/>
  <c r="N14" i="7"/>
  <c r="P14" i="7"/>
  <c r="Q14" i="7"/>
  <c r="R14" i="7"/>
  <c r="S14" i="7"/>
  <c r="U14" i="7"/>
  <c r="V14" i="7"/>
  <c r="W14" i="7"/>
  <c r="X14" i="7"/>
  <c r="Z14" i="7"/>
  <c r="AB14" i="7"/>
  <c r="AI14" i="7" s="1"/>
  <c r="AC14" i="7"/>
  <c r="AD14" i="7"/>
  <c r="AG14" i="7"/>
  <c r="D15" i="7"/>
  <c r="E15" i="7"/>
  <c r="F15" i="7"/>
  <c r="H15" i="7"/>
  <c r="J15" i="7"/>
  <c r="L15" i="7"/>
  <c r="M15" i="7"/>
  <c r="N15" i="7"/>
  <c r="P15" i="7"/>
  <c r="Q15" i="7"/>
  <c r="R15" i="7"/>
  <c r="S15" i="7"/>
  <c r="U15" i="7"/>
  <c r="V15" i="7"/>
  <c r="W15" i="7"/>
  <c r="X15" i="7"/>
  <c r="AB15" i="7"/>
  <c r="AI15" i="7" s="1"/>
  <c r="AC15" i="7"/>
  <c r="AD15" i="7"/>
  <c r="AG15" i="7"/>
  <c r="D16" i="7"/>
  <c r="F16" i="7"/>
  <c r="H16" i="7"/>
  <c r="J16" i="7"/>
  <c r="L16" i="7"/>
  <c r="M16" i="7"/>
  <c r="N16" i="7"/>
  <c r="P16" i="7"/>
  <c r="Q16" i="7"/>
  <c r="R16" i="7"/>
  <c r="S16" i="7"/>
  <c r="U16" i="7"/>
  <c r="V16" i="7"/>
  <c r="W16" i="7"/>
  <c r="X16" i="7"/>
  <c r="AB16" i="7"/>
  <c r="AI16" i="7" s="1"/>
  <c r="AC16" i="7"/>
  <c r="AD16" i="7"/>
  <c r="AG16" i="7"/>
  <c r="D17" i="7"/>
  <c r="E17" i="7"/>
  <c r="F17" i="7"/>
  <c r="H17" i="7"/>
  <c r="J17" i="7"/>
  <c r="L17" i="7"/>
  <c r="M17" i="7"/>
  <c r="N17" i="7"/>
  <c r="P17" i="7"/>
  <c r="Q17" i="7"/>
  <c r="R17" i="7"/>
  <c r="S17" i="7"/>
  <c r="U17" i="7"/>
  <c r="V17" i="7"/>
  <c r="W17" i="7"/>
  <c r="X17" i="7"/>
  <c r="AB17" i="7"/>
  <c r="AI17" i="7" s="1"/>
  <c r="AC17" i="7"/>
  <c r="AD17" i="7"/>
  <c r="AG17" i="7"/>
  <c r="D18" i="7"/>
  <c r="E18" i="7"/>
  <c r="F18" i="7"/>
  <c r="H18" i="7"/>
  <c r="J18" i="7"/>
  <c r="L18" i="7"/>
  <c r="M18" i="7"/>
  <c r="N18" i="7"/>
  <c r="P18" i="7"/>
  <c r="Q18" i="7"/>
  <c r="R18" i="7"/>
  <c r="S18" i="7"/>
  <c r="U18" i="7"/>
  <c r="V18" i="7"/>
  <c r="W18" i="7"/>
  <c r="X18" i="7"/>
  <c r="AB18" i="7"/>
  <c r="AI18" i="7" s="1"/>
  <c r="AC18" i="7"/>
  <c r="AD18" i="7"/>
  <c r="AG18" i="7"/>
  <c r="D19" i="7"/>
  <c r="E19" i="7"/>
  <c r="F19" i="7"/>
  <c r="H19" i="7"/>
  <c r="J19" i="7"/>
  <c r="L19" i="7"/>
  <c r="M19" i="7"/>
  <c r="N19" i="7"/>
  <c r="P19" i="7"/>
  <c r="Q19" i="7"/>
  <c r="R19" i="7"/>
  <c r="S19" i="7"/>
  <c r="U19" i="7"/>
  <c r="V19" i="7"/>
  <c r="W19" i="7"/>
  <c r="X19" i="7"/>
  <c r="Z19" i="7"/>
  <c r="AB19" i="7"/>
  <c r="AI19" i="7" s="1"/>
  <c r="AC19" i="7"/>
  <c r="AD19" i="7"/>
  <c r="AG19" i="7"/>
  <c r="D20" i="7"/>
  <c r="E20" i="7"/>
  <c r="F20" i="7"/>
  <c r="H20" i="7"/>
  <c r="J20" i="7"/>
  <c r="L20" i="7"/>
  <c r="M20" i="7"/>
  <c r="N20" i="7"/>
  <c r="P20" i="7"/>
  <c r="Q20" i="7"/>
  <c r="R20" i="7"/>
  <c r="S20" i="7"/>
  <c r="U20" i="7"/>
  <c r="V20" i="7"/>
  <c r="W20" i="7"/>
  <c r="X20" i="7"/>
  <c r="Z20" i="7"/>
  <c r="AB20" i="7"/>
  <c r="AC20" i="7"/>
  <c r="AD20" i="7"/>
  <c r="AG20" i="7"/>
  <c r="D21" i="7"/>
  <c r="E21" i="7"/>
  <c r="F21" i="7"/>
  <c r="H21" i="7"/>
  <c r="J21" i="7"/>
  <c r="L21" i="7"/>
  <c r="M21" i="7"/>
  <c r="N21" i="7"/>
  <c r="P21" i="7"/>
  <c r="Q21" i="7"/>
  <c r="R21" i="7"/>
  <c r="S21" i="7"/>
  <c r="U21" i="7"/>
  <c r="V21" i="7"/>
  <c r="W21" i="7"/>
  <c r="X21" i="7"/>
  <c r="Z21" i="7"/>
  <c r="AB21" i="7"/>
  <c r="AC21" i="7"/>
  <c r="AD21" i="7"/>
  <c r="AG21" i="7"/>
  <c r="D22" i="7"/>
  <c r="F22" i="7"/>
  <c r="H22" i="7"/>
  <c r="J22" i="7"/>
  <c r="L22" i="7"/>
  <c r="M22" i="7"/>
  <c r="N22" i="7"/>
  <c r="P22" i="7"/>
  <c r="Q22" i="7"/>
  <c r="R22" i="7"/>
  <c r="S22" i="7"/>
  <c r="U22" i="7"/>
  <c r="V22" i="7"/>
  <c r="W22" i="7"/>
  <c r="X22" i="7"/>
  <c r="Z22" i="7"/>
  <c r="AB22" i="7"/>
  <c r="AI22" i="7" s="1"/>
  <c r="AC22" i="7"/>
  <c r="AD22" i="7"/>
  <c r="AG22" i="7"/>
  <c r="D23" i="7"/>
  <c r="E23" i="7"/>
  <c r="F23" i="7"/>
  <c r="H23" i="7"/>
  <c r="J23" i="7"/>
  <c r="L23" i="7"/>
  <c r="M23" i="7"/>
  <c r="N23" i="7"/>
  <c r="P23" i="7"/>
  <c r="Q23" i="7"/>
  <c r="R23" i="7"/>
  <c r="S23" i="7"/>
  <c r="U23" i="7"/>
  <c r="V23" i="7"/>
  <c r="W23" i="7"/>
  <c r="X23" i="7"/>
  <c r="Z23" i="7"/>
  <c r="AB23" i="7"/>
  <c r="AC23" i="7"/>
  <c r="AD23" i="7"/>
  <c r="AG23" i="7"/>
  <c r="D24" i="7"/>
  <c r="E24" i="7"/>
  <c r="F24" i="7"/>
  <c r="H24" i="7"/>
  <c r="J24" i="7"/>
  <c r="L24" i="7"/>
  <c r="M24" i="7"/>
  <c r="N24" i="7"/>
  <c r="P24" i="7"/>
  <c r="Q24" i="7"/>
  <c r="R24" i="7"/>
  <c r="S24" i="7"/>
  <c r="U24" i="7"/>
  <c r="V24" i="7"/>
  <c r="W24" i="7"/>
  <c r="X24" i="7"/>
  <c r="Z24" i="7"/>
  <c r="AB24" i="7"/>
  <c r="AC24" i="7"/>
  <c r="AD24" i="7"/>
  <c r="AG24" i="7"/>
  <c r="D25" i="7"/>
  <c r="E25" i="7"/>
  <c r="F25" i="7"/>
  <c r="H25" i="7"/>
  <c r="J25" i="7"/>
  <c r="L25" i="7"/>
  <c r="M25" i="7"/>
  <c r="N25" i="7"/>
  <c r="P25" i="7"/>
  <c r="Q25" i="7"/>
  <c r="R25" i="7"/>
  <c r="S25" i="7"/>
  <c r="U25" i="7"/>
  <c r="V25" i="7"/>
  <c r="W25" i="7"/>
  <c r="X25" i="7"/>
  <c r="Z25" i="7"/>
  <c r="AB25" i="7"/>
  <c r="AC25" i="7"/>
  <c r="AD25" i="7"/>
  <c r="AG25" i="7"/>
  <c r="D26" i="7"/>
  <c r="E26" i="7"/>
  <c r="F26" i="7"/>
  <c r="H26" i="7"/>
  <c r="J26" i="7"/>
  <c r="L26" i="7"/>
  <c r="M26" i="7"/>
  <c r="N26" i="7"/>
  <c r="P26" i="7"/>
  <c r="Q26" i="7"/>
  <c r="R26" i="7"/>
  <c r="S26" i="7"/>
  <c r="U26" i="7"/>
  <c r="V26" i="7"/>
  <c r="W26" i="7"/>
  <c r="X26" i="7"/>
  <c r="Z26" i="7"/>
  <c r="AB26" i="7"/>
  <c r="AI26" i="7" s="1"/>
  <c r="AC26" i="7"/>
  <c r="AD26" i="7"/>
  <c r="AG26" i="7"/>
  <c r="D27" i="7"/>
  <c r="E27" i="7"/>
  <c r="F27" i="7"/>
  <c r="H27" i="7"/>
  <c r="J27" i="7"/>
  <c r="L27" i="7"/>
  <c r="M27" i="7"/>
  <c r="N27" i="7"/>
  <c r="P27" i="7"/>
  <c r="Q27" i="7"/>
  <c r="R27" i="7"/>
  <c r="S27" i="7"/>
  <c r="U27" i="7"/>
  <c r="V27" i="7"/>
  <c r="W27" i="7"/>
  <c r="X27" i="7"/>
  <c r="Z27" i="7"/>
  <c r="AB27" i="7"/>
  <c r="AI27" i="7" s="1"/>
  <c r="AC27" i="7"/>
  <c r="AD27" i="7"/>
  <c r="AG27" i="7"/>
  <c r="D28" i="7"/>
  <c r="E28" i="7"/>
  <c r="F28" i="7"/>
  <c r="H28" i="7"/>
  <c r="J28" i="7"/>
  <c r="L28" i="7"/>
  <c r="M28" i="7"/>
  <c r="N28" i="7"/>
  <c r="P28" i="7"/>
  <c r="Q28" i="7"/>
  <c r="R28" i="7"/>
  <c r="S28" i="7"/>
  <c r="U28" i="7"/>
  <c r="V28" i="7"/>
  <c r="W28" i="7"/>
  <c r="X28" i="7"/>
  <c r="Z28" i="7"/>
  <c r="AB28" i="7"/>
  <c r="AC28" i="7"/>
  <c r="AD28" i="7"/>
  <c r="AG28" i="7"/>
  <c r="D29" i="7"/>
  <c r="E29" i="7"/>
  <c r="F29" i="7"/>
  <c r="H29" i="7"/>
  <c r="J29" i="7"/>
  <c r="L29" i="7"/>
  <c r="M29" i="7"/>
  <c r="N29" i="7"/>
  <c r="P29" i="7"/>
  <c r="Q29" i="7"/>
  <c r="R29" i="7"/>
  <c r="S29" i="7"/>
  <c r="U29" i="7"/>
  <c r="V29" i="7"/>
  <c r="W29" i="7"/>
  <c r="X29" i="7"/>
  <c r="Z29" i="7"/>
  <c r="AB29" i="7"/>
  <c r="AC29" i="7"/>
  <c r="AD29" i="7"/>
  <c r="AG29" i="7"/>
  <c r="D30" i="7"/>
  <c r="E30" i="7"/>
  <c r="F30" i="7"/>
  <c r="H30" i="7"/>
  <c r="J30" i="7"/>
  <c r="L30" i="7"/>
  <c r="M30" i="7"/>
  <c r="N30" i="7"/>
  <c r="P30" i="7"/>
  <c r="Q30" i="7"/>
  <c r="R30" i="7"/>
  <c r="S30" i="7"/>
  <c r="U30" i="7"/>
  <c r="V30" i="7"/>
  <c r="W30" i="7"/>
  <c r="X30" i="7"/>
  <c r="Z30" i="7"/>
  <c r="AB30" i="7"/>
  <c r="AI30" i="7" s="1"/>
  <c r="AC30" i="7"/>
  <c r="AD30" i="7"/>
  <c r="AG30" i="7"/>
  <c r="D31" i="7"/>
  <c r="E31" i="7"/>
  <c r="F31" i="7"/>
  <c r="H31" i="7"/>
  <c r="J31" i="7"/>
  <c r="L31" i="7"/>
  <c r="M31" i="7"/>
  <c r="N31" i="7"/>
  <c r="P31" i="7"/>
  <c r="Q31" i="7"/>
  <c r="R31" i="7"/>
  <c r="S31" i="7"/>
  <c r="U31" i="7"/>
  <c r="V31" i="7"/>
  <c r="W31" i="7"/>
  <c r="X31" i="7"/>
  <c r="Z31" i="7"/>
  <c r="AB31" i="7"/>
  <c r="AC31" i="7"/>
  <c r="AD31" i="7"/>
  <c r="AG31" i="7"/>
  <c r="D32" i="7"/>
  <c r="E32" i="7"/>
  <c r="F32" i="7"/>
  <c r="H32" i="7"/>
  <c r="J32" i="7"/>
  <c r="L32" i="7"/>
  <c r="M32" i="7"/>
  <c r="N32" i="7"/>
  <c r="P32" i="7"/>
  <c r="Q32" i="7"/>
  <c r="R32" i="7"/>
  <c r="S32" i="7"/>
  <c r="U32" i="7"/>
  <c r="V32" i="7"/>
  <c r="W32" i="7"/>
  <c r="X32" i="7"/>
  <c r="AB32" i="7"/>
  <c r="AI32" i="7" s="1"/>
  <c r="AC32" i="7"/>
  <c r="AD32" i="7"/>
  <c r="AG32" i="7"/>
  <c r="D33" i="7"/>
  <c r="E33" i="7"/>
  <c r="F33" i="7"/>
  <c r="H33" i="7"/>
  <c r="J33" i="7"/>
  <c r="L33" i="7"/>
  <c r="M33" i="7"/>
  <c r="N33" i="7"/>
  <c r="P33" i="7"/>
  <c r="Q33" i="7"/>
  <c r="R33" i="7"/>
  <c r="S33" i="7"/>
  <c r="U33" i="7"/>
  <c r="V33" i="7"/>
  <c r="W33" i="7"/>
  <c r="X33" i="7"/>
  <c r="Z33" i="7"/>
  <c r="AB33" i="7"/>
  <c r="AC33" i="7"/>
  <c r="AD33" i="7"/>
  <c r="AG33" i="7"/>
  <c r="D34" i="7"/>
  <c r="E34" i="7"/>
  <c r="F34" i="7"/>
  <c r="H34" i="7"/>
  <c r="J34" i="7"/>
  <c r="L34" i="7"/>
  <c r="M34" i="7"/>
  <c r="N34" i="7"/>
  <c r="P34" i="7"/>
  <c r="Q34" i="7"/>
  <c r="R34" i="7"/>
  <c r="S34" i="7"/>
  <c r="U34" i="7"/>
  <c r="V34" i="7"/>
  <c r="W34" i="7"/>
  <c r="X34" i="7"/>
  <c r="Z34" i="7"/>
  <c r="AB34" i="7"/>
  <c r="AC34" i="7"/>
  <c r="AD34" i="7"/>
  <c r="AG34" i="7"/>
  <c r="D35" i="7"/>
  <c r="E35" i="7"/>
  <c r="F35" i="7"/>
  <c r="H35" i="7"/>
  <c r="J35" i="7"/>
  <c r="L35" i="7"/>
  <c r="M35" i="7"/>
  <c r="N35" i="7"/>
  <c r="P35" i="7"/>
  <c r="Q35" i="7"/>
  <c r="R35" i="7"/>
  <c r="S35" i="7"/>
  <c r="U35" i="7"/>
  <c r="V35" i="7"/>
  <c r="W35" i="7"/>
  <c r="X35" i="7"/>
  <c r="Z35" i="7"/>
  <c r="AB35" i="7"/>
  <c r="AC35" i="7"/>
  <c r="AD35" i="7"/>
  <c r="AG35" i="7"/>
  <c r="D36" i="7"/>
  <c r="E36" i="7"/>
  <c r="F36" i="7"/>
  <c r="H36" i="7"/>
  <c r="J36" i="7"/>
  <c r="L36" i="7"/>
  <c r="M36" i="7"/>
  <c r="N36" i="7"/>
  <c r="P36" i="7"/>
  <c r="Q36" i="7"/>
  <c r="R36" i="7"/>
  <c r="S36" i="7"/>
  <c r="U36" i="7"/>
  <c r="V36" i="7"/>
  <c r="W36" i="7"/>
  <c r="X36" i="7"/>
  <c r="Z36" i="7"/>
  <c r="AB36" i="7"/>
  <c r="AC36" i="7"/>
  <c r="AD36" i="7"/>
  <c r="AG36" i="7"/>
  <c r="D37" i="7"/>
  <c r="E37" i="7"/>
  <c r="F37" i="7"/>
  <c r="H37" i="7"/>
  <c r="J37" i="7"/>
  <c r="L37" i="7"/>
  <c r="M37" i="7"/>
  <c r="N37" i="7"/>
  <c r="P37" i="7"/>
  <c r="Q37" i="7"/>
  <c r="R37" i="7"/>
  <c r="S37" i="7"/>
  <c r="U37" i="7"/>
  <c r="V37" i="7"/>
  <c r="W37" i="7"/>
  <c r="X37" i="7"/>
  <c r="Z37" i="7"/>
  <c r="AB37" i="7"/>
  <c r="AC37" i="7"/>
  <c r="AD37" i="7"/>
  <c r="AG37" i="7"/>
  <c r="D38" i="7"/>
  <c r="E38" i="7"/>
  <c r="F38" i="7"/>
  <c r="H38" i="7"/>
  <c r="J38" i="7"/>
  <c r="L38" i="7"/>
  <c r="M38" i="7"/>
  <c r="N38" i="7"/>
  <c r="P38" i="7"/>
  <c r="Q38" i="7"/>
  <c r="R38" i="7"/>
  <c r="S38" i="7"/>
  <c r="U38" i="7"/>
  <c r="V38" i="7"/>
  <c r="W38" i="7"/>
  <c r="X38" i="7"/>
  <c r="Z38" i="7"/>
  <c r="AB38" i="7"/>
  <c r="AC38" i="7"/>
  <c r="AD38" i="7"/>
  <c r="AG38" i="7"/>
  <c r="D39" i="7"/>
  <c r="E39" i="7"/>
  <c r="F39" i="7"/>
  <c r="H39" i="7"/>
  <c r="J39" i="7"/>
  <c r="L39" i="7"/>
  <c r="M39" i="7"/>
  <c r="N39" i="7"/>
  <c r="P39" i="7"/>
  <c r="Q39" i="7"/>
  <c r="R39" i="7"/>
  <c r="S39" i="7"/>
  <c r="U39" i="7"/>
  <c r="V39" i="7"/>
  <c r="W39" i="7"/>
  <c r="X39" i="7"/>
  <c r="AB39" i="7"/>
  <c r="AI39" i="7" s="1"/>
  <c r="AC39" i="7"/>
  <c r="AD39" i="7"/>
  <c r="AG39" i="7"/>
  <c r="D40" i="7"/>
  <c r="E40" i="7"/>
  <c r="F40" i="7"/>
  <c r="H40" i="7"/>
  <c r="J40" i="7"/>
  <c r="L40" i="7"/>
  <c r="M40" i="7"/>
  <c r="N40" i="7"/>
  <c r="P40" i="7"/>
  <c r="Q40" i="7"/>
  <c r="R40" i="7"/>
  <c r="S40" i="7"/>
  <c r="U40" i="7"/>
  <c r="V40" i="7"/>
  <c r="W40" i="7"/>
  <c r="X40" i="7"/>
  <c r="Z40" i="7"/>
  <c r="AB40" i="7"/>
  <c r="AI40" i="7" s="1"/>
  <c r="AC40" i="7"/>
  <c r="AD40" i="7"/>
  <c r="AG40" i="7"/>
  <c r="D41" i="7"/>
  <c r="E41" i="7"/>
  <c r="F41" i="7"/>
  <c r="H41" i="7"/>
  <c r="J41" i="7"/>
  <c r="L41" i="7"/>
  <c r="M41" i="7"/>
  <c r="N41" i="7"/>
  <c r="P41" i="7"/>
  <c r="Q41" i="7"/>
  <c r="R41" i="7"/>
  <c r="S41" i="7"/>
  <c r="U41" i="7"/>
  <c r="V41" i="7"/>
  <c r="W41" i="7"/>
  <c r="X41" i="7"/>
  <c r="Z41" i="7"/>
  <c r="AB41" i="7"/>
  <c r="AC41" i="7"/>
  <c r="AD41" i="7"/>
  <c r="AG41" i="7"/>
  <c r="D42" i="7"/>
  <c r="E42" i="7"/>
  <c r="F42" i="7"/>
  <c r="H42" i="7"/>
  <c r="J42" i="7"/>
  <c r="L42" i="7"/>
  <c r="M42" i="7"/>
  <c r="N42" i="7"/>
  <c r="P42" i="7"/>
  <c r="Q42" i="7"/>
  <c r="R42" i="7"/>
  <c r="S42" i="7"/>
  <c r="U42" i="7"/>
  <c r="V42" i="7"/>
  <c r="W42" i="7"/>
  <c r="X42" i="7"/>
  <c r="Z42" i="7"/>
  <c r="AB42" i="7"/>
  <c r="AC42" i="7"/>
  <c r="AD42" i="7"/>
  <c r="AG42" i="7"/>
  <c r="D43" i="7"/>
  <c r="E43" i="7"/>
  <c r="F43" i="7"/>
  <c r="H43" i="7"/>
  <c r="J43" i="7"/>
  <c r="L43" i="7"/>
  <c r="M43" i="7"/>
  <c r="N43" i="7"/>
  <c r="P43" i="7"/>
  <c r="Q43" i="7"/>
  <c r="R43" i="7"/>
  <c r="S43" i="7"/>
  <c r="U43" i="7"/>
  <c r="V43" i="7"/>
  <c r="W43" i="7"/>
  <c r="X43" i="7"/>
  <c r="Z43" i="7"/>
  <c r="AB43" i="7"/>
  <c r="AC43" i="7"/>
  <c r="AD43" i="7"/>
  <c r="AG43" i="7"/>
  <c r="D44" i="7"/>
  <c r="E44" i="7"/>
  <c r="F44" i="7"/>
  <c r="H44" i="7"/>
  <c r="J44" i="7"/>
  <c r="L44" i="7"/>
  <c r="M44" i="7"/>
  <c r="N44" i="7"/>
  <c r="P44" i="7"/>
  <c r="Q44" i="7"/>
  <c r="R44" i="7"/>
  <c r="S44" i="7"/>
  <c r="U44" i="7"/>
  <c r="V44" i="7"/>
  <c r="W44" i="7"/>
  <c r="X44" i="7"/>
  <c r="Z44" i="7"/>
  <c r="AB44" i="7"/>
  <c r="AC44" i="7"/>
  <c r="AD44" i="7"/>
  <c r="AG44" i="7"/>
  <c r="D45" i="7"/>
  <c r="E45" i="7"/>
  <c r="F45" i="7"/>
  <c r="H45" i="7"/>
  <c r="J45" i="7"/>
  <c r="L45" i="7"/>
  <c r="M45" i="7"/>
  <c r="N45" i="7"/>
  <c r="P45" i="7"/>
  <c r="Q45" i="7"/>
  <c r="R45" i="7"/>
  <c r="S45" i="7"/>
  <c r="U45" i="7"/>
  <c r="V45" i="7"/>
  <c r="W45" i="7"/>
  <c r="X45" i="7"/>
  <c r="Z45" i="7"/>
  <c r="AB45" i="7"/>
  <c r="AC45" i="7"/>
  <c r="AD45" i="7"/>
  <c r="AG45" i="7"/>
  <c r="D46" i="7"/>
  <c r="F46" i="7"/>
  <c r="H46" i="7"/>
  <c r="J46" i="7"/>
  <c r="L46" i="7"/>
  <c r="M46" i="7"/>
  <c r="N46" i="7"/>
  <c r="P46" i="7"/>
  <c r="Q46" i="7"/>
  <c r="R46" i="7"/>
  <c r="S46" i="7"/>
  <c r="U46" i="7"/>
  <c r="V46" i="7"/>
  <c r="W46" i="7"/>
  <c r="X46" i="7"/>
  <c r="AB46" i="7"/>
  <c r="AI46" i="7" s="1"/>
  <c r="AC46" i="7"/>
  <c r="AD46" i="7"/>
  <c r="AG46" i="7"/>
  <c r="D47" i="7"/>
  <c r="F47" i="7"/>
  <c r="H47" i="7"/>
  <c r="J47" i="7"/>
  <c r="L47" i="7"/>
  <c r="M47" i="7"/>
  <c r="N47" i="7"/>
  <c r="P47" i="7"/>
  <c r="Q47" i="7"/>
  <c r="R47" i="7"/>
  <c r="S47" i="7"/>
  <c r="U47" i="7"/>
  <c r="V47" i="7"/>
  <c r="W47" i="7"/>
  <c r="X47" i="7"/>
  <c r="Z47" i="7"/>
  <c r="AB47" i="7"/>
  <c r="AI47" i="7" s="1"/>
  <c r="AC47" i="7"/>
  <c r="AD47" i="7"/>
  <c r="AG47" i="7"/>
  <c r="D48" i="7"/>
  <c r="E48" i="7"/>
  <c r="F48" i="7"/>
  <c r="H48" i="7"/>
  <c r="J48" i="7"/>
  <c r="L48" i="7"/>
  <c r="M48" i="7"/>
  <c r="N48" i="7"/>
  <c r="P48" i="7"/>
  <c r="Q48" i="7"/>
  <c r="R48" i="7"/>
  <c r="S48" i="7"/>
  <c r="U48" i="7"/>
  <c r="V48" i="7"/>
  <c r="W48" i="7"/>
  <c r="X48" i="7"/>
  <c r="Z48" i="7"/>
  <c r="AB48" i="7"/>
  <c r="AC48" i="7"/>
  <c r="AD48" i="7"/>
  <c r="AG48" i="7"/>
  <c r="D49" i="7"/>
  <c r="E49" i="7"/>
  <c r="F49" i="7"/>
  <c r="H49" i="7"/>
  <c r="J49" i="7"/>
  <c r="L49" i="7"/>
  <c r="M49" i="7"/>
  <c r="N49" i="7"/>
  <c r="P49" i="7"/>
  <c r="Q49" i="7"/>
  <c r="R49" i="7"/>
  <c r="S49" i="7"/>
  <c r="U49" i="7"/>
  <c r="V49" i="7"/>
  <c r="W49" i="7"/>
  <c r="X49" i="7"/>
  <c r="AB49" i="7"/>
  <c r="AI49" i="7" s="1"/>
  <c r="AC49" i="7"/>
  <c r="AD49" i="7"/>
  <c r="AG49" i="7"/>
  <c r="D50" i="7"/>
  <c r="F50" i="7"/>
  <c r="H50" i="7"/>
  <c r="J50" i="7"/>
  <c r="L50" i="7"/>
  <c r="M50" i="7"/>
  <c r="N50" i="7"/>
  <c r="P50" i="7"/>
  <c r="Q50" i="7"/>
  <c r="R50" i="7"/>
  <c r="S50" i="7"/>
  <c r="U50" i="7"/>
  <c r="V50" i="7"/>
  <c r="W50" i="7"/>
  <c r="X50" i="7"/>
  <c r="Z50" i="7"/>
  <c r="AB50" i="7"/>
  <c r="AI50" i="7" s="1"/>
  <c r="AC50" i="7"/>
  <c r="AD50" i="7"/>
  <c r="AG50" i="7"/>
  <c r="D51" i="7"/>
  <c r="E51" i="7"/>
  <c r="F51" i="7"/>
  <c r="H51" i="7"/>
  <c r="J51" i="7"/>
  <c r="L51" i="7"/>
  <c r="M51" i="7"/>
  <c r="N51" i="7"/>
  <c r="P51" i="7"/>
  <c r="Q51" i="7"/>
  <c r="R51" i="7"/>
  <c r="S51" i="7"/>
  <c r="U51" i="7"/>
  <c r="V51" i="7"/>
  <c r="W51" i="7"/>
  <c r="X51" i="7"/>
  <c r="Z51" i="7"/>
  <c r="AB51" i="7"/>
  <c r="AC51" i="7"/>
  <c r="AD51" i="7"/>
  <c r="AG51" i="7"/>
  <c r="D52" i="7"/>
  <c r="E52" i="7"/>
  <c r="F52" i="7"/>
  <c r="H52" i="7"/>
  <c r="J52" i="7"/>
  <c r="L52" i="7"/>
  <c r="M52" i="7"/>
  <c r="N52" i="7"/>
  <c r="P52" i="7"/>
  <c r="Q52" i="7"/>
  <c r="R52" i="7"/>
  <c r="S52" i="7"/>
  <c r="U52" i="7"/>
  <c r="V52" i="7"/>
  <c r="W52" i="7"/>
  <c r="X52" i="7"/>
  <c r="Z52" i="7"/>
  <c r="AB52" i="7"/>
  <c r="AC52" i="7"/>
  <c r="AD52" i="7"/>
  <c r="AG52" i="7"/>
  <c r="D53" i="7"/>
  <c r="E53" i="7"/>
  <c r="F53" i="7"/>
  <c r="H53" i="7"/>
  <c r="J53" i="7"/>
  <c r="L53" i="7"/>
  <c r="M53" i="7"/>
  <c r="N53" i="7"/>
  <c r="P53" i="7"/>
  <c r="Q53" i="7"/>
  <c r="R53" i="7"/>
  <c r="S53" i="7"/>
  <c r="U53" i="7"/>
  <c r="V53" i="7"/>
  <c r="W53" i="7"/>
  <c r="X53" i="7"/>
  <c r="Z53" i="7"/>
  <c r="AB53" i="7"/>
  <c r="AC53" i="7"/>
  <c r="AD53" i="7"/>
  <c r="AG53" i="7"/>
  <c r="D54" i="7"/>
  <c r="E54" i="7"/>
  <c r="F54" i="7"/>
  <c r="H54" i="7"/>
  <c r="J54" i="7"/>
  <c r="L54" i="7"/>
  <c r="M54" i="7"/>
  <c r="N54" i="7"/>
  <c r="P54" i="7"/>
  <c r="Q54" i="7"/>
  <c r="R54" i="7"/>
  <c r="S54" i="7"/>
  <c r="U54" i="7"/>
  <c r="W54" i="7"/>
  <c r="X54" i="7"/>
  <c r="Z54" i="7"/>
  <c r="AB54" i="7"/>
  <c r="AC54" i="7"/>
  <c r="AD54" i="7"/>
  <c r="AG54" i="7"/>
  <c r="D55" i="7"/>
  <c r="E55" i="7"/>
  <c r="H55" i="7"/>
  <c r="J55" i="7"/>
  <c r="L55" i="7"/>
  <c r="M55" i="7"/>
  <c r="N55" i="7"/>
  <c r="P55" i="7"/>
  <c r="Q55" i="7"/>
  <c r="R55" i="7"/>
  <c r="S55" i="7"/>
  <c r="U55" i="7"/>
  <c r="V55" i="7"/>
  <c r="W55" i="7"/>
  <c r="X55" i="7"/>
  <c r="Z55" i="7"/>
  <c r="AB55" i="7"/>
  <c r="AC55" i="7"/>
  <c r="AD55" i="7"/>
  <c r="AG55" i="7"/>
  <c r="D56" i="7"/>
  <c r="E56" i="7"/>
  <c r="F56" i="7"/>
  <c r="H56" i="7"/>
  <c r="J56" i="7"/>
  <c r="L56" i="7"/>
  <c r="M56" i="7"/>
  <c r="N56" i="7"/>
  <c r="P56" i="7"/>
  <c r="Q56" i="7"/>
  <c r="R56" i="7"/>
  <c r="S56" i="7"/>
  <c r="U56" i="7"/>
  <c r="V56" i="7"/>
  <c r="W56" i="7"/>
  <c r="X56" i="7"/>
  <c r="Z56" i="7"/>
  <c r="AB56" i="7"/>
  <c r="AC56" i="7"/>
  <c r="AD56" i="7"/>
  <c r="AG56" i="7"/>
  <c r="D57" i="7"/>
  <c r="E57" i="7"/>
  <c r="F57" i="7"/>
  <c r="H57" i="7"/>
  <c r="J57" i="7"/>
  <c r="L57" i="7"/>
  <c r="M57" i="7"/>
  <c r="N57" i="7"/>
  <c r="P57" i="7"/>
  <c r="Q57" i="7"/>
  <c r="R57" i="7"/>
  <c r="S57" i="7"/>
  <c r="U57" i="7"/>
  <c r="V57" i="7"/>
  <c r="W57" i="7"/>
  <c r="X57" i="7"/>
  <c r="Z57" i="7"/>
  <c r="AB57" i="7"/>
  <c r="AC57" i="7"/>
  <c r="AD57" i="7"/>
  <c r="AG57" i="7"/>
  <c r="D58" i="7"/>
  <c r="F58" i="7"/>
  <c r="H58" i="7"/>
  <c r="J58" i="7"/>
  <c r="L58" i="7"/>
  <c r="M58" i="7"/>
  <c r="N58" i="7"/>
  <c r="P58" i="7"/>
  <c r="Q58" i="7"/>
  <c r="R58" i="7"/>
  <c r="S58" i="7"/>
  <c r="U58" i="7"/>
  <c r="V58" i="7"/>
  <c r="W58" i="7"/>
  <c r="X58" i="7"/>
  <c r="Z58" i="7"/>
  <c r="AB58" i="7"/>
  <c r="AI58" i="7" s="1"/>
  <c r="AC58" i="7"/>
  <c r="AD58" i="7"/>
  <c r="AG58" i="7"/>
  <c r="D59" i="7"/>
  <c r="E59" i="7"/>
  <c r="F59" i="7"/>
  <c r="H59" i="7"/>
  <c r="J59" i="7"/>
  <c r="L59" i="7"/>
  <c r="M59" i="7"/>
  <c r="N59" i="7"/>
  <c r="P59" i="7"/>
  <c r="Q59" i="7"/>
  <c r="R59" i="7"/>
  <c r="S59" i="7"/>
  <c r="U59" i="7"/>
  <c r="V59" i="7"/>
  <c r="W59" i="7"/>
  <c r="X59" i="7"/>
  <c r="Z59" i="7"/>
  <c r="AB59" i="7"/>
  <c r="AI59" i="7" s="1"/>
  <c r="AC59" i="7"/>
  <c r="AD59" i="7"/>
  <c r="AG59" i="7"/>
  <c r="D60" i="7"/>
  <c r="E60" i="7"/>
  <c r="F60" i="7"/>
  <c r="H60" i="7"/>
  <c r="J60" i="7"/>
  <c r="L60" i="7"/>
  <c r="M60" i="7"/>
  <c r="N60" i="7"/>
  <c r="P60" i="7"/>
  <c r="Q60" i="7"/>
  <c r="R60" i="7"/>
  <c r="S60" i="7"/>
  <c r="U60" i="7"/>
  <c r="V60" i="7"/>
  <c r="W60" i="7"/>
  <c r="X60" i="7"/>
  <c r="Z60" i="7"/>
  <c r="AB60" i="7"/>
  <c r="AI60" i="7" s="1"/>
  <c r="AC60" i="7"/>
  <c r="AD60" i="7"/>
  <c r="AG60" i="7"/>
  <c r="D61" i="7"/>
  <c r="E61" i="7"/>
  <c r="F61" i="7"/>
  <c r="H61" i="7"/>
  <c r="J61" i="7"/>
  <c r="L61" i="7"/>
  <c r="M61" i="7"/>
  <c r="N61" i="7"/>
  <c r="P61" i="7"/>
  <c r="Q61" i="7"/>
  <c r="R61" i="7"/>
  <c r="S61" i="7"/>
  <c r="U61" i="7"/>
  <c r="V61" i="7"/>
  <c r="W61" i="7"/>
  <c r="X61" i="7"/>
  <c r="Z61" i="7"/>
  <c r="AB61" i="7"/>
  <c r="AC61" i="7"/>
  <c r="AD61" i="7"/>
  <c r="AG61" i="7"/>
  <c r="D62" i="7"/>
  <c r="E62" i="7"/>
  <c r="H62" i="7"/>
  <c r="J62" i="7"/>
  <c r="L62" i="7"/>
  <c r="M62" i="7"/>
  <c r="N62" i="7"/>
  <c r="P62" i="7"/>
  <c r="Q62" i="7"/>
  <c r="R62" i="7"/>
  <c r="S62" i="7"/>
  <c r="U62" i="7"/>
  <c r="V62" i="7"/>
  <c r="W62" i="7"/>
  <c r="X62" i="7"/>
  <c r="Z62" i="7"/>
  <c r="AB62" i="7"/>
  <c r="AC62" i="7"/>
  <c r="AD62" i="7"/>
  <c r="AG62" i="7"/>
  <c r="D63" i="7"/>
  <c r="E63" i="7"/>
  <c r="H63" i="7"/>
  <c r="J63" i="7"/>
  <c r="L63" i="7"/>
  <c r="M63" i="7"/>
  <c r="N63" i="7"/>
  <c r="P63" i="7"/>
  <c r="Q63" i="7"/>
  <c r="R63" i="7"/>
  <c r="S63" i="7"/>
  <c r="U63" i="7"/>
  <c r="V63" i="7"/>
  <c r="W63" i="7"/>
  <c r="X63" i="7"/>
  <c r="Z63" i="7"/>
  <c r="AB63" i="7"/>
  <c r="AC63" i="7"/>
  <c r="AD63" i="7"/>
  <c r="AG63" i="7"/>
  <c r="D64" i="7"/>
  <c r="E64" i="7"/>
  <c r="F64" i="7"/>
  <c r="H64" i="7"/>
  <c r="J64" i="7"/>
  <c r="L64" i="7"/>
  <c r="M64" i="7"/>
  <c r="N64" i="7"/>
  <c r="P64" i="7"/>
  <c r="Q64" i="7"/>
  <c r="R64" i="7"/>
  <c r="S64" i="7"/>
  <c r="U64" i="7"/>
  <c r="V64" i="7"/>
  <c r="W64" i="7"/>
  <c r="X64" i="7"/>
  <c r="Z64" i="7"/>
  <c r="AB64" i="7"/>
  <c r="AI64" i="7" s="1"/>
  <c r="AC64" i="7"/>
  <c r="AD64" i="7"/>
  <c r="AG64" i="7"/>
  <c r="D65" i="7"/>
  <c r="F65" i="7"/>
  <c r="H65" i="7"/>
  <c r="J65" i="7"/>
  <c r="L65" i="7"/>
  <c r="M65" i="7"/>
  <c r="N65" i="7"/>
  <c r="P65" i="7"/>
  <c r="Q65" i="7"/>
  <c r="R65" i="7"/>
  <c r="S65" i="7"/>
  <c r="U65" i="7"/>
  <c r="V65" i="7"/>
  <c r="W65" i="7"/>
  <c r="X65" i="7"/>
  <c r="Z65" i="7"/>
  <c r="AB65" i="7"/>
  <c r="AI65" i="7" s="1"/>
  <c r="AC65" i="7"/>
  <c r="AD65" i="7"/>
  <c r="AG65" i="7"/>
  <c r="D66" i="7"/>
  <c r="E66" i="7"/>
  <c r="F66" i="7"/>
  <c r="H66" i="7"/>
  <c r="J66" i="7"/>
  <c r="L66" i="7"/>
  <c r="M66" i="7"/>
  <c r="N66" i="7"/>
  <c r="P66" i="7"/>
  <c r="Q66" i="7"/>
  <c r="R66" i="7"/>
  <c r="S66" i="7"/>
  <c r="U66" i="7"/>
  <c r="V66" i="7"/>
  <c r="W66" i="7"/>
  <c r="X66" i="7"/>
  <c r="Z66" i="7"/>
  <c r="AB66" i="7"/>
  <c r="AI66" i="7" s="1"/>
  <c r="AC66" i="7"/>
  <c r="AD66" i="7"/>
  <c r="AG66" i="7"/>
  <c r="D67" i="7"/>
  <c r="F67" i="7"/>
  <c r="H67" i="7"/>
  <c r="J67" i="7"/>
  <c r="L67" i="7"/>
  <c r="M67" i="7"/>
  <c r="N67" i="7"/>
  <c r="P67" i="7"/>
  <c r="Q67" i="7"/>
  <c r="R67" i="7"/>
  <c r="S67" i="7"/>
  <c r="U67" i="7"/>
  <c r="V67" i="7"/>
  <c r="W67" i="7"/>
  <c r="X67" i="7"/>
  <c r="Z67" i="7"/>
  <c r="AB67" i="7"/>
  <c r="AI67" i="7" s="1"/>
  <c r="AC67" i="7"/>
  <c r="AD67" i="7"/>
  <c r="AG67" i="7"/>
  <c r="D68" i="7"/>
  <c r="E68" i="7"/>
  <c r="F68" i="7"/>
  <c r="H68" i="7"/>
  <c r="J68" i="7"/>
  <c r="L68" i="7"/>
  <c r="M68" i="7"/>
  <c r="N68" i="7"/>
  <c r="P68" i="7"/>
  <c r="Q68" i="7"/>
  <c r="R68" i="7"/>
  <c r="S68" i="7"/>
  <c r="U68" i="7"/>
  <c r="V68" i="7"/>
  <c r="W68" i="7"/>
  <c r="X68" i="7"/>
  <c r="AB68" i="7"/>
  <c r="AI68" i="7" s="1"/>
  <c r="AC68" i="7"/>
  <c r="AD68" i="7"/>
  <c r="AG68" i="7"/>
  <c r="D69" i="7"/>
  <c r="E69" i="7"/>
  <c r="F69" i="7"/>
  <c r="H69" i="7"/>
  <c r="J69" i="7"/>
  <c r="L69" i="7"/>
  <c r="M69" i="7"/>
  <c r="N69" i="7"/>
  <c r="P69" i="7"/>
  <c r="Q69" i="7"/>
  <c r="R69" i="7"/>
  <c r="S69" i="7"/>
  <c r="U69" i="7"/>
  <c r="V69" i="7"/>
  <c r="W69" i="7"/>
  <c r="X69" i="7"/>
  <c r="AB69" i="7"/>
  <c r="AI69" i="7" s="1"/>
  <c r="AC69" i="7"/>
  <c r="AD69" i="7"/>
  <c r="AG69" i="7"/>
  <c r="D70" i="7"/>
  <c r="E70" i="7"/>
  <c r="F70" i="7"/>
  <c r="H70" i="7"/>
  <c r="J70" i="7"/>
  <c r="L70" i="7"/>
  <c r="M70" i="7"/>
  <c r="N70" i="7"/>
  <c r="P70" i="7"/>
  <c r="Q70" i="7"/>
  <c r="R70" i="7"/>
  <c r="S70" i="7"/>
  <c r="U70" i="7"/>
  <c r="V70" i="7"/>
  <c r="W70" i="7"/>
  <c r="X70" i="7"/>
  <c r="AB70" i="7"/>
  <c r="AI70" i="7" s="1"/>
  <c r="AC70" i="7"/>
  <c r="AD70" i="7"/>
  <c r="AG70" i="7"/>
  <c r="D71" i="7"/>
  <c r="E71" i="7"/>
  <c r="F71" i="7"/>
  <c r="H71" i="7"/>
  <c r="J71" i="7"/>
  <c r="L71" i="7"/>
  <c r="M71" i="7"/>
  <c r="N71" i="7"/>
  <c r="P71" i="7"/>
  <c r="Q71" i="7"/>
  <c r="R71" i="7"/>
  <c r="S71" i="7"/>
  <c r="U71" i="7"/>
  <c r="V71" i="7"/>
  <c r="W71" i="7"/>
  <c r="X71" i="7"/>
  <c r="Z71" i="7"/>
  <c r="AB71" i="7"/>
  <c r="AI71" i="7" s="1"/>
  <c r="AC71" i="7"/>
  <c r="AD71" i="7"/>
  <c r="AG71" i="7"/>
  <c r="D72" i="7"/>
  <c r="E72" i="7"/>
  <c r="F72" i="7"/>
  <c r="H72" i="7"/>
  <c r="J72" i="7"/>
  <c r="L72" i="7"/>
  <c r="M72" i="7"/>
  <c r="N72" i="7"/>
  <c r="P72" i="7"/>
  <c r="Q72" i="7"/>
  <c r="R72" i="7"/>
  <c r="S72" i="7"/>
  <c r="U72" i="7"/>
  <c r="V72" i="7"/>
  <c r="W72" i="7"/>
  <c r="X72" i="7"/>
  <c r="Z72" i="7"/>
  <c r="AB72" i="7"/>
  <c r="AI72" i="7" s="1"/>
  <c r="AC72" i="7"/>
  <c r="AD72" i="7"/>
  <c r="AG72" i="7"/>
  <c r="D73" i="7"/>
  <c r="E73" i="7"/>
  <c r="F73" i="7"/>
  <c r="H73" i="7"/>
  <c r="J73" i="7"/>
  <c r="L73" i="7"/>
  <c r="M73" i="7"/>
  <c r="N73" i="7"/>
  <c r="P73" i="7"/>
  <c r="Q73" i="7"/>
  <c r="R73" i="7"/>
  <c r="S73" i="7"/>
  <c r="U73" i="7"/>
  <c r="V73" i="7"/>
  <c r="W73" i="7"/>
  <c r="X73" i="7"/>
  <c r="Z73" i="7"/>
  <c r="AB73" i="7"/>
  <c r="AI73" i="7" s="1"/>
  <c r="AC73" i="7"/>
  <c r="AD73" i="7"/>
  <c r="AG73" i="7"/>
  <c r="D74" i="7"/>
  <c r="E74" i="7"/>
  <c r="F74" i="7"/>
  <c r="H74" i="7"/>
  <c r="J74" i="7"/>
  <c r="L74" i="7"/>
  <c r="M74" i="7"/>
  <c r="N74" i="7"/>
  <c r="P74" i="7"/>
  <c r="Q74" i="7"/>
  <c r="R74" i="7"/>
  <c r="S74" i="7"/>
  <c r="U74" i="7"/>
  <c r="V74" i="7"/>
  <c r="W74" i="7"/>
  <c r="X74" i="7"/>
  <c r="Z74" i="7"/>
  <c r="AB74" i="7"/>
  <c r="AI74" i="7" s="1"/>
  <c r="AC74" i="7"/>
  <c r="AD74" i="7"/>
  <c r="AG74" i="7"/>
  <c r="D75" i="7"/>
  <c r="E75" i="7"/>
  <c r="F75" i="7"/>
  <c r="H75" i="7"/>
  <c r="J75" i="7"/>
  <c r="L75" i="7"/>
  <c r="M75" i="7"/>
  <c r="N75" i="7"/>
  <c r="P75" i="7"/>
  <c r="Q75" i="7"/>
  <c r="R75" i="7"/>
  <c r="S75" i="7"/>
  <c r="U75" i="7"/>
  <c r="V75" i="7"/>
  <c r="W75" i="7"/>
  <c r="X75" i="7"/>
  <c r="Z75" i="7"/>
  <c r="AB75" i="7"/>
  <c r="AI75" i="7" s="1"/>
  <c r="AC75" i="7"/>
  <c r="AD75" i="7"/>
  <c r="AG75" i="7"/>
  <c r="D76" i="7"/>
  <c r="E76" i="7"/>
  <c r="F76" i="7"/>
  <c r="H76" i="7"/>
  <c r="J76" i="7"/>
  <c r="L76" i="7"/>
  <c r="M76" i="7"/>
  <c r="N76" i="7"/>
  <c r="P76" i="7"/>
  <c r="Q76" i="7"/>
  <c r="R76" i="7"/>
  <c r="S76" i="7"/>
  <c r="U76" i="7"/>
  <c r="V76" i="7"/>
  <c r="W76" i="7"/>
  <c r="X76" i="7"/>
  <c r="Z76" i="7"/>
  <c r="AB76" i="7"/>
  <c r="AI76" i="7" s="1"/>
  <c r="AC76" i="7"/>
  <c r="AD76" i="7"/>
  <c r="AG76" i="7"/>
  <c r="D77" i="7"/>
  <c r="E77" i="7"/>
  <c r="F77" i="7"/>
  <c r="H77" i="7"/>
  <c r="J77" i="7"/>
  <c r="L77" i="7"/>
  <c r="M77" i="7"/>
  <c r="N77" i="7"/>
  <c r="P77" i="7"/>
  <c r="Q77" i="7"/>
  <c r="R77" i="7"/>
  <c r="S77" i="7"/>
  <c r="U77" i="7"/>
  <c r="V77" i="7"/>
  <c r="W77" i="7"/>
  <c r="X77" i="7"/>
  <c r="Z77" i="7"/>
  <c r="AB77" i="7"/>
  <c r="AI77" i="7" s="1"/>
  <c r="AC77" i="7"/>
  <c r="AD77" i="7"/>
  <c r="AG77" i="7"/>
  <c r="D78" i="7"/>
  <c r="E78" i="7"/>
  <c r="F78" i="7"/>
  <c r="H78" i="7"/>
  <c r="J78" i="7"/>
  <c r="L78" i="7"/>
  <c r="M78" i="7"/>
  <c r="N78" i="7"/>
  <c r="Q78" i="7"/>
  <c r="R78" i="7"/>
  <c r="S78" i="7"/>
  <c r="U78" i="7"/>
  <c r="V78" i="7"/>
  <c r="W78" i="7"/>
  <c r="X78" i="7"/>
  <c r="Z78" i="7"/>
  <c r="AB78" i="7"/>
  <c r="AI78" i="7" s="1"/>
  <c r="AC78" i="7"/>
  <c r="AD78" i="7"/>
  <c r="AG78" i="7"/>
  <c r="D79" i="7"/>
  <c r="E79" i="7"/>
  <c r="F79" i="7"/>
  <c r="H79" i="7"/>
  <c r="J79" i="7"/>
  <c r="L79" i="7"/>
  <c r="M79" i="7"/>
  <c r="N79" i="7"/>
  <c r="P79" i="7"/>
  <c r="Q79" i="7"/>
  <c r="R79" i="7"/>
  <c r="S79" i="7"/>
  <c r="U79" i="7"/>
  <c r="V79" i="7"/>
  <c r="W79" i="7"/>
  <c r="X79" i="7"/>
  <c r="Z79" i="7"/>
  <c r="AB79" i="7"/>
  <c r="AI79" i="7" s="1"/>
  <c r="AC79" i="7"/>
  <c r="AD79" i="7"/>
  <c r="AG79" i="7"/>
  <c r="D80" i="7"/>
  <c r="E80" i="7"/>
  <c r="F80" i="7"/>
  <c r="H80" i="7"/>
  <c r="J80" i="7"/>
  <c r="L80" i="7"/>
  <c r="M80" i="7"/>
  <c r="N80" i="7"/>
  <c r="P80" i="7"/>
  <c r="Q80" i="7"/>
  <c r="R80" i="7"/>
  <c r="S80" i="7"/>
  <c r="U80" i="7"/>
  <c r="V80" i="7"/>
  <c r="W80" i="7"/>
  <c r="X80" i="7"/>
  <c r="Z80" i="7"/>
  <c r="AB80" i="7"/>
  <c r="AC80" i="7"/>
  <c r="AD80" i="7"/>
  <c r="AG80" i="7"/>
  <c r="D81" i="7"/>
  <c r="E81" i="7"/>
  <c r="F81" i="7"/>
  <c r="H81" i="7"/>
  <c r="J81" i="7"/>
  <c r="L81" i="7"/>
  <c r="M81" i="7"/>
  <c r="N81" i="7"/>
  <c r="P81" i="7"/>
  <c r="Q81" i="7"/>
  <c r="R81" i="7"/>
  <c r="S81" i="7"/>
  <c r="U81" i="7"/>
  <c r="V81" i="7"/>
  <c r="W81" i="7"/>
  <c r="X81" i="7"/>
  <c r="Z81" i="7"/>
  <c r="AB81" i="7"/>
  <c r="AC81" i="7"/>
  <c r="AD81" i="7"/>
  <c r="AG81" i="7"/>
  <c r="D82" i="7"/>
  <c r="E82" i="7"/>
  <c r="F82" i="7"/>
  <c r="H82" i="7"/>
  <c r="J82" i="7"/>
  <c r="L82" i="7"/>
  <c r="M82" i="7"/>
  <c r="N82" i="7"/>
  <c r="P82" i="7"/>
  <c r="Q82" i="7"/>
  <c r="R82" i="7"/>
  <c r="S82" i="7"/>
  <c r="U82" i="7"/>
  <c r="W82" i="7"/>
  <c r="X82" i="7"/>
  <c r="Z82" i="7"/>
  <c r="AB82" i="7"/>
  <c r="AC82" i="7"/>
  <c r="AD82" i="7"/>
  <c r="AG82" i="7"/>
  <c r="D83" i="7"/>
  <c r="E83" i="7"/>
  <c r="F83" i="7"/>
  <c r="H83" i="7"/>
  <c r="J83" i="7"/>
  <c r="L83" i="7"/>
  <c r="M83" i="7"/>
  <c r="N83" i="7"/>
  <c r="P83" i="7"/>
  <c r="Q83" i="7"/>
  <c r="R83" i="7"/>
  <c r="S83" i="7"/>
  <c r="U83" i="7"/>
  <c r="V83" i="7"/>
  <c r="W83" i="7"/>
  <c r="X83" i="7"/>
  <c r="Z83" i="7"/>
  <c r="AB83" i="7"/>
  <c r="AC83" i="7"/>
  <c r="AD83" i="7"/>
  <c r="AG83" i="7"/>
  <c r="D84" i="7"/>
  <c r="E84" i="7"/>
  <c r="F84" i="7"/>
  <c r="H84" i="7"/>
  <c r="J84" i="7"/>
  <c r="L84" i="7"/>
  <c r="M84" i="7"/>
  <c r="N84" i="7"/>
  <c r="P84" i="7"/>
  <c r="Q84" i="7"/>
  <c r="R84" i="7"/>
  <c r="S84" i="7"/>
  <c r="U84" i="7"/>
  <c r="V84" i="7"/>
  <c r="W84" i="7"/>
  <c r="X84" i="7"/>
  <c r="Z84" i="7"/>
  <c r="AB84" i="7"/>
  <c r="AI84" i="7" s="1"/>
  <c r="AC84" i="7"/>
  <c r="AD84" i="7"/>
  <c r="AG84" i="7"/>
  <c r="C85" i="7"/>
  <c r="D85" i="7"/>
  <c r="E85" i="7"/>
  <c r="F85" i="7"/>
  <c r="H85" i="7"/>
  <c r="J85" i="7"/>
  <c r="L85" i="7"/>
  <c r="M85" i="7"/>
  <c r="N85" i="7"/>
  <c r="P85" i="7"/>
  <c r="Q85" i="7"/>
  <c r="R85" i="7"/>
  <c r="S85" i="7"/>
  <c r="U85" i="7"/>
  <c r="V85" i="7"/>
  <c r="W85" i="7"/>
  <c r="X85" i="7"/>
  <c r="Z85" i="7"/>
  <c r="AB85" i="7"/>
  <c r="AI85" i="7" s="1"/>
  <c r="AC85" i="7"/>
  <c r="AD85" i="7"/>
  <c r="AG85" i="7"/>
  <c r="AH85" i="7"/>
  <c r="D86" i="7"/>
  <c r="E86" i="7"/>
  <c r="F86" i="7"/>
  <c r="H86" i="7"/>
  <c r="J86" i="7"/>
  <c r="L86" i="7"/>
  <c r="M86" i="7"/>
  <c r="N86" i="7"/>
  <c r="P86" i="7"/>
  <c r="Q86" i="7"/>
  <c r="R86" i="7"/>
  <c r="S86" i="7"/>
  <c r="U86" i="7"/>
  <c r="V86" i="7"/>
  <c r="W86" i="7"/>
  <c r="X86" i="7"/>
  <c r="Z86" i="7"/>
  <c r="AB86" i="7"/>
  <c r="AI86" i="7" s="1"/>
  <c r="AC86" i="7"/>
  <c r="AD86" i="7"/>
  <c r="AG86" i="7"/>
  <c r="D87" i="7"/>
  <c r="E87" i="7"/>
  <c r="F87" i="7"/>
  <c r="H87" i="7"/>
  <c r="J87" i="7"/>
  <c r="L87" i="7"/>
  <c r="M87" i="7"/>
  <c r="N87" i="7"/>
  <c r="P87" i="7"/>
  <c r="Q87" i="7"/>
  <c r="R87" i="7"/>
  <c r="S87" i="7"/>
  <c r="U87" i="7"/>
  <c r="V87" i="7"/>
  <c r="W87" i="7"/>
  <c r="X87" i="7"/>
  <c r="Z87" i="7"/>
  <c r="AB87" i="7"/>
  <c r="AC87" i="7"/>
  <c r="AD87" i="7"/>
  <c r="AG87" i="7"/>
  <c r="D88" i="7"/>
  <c r="E88" i="7"/>
  <c r="F88" i="7"/>
  <c r="H88" i="7"/>
  <c r="J88" i="7"/>
  <c r="L88" i="7"/>
  <c r="M88" i="7"/>
  <c r="N88" i="7"/>
  <c r="P88" i="7"/>
  <c r="Q88" i="7"/>
  <c r="R88" i="7"/>
  <c r="S88" i="7"/>
  <c r="U88" i="7"/>
  <c r="V88" i="7"/>
  <c r="W88" i="7"/>
  <c r="X88" i="7"/>
  <c r="Z88" i="7"/>
  <c r="AB88" i="7"/>
  <c r="AI88" i="7" s="1"/>
  <c r="AC88" i="7"/>
  <c r="AD88" i="7"/>
  <c r="AG88" i="7"/>
  <c r="D89" i="7"/>
  <c r="E89" i="7"/>
  <c r="F89" i="7"/>
  <c r="H89" i="7"/>
  <c r="J89" i="7"/>
  <c r="L89" i="7"/>
  <c r="M89" i="7"/>
  <c r="N89" i="7"/>
  <c r="P89" i="7"/>
  <c r="Q89" i="7"/>
  <c r="R89" i="7"/>
  <c r="S89" i="7"/>
  <c r="U89" i="7"/>
  <c r="V89" i="7"/>
  <c r="W89" i="7"/>
  <c r="X89" i="7"/>
  <c r="Z89" i="7"/>
  <c r="AB89" i="7"/>
  <c r="AC89" i="7"/>
  <c r="AD89" i="7"/>
  <c r="AG89" i="7"/>
  <c r="D90" i="7"/>
  <c r="E90" i="7"/>
  <c r="F90" i="7"/>
  <c r="H90" i="7"/>
  <c r="J90" i="7"/>
  <c r="L90" i="7"/>
  <c r="M90" i="7"/>
  <c r="N90" i="7"/>
  <c r="P90" i="7"/>
  <c r="Q90" i="7"/>
  <c r="R90" i="7"/>
  <c r="S90" i="7"/>
  <c r="U90" i="7"/>
  <c r="V90" i="7"/>
  <c r="W90" i="7"/>
  <c r="X90" i="7"/>
  <c r="Z90" i="7"/>
  <c r="AB90" i="7"/>
  <c r="AC90" i="7"/>
  <c r="AD90" i="7"/>
  <c r="AG90" i="7"/>
  <c r="D91" i="7"/>
  <c r="E91" i="7"/>
  <c r="F91" i="7"/>
  <c r="H91" i="7"/>
  <c r="J91" i="7"/>
  <c r="L91" i="7"/>
  <c r="M91" i="7"/>
  <c r="N91" i="7"/>
  <c r="P91" i="7"/>
  <c r="Q91" i="7"/>
  <c r="R91" i="7"/>
  <c r="S91" i="7"/>
  <c r="U91" i="7"/>
  <c r="V91" i="7"/>
  <c r="W91" i="7"/>
  <c r="X91" i="7"/>
  <c r="Z91" i="7"/>
  <c r="AB91" i="7"/>
  <c r="AC91" i="7"/>
  <c r="AD91" i="7"/>
  <c r="AG91" i="7"/>
  <c r="D92" i="7"/>
  <c r="E92" i="7"/>
  <c r="F92" i="7"/>
  <c r="H92" i="7"/>
  <c r="J92" i="7"/>
  <c r="L92" i="7"/>
  <c r="M92" i="7"/>
  <c r="N92" i="7"/>
  <c r="P92" i="7"/>
  <c r="Q92" i="7"/>
  <c r="R92" i="7"/>
  <c r="S92" i="7"/>
  <c r="U92" i="7"/>
  <c r="V92" i="7"/>
  <c r="W92" i="7"/>
  <c r="X92" i="7"/>
  <c r="Z92" i="7"/>
  <c r="AB92" i="7"/>
  <c r="AC92" i="7"/>
  <c r="AD92" i="7"/>
  <c r="AG92" i="7"/>
  <c r="D93" i="7"/>
  <c r="E93" i="7"/>
  <c r="F93" i="7"/>
  <c r="H93" i="7"/>
  <c r="J93" i="7"/>
  <c r="L93" i="7"/>
  <c r="M93" i="7"/>
  <c r="N93" i="7"/>
  <c r="P93" i="7"/>
  <c r="Q93" i="7"/>
  <c r="R93" i="7"/>
  <c r="S93" i="7"/>
  <c r="U93" i="7"/>
  <c r="V93" i="7"/>
  <c r="W93" i="7"/>
  <c r="X93" i="7"/>
  <c r="Z93" i="7"/>
  <c r="AB93" i="7"/>
  <c r="AC93" i="7"/>
  <c r="AD93" i="7"/>
  <c r="AG93" i="7"/>
  <c r="D94" i="7"/>
  <c r="E94" i="7"/>
  <c r="F94" i="7"/>
  <c r="H94" i="7"/>
  <c r="J94" i="7"/>
  <c r="L94" i="7"/>
  <c r="M94" i="7"/>
  <c r="N94" i="7"/>
  <c r="P94" i="7"/>
  <c r="Q94" i="7"/>
  <c r="R94" i="7"/>
  <c r="S94" i="7"/>
  <c r="U94" i="7"/>
  <c r="V94" i="7"/>
  <c r="W94" i="7"/>
  <c r="X94" i="7"/>
  <c r="Z94" i="7"/>
  <c r="AB94" i="7"/>
  <c r="AI94" i="7" s="1"/>
  <c r="AC94" i="7"/>
  <c r="AD94" i="7"/>
  <c r="AG94" i="7"/>
  <c r="D95" i="7"/>
  <c r="E95" i="7"/>
  <c r="F95" i="7"/>
  <c r="H95" i="7"/>
  <c r="J95" i="7"/>
  <c r="L95" i="7"/>
  <c r="M95" i="7"/>
  <c r="N95" i="7"/>
  <c r="P95" i="7"/>
  <c r="Q95" i="7"/>
  <c r="R95" i="7"/>
  <c r="S95" i="7"/>
  <c r="U95" i="7"/>
  <c r="V95" i="7"/>
  <c r="W95" i="7"/>
  <c r="X95" i="7"/>
  <c r="AB95" i="7"/>
  <c r="AI95" i="7" s="1"/>
  <c r="AC95" i="7"/>
  <c r="AD95" i="7"/>
  <c r="AG95" i="7"/>
  <c r="D96" i="7"/>
  <c r="E96" i="7"/>
  <c r="F96" i="7"/>
  <c r="H96" i="7"/>
  <c r="J96" i="7"/>
  <c r="L96" i="7"/>
  <c r="M96" i="7"/>
  <c r="N96" i="7"/>
  <c r="P96" i="7"/>
  <c r="Q96" i="7"/>
  <c r="R96" i="7"/>
  <c r="S96" i="7"/>
  <c r="U96" i="7"/>
  <c r="V96" i="7"/>
  <c r="W96" i="7"/>
  <c r="X96" i="7"/>
  <c r="Z96" i="7"/>
  <c r="AB96" i="7"/>
  <c r="AC96" i="7"/>
  <c r="AD96" i="7"/>
  <c r="AG96" i="7"/>
  <c r="D97" i="7"/>
  <c r="E97" i="7"/>
  <c r="F97" i="7"/>
  <c r="H97" i="7"/>
  <c r="J97" i="7"/>
  <c r="L97" i="7"/>
  <c r="M97" i="7"/>
  <c r="N97" i="7"/>
  <c r="P97" i="7"/>
  <c r="Q97" i="7"/>
  <c r="R97" i="7"/>
  <c r="S97" i="7"/>
  <c r="U97" i="7"/>
  <c r="V97" i="7"/>
  <c r="W97" i="7"/>
  <c r="X97" i="7"/>
  <c r="AB97" i="7"/>
  <c r="AI97" i="7" s="1"/>
  <c r="AC97" i="7"/>
  <c r="AD97" i="7"/>
  <c r="AG97" i="7"/>
  <c r="D98" i="7"/>
  <c r="E98" i="7"/>
  <c r="F98" i="7"/>
  <c r="H98" i="7"/>
  <c r="J98" i="7"/>
  <c r="L98" i="7"/>
  <c r="M98" i="7"/>
  <c r="N98" i="7"/>
  <c r="P98" i="7"/>
  <c r="Q98" i="7"/>
  <c r="R98" i="7"/>
  <c r="S98" i="7"/>
  <c r="U98" i="7"/>
  <c r="V98" i="7"/>
  <c r="W98" i="7"/>
  <c r="X98" i="7"/>
  <c r="Z98" i="7"/>
  <c r="AB98" i="7"/>
  <c r="AI98" i="7" s="1"/>
  <c r="AC98" i="7"/>
  <c r="AD98" i="7"/>
  <c r="AG98" i="7"/>
  <c r="D99" i="7"/>
  <c r="F99" i="7"/>
  <c r="H99" i="7"/>
  <c r="J99" i="7"/>
  <c r="L99" i="7"/>
  <c r="M99" i="7"/>
  <c r="N99" i="7"/>
  <c r="P99" i="7"/>
  <c r="Q99" i="7"/>
  <c r="R99" i="7"/>
  <c r="S99" i="7"/>
  <c r="U99" i="7"/>
  <c r="V99" i="7"/>
  <c r="W99" i="7"/>
  <c r="X99" i="7"/>
  <c r="Z99" i="7"/>
  <c r="AB99" i="7"/>
  <c r="AI99" i="7" s="1"/>
  <c r="AC99" i="7"/>
  <c r="AD99" i="7"/>
  <c r="AG99" i="7"/>
  <c r="D100" i="7"/>
  <c r="E100" i="7"/>
  <c r="F100" i="7"/>
  <c r="H100" i="7"/>
  <c r="J100" i="7"/>
  <c r="L100" i="7"/>
  <c r="M100" i="7"/>
  <c r="N100" i="7"/>
  <c r="P100" i="7"/>
  <c r="Q100" i="7"/>
  <c r="R100" i="7"/>
  <c r="S100" i="7"/>
  <c r="U100" i="7"/>
  <c r="V100" i="7"/>
  <c r="W100" i="7"/>
  <c r="X100" i="7"/>
  <c r="Z100" i="7"/>
  <c r="AB100" i="7"/>
  <c r="AC100" i="7"/>
  <c r="AD100" i="7"/>
  <c r="AG100" i="7"/>
  <c r="D101" i="7"/>
  <c r="E101" i="7"/>
  <c r="F101" i="7"/>
  <c r="H101" i="7"/>
  <c r="J101" i="7"/>
  <c r="L101" i="7"/>
  <c r="M101" i="7"/>
  <c r="N101" i="7"/>
  <c r="P101" i="7"/>
  <c r="Q101" i="7"/>
  <c r="R101" i="7"/>
  <c r="S101" i="7"/>
  <c r="U101" i="7"/>
  <c r="V101" i="7"/>
  <c r="W101" i="7"/>
  <c r="X101" i="7"/>
  <c r="Z101" i="7"/>
  <c r="AB101" i="7"/>
  <c r="AC101" i="7"/>
  <c r="AD101" i="7"/>
  <c r="AG101" i="7"/>
  <c r="D102" i="7"/>
  <c r="E102" i="7"/>
  <c r="F102" i="7"/>
  <c r="H102" i="7"/>
  <c r="J102" i="7"/>
  <c r="L102" i="7"/>
  <c r="M102" i="7"/>
  <c r="N102" i="7"/>
  <c r="P102" i="7"/>
  <c r="Q102" i="7"/>
  <c r="R102" i="7"/>
  <c r="S102" i="7"/>
  <c r="U102" i="7"/>
  <c r="V102" i="7"/>
  <c r="W102" i="7"/>
  <c r="X102" i="7"/>
  <c r="Z102" i="7"/>
  <c r="AB102" i="7"/>
  <c r="AI102" i="7" s="1"/>
  <c r="AC102" i="7"/>
  <c r="AD102" i="7"/>
  <c r="AG102" i="7"/>
  <c r="D103" i="7"/>
  <c r="E103" i="7"/>
  <c r="F103" i="7"/>
  <c r="H103" i="7"/>
  <c r="J103" i="7"/>
  <c r="L103" i="7"/>
  <c r="M103" i="7"/>
  <c r="N103" i="7"/>
  <c r="P103" i="7"/>
  <c r="Q103" i="7"/>
  <c r="R103" i="7"/>
  <c r="S103" i="7"/>
  <c r="U103" i="7"/>
  <c r="V103" i="7"/>
  <c r="W103" i="7"/>
  <c r="X103" i="7"/>
  <c r="Z103" i="7"/>
  <c r="AB103" i="7"/>
  <c r="AC103" i="7"/>
  <c r="AD103" i="7"/>
  <c r="AG103" i="7"/>
  <c r="D104" i="7"/>
  <c r="E104" i="7"/>
  <c r="F104" i="7"/>
  <c r="H104" i="7"/>
  <c r="J104" i="7"/>
  <c r="L104" i="7"/>
  <c r="M104" i="7"/>
  <c r="N104" i="7"/>
  <c r="P104" i="7"/>
  <c r="Q104" i="7"/>
  <c r="R104" i="7"/>
  <c r="S104" i="7"/>
  <c r="U104" i="7"/>
  <c r="V104" i="7"/>
  <c r="W104" i="7"/>
  <c r="X104" i="7"/>
  <c r="Z104" i="7"/>
  <c r="AB104" i="7"/>
  <c r="AC104" i="7"/>
  <c r="AD104" i="7"/>
  <c r="AG104" i="7"/>
  <c r="D105" i="7"/>
  <c r="E105" i="7"/>
  <c r="F105" i="7"/>
  <c r="H105" i="7"/>
  <c r="J105" i="7"/>
  <c r="L105" i="7"/>
  <c r="M105" i="7"/>
  <c r="N105" i="7"/>
  <c r="P105" i="7"/>
  <c r="Q105" i="7"/>
  <c r="R105" i="7"/>
  <c r="S105" i="7"/>
  <c r="T105" i="7"/>
  <c r="U105" i="7"/>
  <c r="V105" i="7"/>
  <c r="W105" i="7"/>
  <c r="X105" i="7"/>
  <c r="Z105" i="7"/>
  <c r="AB105" i="7"/>
  <c r="AC105" i="7"/>
  <c r="AD105" i="7"/>
  <c r="AG105" i="7"/>
  <c r="D106" i="7"/>
  <c r="E106" i="7"/>
  <c r="F106" i="7"/>
  <c r="H106" i="7"/>
  <c r="J106" i="7"/>
  <c r="L106" i="7"/>
  <c r="M106" i="7"/>
  <c r="N106" i="7"/>
  <c r="P106" i="7"/>
  <c r="Q106" i="7"/>
  <c r="R106" i="7"/>
  <c r="S106" i="7"/>
  <c r="T106" i="7"/>
  <c r="U106" i="7"/>
  <c r="V106" i="7"/>
  <c r="W106" i="7"/>
  <c r="X106" i="7"/>
  <c r="Z106" i="7"/>
  <c r="AB106" i="7"/>
  <c r="AC106" i="7"/>
  <c r="AD106" i="7"/>
  <c r="AG106" i="7"/>
  <c r="D107" i="7"/>
  <c r="E107" i="7"/>
  <c r="F107" i="7"/>
  <c r="H107" i="7"/>
  <c r="J107" i="7"/>
  <c r="L107" i="7"/>
  <c r="M107" i="7"/>
  <c r="N107" i="7"/>
  <c r="P107" i="7"/>
  <c r="Q107" i="7"/>
  <c r="R107" i="7"/>
  <c r="S107" i="7"/>
  <c r="U107" i="7"/>
  <c r="V107" i="7"/>
  <c r="W107" i="7"/>
  <c r="X107" i="7"/>
  <c r="Z107" i="7"/>
  <c r="AB107" i="7"/>
  <c r="AC107" i="7"/>
  <c r="AD107" i="7"/>
  <c r="AG107" i="7"/>
  <c r="D108" i="7"/>
  <c r="E108" i="7"/>
  <c r="F108" i="7"/>
  <c r="H108" i="7"/>
  <c r="J108" i="7"/>
  <c r="L108" i="7"/>
  <c r="M108" i="7"/>
  <c r="N108" i="7"/>
  <c r="P108" i="7"/>
  <c r="Q108" i="7"/>
  <c r="R108" i="7"/>
  <c r="S108" i="7"/>
  <c r="T108" i="7"/>
  <c r="U108" i="7"/>
  <c r="V108" i="7"/>
  <c r="W108" i="7"/>
  <c r="X108" i="7"/>
  <c r="Z108" i="7"/>
  <c r="AB108" i="7"/>
  <c r="AC108" i="7"/>
  <c r="AD108" i="7"/>
  <c r="AG108" i="7"/>
  <c r="D109" i="7"/>
  <c r="E109" i="7"/>
  <c r="F109" i="7"/>
  <c r="H109" i="7"/>
  <c r="J109" i="7"/>
  <c r="L109" i="7"/>
  <c r="M109" i="7"/>
  <c r="N109" i="7"/>
  <c r="P109" i="7"/>
  <c r="Q109" i="7"/>
  <c r="R109" i="7"/>
  <c r="S109" i="7"/>
  <c r="T109" i="7"/>
  <c r="U109" i="7"/>
  <c r="V109" i="7"/>
  <c r="W109" i="7"/>
  <c r="X109" i="7"/>
  <c r="Z109" i="7"/>
  <c r="AB109" i="7"/>
  <c r="AC109" i="7"/>
  <c r="AD109" i="7"/>
  <c r="AG109" i="7"/>
  <c r="D110" i="7"/>
  <c r="E110" i="7"/>
  <c r="F110" i="7"/>
  <c r="H110" i="7"/>
  <c r="J110" i="7"/>
  <c r="L110" i="7"/>
  <c r="M110" i="7"/>
  <c r="N110" i="7"/>
  <c r="P110" i="7"/>
  <c r="Q110" i="7"/>
  <c r="R110" i="7"/>
  <c r="S110" i="7"/>
  <c r="T110" i="7"/>
  <c r="U110" i="7"/>
  <c r="V110" i="7"/>
  <c r="W110" i="7"/>
  <c r="X110" i="7"/>
  <c r="Z110" i="7"/>
  <c r="AB110" i="7"/>
  <c r="AC110" i="7"/>
  <c r="AD110" i="7"/>
  <c r="AG110" i="7"/>
  <c r="D111" i="7"/>
  <c r="E111" i="7"/>
  <c r="F111" i="7"/>
  <c r="H111" i="7"/>
  <c r="J111" i="7"/>
  <c r="L111" i="7"/>
  <c r="M111" i="7"/>
  <c r="N111" i="7"/>
  <c r="P111" i="7"/>
  <c r="Q111" i="7"/>
  <c r="R111" i="7"/>
  <c r="S111" i="7"/>
  <c r="U111" i="7"/>
  <c r="V111" i="7"/>
  <c r="W111" i="7"/>
  <c r="X111" i="7"/>
  <c r="Z111" i="7"/>
  <c r="AB111" i="7"/>
  <c r="AC111" i="7"/>
  <c r="AD111" i="7"/>
  <c r="AG111" i="7"/>
  <c r="D112" i="7"/>
  <c r="E112" i="7"/>
  <c r="F112" i="7"/>
  <c r="H112" i="7"/>
  <c r="J112" i="7"/>
  <c r="L112" i="7"/>
  <c r="M112" i="7"/>
  <c r="N112" i="7"/>
  <c r="P112" i="7"/>
  <c r="Q112" i="7"/>
  <c r="R112" i="7"/>
  <c r="S112" i="7"/>
  <c r="U112" i="7"/>
  <c r="V112" i="7"/>
  <c r="W112" i="7"/>
  <c r="X112" i="7"/>
  <c r="Z112" i="7"/>
  <c r="AB112" i="7"/>
  <c r="AC112" i="7"/>
  <c r="AD112" i="7"/>
  <c r="AG112" i="7"/>
  <c r="D113" i="7"/>
  <c r="E113" i="7"/>
  <c r="F113" i="7"/>
  <c r="H113" i="7"/>
  <c r="J113" i="7"/>
  <c r="L113" i="7"/>
  <c r="M113" i="7"/>
  <c r="N113" i="7"/>
  <c r="P113" i="7"/>
  <c r="Q113" i="7"/>
  <c r="R113" i="7"/>
  <c r="S113" i="7"/>
  <c r="U113" i="7"/>
  <c r="V113" i="7"/>
  <c r="W113" i="7"/>
  <c r="X113" i="7"/>
  <c r="Z113" i="7"/>
  <c r="AB113" i="7"/>
  <c r="AC113" i="7"/>
  <c r="AD113" i="7"/>
  <c r="AG113" i="7"/>
  <c r="D114" i="7"/>
  <c r="E114" i="7"/>
  <c r="F114" i="7"/>
  <c r="H114" i="7"/>
  <c r="J114" i="7"/>
  <c r="L114" i="7"/>
  <c r="M114" i="7"/>
  <c r="N114" i="7"/>
  <c r="P114" i="7"/>
  <c r="Q114" i="7"/>
  <c r="R114" i="7"/>
  <c r="S114" i="7"/>
  <c r="U114" i="7"/>
  <c r="V114" i="7"/>
  <c r="W114" i="7"/>
  <c r="X114" i="7"/>
  <c r="Z114" i="7"/>
  <c r="AB114" i="7"/>
  <c r="AC114" i="7"/>
  <c r="AD114" i="7"/>
  <c r="AG114" i="7"/>
  <c r="D115" i="7"/>
  <c r="E115" i="7"/>
  <c r="F115" i="7"/>
  <c r="H115" i="7"/>
  <c r="J115" i="7"/>
  <c r="L115" i="7"/>
  <c r="M115" i="7"/>
  <c r="N115" i="7"/>
  <c r="P115" i="7"/>
  <c r="Q115" i="7"/>
  <c r="R115" i="7"/>
  <c r="S115" i="7"/>
  <c r="U115" i="7"/>
  <c r="V115" i="7"/>
  <c r="W115" i="7"/>
  <c r="X115" i="7"/>
  <c r="Z115" i="7"/>
  <c r="AB115" i="7"/>
  <c r="AC115" i="7"/>
  <c r="AD115" i="7"/>
  <c r="AG115" i="7"/>
  <c r="D116" i="7"/>
  <c r="E116" i="7"/>
  <c r="F116" i="7"/>
  <c r="H116" i="7"/>
  <c r="J116" i="7"/>
  <c r="L116" i="7"/>
  <c r="N116" i="7"/>
  <c r="O116" i="7"/>
  <c r="P116" i="7"/>
  <c r="Q116" i="7"/>
  <c r="R116" i="7"/>
  <c r="S116" i="7"/>
  <c r="T116" i="7"/>
  <c r="U116" i="7"/>
  <c r="V116" i="7"/>
  <c r="W116" i="7"/>
  <c r="X116" i="7"/>
  <c r="AB116" i="7"/>
  <c r="AI116" i="7" s="1"/>
  <c r="AC116" i="7"/>
  <c r="AD116" i="7"/>
  <c r="AG116" i="7"/>
  <c r="D117" i="7"/>
  <c r="E117" i="7"/>
  <c r="F117" i="7"/>
  <c r="H117" i="7"/>
  <c r="J117" i="7"/>
  <c r="L117" i="7"/>
  <c r="M117" i="7"/>
  <c r="N117" i="7"/>
  <c r="P117" i="7"/>
  <c r="Q117" i="7"/>
  <c r="R117" i="7"/>
  <c r="S117" i="7"/>
  <c r="U117" i="7"/>
  <c r="V117" i="7"/>
  <c r="W117" i="7"/>
  <c r="X117" i="7"/>
  <c r="Z117" i="7"/>
  <c r="AB117" i="7"/>
  <c r="AC117" i="7"/>
  <c r="AD117" i="7"/>
  <c r="AG117" i="7"/>
  <c r="D118" i="7"/>
  <c r="E118" i="7"/>
  <c r="F118" i="7"/>
  <c r="H118" i="7"/>
  <c r="J118" i="7"/>
  <c r="L118" i="7"/>
  <c r="M118" i="7"/>
  <c r="N118" i="7"/>
  <c r="P118" i="7"/>
  <c r="Q118" i="7"/>
  <c r="R118" i="7"/>
  <c r="S118" i="7"/>
  <c r="U118" i="7"/>
  <c r="V118" i="7"/>
  <c r="W118" i="7"/>
  <c r="X118" i="7"/>
  <c r="Z118" i="7"/>
  <c r="AB118" i="7"/>
  <c r="AC118" i="7"/>
  <c r="AD118" i="7"/>
  <c r="AG118" i="7"/>
  <c r="D119" i="7"/>
  <c r="E119" i="7"/>
  <c r="F119" i="7"/>
  <c r="H119" i="7"/>
  <c r="J119" i="7"/>
  <c r="L119" i="7"/>
  <c r="M119" i="7"/>
  <c r="N119" i="7"/>
  <c r="P119" i="7"/>
  <c r="Q119" i="7"/>
  <c r="R119" i="7"/>
  <c r="S119" i="7"/>
  <c r="U119" i="7"/>
  <c r="V119" i="7"/>
  <c r="W119" i="7"/>
  <c r="X119" i="7"/>
  <c r="Z119" i="7"/>
  <c r="AB119" i="7"/>
  <c r="AC119" i="7"/>
  <c r="AD119" i="7"/>
  <c r="AG119" i="7"/>
  <c r="D120" i="7"/>
  <c r="E120" i="7"/>
  <c r="F120" i="7"/>
  <c r="H120" i="7"/>
  <c r="J120" i="7"/>
  <c r="L120" i="7"/>
  <c r="M120" i="7"/>
  <c r="N120" i="7"/>
  <c r="P120" i="7"/>
  <c r="Q120" i="7"/>
  <c r="R120" i="7"/>
  <c r="S120" i="7"/>
  <c r="U120" i="7"/>
  <c r="V120" i="7"/>
  <c r="W120" i="7"/>
  <c r="X120" i="7"/>
  <c r="Z120" i="7"/>
  <c r="AB120" i="7"/>
  <c r="AC120" i="7"/>
  <c r="AD120" i="7"/>
  <c r="AG120" i="7"/>
  <c r="D121" i="7"/>
  <c r="E121" i="7"/>
  <c r="F121" i="7"/>
  <c r="H121" i="7"/>
  <c r="J121" i="7"/>
  <c r="L121" i="7"/>
  <c r="M121" i="7"/>
  <c r="N121" i="7"/>
  <c r="P121" i="7"/>
  <c r="Q121" i="7"/>
  <c r="R121" i="7"/>
  <c r="S121" i="7"/>
  <c r="U121" i="7"/>
  <c r="V121" i="7"/>
  <c r="W121" i="7"/>
  <c r="X121" i="7"/>
  <c r="Z121" i="7"/>
  <c r="AB121" i="7"/>
  <c r="AC121" i="7"/>
  <c r="AD121" i="7"/>
  <c r="AG121" i="7"/>
  <c r="D122" i="7"/>
  <c r="E122" i="7"/>
  <c r="H122" i="7"/>
  <c r="J122" i="7"/>
  <c r="L122" i="7"/>
  <c r="M122" i="7"/>
  <c r="N122" i="7"/>
  <c r="P122" i="7"/>
  <c r="Q122" i="7"/>
  <c r="R122" i="7"/>
  <c r="S122" i="7"/>
  <c r="U122" i="7"/>
  <c r="V122" i="7"/>
  <c r="W122" i="7"/>
  <c r="X122" i="7"/>
  <c r="Z122" i="7"/>
  <c r="AB122" i="7"/>
  <c r="AC122" i="7"/>
  <c r="AD122" i="7"/>
  <c r="AG122" i="7"/>
  <c r="D123" i="7"/>
  <c r="E123" i="7"/>
  <c r="F123" i="7"/>
  <c r="H123" i="7"/>
  <c r="J123" i="7"/>
  <c r="L123" i="7"/>
  <c r="M123" i="7"/>
  <c r="N123" i="7"/>
  <c r="P123" i="7"/>
  <c r="Q123" i="7"/>
  <c r="R123" i="7"/>
  <c r="S123" i="7"/>
  <c r="U123" i="7"/>
  <c r="V123" i="7"/>
  <c r="W123" i="7"/>
  <c r="X123" i="7"/>
  <c r="Z123" i="7"/>
  <c r="AB123" i="7"/>
  <c r="AC123" i="7"/>
  <c r="AD123" i="7"/>
  <c r="AG123" i="7"/>
  <c r="D124" i="7"/>
  <c r="E124" i="7"/>
  <c r="F124" i="7"/>
  <c r="H124" i="7"/>
  <c r="J124" i="7"/>
  <c r="L124" i="7"/>
  <c r="M124" i="7"/>
  <c r="N124" i="7"/>
  <c r="P124" i="7"/>
  <c r="Q124" i="7"/>
  <c r="R124" i="7"/>
  <c r="S124" i="7"/>
  <c r="U124" i="7"/>
  <c r="V124" i="7"/>
  <c r="W124" i="7"/>
  <c r="X124" i="7"/>
  <c r="Z124" i="7"/>
  <c r="AB124" i="7"/>
  <c r="AC124" i="7"/>
  <c r="AD124" i="7"/>
  <c r="AG124" i="7"/>
  <c r="D125" i="7"/>
  <c r="E125" i="7"/>
  <c r="F125" i="7"/>
  <c r="H125" i="7"/>
  <c r="J125" i="7"/>
  <c r="L125" i="7"/>
  <c r="M125" i="7"/>
  <c r="N125" i="7"/>
  <c r="P125" i="7"/>
  <c r="Q125" i="7"/>
  <c r="R125" i="7"/>
  <c r="S125" i="7"/>
  <c r="U125" i="7"/>
  <c r="V125" i="7"/>
  <c r="W125" i="7"/>
  <c r="X125" i="7"/>
  <c r="Z125" i="7"/>
  <c r="AB125" i="7"/>
  <c r="AC125" i="7"/>
  <c r="AD125" i="7"/>
  <c r="AG125" i="7"/>
  <c r="D126" i="7"/>
  <c r="E126" i="7"/>
  <c r="F126" i="7"/>
  <c r="H126" i="7"/>
  <c r="J126" i="7"/>
  <c r="L126" i="7"/>
  <c r="M126" i="7"/>
  <c r="N126" i="7"/>
  <c r="P126" i="7"/>
  <c r="Q126" i="7"/>
  <c r="R126" i="7"/>
  <c r="S126" i="7"/>
  <c r="U126" i="7"/>
  <c r="V126" i="7"/>
  <c r="W126" i="7"/>
  <c r="X126" i="7"/>
  <c r="Z126" i="7"/>
  <c r="AB126" i="7"/>
  <c r="AC126" i="7"/>
  <c r="AD126" i="7"/>
  <c r="AG126" i="7"/>
  <c r="D127" i="7"/>
  <c r="E127" i="7"/>
  <c r="F127" i="7"/>
  <c r="H127" i="7"/>
  <c r="J127" i="7"/>
  <c r="L127" i="7"/>
  <c r="M127" i="7"/>
  <c r="N127" i="7"/>
  <c r="P127" i="7"/>
  <c r="Q127" i="7"/>
  <c r="R127" i="7"/>
  <c r="S127" i="7"/>
  <c r="U127" i="7"/>
  <c r="V127" i="7"/>
  <c r="W127" i="7"/>
  <c r="X127" i="7"/>
  <c r="Z127" i="7"/>
  <c r="AB127" i="7"/>
  <c r="AC127" i="7"/>
  <c r="AD127" i="7"/>
  <c r="AG127" i="7"/>
  <c r="D128" i="7"/>
  <c r="E128" i="7"/>
  <c r="F128" i="7"/>
  <c r="H128" i="7"/>
  <c r="J128" i="7"/>
  <c r="L128" i="7"/>
  <c r="M128" i="7"/>
  <c r="N128" i="7"/>
  <c r="P128" i="7"/>
  <c r="Q128" i="7"/>
  <c r="R128" i="7"/>
  <c r="S128" i="7"/>
  <c r="U128" i="7"/>
  <c r="V128" i="7"/>
  <c r="W128" i="7"/>
  <c r="X128" i="7"/>
  <c r="Z128" i="7"/>
  <c r="AB128" i="7"/>
  <c r="AI128" i="7" s="1"/>
  <c r="AC128" i="7"/>
  <c r="AD128" i="7"/>
  <c r="AG128" i="7"/>
  <c r="D129" i="7"/>
  <c r="E129" i="7"/>
  <c r="F129" i="7"/>
  <c r="H129" i="7"/>
  <c r="J129" i="7"/>
  <c r="L129" i="7"/>
  <c r="M129" i="7"/>
  <c r="N129" i="7"/>
  <c r="P129" i="7"/>
  <c r="Q129" i="7"/>
  <c r="R129" i="7"/>
  <c r="S129" i="7"/>
  <c r="U129" i="7"/>
  <c r="V129" i="7"/>
  <c r="W129" i="7"/>
  <c r="X129" i="7"/>
  <c r="Z129" i="7"/>
  <c r="AB129" i="7"/>
  <c r="AI129" i="7" s="1"/>
  <c r="AC129" i="7"/>
  <c r="AD129" i="7"/>
  <c r="AG129" i="7"/>
  <c r="D130" i="7"/>
  <c r="E130" i="7"/>
  <c r="F130" i="7"/>
  <c r="H130" i="7"/>
  <c r="J130" i="7"/>
  <c r="L130" i="7"/>
  <c r="M130" i="7"/>
  <c r="N130" i="7"/>
  <c r="P130" i="7"/>
  <c r="Q130" i="7"/>
  <c r="R130" i="7"/>
  <c r="S130" i="7"/>
  <c r="U130" i="7"/>
  <c r="V130" i="7"/>
  <c r="W130" i="7"/>
  <c r="X130" i="7"/>
  <c r="Z130" i="7"/>
  <c r="AB130" i="7"/>
  <c r="AI130" i="7" s="1"/>
  <c r="AC130" i="7"/>
  <c r="AD130" i="7"/>
  <c r="AG130" i="7"/>
  <c r="D131" i="7"/>
  <c r="E131" i="7"/>
  <c r="F131" i="7"/>
  <c r="H131" i="7"/>
  <c r="J131" i="7"/>
  <c r="L131" i="7"/>
  <c r="M131" i="7"/>
  <c r="N131" i="7"/>
  <c r="P131" i="7"/>
  <c r="Q131" i="7"/>
  <c r="R131" i="7"/>
  <c r="S131" i="7"/>
  <c r="U131" i="7"/>
  <c r="V131" i="7"/>
  <c r="W131" i="7"/>
  <c r="X131" i="7"/>
  <c r="Z131" i="7"/>
  <c r="AB131" i="7"/>
  <c r="AC131" i="7"/>
  <c r="AD131" i="7"/>
  <c r="AG131" i="7"/>
  <c r="D132" i="7"/>
  <c r="E132" i="7"/>
  <c r="F132" i="7"/>
  <c r="H132" i="7"/>
  <c r="J132" i="7"/>
  <c r="L132" i="7"/>
  <c r="M132" i="7"/>
  <c r="N132" i="7"/>
  <c r="P132" i="7"/>
  <c r="Q132" i="7"/>
  <c r="R132" i="7"/>
  <c r="S132" i="7"/>
  <c r="U132" i="7"/>
  <c r="V132" i="7"/>
  <c r="W132" i="7"/>
  <c r="X132" i="7"/>
  <c r="Z132" i="7"/>
  <c r="AB132" i="7"/>
  <c r="AC132" i="7"/>
  <c r="AD132" i="7"/>
  <c r="AG132" i="7"/>
  <c r="D133" i="7"/>
  <c r="E133" i="7"/>
  <c r="F133" i="7"/>
  <c r="H133" i="7"/>
  <c r="J133" i="7"/>
  <c r="L133" i="7"/>
  <c r="M133" i="7"/>
  <c r="N133" i="7"/>
  <c r="P133" i="7"/>
  <c r="Q133" i="7"/>
  <c r="R133" i="7"/>
  <c r="S133" i="7"/>
  <c r="U133" i="7"/>
  <c r="V133" i="7"/>
  <c r="W133" i="7"/>
  <c r="X133" i="7"/>
  <c r="Z133" i="7"/>
  <c r="AB133" i="7"/>
  <c r="AC133" i="7"/>
  <c r="AD133" i="7"/>
  <c r="AG133" i="7"/>
  <c r="D134" i="7"/>
  <c r="E134" i="7"/>
  <c r="F134" i="7"/>
  <c r="H134" i="7"/>
  <c r="J134" i="7"/>
  <c r="L134" i="7"/>
  <c r="M134" i="7"/>
  <c r="N134" i="7"/>
  <c r="P134" i="7"/>
  <c r="Q134" i="7"/>
  <c r="R134" i="7"/>
  <c r="S134" i="7"/>
  <c r="U134" i="7"/>
  <c r="V134" i="7"/>
  <c r="W134" i="7"/>
  <c r="X134" i="7"/>
  <c r="Z134" i="7"/>
  <c r="AB134" i="7"/>
  <c r="AC134" i="7"/>
  <c r="AD134" i="7"/>
  <c r="AG134" i="7"/>
  <c r="D135" i="7"/>
  <c r="E135" i="7"/>
  <c r="F135" i="7"/>
  <c r="H135" i="7"/>
  <c r="J135" i="7"/>
  <c r="L135" i="7"/>
  <c r="M135" i="7"/>
  <c r="N135" i="7"/>
  <c r="P135" i="7"/>
  <c r="Q135" i="7"/>
  <c r="R135" i="7"/>
  <c r="S135" i="7"/>
  <c r="U135" i="7"/>
  <c r="V135" i="7"/>
  <c r="W135" i="7"/>
  <c r="X135" i="7"/>
  <c r="Z135" i="7"/>
  <c r="AB135" i="7"/>
  <c r="AC135" i="7"/>
  <c r="AD135" i="7"/>
  <c r="AG135" i="7"/>
  <c r="D136" i="7"/>
  <c r="E136" i="7"/>
  <c r="F136" i="7"/>
  <c r="H136" i="7"/>
  <c r="J136" i="7"/>
  <c r="L136" i="7"/>
  <c r="M136" i="7"/>
  <c r="N136" i="7"/>
  <c r="P136" i="7"/>
  <c r="Q136" i="7"/>
  <c r="R136" i="7"/>
  <c r="S136" i="7"/>
  <c r="U136" i="7"/>
  <c r="V136" i="7"/>
  <c r="W136" i="7"/>
  <c r="X136" i="7"/>
  <c r="Z136" i="7"/>
  <c r="AB136" i="7"/>
  <c r="AC136" i="7"/>
  <c r="AD136" i="7"/>
  <c r="AG136" i="7"/>
  <c r="D137" i="7"/>
  <c r="E137" i="7"/>
  <c r="F137" i="7"/>
  <c r="H137" i="7"/>
  <c r="J137" i="7"/>
  <c r="L137" i="7"/>
  <c r="M137" i="7"/>
  <c r="N137" i="7"/>
  <c r="P137" i="7"/>
  <c r="Q137" i="7"/>
  <c r="R137" i="7"/>
  <c r="S137" i="7"/>
  <c r="U137" i="7"/>
  <c r="V137" i="7"/>
  <c r="W137" i="7"/>
  <c r="X137" i="7"/>
  <c r="Z137" i="7"/>
  <c r="AB137" i="7"/>
  <c r="AC137" i="7"/>
  <c r="AD137" i="7"/>
  <c r="AG137" i="7"/>
  <c r="D138" i="7"/>
  <c r="E138" i="7"/>
  <c r="F138" i="7"/>
  <c r="H138" i="7"/>
  <c r="J138" i="7"/>
  <c r="L138" i="7"/>
  <c r="M138" i="7"/>
  <c r="N138" i="7"/>
  <c r="P138" i="7"/>
  <c r="Q138" i="7"/>
  <c r="R138" i="7"/>
  <c r="S138" i="7"/>
  <c r="U138" i="7"/>
  <c r="V138" i="7"/>
  <c r="W138" i="7"/>
  <c r="X138" i="7"/>
  <c r="Z138" i="7"/>
  <c r="AB138" i="7"/>
  <c r="AC138" i="7"/>
  <c r="AD138" i="7"/>
  <c r="AG138" i="7"/>
  <c r="D139" i="7"/>
  <c r="E139" i="7"/>
  <c r="F139" i="7"/>
  <c r="H139" i="7"/>
  <c r="J139" i="7"/>
  <c r="L139" i="7"/>
  <c r="M139" i="7"/>
  <c r="N139" i="7"/>
  <c r="P139" i="7"/>
  <c r="Q139" i="7"/>
  <c r="R139" i="7"/>
  <c r="S139" i="7"/>
  <c r="U139" i="7"/>
  <c r="V139" i="7"/>
  <c r="W139" i="7"/>
  <c r="X139" i="7"/>
  <c r="Z139" i="7"/>
  <c r="AB139" i="7"/>
  <c r="AC139" i="7"/>
  <c r="AD139" i="7"/>
  <c r="AG139" i="7"/>
  <c r="D140" i="7"/>
  <c r="E140" i="7"/>
  <c r="F140" i="7"/>
  <c r="H140" i="7"/>
  <c r="J140" i="7"/>
  <c r="L140" i="7"/>
  <c r="M140" i="7"/>
  <c r="N140" i="7"/>
  <c r="P140" i="7"/>
  <c r="Q140" i="7"/>
  <c r="R140" i="7"/>
  <c r="S140" i="7"/>
  <c r="U140" i="7"/>
  <c r="V140" i="7"/>
  <c r="W140" i="7"/>
  <c r="X140" i="7"/>
  <c r="Z140" i="7"/>
  <c r="AB140" i="7"/>
  <c r="AC140" i="7"/>
  <c r="AD140" i="7"/>
  <c r="AG140" i="7"/>
  <c r="D141" i="7"/>
  <c r="E141" i="7"/>
  <c r="F141" i="7"/>
  <c r="H141" i="7"/>
  <c r="J141" i="7"/>
  <c r="L141" i="7"/>
  <c r="M141" i="7"/>
  <c r="N141" i="7"/>
  <c r="P141" i="7"/>
  <c r="Q141" i="7"/>
  <c r="R141" i="7"/>
  <c r="S141" i="7"/>
  <c r="U141" i="7"/>
  <c r="V141" i="7"/>
  <c r="W141" i="7"/>
  <c r="X141" i="7"/>
  <c r="Z141" i="7"/>
  <c r="AB141" i="7"/>
  <c r="AC141" i="7"/>
  <c r="AD141" i="7"/>
  <c r="AG141" i="7"/>
  <c r="D142" i="7"/>
  <c r="E142" i="7"/>
  <c r="H142" i="7"/>
  <c r="J142" i="7"/>
  <c r="L142" i="7"/>
  <c r="M142" i="7"/>
  <c r="N142" i="7"/>
  <c r="P142" i="7"/>
  <c r="Q142" i="7"/>
  <c r="R142" i="7"/>
  <c r="S142" i="7"/>
  <c r="U142" i="7"/>
  <c r="V142" i="7"/>
  <c r="W142" i="7"/>
  <c r="X142" i="7"/>
  <c r="Z142" i="7"/>
  <c r="AB142" i="7"/>
  <c r="AC142" i="7"/>
  <c r="AD142" i="7"/>
  <c r="AG142" i="7"/>
  <c r="D143" i="7"/>
  <c r="E143" i="7"/>
  <c r="H143" i="7"/>
  <c r="J143" i="7"/>
  <c r="L143" i="7"/>
  <c r="M143" i="7"/>
  <c r="N143" i="7"/>
  <c r="P143" i="7"/>
  <c r="Q143" i="7"/>
  <c r="R143" i="7"/>
  <c r="S143" i="7"/>
  <c r="U143" i="7"/>
  <c r="V143" i="7"/>
  <c r="W143" i="7"/>
  <c r="X143" i="7"/>
  <c r="Z143" i="7"/>
  <c r="AB143" i="7"/>
  <c r="AC143" i="7"/>
  <c r="AD143" i="7"/>
  <c r="AG143" i="7"/>
  <c r="D144" i="7"/>
  <c r="E144" i="7"/>
  <c r="H144" i="7"/>
  <c r="J144" i="7"/>
  <c r="L144" i="7"/>
  <c r="M144" i="7"/>
  <c r="N144" i="7"/>
  <c r="P144" i="7"/>
  <c r="Q144" i="7"/>
  <c r="R144" i="7"/>
  <c r="S144" i="7"/>
  <c r="U144" i="7"/>
  <c r="V144" i="7"/>
  <c r="W144" i="7"/>
  <c r="X144" i="7"/>
  <c r="Z144" i="7"/>
  <c r="AB144" i="7"/>
  <c r="AC144" i="7"/>
  <c r="AD144" i="7"/>
  <c r="AG144" i="7"/>
  <c r="D145" i="7"/>
  <c r="E145" i="7"/>
  <c r="H145" i="7"/>
  <c r="J145" i="7"/>
  <c r="L145" i="7"/>
  <c r="M145" i="7"/>
  <c r="N145" i="7"/>
  <c r="P145" i="7"/>
  <c r="Q145" i="7"/>
  <c r="R145" i="7"/>
  <c r="S145" i="7"/>
  <c r="U145" i="7"/>
  <c r="V145" i="7"/>
  <c r="W145" i="7"/>
  <c r="X145" i="7"/>
  <c r="Z145" i="7"/>
  <c r="AB145" i="7"/>
  <c r="AC145" i="7"/>
  <c r="AD145" i="7"/>
  <c r="AG145" i="7"/>
  <c r="D146" i="7"/>
  <c r="E146" i="7"/>
  <c r="F146" i="7"/>
  <c r="H146" i="7"/>
  <c r="J146" i="7"/>
  <c r="L146" i="7"/>
  <c r="M146" i="7"/>
  <c r="N146" i="7"/>
  <c r="P146" i="7"/>
  <c r="Q146" i="7"/>
  <c r="R146" i="7"/>
  <c r="S146" i="7"/>
  <c r="U146" i="7"/>
  <c r="V146" i="7"/>
  <c r="W146" i="7"/>
  <c r="X146" i="7"/>
  <c r="Z146" i="7"/>
  <c r="AB146" i="7"/>
  <c r="AC146" i="7"/>
  <c r="AD146" i="7"/>
  <c r="AG146" i="7"/>
  <c r="D147" i="7"/>
  <c r="E147" i="7"/>
  <c r="F147" i="7"/>
  <c r="H147" i="7"/>
  <c r="J147" i="7"/>
  <c r="L147" i="7"/>
  <c r="M147" i="7"/>
  <c r="N147" i="7"/>
  <c r="P147" i="7"/>
  <c r="Q147" i="7"/>
  <c r="R147" i="7"/>
  <c r="S147" i="7"/>
  <c r="U147" i="7"/>
  <c r="V147" i="7"/>
  <c r="W147" i="7"/>
  <c r="X147" i="7"/>
  <c r="Z147" i="7"/>
  <c r="AB147" i="7"/>
  <c r="AC147" i="7"/>
  <c r="AD147" i="7"/>
  <c r="AG147" i="7"/>
  <c r="D148" i="7"/>
  <c r="E148" i="7"/>
  <c r="F148" i="7"/>
  <c r="H148" i="7"/>
  <c r="J148" i="7"/>
  <c r="L148" i="7"/>
  <c r="M148" i="7"/>
  <c r="N148" i="7"/>
  <c r="P148" i="7"/>
  <c r="Q148" i="7"/>
  <c r="R148" i="7"/>
  <c r="S148" i="7"/>
  <c r="U148" i="7"/>
  <c r="V148" i="7"/>
  <c r="W148" i="7"/>
  <c r="X148" i="7"/>
  <c r="Z148" i="7"/>
  <c r="AB148" i="7"/>
  <c r="AC148" i="7"/>
  <c r="AD148" i="7"/>
  <c r="AG148" i="7"/>
  <c r="D149" i="7"/>
  <c r="E149" i="7"/>
  <c r="F149" i="7"/>
  <c r="H149" i="7"/>
  <c r="J149" i="7"/>
  <c r="L149" i="7"/>
  <c r="M149" i="7"/>
  <c r="N149" i="7"/>
  <c r="P149" i="7"/>
  <c r="Q149" i="7"/>
  <c r="R149" i="7"/>
  <c r="S149" i="7"/>
  <c r="U149" i="7"/>
  <c r="V149" i="7"/>
  <c r="W149" i="7"/>
  <c r="X149" i="7"/>
  <c r="Z149" i="7"/>
  <c r="AB149" i="7"/>
  <c r="AC149" i="7"/>
  <c r="AD149" i="7"/>
  <c r="AG149" i="7"/>
  <c r="D150" i="7"/>
  <c r="E150" i="7"/>
  <c r="F150" i="7"/>
  <c r="H150" i="7"/>
  <c r="J150" i="7"/>
  <c r="L150" i="7"/>
  <c r="M150" i="7"/>
  <c r="N150" i="7"/>
  <c r="P150" i="7"/>
  <c r="Q150" i="7"/>
  <c r="R150" i="7"/>
  <c r="S150" i="7"/>
  <c r="U150" i="7"/>
  <c r="V150" i="7"/>
  <c r="W150" i="7"/>
  <c r="X150" i="7"/>
  <c r="Z150" i="7"/>
  <c r="AB150" i="7"/>
  <c r="AC150" i="7"/>
  <c r="AD150" i="7"/>
  <c r="AG150" i="7"/>
  <c r="D151" i="7"/>
  <c r="E151" i="7"/>
  <c r="F151" i="7"/>
  <c r="H151" i="7"/>
  <c r="J151" i="7"/>
  <c r="L151" i="7"/>
  <c r="M151" i="7"/>
  <c r="N151" i="7"/>
  <c r="P151" i="7"/>
  <c r="Q151" i="7"/>
  <c r="R151" i="7"/>
  <c r="S151" i="7"/>
  <c r="U151" i="7"/>
  <c r="V151" i="7"/>
  <c r="W151" i="7"/>
  <c r="X151" i="7"/>
  <c r="Z151" i="7"/>
  <c r="AB151" i="7"/>
  <c r="AC151" i="7"/>
  <c r="AD151" i="7"/>
  <c r="AG151" i="7"/>
  <c r="D152" i="7"/>
  <c r="E152" i="7"/>
  <c r="F152" i="7"/>
  <c r="H152" i="7"/>
  <c r="J152" i="7"/>
  <c r="L152" i="7"/>
  <c r="M152" i="7"/>
  <c r="N152" i="7"/>
  <c r="P152" i="7"/>
  <c r="Q152" i="7"/>
  <c r="R152" i="7"/>
  <c r="S152" i="7"/>
  <c r="U152" i="7"/>
  <c r="V152" i="7"/>
  <c r="W152" i="7"/>
  <c r="X152" i="7"/>
  <c r="Z152" i="7"/>
  <c r="AB152" i="7"/>
  <c r="AC152" i="7"/>
  <c r="AD152" i="7"/>
  <c r="AG152" i="7"/>
  <c r="D153" i="7"/>
  <c r="E153" i="7"/>
  <c r="F153" i="7"/>
  <c r="H153" i="7"/>
  <c r="J153" i="7"/>
  <c r="L153" i="7"/>
  <c r="M153" i="7"/>
  <c r="N153" i="7"/>
  <c r="P153" i="7"/>
  <c r="Q153" i="7"/>
  <c r="R153" i="7"/>
  <c r="S153" i="7"/>
  <c r="U153" i="7"/>
  <c r="V153" i="7"/>
  <c r="W153" i="7"/>
  <c r="X153" i="7"/>
  <c r="Z153" i="7"/>
  <c r="AB153" i="7"/>
  <c r="AC153" i="7"/>
  <c r="AD153" i="7"/>
  <c r="AG153" i="7"/>
  <c r="D154" i="7"/>
  <c r="E154" i="7"/>
  <c r="F154" i="7"/>
  <c r="H154" i="7"/>
  <c r="J154" i="7"/>
  <c r="L154" i="7"/>
  <c r="M154" i="7"/>
  <c r="N154" i="7"/>
  <c r="P154" i="7"/>
  <c r="Q154" i="7"/>
  <c r="R154" i="7"/>
  <c r="S154" i="7"/>
  <c r="U154" i="7"/>
  <c r="V154" i="7"/>
  <c r="W154" i="7"/>
  <c r="X154" i="7"/>
  <c r="Z154" i="7"/>
  <c r="AB154" i="7"/>
  <c r="AC154" i="7"/>
  <c r="AD154" i="7"/>
  <c r="AG154" i="7"/>
  <c r="D155" i="7"/>
  <c r="E155" i="7"/>
  <c r="F155" i="7"/>
  <c r="H155" i="7"/>
  <c r="J155" i="7"/>
  <c r="L155" i="7"/>
  <c r="M155" i="7"/>
  <c r="N155" i="7"/>
  <c r="P155" i="7"/>
  <c r="Q155" i="7"/>
  <c r="R155" i="7"/>
  <c r="S155" i="7"/>
  <c r="U155" i="7"/>
  <c r="V155" i="7"/>
  <c r="W155" i="7"/>
  <c r="X155" i="7"/>
  <c r="Z155" i="7"/>
  <c r="AB155" i="7"/>
  <c r="AC155" i="7"/>
  <c r="AD155" i="7"/>
  <c r="AG155" i="7"/>
  <c r="D156" i="7"/>
  <c r="E156" i="7"/>
  <c r="F156" i="7"/>
  <c r="H156" i="7"/>
  <c r="J156" i="7"/>
  <c r="L156" i="7"/>
  <c r="M156" i="7"/>
  <c r="N156" i="7"/>
  <c r="P156" i="7"/>
  <c r="Q156" i="7"/>
  <c r="R156" i="7"/>
  <c r="S156" i="7"/>
  <c r="U156" i="7"/>
  <c r="V156" i="7"/>
  <c r="W156" i="7"/>
  <c r="X156" i="7"/>
  <c r="Z156" i="7"/>
  <c r="AB156" i="7"/>
  <c r="AC156" i="7"/>
  <c r="AD156" i="7"/>
  <c r="AG156" i="7"/>
  <c r="D157" i="7"/>
  <c r="E157" i="7"/>
  <c r="H157" i="7"/>
  <c r="J157" i="7"/>
  <c r="L157" i="7"/>
  <c r="M157" i="7"/>
  <c r="N157" i="7"/>
  <c r="P157" i="7"/>
  <c r="Q157" i="7"/>
  <c r="R157" i="7"/>
  <c r="S157" i="7"/>
  <c r="U157" i="7"/>
  <c r="V157" i="7"/>
  <c r="W157" i="7"/>
  <c r="X157" i="7"/>
  <c r="Z157" i="7"/>
  <c r="AB157" i="7"/>
  <c r="AC157" i="7"/>
  <c r="AD157" i="7"/>
  <c r="AG157" i="7"/>
  <c r="D158" i="7"/>
  <c r="E158" i="7"/>
  <c r="F158" i="7"/>
  <c r="H158" i="7"/>
  <c r="J158" i="7"/>
  <c r="L158" i="7"/>
  <c r="M158" i="7"/>
  <c r="N158" i="7"/>
  <c r="P158" i="7"/>
  <c r="Q158" i="7"/>
  <c r="R158" i="7"/>
  <c r="S158" i="7"/>
  <c r="U158" i="7"/>
  <c r="V158" i="7"/>
  <c r="W158" i="7"/>
  <c r="X158" i="7"/>
  <c r="Z158" i="7"/>
  <c r="AB158" i="7"/>
  <c r="AC158" i="7"/>
  <c r="AD158" i="7"/>
  <c r="AG158" i="7"/>
  <c r="D159" i="7"/>
  <c r="E159" i="7"/>
  <c r="F159" i="7"/>
  <c r="H159" i="7"/>
  <c r="J159" i="7"/>
  <c r="L159" i="7"/>
  <c r="M159" i="7"/>
  <c r="N159" i="7"/>
  <c r="P159" i="7"/>
  <c r="Q159" i="7"/>
  <c r="R159" i="7"/>
  <c r="S159" i="7"/>
  <c r="U159" i="7"/>
  <c r="V159" i="7"/>
  <c r="W159" i="7"/>
  <c r="X159" i="7"/>
  <c r="Z159" i="7"/>
  <c r="AB159" i="7"/>
  <c r="AC159" i="7"/>
  <c r="AD159" i="7"/>
  <c r="AG159" i="7"/>
  <c r="D160" i="7"/>
  <c r="E160" i="7"/>
  <c r="H160" i="7"/>
  <c r="J160" i="7"/>
  <c r="L160" i="7"/>
  <c r="M160" i="7"/>
  <c r="N160" i="7"/>
  <c r="P160" i="7"/>
  <c r="Q160" i="7"/>
  <c r="R160" i="7"/>
  <c r="S160" i="7"/>
  <c r="U160" i="7"/>
  <c r="V160" i="7"/>
  <c r="W160" i="7"/>
  <c r="X160" i="7"/>
  <c r="Z160" i="7"/>
  <c r="AB160" i="7"/>
  <c r="AC160" i="7"/>
  <c r="AD160" i="7"/>
  <c r="AG160" i="7"/>
  <c r="D161" i="7"/>
  <c r="E161" i="7"/>
  <c r="H161" i="7"/>
  <c r="J161" i="7"/>
  <c r="L161" i="7"/>
  <c r="M161" i="7"/>
  <c r="N161" i="7"/>
  <c r="P161" i="7"/>
  <c r="Q161" i="7"/>
  <c r="R161" i="7"/>
  <c r="S161" i="7"/>
  <c r="U161" i="7"/>
  <c r="V161" i="7"/>
  <c r="W161" i="7"/>
  <c r="X161" i="7"/>
  <c r="Z161" i="7"/>
  <c r="AB161" i="7"/>
  <c r="AC161" i="7"/>
  <c r="AD161" i="7"/>
  <c r="AG161" i="7"/>
  <c r="D162" i="7"/>
  <c r="E162" i="7"/>
  <c r="H162" i="7"/>
  <c r="J162" i="7"/>
  <c r="L162" i="7"/>
  <c r="M162" i="7"/>
  <c r="N162" i="7"/>
  <c r="P162" i="7"/>
  <c r="Q162" i="7"/>
  <c r="R162" i="7"/>
  <c r="S162" i="7"/>
  <c r="U162" i="7"/>
  <c r="V162" i="7"/>
  <c r="W162" i="7"/>
  <c r="X162" i="7"/>
  <c r="Z162" i="7"/>
  <c r="AB162" i="7"/>
  <c r="AC162" i="7"/>
  <c r="AD162" i="7"/>
  <c r="AG162" i="7"/>
  <c r="D163" i="7"/>
  <c r="E163" i="7"/>
  <c r="H163" i="7"/>
  <c r="J163" i="7"/>
  <c r="L163" i="7"/>
  <c r="M163" i="7"/>
  <c r="N163" i="7"/>
  <c r="P163" i="7"/>
  <c r="Q163" i="7"/>
  <c r="R163" i="7"/>
  <c r="S163" i="7"/>
  <c r="U163" i="7"/>
  <c r="V163" i="7"/>
  <c r="W163" i="7"/>
  <c r="X163" i="7"/>
  <c r="Z163" i="7"/>
  <c r="AB163" i="7"/>
  <c r="AC163" i="7"/>
  <c r="AD163" i="7"/>
  <c r="AG163" i="7"/>
  <c r="D164" i="7"/>
  <c r="E164" i="7"/>
  <c r="H164" i="7"/>
  <c r="J164" i="7"/>
  <c r="L164" i="7"/>
  <c r="M164" i="7"/>
  <c r="N164" i="7"/>
  <c r="P164" i="7"/>
  <c r="Q164" i="7"/>
  <c r="R164" i="7"/>
  <c r="S164" i="7"/>
  <c r="U164" i="7"/>
  <c r="V164" i="7"/>
  <c r="W164" i="7"/>
  <c r="X164" i="7"/>
  <c r="Z164" i="7"/>
  <c r="AB164" i="7"/>
  <c r="AC164" i="7"/>
  <c r="AD164" i="7"/>
  <c r="AG164" i="7"/>
  <c r="D165" i="7"/>
  <c r="E165" i="7"/>
  <c r="H165" i="7"/>
  <c r="J165" i="7"/>
  <c r="L165" i="7"/>
  <c r="M165" i="7"/>
  <c r="N165" i="7"/>
  <c r="P165" i="7"/>
  <c r="Q165" i="7"/>
  <c r="R165" i="7"/>
  <c r="S165" i="7"/>
  <c r="U165" i="7"/>
  <c r="V165" i="7"/>
  <c r="W165" i="7"/>
  <c r="X165" i="7"/>
  <c r="Z165" i="7"/>
  <c r="AB165" i="7"/>
  <c r="AC165" i="7"/>
  <c r="AD165" i="7"/>
  <c r="AG165" i="7"/>
  <c r="D166" i="7"/>
  <c r="E166" i="7"/>
  <c r="H166" i="7"/>
  <c r="J166" i="7"/>
  <c r="L166" i="7"/>
  <c r="M166" i="7"/>
  <c r="N166" i="7"/>
  <c r="P166" i="7"/>
  <c r="Q166" i="7"/>
  <c r="R166" i="7"/>
  <c r="S166" i="7"/>
  <c r="U166" i="7"/>
  <c r="V166" i="7"/>
  <c r="W166" i="7"/>
  <c r="X166" i="7"/>
  <c r="Z166" i="7"/>
  <c r="AB166" i="7"/>
  <c r="AC166" i="7"/>
  <c r="AD166" i="7"/>
  <c r="AG166" i="7"/>
  <c r="D167" i="7"/>
  <c r="E167" i="7"/>
  <c r="F167" i="7"/>
  <c r="H167" i="7"/>
  <c r="J167" i="7"/>
  <c r="L167" i="7"/>
  <c r="M167" i="7"/>
  <c r="N167" i="7"/>
  <c r="P167" i="7"/>
  <c r="Q167" i="7"/>
  <c r="R167" i="7"/>
  <c r="S167" i="7"/>
  <c r="U167" i="7"/>
  <c r="V167" i="7"/>
  <c r="W167" i="7"/>
  <c r="X167" i="7"/>
  <c r="Z167" i="7"/>
  <c r="AB167" i="7"/>
  <c r="AC167" i="7"/>
  <c r="AD167" i="7"/>
  <c r="AG167" i="7"/>
  <c r="D168" i="7"/>
  <c r="E168" i="7"/>
  <c r="F168" i="7"/>
  <c r="H168" i="7"/>
  <c r="J168" i="7"/>
  <c r="L168" i="7"/>
  <c r="M168" i="7"/>
  <c r="N168" i="7"/>
  <c r="P168" i="7"/>
  <c r="Q168" i="7"/>
  <c r="R168" i="7"/>
  <c r="S168" i="7"/>
  <c r="U168" i="7"/>
  <c r="V168" i="7"/>
  <c r="W168" i="7"/>
  <c r="X168" i="7"/>
  <c r="Z168" i="7"/>
  <c r="AB168" i="7"/>
  <c r="AC168" i="7"/>
  <c r="AD168" i="7"/>
  <c r="AG168" i="7"/>
  <c r="D169" i="7"/>
  <c r="E169" i="7"/>
  <c r="F169" i="7"/>
  <c r="H169" i="7"/>
  <c r="J169" i="7"/>
  <c r="L169" i="7"/>
  <c r="M169" i="7"/>
  <c r="N169" i="7"/>
  <c r="P169" i="7"/>
  <c r="Q169" i="7"/>
  <c r="R169" i="7"/>
  <c r="S169" i="7"/>
  <c r="U169" i="7"/>
  <c r="V169" i="7"/>
  <c r="W169" i="7"/>
  <c r="X169" i="7"/>
  <c r="Z169" i="7"/>
  <c r="AB169" i="7"/>
  <c r="AC169" i="7"/>
  <c r="AD169" i="7"/>
  <c r="AG169" i="7"/>
  <c r="D170" i="7"/>
  <c r="E170" i="7"/>
  <c r="H170" i="7"/>
  <c r="J170" i="7"/>
  <c r="L170" i="7"/>
  <c r="M170" i="7"/>
  <c r="N170" i="7"/>
  <c r="P170" i="7"/>
  <c r="Q170" i="7"/>
  <c r="R170" i="7"/>
  <c r="S170" i="7"/>
  <c r="U170" i="7"/>
  <c r="V170" i="7"/>
  <c r="W170" i="7"/>
  <c r="X170" i="7"/>
  <c r="Z170" i="7"/>
  <c r="AB170" i="7"/>
  <c r="AC170" i="7"/>
  <c r="AD170" i="7"/>
  <c r="AG170" i="7"/>
  <c r="D171" i="7"/>
  <c r="E171" i="7"/>
  <c r="H171" i="7"/>
  <c r="J171" i="7"/>
  <c r="L171" i="7"/>
  <c r="M171" i="7"/>
  <c r="N171" i="7"/>
  <c r="P171" i="7"/>
  <c r="Q171" i="7"/>
  <c r="R171" i="7"/>
  <c r="S171" i="7"/>
  <c r="U171" i="7"/>
  <c r="V171" i="7"/>
  <c r="W171" i="7"/>
  <c r="X171" i="7"/>
  <c r="Z171" i="7"/>
  <c r="AB171" i="7"/>
  <c r="AC171" i="7"/>
  <c r="AD171" i="7"/>
  <c r="AG171" i="7"/>
  <c r="D172" i="7"/>
  <c r="E172" i="7"/>
  <c r="H172" i="7"/>
  <c r="J172" i="7"/>
  <c r="L172" i="7"/>
  <c r="M172" i="7"/>
  <c r="N172" i="7"/>
  <c r="P172" i="7"/>
  <c r="Q172" i="7"/>
  <c r="R172" i="7"/>
  <c r="S172" i="7"/>
  <c r="U172" i="7"/>
  <c r="V172" i="7"/>
  <c r="W172" i="7"/>
  <c r="X172" i="7"/>
  <c r="Z172" i="7"/>
  <c r="AB172" i="7"/>
  <c r="AC172" i="7"/>
  <c r="AD172" i="7"/>
  <c r="AG172" i="7"/>
  <c r="D173" i="7"/>
  <c r="E173" i="7"/>
  <c r="H173" i="7"/>
  <c r="J173" i="7"/>
  <c r="L173" i="7"/>
  <c r="M173" i="7"/>
  <c r="N173" i="7"/>
  <c r="P173" i="7"/>
  <c r="Q173" i="7"/>
  <c r="R173" i="7"/>
  <c r="S173" i="7"/>
  <c r="U173" i="7"/>
  <c r="V173" i="7"/>
  <c r="W173" i="7"/>
  <c r="X173" i="7"/>
  <c r="Z173" i="7"/>
  <c r="AB173" i="7"/>
  <c r="AC173" i="7"/>
  <c r="AD173" i="7"/>
  <c r="AG173" i="7"/>
  <c r="D174" i="7"/>
  <c r="E174" i="7"/>
  <c r="H174" i="7"/>
  <c r="J174" i="7"/>
  <c r="L174" i="7"/>
  <c r="M174" i="7"/>
  <c r="N174" i="7"/>
  <c r="P174" i="7"/>
  <c r="Q174" i="7"/>
  <c r="R174" i="7"/>
  <c r="S174" i="7"/>
  <c r="T174" i="7"/>
  <c r="U174" i="7"/>
  <c r="V174" i="7"/>
  <c r="W174" i="7"/>
  <c r="X174" i="7"/>
  <c r="Z174" i="7"/>
  <c r="AB174" i="7"/>
  <c r="AC174" i="7"/>
  <c r="AD174" i="7"/>
  <c r="AG174" i="7"/>
  <c r="D175" i="7"/>
  <c r="E175" i="7"/>
  <c r="H175" i="7"/>
  <c r="J175" i="7"/>
  <c r="L175" i="7"/>
  <c r="M175" i="7"/>
  <c r="N175" i="7"/>
  <c r="P175" i="7"/>
  <c r="Q175" i="7"/>
  <c r="R175" i="7"/>
  <c r="S175" i="7"/>
  <c r="T175" i="7"/>
  <c r="U175" i="7"/>
  <c r="V175" i="7"/>
  <c r="W175" i="7"/>
  <c r="X175" i="7"/>
  <c r="Z175" i="7"/>
  <c r="AB175" i="7"/>
  <c r="AC175" i="7"/>
  <c r="AD175" i="7"/>
  <c r="AG175" i="7"/>
  <c r="M169" i="2"/>
  <c r="N169" i="2"/>
  <c r="AE177" i="7" s="1"/>
  <c r="O169" i="2"/>
  <c r="M168" i="2"/>
  <c r="N168" i="2"/>
  <c r="AE176" i="7" s="1"/>
  <c r="O168" i="2"/>
  <c r="S169" i="2"/>
  <c r="CU169" i="2"/>
  <c r="CV169" i="2"/>
  <c r="CW169" i="2"/>
  <c r="CX169" i="2"/>
  <c r="CY169" i="2"/>
  <c r="DA169" i="2"/>
  <c r="DC169" i="2"/>
  <c r="DE169" i="2"/>
  <c r="DF169" i="2"/>
  <c r="DG169" i="2"/>
  <c r="DH169" i="2"/>
  <c r="DI169" i="2"/>
  <c r="DJ169" i="2"/>
  <c r="DK169" i="2"/>
  <c r="DN169" i="2"/>
  <c r="DT169" i="2" s="1"/>
  <c r="DO169" i="2"/>
  <c r="DP169" i="2"/>
  <c r="DQ169" i="2"/>
  <c r="DR169" i="2"/>
  <c r="DS169" i="2"/>
  <c r="EA169" i="2"/>
  <c r="EN169" i="2"/>
  <c r="EV169" i="2"/>
  <c r="B177" i="7" s="1"/>
  <c r="EX169" i="2"/>
  <c r="FD169" i="2"/>
  <c r="FL177" i="2"/>
  <c r="FM177" i="2"/>
  <c r="FS177" i="2"/>
  <c r="FT177" i="2"/>
  <c r="CK169" i="2"/>
  <c r="R169" i="2" s="1"/>
  <c r="CE169" i="2"/>
  <c r="P169" i="2" s="1"/>
  <c r="BX169" i="2"/>
  <c r="AZ169" i="2"/>
  <c r="BA169" i="2"/>
  <c r="AG169" i="2"/>
  <c r="AJ169" i="2"/>
  <c r="A169" i="2"/>
  <c r="E169" i="2"/>
  <c r="F169" i="2"/>
  <c r="H169" i="2"/>
  <c r="O177" i="7" s="1"/>
  <c r="K169" i="2"/>
  <c r="L169" i="2"/>
  <c r="CP168" i="2"/>
  <c r="S168" i="2" s="1"/>
  <c r="CU168" i="2"/>
  <c r="CV168" i="2"/>
  <c r="CW168" i="2"/>
  <c r="CX168" i="2"/>
  <c r="CY168" i="2"/>
  <c r="DA168" i="2"/>
  <c r="DC168" i="2"/>
  <c r="DE168" i="2"/>
  <c r="DF168" i="2"/>
  <c r="DG168" i="2"/>
  <c r="DH168" i="2"/>
  <c r="DI168" i="2"/>
  <c r="DJ168" i="2"/>
  <c r="DK168" i="2"/>
  <c r="DN168" i="2"/>
  <c r="DT168" i="2" s="1"/>
  <c r="DO168" i="2"/>
  <c r="DP168" i="2"/>
  <c r="DQ168" i="2"/>
  <c r="DR168" i="2"/>
  <c r="DS168" i="2"/>
  <c r="EA168" i="2"/>
  <c r="EN168" i="2"/>
  <c r="EV168" i="2"/>
  <c r="B176" i="7" s="1"/>
  <c r="EX168" i="2"/>
  <c r="FD168" i="2"/>
  <c r="FL176" i="2"/>
  <c r="FM176" i="2"/>
  <c r="FS176" i="2"/>
  <c r="FT176" i="2"/>
  <c r="CK168" i="2"/>
  <c r="R168" i="2" s="1"/>
  <c r="CE168" i="2"/>
  <c r="P168" i="2" s="1"/>
  <c r="BX168" i="2"/>
  <c r="AZ168" i="2"/>
  <c r="BA168" i="2"/>
  <c r="AG168" i="2"/>
  <c r="AJ168" i="2"/>
  <c r="A168" i="2"/>
  <c r="E168" i="2"/>
  <c r="F168" i="2"/>
  <c r="H168" i="2"/>
  <c r="O176" i="7" s="1"/>
  <c r="K168" i="2"/>
  <c r="L168" i="2"/>
  <c r="J3" i="7"/>
  <c r="DA81" i="2"/>
  <c r="DC81" i="2"/>
  <c r="DE81" i="2"/>
  <c r="DF81" i="2"/>
  <c r="DG81" i="2"/>
  <c r="DH81" i="2"/>
  <c r="DI81" i="2"/>
  <c r="DJ81" i="2"/>
  <c r="DK81" i="2"/>
  <c r="DN81" i="2"/>
  <c r="DT81" i="2" s="1"/>
  <c r="DO81" i="2"/>
  <c r="DP81" i="2"/>
  <c r="DQ81" i="2"/>
  <c r="DR81" i="2"/>
  <c r="DS81" i="2"/>
  <c r="EA81" i="2"/>
  <c r="EN81" i="2"/>
  <c r="EV81" i="2"/>
  <c r="EX81" i="2"/>
  <c r="FD81" i="2"/>
  <c r="FL37" i="2"/>
  <c r="FM37" i="2"/>
  <c r="FS37" i="2"/>
  <c r="FT37" i="2"/>
  <c r="CU81" i="2"/>
  <c r="CV81" i="2"/>
  <c r="CW81" i="2"/>
  <c r="CX81" i="2"/>
  <c r="CY81" i="2"/>
  <c r="CP81" i="2"/>
  <c r="S81" i="2" s="1"/>
  <c r="CK81" i="2"/>
  <c r="R81" i="2" s="1"/>
  <c r="CE81" i="2"/>
  <c r="P81" i="2" s="1"/>
  <c r="BX81" i="2"/>
  <c r="AZ81" i="2"/>
  <c r="AG81" i="2"/>
  <c r="AJ81" i="2"/>
  <c r="A81" i="2"/>
  <c r="E81" i="2"/>
  <c r="F81" i="2"/>
  <c r="H81" i="2"/>
  <c r="K81" i="2"/>
  <c r="L81" i="2"/>
  <c r="M81" i="2"/>
  <c r="N81" i="2"/>
  <c r="O81" i="2"/>
  <c r="V54" i="7" l="1"/>
  <c r="AI61" i="7"/>
  <c r="AH178" i="7"/>
  <c r="C178" i="7"/>
  <c r="CQ168" i="2"/>
  <c r="T176" i="7"/>
  <c r="Y176" i="7" s="1"/>
  <c r="AA176" i="7" s="1"/>
  <c r="CQ169" i="2"/>
  <c r="T177" i="7"/>
  <c r="Y177" i="7" s="1"/>
  <c r="AA177" i="7" s="1"/>
  <c r="CQ173" i="2"/>
  <c r="T178" i="7"/>
  <c r="Y178" i="7" s="1"/>
  <c r="AA178" i="7" s="1"/>
  <c r="AH176" i="7"/>
  <c r="C176" i="7"/>
  <c r="C177" i="7"/>
  <c r="AH177" i="7"/>
  <c r="E47" i="7"/>
  <c r="G47" i="7" s="1"/>
  <c r="K47" i="7" s="1"/>
  <c r="E50" i="7"/>
  <c r="G50" i="7" s="1"/>
  <c r="K50" i="7" s="1"/>
  <c r="E58" i="7"/>
  <c r="G58" i="7" s="1"/>
  <c r="K58" i="7" s="1"/>
  <c r="E12" i="7"/>
  <c r="G12" i="7" s="1"/>
  <c r="K12" i="7" s="1"/>
  <c r="E65" i="7"/>
  <c r="G65" i="7" s="1"/>
  <c r="K65" i="7" s="1"/>
  <c r="E14" i="7"/>
  <c r="G14" i="7" s="1"/>
  <c r="K14" i="7" s="1"/>
  <c r="E67" i="7"/>
  <c r="G67" i="7" s="1"/>
  <c r="K67" i="7" s="1"/>
  <c r="E22" i="7"/>
  <c r="G22" i="7" s="1"/>
  <c r="K22" i="7" s="1"/>
  <c r="G111" i="7"/>
  <c r="K111" i="7" s="1"/>
  <c r="AI48" i="7"/>
  <c r="G8" i="7"/>
  <c r="K8" i="7" s="1"/>
  <c r="AI118" i="7"/>
  <c r="G107" i="7"/>
  <c r="K107" i="7" s="1"/>
  <c r="G155" i="7"/>
  <c r="K155" i="7" s="1"/>
  <c r="G147" i="7"/>
  <c r="K147" i="7" s="1"/>
  <c r="G4" i="7"/>
  <c r="K4" i="7" s="1"/>
  <c r="G133" i="7"/>
  <c r="K133" i="7" s="1"/>
  <c r="G97" i="7"/>
  <c r="K97" i="7" s="1"/>
  <c r="G85" i="7"/>
  <c r="K85" i="7" s="1"/>
  <c r="G72" i="7"/>
  <c r="K72" i="7" s="1"/>
  <c r="G140" i="7"/>
  <c r="K140" i="7" s="1"/>
  <c r="AI164" i="7"/>
  <c r="AI150" i="7"/>
  <c r="AI146" i="7"/>
  <c r="G29" i="7"/>
  <c r="K29" i="7" s="1"/>
  <c r="AI161" i="7"/>
  <c r="G25" i="7"/>
  <c r="K25" i="7" s="1"/>
  <c r="G169" i="7"/>
  <c r="K169" i="7" s="1"/>
  <c r="G27" i="7"/>
  <c r="K27" i="7" s="1"/>
  <c r="AI100" i="7"/>
  <c r="G51" i="7"/>
  <c r="K51" i="7" s="1"/>
  <c r="G117" i="7"/>
  <c r="K117" i="7" s="1"/>
  <c r="G154" i="7"/>
  <c r="K154" i="7" s="1"/>
  <c r="G138" i="7"/>
  <c r="K138" i="7" s="1"/>
  <c r="G130" i="7"/>
  <c r="K130" i="7" s="1"/>
  <c r="G126" i="7"/>
  <c r="K126" i="7" s="1"/>
  <c r="G37" i="7"/>
  <c r="K37" i="7" s="1"/>
  <c r="G96" i="7"/>
  <c r="K96" i="7" s="1"/>
  <c r="AI132" i="7"/>
  <c r="Y173" i="7"/>
  <c r="AA173" i="7" s="1"/>
  <c r="AI123" i="7"/>
  <c r="AI38" i="7"/>
  <c r="AI144" i="7"/>
  <c r="AI140" i="7"/>
  <c r="AI105" i="7"/>
  <c r="AI120" i="7"/>
  <c r="G89" i="7"/>
  <c r="K89" i="7" s="1"/>
  <c r="AI160" i="7"/>
  <c r="AI112" i="7"/>
  <c r="AI141" i="7"/>
  <c r="AI137" i="7"/>
  <c r="AI157" i="7"/>
  <c r="G132" i="7"/>
  <c r="K132" i="7" s="1"/>
  <c r="G120" i="7"/>
  <c r="K120" i="7" s="1"/>
  <c r="AI13" i="7"/>
  <c r="G75" i="7"/>
  <c r="K75" i="7" s="1"/>
  <c r="G6" i="7"/>
  <c r="K6" i="7" s="1"/>
  <c r="G33" i="7"/>
  <c r="K33" i="7" s="1"/>
  <c r="G168" i="7"/>
  <c r="K168" i="7" s="1"/>
  <c r="AI159" i="7"/>
  <c r="G141" i="7"/>
  <c r="K141" i="7" s="1"/>
  <c r="AI125" i="7"/>
  <c r="G124" i="7"/>
  <c r="K124" i="7" s="1"/>
  <c r="AI81" i="7"/>
  <c r="AI62" i="7"/>
  <c r="AI54" i="7"/>
  <c r="G53" i="7"/>
  <c r="K53" i="7" s="1"/>
  <c r="AI31" i="7"/>
  <c r="G116" i="7"/>
  <c r="K116" i="7" s="1"/>
  <c r="G106" i="7"/>
  <c r="K106" i="7" s="1"/>
  <c r="G94" i="7"/>
  <c r="K94" i="7" s="1"/>
  <c r="AI35" i="7"/>
  <c r="G156" i="7"/>
  <c r="K156" i="7" s="1"/>
  <c r="G113" i="7"/>
  <c r="K113" i="7" s="1"/>
  <c r="G43" i="7"/>
  <c r="K43" i="7" s="1"/>
  <c r="G148" i="7"/>
  <c r="K148" i="7" s="1"/>
  <c r="AI136" i="7"/>
  <c r="AI29" i="7"/>
  <c r="AI173" i="7"/>
  <c r="AI167" i="7"/>
  <c r="AI156" i="7"/>
  <c r="G149" i="7"/>
  <c r="K149" i="7" s="1"/>
  <c r="AI145" i="7"/>
  <c r="AI138" i="7"/>
  <c r="G112" i="7"/>
  <c r="K112" i="7" s="1"/>
  <c r="AI110" i="7"/>
  <c r="AI93" i="7"/>
  <c r="G82" i="7"/>
  <c r="K82" i="7" s="1"/>
  <c r="G127" i="7"/>
  <c r="K127" i="7" s="1"/>
  <c r="G123" i="7"/>
  <c r="K123" i="7" s="1"/>
  <c r="G13" i="7"/>
  <c r="K13" i="7" s="1"/>
  <c r="AI117" i="7"/>
  <c r="Y105" i="7"/>
  <c r="AA105" i="7" s="1"/>
  <c r="G104" i="7"/>
  <c r="K104" i="7" s="1"/>
  <c r="G100" i="7"/>
  <c r="K100" i="7" s="1"/>
  <c r="AI90" i="7"/>
  <c r="G71" i="7"/>
  <c r="K71" i="7" s="1"/>
  <c r="AI55" i="7"/>
  <c r="AI51" i="7"/>
  <c r="G119" i="7"/>
  <c r="K119" i="7" s="1"/>
  <c r="G30" i="7"/>
  <c r="K30" i="7" s="1"/>
  <c r="G16" i="7"/>
  <c r="K16" i="7" s="1"/>
  <c r="Y106" i="7"/>
  <c r="AA106" i="7" s="1"/>
  <c r="G70" i="7"/>
  <c r="K70" i="7" s="1"/>
  <c r="G40" i="7"/>
  <c r="K40" i="7" s="1"/>
  <c r="G26" i="7"/>
  <c r="K26" i="7" s="1"/>
  <c r="Y110" i="7"/>
  <c r="AA110" i="7" s="1"/>
  <c r="G105" i="7"/>
  <c r="K105" i="7" s="1"/>
  <c r="G103" i="7"/>
  <c r="K103" i="7" s="1"/>
  <c r="AI82" i="7"/>
  <c r="AI20" i="7"/>
  <c r="G93" i="7"/>
  <c r="K93" i="7" s="1"/>
  <c r="AI87" i="7"/>
  <c r="AI153" i="7"/>
  <c r="AI149" i="7"/>
  <c r="AI57" i="7"/>
  <c r="G136" i="7"/>
  <c r="K136" i="7" s="1"/>
  <c r="G134" i="7"/>
  <c r="K134" i="7" s="1"/>
  <c r="G108" i="7"/>
  <c r="K108" i="7" s="1"/>
  <c r="AI106" i="7"/>
  <c r="AI103" i="7"/>
  <c r="G99" i="7"/>
  <c r="K99" i="7" s="1"/>
  <c r="G95" i="7"/>
  <c r="K95" i="7" s="1"/>
  <c r="AI80" i="7"/>
  <c r="G57" i="7"/>
  <c r="K57" i="7" s="1"/>
  <c r="G38" i="7"/>
  <c r="K38" i="7" s="1"/>
  <c r="AI34" i="7"/>
  <c r="AI11" i="7"/>
  <c r="AI7" i="7"/>
  <c r="AI147" i="7"/>
  <c r="AI171" i="7"/>
  <c r="AI158" i="7"/>
  <c r="AI143" i="7"/>
  <c r="AI91" i="7"/>
  <c r="G78" i="7"/>
  <c r="K78" i="7" s="1"/>
  <c r="G76" i="7"/>
  <c r="K76" i="7" s="1"/>
  <c r="G74" i="7"/>
  <c r="K74" i="7" s="1"/>
  <c r="G34" i="7"/>
  <c r="K34" i="7" s="1"/>
  <c r="G28" i="7"/>
  <c r="K28" i="7" s="1"/>
  <c r="G11" i="7"/>
  <c r="K11" i="7" s="1"/>
  <c r="G152" i="7"/>
  <c r="K152" i="7" s="1"/>
  <c r="G150" i="7"/>
  <c r="K150" i="7" s="1"/>
  <c r="G41" i="7"/>
  <c r="K41" i="7" s="1"/>
  <c r="AI45" i="7"/>
  <c r="G139" i="7"/>
  <c r="K139" i="7" s="1"/>
  <c r="G109" i="7"/>
  <c r="K109" i="7" s="1"/>
  <c r="AI104" i="7"/>
  <c r="G102" i="7"/>
  <c r="K102" i="7" s="1"/>
  <c r="G64" i="7"/>
  <c r="K64" i="7" s="1"/>
  <c r="G60" i="7"/>
  <c r="K60" i="7" s="1"/>
  <c r="AI41" i="7"/>
  <c r="G39" i="7"/>
  <c r="K39" i="7" s="1"/>
  <c r="AI139" i="7"/>
  <c r="G135" i="7"/>
  <c r="K135" i="7" s="1"/>
  <c r="Y109" i="7"/>
  <c r="AA109" i="7" s="1"/>
  <c r="Y108" i="7"/>
  <c r="AA108" i="7" s="1"/>
  <c r="AI83" i="7"/>
  <c r="G146" i="7"/>
  <c r="K146" i="7" s="1"/>
  <c r="AI135" i="7"/>
  <c r="G131" i="7"/>
  <c r="K131" i="7" s="1"/>
  <c r="Y116" i="7"/>
  <c r="AI114" i="7"/>
  <c r="AI107" i="7"/>
  <c r="AI96" i="7"/>
  <c r="G92" i="7"/>
  <c r="K92" i="7" s="1"/>
  <c r="G73" i="7"/>
  <c r="K73" i="7" s="1"/>
  <c r="G54" i="7"/>
  <c r="K54" i="7" s="1"/>
  <c r="AI166" i="7"/>
  <c r="AI52" i="7"/>
  <c r="AI170" i="7"/>
  <c r="AI33" i="7"/>
  <c r="AI6" i="7"/>
  <c r="AI174" i="7"/>
  <c r="AI131" i="7"/>
  <c r="G125" i="7"/>
  <c r="K125" i="7" s="1"/>
  <c r="G69" i="7"/>
  <c r="K69" i="7" s="1"/>
  <c r="G153" i="7"/>
  <c r="K153" i="7" s="1"/>
  <c r="G110" i="7"/>
  <c r="K110" i="7" s="1"/>
  <c r="AI101" i="7"/>
  <c r="AI63" i="7"/>
  <c r="G23" i="7"/>
  <c r="K23" i="7" s="1"/>
  <c r="G21" i="7"/>
  <c r="K21" i="7" s="1"/>
  <c r="G15" i="7"/>
  <c r="K15" i="7" s="1"/>
  <c r="AI111" i="7"/>
  <c r="G167" i="7"/>
  <c r="K167" i="7" s="1"/>
  <c r="AI127" i="7"/>
  <c r="AI151" i="7"/>
  <c r="AI133" i="7"/>
  <c r="AI122" i="7"/>
  <c r="Y175" i="7"/>
  <c r="AA175" i="7" s="1"/>
  <c r="AI142" i="7"/>
  <c r="AI165" i="7"/>
  <c r="G128" i="7"/>
  <c r="K128" i="7" s="1"/>
  <c r="G83" i="7"/>
  <c r="K83" i="7" s="1"/>
  <c r="G151" i="7"/>
  <c r="K151" i="7" s="1"/>
  <c r="G114" i="7"/>
  <c r="K114" i="7" s="1"/>
  <c r="AI108" i="7"/>
  <c r="G101" i="7"/>
  <c r="K101" i="7" s="1"/>
  <c r="CQ81" i="2"/>
  <c r="AI152" i="7"/>
  <c r="AI109" i="7"/>
  <c r="AI163" i="7"/>
  <c r="AI115" i="7"/>
  <c r="G98" i="7"/>
  <c r="K98" i="7" s="1"/>
  <c r="AI172" i="7"/>
  <c r="AI154" i="7"/>
  <c r="G118" i="7"/>
  <c r="K118" i="7" s="1"/>
  <c r="G66" i="7"/>
  <c r="K66" i="7" s="1"/>
  <c r="G46" i="7"/>
  <c r="K46" i="7" s="1"/>
  <c r="G45" i="7"/>
  <c r="K45" i="7" s="1"/>
  <c r="G19" i="7"/>
  <c r="K19" i="7" s="1"/>
  <c r="Y4" i="7"/>
  <c r="G20" i="7"/>
  <c r="K20" i="7" s="1"/>
  <c r="G7" i="7"/>
  <c r="K7" i="7" s="1"/>
  <c r="G84" i="7"/>
  <c r="K84" i="7" s="1"/>
  <c r="G77" i="7"/>
  <c r="K77" i="7" s="1"/>
  <c r="G68" i="7"/>
  <c r="K68" i="7" s="1"/>
  <c r="G56" i="7"/>
  <c r="K56" i="7" s="1"/>
  <c r="G36" i="7"/>
  <c r="K36" i="7" s="1"/>
  <c r="G129" i="7"/>
  <c r="K129" i="7" s="1"/>
  <c r="AI126" i="7"/>
  <c r="G86" i="7"/>
  <c r="K86" i="7" s="1"/>
  <c r="G42" i="7"/>
  <c r="K42" i="7" s="1"/>
  <c r="AI37" i="7"/>
  <c r="AI134" i="7"/>
  <c r="AI119" i="7"/>
  <c r="AI25" i="7"/>
  <c r="AI9" i="7"/>
  <c r="G158" i="7"/>
  <c r="K158" i="7" s="1"/>
  <c r="AI124" i="7"/>
  <c r="AI89" i="7"/>
  <c r="G44" i="7"/>
  <c r="K44" i="7" s="1"/>
  <c r="G24" i="7"/>
  <c r="K24" i="7" s="1"/>
  <c r="G17" i="7"/>
  <c r="K17" i="7" s="1"/>
  <c r="G159" i="7"/>
  <c r="K159" i="7" s="1"/>
  <c r="G137" i="7"/>
  <c r="K137" i="7" s="1"/>
  <c r="AI121" i="7"/>
  <c r="G121" i="7"/>
  <c r="K121" i="7" s="1"/>
  <c r="AI113" i="7"/>
  <c r="AI92" i="7"/>
  <c r="G88" i="7"/>
  <c r="K88" i="7" s="1"/>
  <c r="G18" i="7"/>
  <c r="K18" i="7" s="1"/>
  <c r="G5" i="7"/>
  <c r="K5" i="7" s="1"/>
  <c r="G91" i="7"/>
  <c r="K91" i="7" s="1"/>
  <c r="G90" i="7"/>
  <c r="K90" i="7" s="1"/>
  <c r="G61" i="7"/>
  <c r="K61" i="7" s="1"/>
  <c r="G59" i="7"/>
  <c r="K59" i="7" s="1"/>
  <c r="AI56" i="7"/>
  <c r="AI28" i="7"/>
  <c r="G10" i="7"/>
  <c r="K10" i="7" s="1"/>
  <c r="G9" i="7"/>
  <c r="K9" i="7" s="1"/>
  <c r="G79" i="7"/>
  <c r="K79" i="7" s="1"/>
  <c r="AI53" i="7"/>
  <c r="G35" i="7"/>
  <c r="K35" i="7" s="1"/>
  <c r="G32" i="7"/>
  <c r="K32" i="7" s="1"/>
  <c r="G31" i="7"/>
  <c r="K31" i="7" s="1"/>
  <c r="G52" i="7"/>
  <c r="K52" i="7" s="1"/>
  <c r="AI24" i="7"/>
  <c r="AI42" i="7"/>
  <c r="AI21" i="7"/>
  <c r="G49" i="7"/>
  <c r="K49" i="7" s="1"/>
  <c r="G48" i="7"/>
  <c r="K48" i="7" s="1"/>
  <c r="AI44" i="7"/>
  <c r="AI23" i="7"/>
  <c r="G81" i="7"/>
  <c r="K81" i="7" s="1"/>
  <c r="Y174" i="7"/>
  <c r="AA174" i="7" s="1"/>
  <c r="G80" i="7"/>
  <c r="K80" i="7" s="1"/>
  <c r="G115" i="7"/>
  <c r="K115" i="7" s="1"/>
  <c r="G87" i="7"/>
  <c r="K87" i="7" s="1"/>
  <c r="AI8" i="7"/>
  <c r="AI169" i="7"/>
  <c r="AI162" i="7"/>
  <c r="AI36" i="7"/>
  <c r="AI175" i="7"/>
  <c r="AI155" i="7"/>
  <c r="AI43" i="7"/>
  <c r="AI168" i="7"/>
  <c r="AI148" i="7"/>
  <c r="BX63" i="2" l="1"/>
  <c r="BX62" i="2"/>
  <c r="BX55" i="2"/>
  <c r="EV63" i="2"/>
  <c r="B175" i="7" s="1"/>
  <c r="FS175" i="2"/>
  <c r="FT175" i="2"/>
  <c r="CK63" i="2"/>
  <c r="R63" i="2" s="1"/>
  <c r="CE63" i="2"/>
  <c r="P63" i="2" s="1"/>
  <c r="CQ63" i="2"/>
  <c r="AG63" i="2"/>
  <c r="S63" i="2"/>
  <c r="A63" i="2"/>
  <c r="E63" i="2"/>
  <c r="F63" i="2"/>
  <c r="H63" i="2"/>
  <c r="K63" i="2"/>
  <c r="L63" i="2"/>
  <c r="M63" i="2"/>
  <c r="N63" i="2"/>
  <c r="O63" i="2"/>
  <c r="EV62" i="2"/>
  <c r="B174" i="7" s="1"/>
  <c r="FS174" i="2"/>
  <c r="FT174" i="2"/>
  <c r="CK62" i="2"/>
  <c r="R62" i="2" s="1"/>
  <c r="CE62" i="2"/>
  <c r="P62" i="2" s="1"/>
  <c r="CQ62" i="2"/>
  <c r="AG62" i="2"/>
  <c r="S62" i="2"/>
  <c r="A62" i="2"/>
  <c r="E62" i="2"/>
  <c r="F62" i="2"/>
  <c r="H62" i="2"/>
  <c r="K62" i="2"/>
  <c r="L62" i="2"/>
  <c r="M62" i="2"/>
  <c r="N62" i="2"/>
  <c r="O62" i="2"/>
  <c r="EV55" i="2"/>
  <c r="B173" i="7" s="1"/>
  <c r="FS173" i="2"/>
  <c r="FT173" i="2"/>
  <c r="CQ55" i="2"/>
  <c r="CK55" i="2"/>
  <c r="R55" i="2" s="1"/>
  <c r="CE55" i="2"/>
  <c r="P55" i="2" s="1"/>
  <c r="AG55" i="2"/>
  <c r="S55" i="2"/>
  <c r="A55" i="2"/>
  <c r="E55" i="2"/>
  <c r="F55" i="2"/>
  <c r="H55" i="2"/>
  <c r="K55" i="2"/>
  <c r="L55" i="2"/>
  <c r="M55" i="2"/>
  <c r="N55" i="2"/>
  <c r="O55" i="2"/>
  <c r="FI139" i="2"/>
  <c r="M4" i="2"/>
  <c r="M5" i="2"/>
  <c r="M6" i="2"/>
  <c r="M7" i="2"/>
  <c r="M8" i="2"/>
  <c r="M9" i="2"/>
  <c r="M10" i="2"/>
  <c r="M29" i="2"/>
  <c r="M12" i="2"/>
  <c r="M112" i="2"/>
  <c r="M14" i="2"/>
  <c r="M15" i="2"/>
  <c r="M16" i="2"/>
  <c r="M17" i="2"/>
  <c r="M18" i="2"/>
  <c r="M19" i="2"/>
  <c r="M181" i="2"/>
  <c r="M13" i="2"/>
  <c r="M22" i="2"/>
  <c r="M21" i="2"/>
  <c r="M146" i="2"/>
  <c r="M23" i="2"/>
  <c r="M26" i="2"/>
  <c r="M27" i="2"/>
  <c r="M182" i="2"/>
  <c r="M24" i="2"/>
  <c r="M30" i="2"/>
  <c r="M25" i="2"/>
  <c r="M32" i="2"/>
  <c r="M114" i="2"/>
  <c r="M31" i="2"/>
  <c r="M33" i="2"/>
  <c r="M183" i="2"/>
  <c r="M193" i="2"/>
  <c r="M39" i="2"/>
  <c r="M40" i="2"/>
  <c r="M34" i="2"/>
  <c r="M147" i="2"/>
  <c r="M35" i="2"/>
  <c r="M41" i="2"/>
  <c r="M148" i="2"/>
  <c r="M46" i="2"/>
  <c r="M47" i="2"/>
  <c r="M42" i="2"/>
  <c r="M49" i="2"/>
  <c r="M50" i="2"/>
  <c r="M113" i="2"/>
  <c r="M44" i="2"/>
  <c r="M56" i="2"/>
  <c r="M48" i="2"/>
  <c r="M58" i="2"/>
  <c r="M59" i="2"/>
  <c r="M60" i="2"/>
  <c r="M11" i="2"/>
  <c r="M20" i="2"/>
  <c r="M28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53" i="2"/>
  <c r="M167" i="2"/>
  <c r="M84" i="2"/>
  <c r="M85" i="2"/>
  <c r="M86" i="2"/>
  <c r="M61" i="2"/>
  <c r="M88" i="2"/>
  <c r="M80" i="2"/>
  <c r="M90" i="2"/>
  <c r="M91" i="2"/>
  <c r="M92" i="2"/>
  <c r="M82" i="2"/>
  <c r="M94" i="2"/>
  <c r="M95" i="2"/>
  <c r="M83" i="2"/>
  <c r="M97" i="2"/>
  <c r="M98" i="2"/>
  <c r="M99" i="2"/>
  <c r="M87" i="2"/>
  <c r="M89" i="2"/>
  <c r="M102" i="2"/>
  <c r="M103" i="2"/>
  <c r="M104" i="2"/>
  <c r="M105" i="2"/>
  <c r="M106" i="2"/>
  <c r="M107" i="2"/>
  <c r="M108" i="2"/>
  <c r="M109" i="2"/>
  <c r="M110" i="2"/>
  <c r="M51" i="2"/>
  <c r="M111" i="2"/>
  <c r="M36" i="2"/>
  <c r="M123" i="2"/>
  <c r="M124" i="2"/>
  <c r="M116" i="2"/>
  <c r="M149" i="2"/>
  <c r="M150" i="2"/>
  <c r="M115" i="2"/>
  <c r="M125" i="2"/>
  <c r="M117" i="2"/>
  <c r="M151" i="2"/>
  <c r="M152" i="2"/>
  <c r="M93" i="2"/>
  <c r="M96" i="2"/>
  <c r="M126" i="2"/>
  <c r="M127" i="2"/>
  <c r="M129" i="2"/>
  <c r="EJ129" i="2" s="1"/>
  <c r="M130" i="2"/>
  <c r="M131" i="2"/>
  <c r="M133" i="2"/>
  <c r="M132" i="2"/>
  <c r="M134" i="2"/>
  <c r="M135" i="2"/>
  <c r="M136" i="2"/>
  <c r="M118" i="2"/>
  <c r="M165" i="2"/>
  <c r="M137" i="2"/>
  <c r="M139" i="2"/>
  <c r="M138" i="2"/>
  <c r="M153" i="2"/>
  <c r="M154" i="2"/>
  <c r="M155" i="2"/>
  <c r="M156" i="2"/>
  <c r="M157" i="2"/>
  <c r="M158" i="2"/>
  <c r="M159" i="2"/>
  <c r="M160" i="2"/>
  <c r="M161" i="2"/>
  <c r="M162" i="2"/>
  <c r="M163" i="2"/>
  <c r="M141" i="2"/>
  <c r="M119" i="2"/>
  <c r="M120" i="2"/>
  <c r="M121" i="2"/>
  <c r="M164" i="2"/>
  <c r="M140" i="2"/>
  <c r="M166" i="2"/>
  <c r="M170" i="2"/>
  <c r="M171" i="2"/>
  <c r="M142" i="2"/>
  <c r="M172" i="2"/>
  <c r="M192" i="2"/>
  <c r="M194" i="2"/>
  <c r="M143" i="2"/>
  <c r="M37" i="2"/>
  <c r="M38" i="2"/>
  <c r="M52" i="2"/>
  <c r="M144" i="2"/>
  <c r="M145" i="2"/>
  <c r="M122" i="2"/>
  <c r="M3" i="2"/>
  <c r="A3" i="2"/>
  <c r="G97" i="3"/>
  <c r="G98" i="3"/>
  <c r="G99" i="3"/>
  <c r="G100" i="3"/>
  <c r="G101" i="3"/>
  <c r="N4" i="2"/>
  <c r="AE4" i="7" s="1"/>
  <c r="O4" i="2"/>
  <c r="N5" i="2"/>
  <c r="O5" i="2"/>
  <c r="N6" i="2"/>
  <c r="O6" i="2"/>
  <c r="N7" i="2"/>
  <c r="O7" i="2"/>
  <c r="N8" i="2"/>
  <c r="O8" i="2"/>
  <c r="N9" i="2"/>
  <c r="O9" i="2"/>
  <c r="N10" i="2"/>
  <c r="O10" i="2"/>
  <c r="N29" i="2"/>
  <c r="O29" i="2"/>
  <c r="N12" i="2"/>
  <c r="O12" i="2"/>
  <c r="N112" i="2"/>
  <c r="O112" i="2"/>
  <c r="N14" i="2"/>
  <c r="O14" i="2"/>
  <c r="N15" i="2"/>
  <c r="AE15" i="7" s="1"/>
  <c r="O15" i="2"/>
  <c r="N16" i="2"/>
  <c r="AE16" i="7" s="1"/>
  <c r="O16" i="2"/>
  <c r="N17" i="2"/>
  <c r="AE17" i="7" s="1"/>
  <c r="O17" i="2"/>
  <c r="N18" i="2"/>
  <c r="AE18" i="7" s="1"/>
  <c r="O18" i="2"/>
  <c r="N19" i="2"/>
  <c r="O19" i="2"/>
  <c r="N181" i="2"/>
  <c r="AE181" i="7" s="1"/>
  <c r="O181" i="2"/>
  <c r="N13" i="2"/>
  <c r="O13" i="2"/>
  <c r="N22" i="2"/>
  <c r="O22" i="2"/>
  <c r="N21" i="2"/>
  <c r="O21" i="2"/>
  <c r="N146" i="2"/>
  <c r="O146" i="2"/>
  <c r="N23" i="2"/>
  <c r="O23" i="2"/>
  <c r="N26" i="2"/>
  <c r="O26" i="2"/>
  <c r="N27" i="2"/>
  <c r="O27" i="2"/>
  <c r="N182" i="2"/>
  <c r="AE182" i="7" s="1"/>
  <c r="O182" i="2"/>
  <c r="N24" i="2"/>
  <c r="O24" i="2"/>
  <c r="N30" i="2"/>
  <c r="O30" i="2"/>
  <c r="N25" i="2"/>
  <c r="O25" i="2"/>
  <c r="N32" i="2"/>
  <c r="AE32" i="7" s="1"/>
  <c r="O32" i="2"/>
  <c r="N114" i="2"/>
  <c r="O114" i="2"/>
  <c r="N31" i="2"/>
  <c r="O31" i="2"/>
  <c r="N33" i="2"/>
  <c r="O33" i="2"/>
  <c r="N183" i="2"/>
  <c r="AE183" i="7" s="1"/>
  <c r="N193" i="2"/>
  <c r="AE193" i="7" s="1"/>
  <c r="O193" i="2"/>
  <c r="N39" i="2"/>
  <c r="AE39" i="7" s="1"/>
  <c r="O39" i="2"/>
  <c r="N40" i="2"/>
  <c r="O40" i="2"/>
  <c r="N34" i="2"/>
  <c r="O34" i="2"/>
  <c r="N147" i="2"/>
  <c r="O147" i="2"/>
  <c r="N35" i="2"/>
  <c r="O35" i="2"/>
  <c r="N41" i="2"/>
  <c r="O41" i="2"/>
  <c r="N148" i="2"/>
  <c r="O148" i="2"/>
  <c r="N46" i="2"/>
  <c r="AE46" i="7" s="1"/>
  <c r="O46" i="2"/>
  <c r="N47" i="2"/>
  <c r="O47" i="2"/>
  <c r="N42" i="2"/>
  <c r="O42" i="2"/>
  <c r="N49" i="2"/>
  <c r="AE49" i="7" s="1"/>
  <c r="O49" i="2"/>
  <c r="N50" i="2"/>
  <c r="O50" i="2"/>
  <c r="N43" i="2"/>
  <c r="N113" i="2"/>
  <c r="O113" i="2"/>
  <c r="N44" i="2"/>
  <c r="O44" i="2"/>
  <c r="N45" i="2"/>
  <c r="N180" i="2"/>
  <c r="AE180" i="7" s="1"/>
  <c r="N56" i="2"/>
  <c r="O56" i="2"/>
  <c r="N48" i="2"/>
  <c r="O48" i="2"/>
  <c r="N58" i="2"/>
  <c r="O58" i="2"/>
  <c r="N59" i="2"/>
  <c r="O59" i="2"/>
  <c r="N60" i="2"/>
  <c r="O60" i="2"/>
  <c r="N11" i="2"/>
  <c r="O11" i="2"/>
  <c r="N20" i="2"/>
  <c r="O20" i="2"/>
  <c r="N28" i="2"/>
  <c r="O28" i="2"/>
  <c r="N64" i="2"/>
  <c r="O64" i="2"/>
  <c r="N65" i="2"/>
  <c r="O65" i="2"/>
  <c r="N66" i="2"/>
  <c r="O66" i="2"/>
  <c r="N67" i="2"/>
  <c r="O67" i="2"/>
  <c r="N68" i="2"/>
  <c r="AE68" i="7" s="1"/>
  <c r="O68" i="2"/>
  <c r="N69" i="2"/>
  <c r="AE69" i="7" s="1"/>
  <c r="O69" i="2"/>
  <c r="N70" i="2"/>
  <c r="AE70" i="7" s="1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53" i="2"/>
  <c r="O53" i="2"/>
  <c r="N167" i="2"/>
  <c r="O167" i="2"/>
  <c r="N54" i="2"/>
  <c r="O54" i="2"/>
  <c r="N57" i="2"/>
  <c r="O57" i="2"/>
  <c r="N84" i="2"/>
  <c r="O84" i="2"/>
  <c r="N85" i="2"/>
  <c r="O85" i="2"/>
  <c r="N86" i="2"/>
  <c r="O86" i="2"/>
  <c r="N61" i="2"/>
  <c r="O61" i="2"/>
  <c r="N88" i="2"/>
  <c r="O88" i="2"/>
  <c r="N80" i="2"/>
  <c r="O80" i="2"/>
  <c r="N90" i="2"/>
  <c r="O90" i="2"/>
  <c r="O91" i="2"/>
  <c r="N92" i="2"/>
  <c r="O92" i="2"/>
  <c r="N82" i="2"/>
  <c r="O82" i="2"/>
  <c r="N94" i="2"/>
  <c r="O94" i="2"/>
  <c r="N95" i="2"/>
  <c r="AE95" i="7" s="1"/>
  <c r="O95" i="2"/>
  <c r="N83" i="2"/>
  <c r="O83" i="2"/>
  <c r="N97" i="2"/>
  <c r="AE97" i="7" s="1"/>
  <c r="O97" i="2"/>
  <c r="N98" i="2"/>
  <c r="O98" i="2"/>
  <c r="N99" i="2"/>
  <c r="O99" i="2"/>
  <c r="N87" i="2"/>
  <c r="O87" i="2"/>
  <c r="N89" i="2"/>
  <c r="O89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AE109" i="7" s="1"/>
  <c r="O109" i="2"/>
  <c r="N110" i="2"/>
  <c r="AE110" i="7" s="1"/>
  <c r="O110" i="2"/>
  <c r="N51" i="2"/>
  <c r="O51" i="2"/>
  <c r="N111" i="2"/>
  <c r="O111" i="2"/>
  <c r="N36" i="2"/>
  <c r="O36" i="2"/>
  <c r="N123" i="2"/>
  <c r="O123" i="2"/>
  <c r="N124" i="2"/>
  <c r="O124" i="2"/>
  <c r="N116" i="2"/>
  <c r="AE116" i="7" s="1"/>
  <c r="O116" i="2"/>
  <c r="N149" i="2"/>
  <c r="O149" i="2"/>
  <c r="N150" i="2"/>
  <c r="O150" i="2"/>
  <c r="N115" i="2"/>
  <c r="O115" i="2"/>
  <c r="N125" i="2"/>
  <c r="O125" i="2"/>
  <c r="N117" i="2"/>
  <c r="O117" i="2"/>
  <c r="N151" i="2"/>
  <c r="O151" i="2"/>
  <c r="N152" i="2"/>
  <c r="O152" i="2"/>
  <c r="N93" i="2"/>
  <c r="O93" i="2"/>
  <c r="N96" i="2"/>
  <c r="O96" i="2"/>
  <c r="N126" i="2"/>
  <c r="N127" i="2"/>
  <c r="O127" i="2"/>
  <c r="N128" i="2"/>
  <c r="O128" i="2"/>
  <c r="N129" i="2"/>
  <c r="O129" i="2"/>
  <c r="N130" i="2"/>
  <c r="O130" i="2"/>
  <c r="N131" i="2"/>
  <c r="O131" i="2"/>
  <c r="N133" i="2"/>
  <c r="O133" i="2"/>
  <c r="N132" i="2"/>
  <c r="O132" i="2"/>
  <c r="N134" i="2"/>
  <c r="O134" i="2"/>
  <c r="N135" i="2"/>
  <c r="O135" i="2"/>
  <c r="O136" i="2"/>
  <c r="N118" i="2"/>
  <c r="O118" i="2"/>
  <c r="N165" i="2"/>
  <c r="O165" i="2"/>
  <c r="N137" i="2"/>
  <c r="O137" i="2"/>
  <c r="N139" i="2"/>
  <c r="O139" i="2"/>
  <c r="N138" i="2"/>
  <c r="O138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41" i="2"/>
  <c r="O141" i="2"/>
  <c r="N119" i="2"/>
  <c r="O119" i="2"/>
  <c r="N120" i="2"/>
  <c r="O120" i="2"/>
  <c r="N121" i="2"/>
  <c r="O121" i="2"/>
  <c r="N164" i="2"/>
  <c r="O164" i="2"/>
  <c r="N140" i="2"/>
  <c r="O140" i="2"/>
  <c r="N166" i="2"/>
  <c r="O166" i="2"/>
  <c r="N170" i="2"/>
  <c r="O170" i="2"/>
  <c r="N171" i="2"/>
  <c r="O171" i="2"/>
  <c r="N142" i="2"/>
  <c r="O142" i="2"/>
  <c r="N172" i="2"/>
  <c r="O172" i="2"/>
  <c r="N192" i="2"/>
  <c r="AE192" i="7" s="1"/>
  <c r="O192" i="2"/>
  <c r="N194" i="2"/>
  <c r="AE194" i="7" s="1"/>
  <c r="O194" i="2"/>
  <c r="N143" i="2"/>
  <c r="O143" i="2"/>
  <c r="N37" i="2"/>
  <c r="AE37" i="7" s="1"/>
  <c r="O37" i="2"/>
  <c r="N38" i="2"/>
  <c r="O38" i="2"/>
  <c r="N52" i="2"/>
  <c r="O52" i="2"/>
  <c r="N144" i="2"/>
  <c r="O144" i="2"/>
  <c r="N145" i="2"/>
  <c r="O145" i="2"/>
  <c r="N122" i="2"/>
  <c r="O122" i="2"/>
  <c r="O3" i="2"/>
  <c r="N3" i="2"/>
  <c r="A4" i="2"/>
  <c r="A5" i="2"/>
  <c r="A6" i="2"/>
  <c r="A7" i="2"/>
  <c r="A8" i="2"/>
  <c r="A9" i="2"/>
  <c r="A10" i="2"/>
  <c r="A29" i="2"/>
  <c r="A12" i="2"/>
  <c r="A112" i="2"/>
  <c r="A14" i="2"/>
  <c r="A15" i="2"/>
  <c r="A16" i="2"/>
  <c r="A17" i="2"/>
  <c r="A18" i="2"/>
  <c r="A19" i="2"/>
  <c r="A181" i="2"/>
  <c r="A13" i="2"/>
  <c r="A22" i="2"/>
  <c r="A21" i="2"/>
  <c r="A146" i="2"/>
  <c r="A23" i="2"/>
  <c r="A26" i="2"/>
  <c r="A27" i="2"/>
  <c r="A182" i="2"/>
  <c r="A24" i="2"/>
  <c r="A30" i="2"/>
  <c r="A25" i="2"/>
  <c r="A32" i="2"/>
  <c r="A114" i="2"/>
  <c r="A31" i="2"/>
  <c r="A33" i="2"/>
  <c r="A183" i="2"/>
  <c r="A193" i="2"/>
  <c r="A39" i="2"/>
  <c r="A40" i="2"/>
  <c r="A34" i="2"/>
  <c r="A147" i="2"/>
  <c r="A35" i="2"/>
  <c r="A41" i="2"/>
  <c r="A148" i="2"/>
  <c r="A46" i="2"/>
  <c r="A47" i="2"/>
  <c r="A42" i="2"/>
  <c r="A49" i="2"/>
  <c r="A50" i="2"/>
  <c r="A43" i="2"/>
  <c r="A113" i="2"/>
  <c r="A44" i="2"/>
  <c r="A45" i="2"/>
  <c r="A180" i="2"/>
  <c r="A56" i="2"/>
  <c r="A48" i="2"/>
  <c r="A58" i="2"/>
  <c r="A59" i="2"/>
  <c r="A60" i="2"/>
  <c r="A11" i="2"/>
  <c r="A20" i="2"/>
  <c r="A28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53" i="2"/>
  <c r="A167" i="2"/>
  <c r="A54" i="2"/>
  <c r="A57" i="2"/>
  <c r="A84" i="2"/>
  <c r="A85" i="2"/>
  <c r="A86" i="2"/>
  <c r="A61" i="2"/>
  <c r="A88" i="2"/>
  <c r="A80" i="2"/>
  <c r="A90" i="2"/>
  <c r="A91" i="2"/>
  <c r="A92" i="2"/>
  <c r="A82" i="2"/>
  <c r="A94" i="2"/>
  <c r="A95" i="2"/>
  <c r="A83" i="2"/>
  <c r="A97" i="2"/>
  <c r="A98" i="2"/>
  <c r="A99" i="2"/>
  <c r="A87" i="2"/>
  <c r="A89" i="2"/>
  <c r="A102" i="2"/>
  <c r="A103" i="2"/>
  <c r="A104" i="2"/>
  <c r="A105" i="2"/>
  <c r="A106" i="2"/>
  <c r="A107" i="2"/>
  <c r="A108" i="2"/>
  <c r="A109" i="2"/>
  <c r="A110" i="2"/>
  <c r="A51" i="2"/>
  <c r="A111" i="2"/>
  <c r="A36" i="2"/>
  <c r="A123" i="2"/>
  <c r="A124" i="2"/>
  <c r="A149" i="2"/>
  <c r="A150" i="2"/>
  <c r="A115" i="2"/>
  <c r="A125" i="2"/>
  <c r="A117" i="2"/>
  <c r="A151" i="2"/>
  <c r="A152" i="2"/>
  <c r="A93" i="2"/>
  <c r="A96" i="2"/>
  <c r="A126" i="2"/>
  <c r="A127" i="2"/>
  <c r="A128" i="2"/>
  <c r="A129" i="2"/>
  <c r="A130" i="2"/>
  <c r="A131" i="2"/>
  <c r="A133" i="2"/>
  <c r="A132" i="2"/>
  <c r="A134" i="2"/>
  <c r="A135" i="2"/>
  <c r="A136" i="2"/>
  <c r="A118" i="2"/>
  <c r="A165" i="2"/>
  <c r="A137" i="2"/>
  <c r="A139" i="2"/>
  <c r="A138" i="2"/>
  <c r="A153" i="2"/>
  <c r="A154" i="2"/>
  <c r="A155" i="2"/>
  <c r="A156" i="2"/>
  <c r="A157" i="2"/>
  <c r="A158" i="2"/>
  <c r="A159" i="2"/>
  <c r="A160" i="2"/>
  <c r="A161" i="2"/>
  <c r="A162" i="2"/>
  <c r="A163" i="2"/>
  <c r="A141" i="2"/>
  <c r="A119" i="2"/>
  <c r="A120" i="2"/>
  <c r="A121" i="2"/>
  <c r="A164" i="2"/>
  <c r="A140" i="2"/>
  <c r="A166" i="2"/>
  <c r="A170" i="2"/>
  <c r="A171" i="2"/>
  <c r="A142" i="2"/>
  <c r="A172" i="2"/>
  <c r="A192" i="2"/>
  <c r="A194" i="2"/>
  <c r="A143" i="2"/>
  <c r="A37" i="2"/>
  <c r="A38" i="2"/>
  <c r="A52" i="2"/>
  <c r="A144" i="2"/>
  <c r="A145" i="2"/>
  <c r="A122" i="2"/>
  <c r="EB5" i="2"/>
  <c r="K75" i="2"/>
  <c r="K76" i="2"/>
  <c r="K77" i="2"/>
  <c r="K78" i="2"/>
  <c r="K79" i="2"/>
  <c r="K53" i="2"/>
  <c r="K167" i="2"/>
  <c r="K54" i="2"/>
  <c r="K57" i="2"/>
  <c r="K84" i="2"/>
  <c r="K85" i="2"/>
  <c r="K86" i="2"/>
  <c r="K61" i="2"/>
  <c r="K88" i="2"/>
  <c r="K80" i="2"/>
  <c r="K90" i="2"/>
  <c r="K91" i="2"/>
  <c r="K92" i="2"/>
  <c r="K82" i="2"/>
  <c r="K94" i="2"/>
  <c r="K95" i="2"/>
  <c r="K83" i="2"/>
  <c r="K97" i="2"/>
  <c r="K98" i="2"/>
  <c r="K99" i="2"/>
  <c r="K87" i="2"/>
  <c r="K89" i="2"/>
  <c r="K102" i="2"/>
  <c r="K103" i="2"/>
  <c r="K104" i="2"/>
  <c r="K105" i="2"/>
  <c r="K106" i="2"/>
  <c r="K107" i="2"/>
  <c r="K108" i="2"/>
  <c r="K109" i="2"/>
  <c r="K110" i="2"/>
  <c r="K51" i="2"/>
  <c r="K111" i="2"/>
  <c r="K36" i="2"/>
  <c r="K123" i="2"/>
  <c r="K124" i="2"/>
  <c r="K116" i="2"/>
  <c r="K149" i="2"/>
  <c r="K150" i="2"/>
  <c r="K115" i="2"/>
  <c r="K125" i="2"/>
  <c r="K117" i="2"/>
  <c r="K151" i="2"/>
  <c r="K152" i="2"/>
  <c r="K93" i="2"/>
  <c r="K96" i="2"/>
  <c r="K126" i="2"/>
  <c r="K127" i="2"/>
  <c r="K128" i="2"/>
  <c r="K129" i="2"/>
  <c r="K130" i="2"/>
  <c r="K131" i="2"/>
  <c r="K133" i="2"/>
  <c r="K132" i="2"/>
  <c r="K134" i="2"/>
  <c r="K135" i="2"/>
  <c r="K136" i="2"/>
  <c r="K118" i="2"/>
  <c r="K165" i="2"/>
  <c r="K137" i="2"/>
  <c r="K139" i="2"/>
  <c r="K138" i="2"/>
  <c r="K153" i="2"/>
  <c r="K154" i="2"/>
  <c r="K155" i="2"/>
  <c r="K156" i="2"/>
  <c r="K157" i="2"/>
  <c r="K158" i="2"/>
  <c r="K159" i="2"/>
  <c r="K160" i="2"/>
  <c r="K161" i="2"/>
  <c r="K162" i="2"/>
  <c r="K163" i="2"/>
  <c r="K141" i="2"/>
  <c r="K119" i="2"/>
  <c r="K120" i="2"/>
  <c r="K121" i="2"/>
  <c r="K164" i="2"/>
  <c r="K140" i="2"/>
  <c r="K166" i="2"/>
  <c r="K170" i="2"/>
  <c r="K171" i="2"/>
  <c r="K142" i="2"/>
  <c r="K172" i="2"/>
  <c r="K192" i="2"/>
  <c r="K194" i="2"/>
  <c r="K143" i="2"/>
  <c r="K37" i="2"/>
  <c r="K38" i="2"/>
  <c r="K52" i="2"/>
  <c r="K144" i="2"/>
  <c r="K145" i="2"/>
  <c r="K122" i="2"/>
  <c r="K4" i="2"/>
  <c r="K5" i="2"/>
  <c r="K6" i="2"/>
  <c r="K7" i="2"/>
  <c r="K8" i="2"/>
  <c r="K9" i="2"/>
  <c r="K10" i="2"/>
  <c r="K29" i="2"/>
  <c r="K12" i="2"/>
  <c r="K112" i="2"/>
  <c r="K14" i="2"/>
  <c r="K15" i="2"/>
  <c r="K16" i="2"/>
  <c r="K17" i="2"/>
  <c r="K18" i="2"/>
  <c r="K19" i="2"/>
  <c r="K181" i="2"/>
  <c r="K13" i="2"/>
  <c r="K22" i="2"/>
  <c r="K21" i="2"/>
  <c r="K146" i="2"/>
  <c r="K23" i="2"/>
  <c r="K26" i="2"/>
  <c r="K27" i="2"/>
  <c r="K182" i="2"/>
  <c r="K24" i="2"/>
  <c r="K30" i="2"/>
  <c r="K25" i="2"/>
  <c r="K32" i="2"/>
  <c r="K114" i="2"/>
  <c r="K31" i="2"/>
  <c r="K33" i="2"/>
  <c r="K183" i="2"/>
  <c r="K193" i="2"/>
  <c r="K39" i="2"/>
  <c r="K40" i="2"/>
  <c r="K34" i="2"/>
  <c r="K147" i="2"/>
  <c r="K35" i="2"/>
  <c r="K41" i="2"/>
  <c r="K148" i="2"/>
  <c r="K46" i="2"/>
  <c r="K47" i="2"/>
  <c r="K42" i="2"/>
  <c r="K49" i="2"/>
  <c r="K50" i="2"/>
  <c r="K43" i="2"/>
  <c r="K113" i="2"/>
  <c r="K44" i="2"/>
  <c r="K45" i="2"/>
  <c r="K180" i="2"/>
  <c r="K56" i="2"/>
  <c r="K48" i="2"/>
  <c r="K58" i="2"/>
  <c r="K59" i="2"/>
  <c r="K60" i="2"/>
  <c r="K11" i="2"/>
  <c r="K20" i="2"/>
  <c r="K28" i="2"/>
  <c r="K64" i="2"/>
  <c r="K65" i="2"/>
  <c r="K66" i="2"/>
  <c r="K67" i="2"/>
  <c r="K68" i="2"/>
  <c r="K69" i="2"/>
  <c r="K70" i="2"/>
  <c r="K71" i="2"/>
  <c r="K72" i="2"/>
  <c r="K73" i="2"/>
  <c r="K74" i="2"/>
  <c r="K3" i="2"/>
  <c r="L38" i="2"/>
  <c r="L112" i="2"/>
  <c r="EL9" i="6"/>
  <c r="EV9" i="6"/>
  <c r="FO9" i="6"/>
  <c r="FP9" i="6"/>
  <c r="CP9" i="6"/>
  <c r="CJ9" i="6"/>
  <c r="O9" i="6" s="1"/>
  <c r="CD9" i="6"/>
  <c r="BT9" i="6"/>
  <c r="AW9" i="6"/>
  <c r="AD9" i="6"/>
  <c r="AG9" i="6"/>
  <c r="P9" i="6"/>
  <c r="A9" i="6"/>
  <c r="E9" i="6"/>
  <c r="F9" i="6"/>
  <c r="G9" i="6"/>
  <c r="J9" i="6"/>
  <c r="K9" i="6"/>
  <c r="L9" i="6"/>
  <c r="M9" i="6"/>
  <c r="EV122" i="2"/>
  <c r="FS172" i="2"/>
  <c r="FT172" i="2"/>
  <c r="CK122" i="2"/>
  <c r="R122" i="2" s="1"/>
  <c r="CE122" i="2"/>
  <c r="P122" i="2" s="1"/>
  <c r="BU122" i="2"/>
  <c r="AZ122" i="2"/>
  <c r="AG122" i="2"/>
  <c r="AJ122" i="2"/>
  <c r="S122" i="2"/>
  <c r="E122" i="2"/>
  <c r="F122" i="2"/>
  <c r="H122" i="2"/>
  <c r="L122" i="2"/>
  <c r="EV145" i="2"/>
  <c r="FS171" i="2"/>
  <c r="FT171" i="2"/>
  <c r="CK145" i="2"/>
  <c r="R145" i="2" s="1"/>
  <c r="CE145" i="2"/>
  <c r="P145" i="2" s="1"/>
  <c r="BU145" i="2"/>
  <c r="AZ145" i="2"/>
  <c r="AG145" i="2"/>
  <c r="AJ145" i="2"/>
  <c r="S145" i="2"/>
  <c r="E145" i="2"/>
  <c r="F145" i="2"/>
  <c r="H145" i="2"/>
  <c r="L145" i="2"/>
  <c r="F145" i="7" l="1"/>
  <c r="G145" i="7" s="1"/>
  <c r="K145" i="7" s="1"/>
  <c r="F122" i="7"/>
  <c r="G122" i="7" s="1"/>
  <c r="K122" i="7" s="1"/>
  <c r="F173" i="7"/>
  <c r="G173" i="7" s="1"/>
  <c r="K173" i="7" s="1"/>
  <c r="F55" i="7"/>
  <c r="G55" i="7" s="1"/>
  <c r="K55" i="7" s="1"/>
  <c r="F175" i="7"/>
  <c r="G175" i="7" s="1"/>
  <c r="K175" i="7" s="1"/>
  <c r="F63" i="7"/>
  <c r="G63" i="7" s="1"/>
  <c r="K63" i="7" s="1"/>
  <c r="F174" i="7"/>
  <c r="G174" i="7" s="1"/>
  <c r="K174" i="7" s="1"/>
  <c r="F62" i="7"/>
  <c r="G62" i="7" s="1"/>
  <c r="K62" i="7" s="1"/>
  <c r="AE145" i="7"/>
  <c r="AE101" i="7"/>
  <c r="AE165" i="7"/>
  <c r="AE149" i="7"/>
  <c r="AE133" i="7"/>
  <c r="AE121" i="7"/>
  <c r="AE113" i="7"/>
  <c r="AE73" i="7"/>
  <c r="AE172" i="7"/>
  <c r="AE168" i="7"/>
  <c r="AE164" i="7"/>
  <c r="AE160" i="7"/>
  <c r="AE156" i="7"/>
  <c r="AE152" i="7"/>
  <c r="AE148" i="7"/>
  <c r="AE144" i="7"/>
  <c r="AE140" i="7"/>
  <c r="AE136" i="7"/>
  <c r="AE132" i="7"/>
  <c r="AE128" i="7"/>
  <c r="AE124" i="7"/>
  <c r="AE120" i="7"/>
  <c r="AE112" i="7"/>
  <c r="AE108" i="7"/>
  <c r="AE104" i="7"/>
  <c r="AE100" i="7"/>
  <c r="AE96" i="7"/>
  <c r="AE92" i="7"/>
  <c r="AE88" i="7"/>
  <c r="AE84" i="7"/>
  <c r="AE80" i="7"/>
  <c r="AE76" i="7"/>
  <c r="AE72" i="7"/>
  <c r="AE64" i="7"/>
  <c r="AE60" i="7"/>
  <c r="AE56" i="7"/>
  <c r="AE33" i="7"/>
  <c r="AE29" i="7"/>
  <c r="AE25" i="7"/>
  <c r="AE21" i="7"/>
  <c r="AE13" i="7"/>
  <c r="AE9" i="7"/>
  <c r="AE5" i="7"/>
  <c r="AE174" i="7"/>
  <c r="AE161" i="7"/>
  <c r="AE57" i="7"/>
  <c r="AE55" i="7"/>
  <c r="AE50" i="7"/>
  <c r="AE42" i="7"/>
  <c r="AE38" i="7"/>
  <c r="AE141" i="7"/>
  <c r="AE89" i="7"/>
  <c r="AE43" i="7"/>
  <c r="AE171" i="7"/>
  <c r="AE167" i="7"/>
  <c r="AE163" i="7"/>
  <c r="AE159" i="7"/>
  <c r="AE155" i="7"/>
  <c r="AE151" i="7"/>
  <c r="AE147" i="7"/>
  <c r="AE143" i="7"/>
  <c r="AE139" i="7"/>
  <c r="AE135" i="7"/>
  <c r="AE131" i="7"/>
  <c r="AE127" i="7"/>
  <c r="AE123" i="7"/>
  <c r="AE119" i="7"/>
  <c r="AE115" i="7"/>
  <c r="AE111" i="7"/>
  <c r="AE107" i="7"/>
  <c r="AE103" i="7"/>
  <c r="AE99" i="7"/>
  <c r="AE91" i="7"/>
  <c r="AE87" i="7"/>
  <c r="AE83" i="7"/>
  <c r="AE79" i="7"/>
  <c r="AE75" i="7"/>
  <c r="AE71" i="7"/>
  <c r="AE67" i="7"/>
  <c r="AE63" i="7"/>
  <c r="AE59" i="7"/>
  <c r="AE54" i="7"/>
  <c r="AE36" i="7"/>
  <c r="AE28" i="7"/>
  <c r="AE24" i="7"/>
  <c r="AE20" i="7"/>
  <c r="AE12" i="7"/>
  <c r="AE8" i="7"/>
  <c r="O173" i="7"/>
  <c r="AE175" i="7"/>
  <c r="AE169" i="7"/>
  <c r="AE129" i="7"/>
  <c r="AE81" i="7"/>
  <c r="AE65" i="7"/>
  <c r="AE34" i="7"/>
  <c r="AE22" i="7"/>
  <c r="AE14" i="7"/>
  <c r="AE47" i="7"/>
  <c r="AE45" i="7"/>
  <c r="AE41" i="7"/>
  <c r="AE153" i="7"/>
  <c r="AE137" i="7"/>
  <c r="AE125" i="7"/>
  <c r="AE117" i="7"/>
  <c r="AE105" i="7"/>
  <c r="AE93" i="7"/>
  <c r="AE85" i="7"/>
  <c r="AE77" i="7"/>
  <c r="AE61" i="7"/>
  <c r="AE52" i="7"/>
  <c r="AE26" i="7"/>
  <c r="AE10" i="7"/>
  <c r="O175" i="7"/>
  <c r="AE170" i="7"/>
  <c r="AE166" i="7"/>
  <c r="AE162" i="7"/>
  <c r="AE158" i="7"/>
  <c r="AE154" i="7"/>
  <c r="AE150" i="7"/>
  <c r="AE146" i="7"/>
  <c r="AE142" i="7"/>
  <c r="AE138" i="7"/>
  <c r="AE134" i="7"/>
  <c r="AE130" i="7"/>
  <c r="AE126" i="7"/>
  <c r="AE122" i="7"/>
  <c r="AE118" i="7"/>
  <c r="AE114" i="7"/>
  <c r="AE106" i="7"/>
  <c r="AE102" i="7"/>
  <c r="AE98" i="7"/>
  <c r="AE94" i="7"/>
  <c r="AE90" i="7"/>
  <c r="AE86" i="7"/>
  <c r="AE82" i="7"/>
  <c r="AE78" i="7"/>
  <c r="AE74" i="7"/>
  <c r="AE66" i="7"/>
  <c r="AE62" i="7"/>
  <c r="AE58" i="7"/>
  <c r="AE53" i="7"/>
  <c r="AE35" i="7"/>
  <c r="AE31" i="7"/>
  <c r="AE27" i="7"/>
  <c r="AE23" i="7"/>
  <c r="AE19" i="7"/>
  <c r="AE11" i="7"/>
  <c r="AE7" i="7"/>
  <c r="O174" i="7"/>
  <c r="AE157" i="7"/>
  <c r="AE30" i="7"/>
  <c r="AE6" i="7"/>
  <c r="AE173" i="7"/>
  <c r="AE51" i="7"/>
  <c r="AE48" i="7"/>
  <c r="AE44" i="7"/>
  <c r="AE40" i="7"/>
  <c r="C173" i="7"/>
  <c r="AH173" i="7"/>
  <c r="AH174" i="7"/>
  <c r="C174" i="7"/>
  <c r="AH175" i="7"/>
  <c r="C175" i="7"/>
  <c r="CQ145" i="2"/>
  <c r="CQ122" i="2"/>
  <c r="EV144" i="2"/>
  <c r="FS170" i="2"/>
  <c r="FT170" i="2"/>
  <c r="CK144" i="2"/>
  <c r="R144" i="2" s="1"/>
  <c r="CE144" i="2"/>
  <c r="P144" i="2" s="1"/>
  <c r="BU144" i="2"/>
  <c r="AZ144" i="2"/>
  <c r="AG144" i="2"/>
  <c r="AJ144" i="2"/>
  <c r="S144" i="2"/>
  <c r="E144" i="2"/>
  <c r="F144" i="2"/>
  <c r="H144" i="2"/>
  <c r="L144" i="2"/>
  <c r="F144" i="7" l="1"/>
  <c r="G144" i="7" s="1"/>
  <c r="K144" i="7" s="1"/>
  <c r="CQ144" i="2"/>
  <c r="EJ94" i="2"/>
  <c r="EJ88" i="2"/>
  <c r="EJ86" i="2"/>
  <c r="AE3" i="7"/>
  <c r="U3" i="7"/>
  <c r="X3" i="7"/>
  <c r="W3" i="7"/>
  <c r="AB3" i="7"/>
  <c r="AI3" i="7" s="1"/>
  <c r="C98" i="3"/>
  <c r="D98" i="3"/>
  <c r="E98" i="3"/>
  <c r="H98" i="3"/>
  <c r="I98" i="3"/>
  <c r="J98" i="3"/>
  <c r="K98" i="3"/>
  <c r="L98" i="3"/>
  <c r="C99" i="3"/>
  <c r="D99" i="3"/>
  <c r="E99" i="3"/>
  <c r="H99" i="3"/>
  <c r="I99" i="3"/>
  <c r="J99" i="3"/>
  <c r="K99" i="3"/>
  <c r="L99" i="3"/>
  <c r="C100" i="3"/>
  <c r="D100" i="3"/>
  <c r="E100" i="3"/>
  <c r="H100" i="3"/>
  <c r="I100" i="3"/>
  <c r="J100" i="3"/>
  <c r="K100" i="3"/>
  <c r="L100" i="3"/>
  <c r="C101" i="3"/>
  <c r="D101" i="3"/>
  <c r="E101" i="3"/>
  <c r="H101" i="3"/>
  <c r="I101" i="3"/>
  <c r="J101" i="3"/>
  <c r="K101" i="3"/>
  <c r="L101" i="3"/>
  <c r="FS169" i="2"/>
  <c r="FT169" i="2"/>
  <c r="FL169" i="2"/>
  <c r="FM169" i="2"/>
  <c r="FD52" i="2"/>
  <c r="EX52" i="2"/>
  <c r="EV52" i="2"/>
  <c r="B169" i="7" s="1"/>
  <c r="EN52" i="2"/>
  <c r="EA52" i="2"/>
  <c r="CU52" i="2"/>
  <c r="CV52" i="2"/>
  <c r="CW52" i="2"/>
  <c r="CX52" i="2"/>
  <c r="CY52" i="2"/>
  <c r="DA52" i="2"/>
  <c r="DC52" i="2"/>
  <c r="DE52" i="2"/>
  <c r="DF52" i="2"/>
  <c r="DG52" i="2"/>
  <c r="DH52" i="2"/>
  <c r="DI52" i="2"/>
  <c r="DJ52" i="2"/>
  <c r="DK52" i="2"/>
  <c r="DN52" i="2"/>
  <c r="DT52" i="2" s="1"/>
  <c r="DO52" i="2"/>
  <c r="DP52" i="2"/>
  <c r="DQ52" i="2"/>
  <c r="DR52" i="2"/>
  <c r="DS52" i="2"/>
  <c r="CP52" i="2"/>
  <c r="S52" i="2" s="1"/>
  <c r="BX52" i="2"/>
  <c r="FS168" i="2"/>
  <c r="FT168" i="2"/>
  <c r="FL168" i="2"/>
  <c r="FM168" i="2"/>
  <c r="FD38" i="2"/>
  <c r="EX38" i="2"/>
  <c r="EV38" i="2"/>
  <c r="B168" i="7" s="1"/>
  <c r="EN38" i="2"/>
  <c r="EA38" i="2"/>
  <c r="CU38" i="2"/>
  <c r="CV38" i="2"/>
  <c r="CW38" i="2"/>
  <c r="CX38" i="2"/>
  <c r="CY38" i="2"/>
  <c r="DA38" i="2"/>
  <c r="DC38" i="2"/>
  <c r="DE38" i="2"/>
  <c r="DF38" i="2"/>
  <c r="DG38" i="2"/>
  <c r="DH38" i="2"/>
  <c r="DI38" i="2"/>
  <c r="DJ38" i="2"/>
  <c r="DK38" i="2"/>
  <c r="DN38" i="2"/>
  <c r="DT38" i="2" s="1"/>
  <c r="DO38" i="2"/>
  <c r="DP38" i="2"/>
  <c r="DQ38" i="2"/>
  <c r="DR38" i="2"/>
  <c r="DS38" i="2"/>
  <c r="CP38" i="2"/>
  <c r="S38" i="2" s="1"/>
  <c r="BX38" i="2"/>
  <c r="FL167" i="2"/>
  <c r="FM167" i="2"/>
  <c r="FS167" i="2"/>
  <c r="FT167" i="2"/>
  <c r="FD37" i="2"/>
  <c r="EX37" i="2"/>
  <c r="EV37" i="2"/>
  <c r="EN37" i="2"/>
  <c r="EA37" i="2"/>
  <c r="CU37" i="2"/>
  <c r="CV37" i="2"/>
  <c r="CW37" i="2"/>
  <c r="CX37" i="2"/>
  <c r="CY37" i="2"/>
  <c r="DA37" i="2"/>
  <c r="DC37" i="2"/>
  <c r="DE37" i="2"/>
  <c r="DF37" i="2"/>
  <c r="DG37" i="2"/>
  <c r="DH37" i="2"/>
  <c r="DI37" i="2"/>
  <c r="DJ37" i="2"/>
  <c r="DK37" i="2"/>
  <c r="DN37" i="2"/>
  <c r="DT37" i="2" s="1"/>
  <c r="DO37" i="2"/>
  <c r="DP37" i="2"/>
  <c r="DQ37" i="2"/>
  <c r="DR37" i="2"/>
  <c r="DS37" i="2"/>
  <c r="CP37" i="2"/>
  <c r="S37" i="2" s="1"/>
  <c r="CE37" i="2"/>
  <c r="P37" i="2" s="1"/>
  <c r="BX37" i="2"/>
  <c r="CK52" i="2"/>
  <c r="R52" i="2" s="1"/>
  <c r="CK38" i="2"/>
  <c r="R38" i="2" s="1"/>
  <c r="CK37" i="2"/>
  <c r="R37" i="2" s="1"/>
  <c r="CE52" i="2"/>
  <c r="P52" i="2" s="1"/>
  <c r="CE38" i="2"/>
  <c r="P38" i="2" s="1"/>
  <c r="AZ52" i="2"/>
  <c r="AG52" i="2"/>
  <c r="AJ52" i="2"/>
  <c r="E52" i="2"/>
  <c r="F52" i="2"/>
  <c r="H52" i="2"/>
  <c r="L52" i="2"/>
  <c r="AZ38" i="2"/>
  <c r="AG38" i="2"/>
  <c r="AJ38" i="2"/>
  <c r="E38" i="2"/>
  <c r="F38" i="2"/>
  <c r="H38" i="2"/>
  <c r="AZ37" i="2"/>
  <c r="T37" i="7" s="1"/>
  <c r="Y37" i="7" s="1"/>
  <c r="AA37" i="7" s="1"/>
  <c r="AG37" i="2"/>
  <c r="AJ37" i="2"/>
  <c r="E37" i="2"/>
  <c r="F37" i="2"/>
  <c r="H37" i="2"/>
  <c r="O37" i="7" s="1"/>
  <c r="L37" i="2"/>
  <c r="AH37" i="7" l="1"/>
  <c r="C37" i="7"/>
  <c r="B37" i="7"/>
  <c r="O169" i="7"/>
  <c r="O168" i="7"/>
  <c r="T169" i="7"/>
  <c r="Y169" i="7" s="1"/>
  <c r="AA169" i="7" s="1"/>
  <c r="T168" i="7"/>
  <c r="Y168" i="7" s="1"/>
  <c r="AA168" i="7" s="1"/>
  <c r="AH168" i="7"/>
  <c r="C168" i="7"/>
  <c r="AH169" i="7"/>
  <c r="C169" i="7"/>
  <c r="CQ38" i="2"/>
  <c r="CQ37" i="2"/>
  <c r="CQ52" i="2"/>
  <c r="H149" i="2" l="1"/>
  <c r="H113" i="2"/>
  <c r="H44" i="2"/>
  <c r="O52" i="7" l="1"/>
  <c r="X21" i="5"/>
  <c r="M21" i="5"/>
  <c r="EV143" i="2" l="1"/>
  <c r="FS166" i="2"/>
  <c r="FT166" i="2"/>
  <c r="CK143" i="2"/>
  <c r="R143" i="2" s="1"/>
  <c r="CE143" i="2"/>
  <c r="P143" i="2" s="1"/>
  <c r="BU143" i="2"/>
  <c r="AZ143" i="2"/>
  <c r="AG143" i="2"/>
  <c r="AJ143" i="2"/>
  <c r="S143" i="2"/>
  <c r="E143" i="2"/>
  <c r="F143" i="2"/>
  <c r="H143" i="2"/>
  <c r="L143" i="2"/>
  <c r="X20" i="5"/>
  <c r="M20" i="5"/>
  <c r="F92" i="2"/>
  <c r="L92" i="2"/>
  <c r="F166" i="7" l="1"/>
  <c r="G166" i="7" s="1"/>
  <c r="K166" i="7" s="1"/>
  <c r="F143" i="7"/>
  <c r="G143" i="7" s="1"/>
  <c r="K143" i="7" s="1"/>
  <c r="AH92" i="7"/>
  <c r="C92" i="7"/>
  <c r="CQ143" i="2"/>
  <c r="D13" i="13" l="1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M39" i="13"/>
  <c r="L39" i="13"/>
  <c r="K39" i="13"/>
  <c r="J39" i="13"/>
  <c r="I39" i="13"/>
  <c r="H39" i="13"/>
  <c r="F39" i="13"/>
  <c r="E39" i="13"/>
  <c r="C39" i="13"/>
  <c r="A39" i="13"/>
  <c r="M38" i="13"/>
  <c r="L38" i="13"/>
  <c r="K38" i="13"/>
  <c r="J38" i="13"/>
  <c r="I38" i="13"/>
  <c r="H38" i="13"/>
  <c r="F38" i="13"/>
  <c r="E38" i="13"/>
  <c r="C38" i="13"/>
  <c r="A38" i="13"/>
  <c r="M37" i="13"/>
  <c r="L37" i="13"/>
  <c r="K37" i="13"/>
  <c r="J37" i="13"/>
  <c r="I37" i="13"/>
  <c r="H37" i="13"/>
  <c r="F37" i="13"/>
  <c r="E37" i="13"/>
  <c r="C37" i="13"/>
  <c r="A37" i="13"/>
  <c r="M36" i="13"/>
  <c r="L36" i="13"/>
  <c r="K36" i="13"/>
  <c r="J36" i="13"/>
  <c r="I36" i="13"/>
  <c r="H36" i="13"/>
  <c r="F36" i="13"/>
  <c r="E36" i="13"/>
  <c r="C36" i="13"/>
  <c r="A36" i="13"/>
  <c r="M35" i="13"/>
  <c r="L35" i="13"/>
  <c r="K35" i="13"/>
  <c r="J35" i="13"/>
  <c r="I35" i="13"/>
  <c r="H35" i="13"/>
  <c r="F35" i="13"/>
  <c r="E35" i="13"/>
  <c r="C35" i="13"/>
  <c r="A35" i="13"/>
  <c r="M34" i="13"/>
  <c r="L34" i="13"/>
  <c r="K34" i="13"/>
  <c r="J34" i="13"/>
  <c r="I34" i="13"/>
  <c r="H34" i="13"/>
  <c r="F34" i="13"/>
  <c r="E34" i="13"/>
  <c r="C34" i="13"/>
  <c r="A34" i="13"/>
  <c r="M33" i="13"/>
  <c r="L33" i="13"/>
  <c r="K33" i="13"/>
  <c r="J33" i="13"/>
  <c r="I33" i="13"/>
  <c r="H33" i="13"/>
  <c r="F33" i="13"/>
  <c r="E33" i="13"/>
  <c r="C33" i="13"/>
  <c r="A33" i="13"/>
  <c r="M32" i="13"/>
  <c r="L32" i="13"/>
  <c r="K32" i="13"/>
  <c r="J32" i="13"/>
  <c r="I32" i="13"/>
  <c r="H32" i="13"/>
  <c r="F32" i="13"/>
  <c r="E32" i="13"/>
  <c r="C32" i="13"/>
  <c r="A32" i="13"/>
  <c r="M31" i="13"/>
  <c r="L31" i="13"/>
  <c r="K31" i="13"/>
  <c r="J31" i="13"/>
  <c r="I31" i="13"/>
  <c r="H31" i="13"/>
  <c r="F31" i="13"/>
  <c r="E31" i="13"/>
  <c r="C31" i="13"/>
  <c r="A31" i="13"/>
  <c r="M30" i="13"/>
  <c r="L30" i="13"/>
  <c r="K30" i="13"/>
  <c r="J30" i="13"/>
  <c r="I30" i="13"/>
  <c r="H30" i="13"/>
  <c r="F30" i="13"/>
  <c r="E30" i="13"/>
  <c r="C30" i="13"/>
  <c r="A30" i="13"/>
  <c r="M29" i="13"/>
  <c r="L29" i="13"/>
  <c r="K29" i="13"/>
  <c r="J29" i="13"/>
  <c r="I29" i="13"/>
  <c r="H29" i="13"/>
  <c r="F29" i="13"/>
  <c r="E29" i="13"/>
  <c r="C29" i="13"/>
  <c r="A29" i="13"/>
  <c r="M28" i="13"/>
  <c r="L28" i="13"/>
  <c r="K28" i="13"/>
  <c r="J28" i="13"/>
  <c r="I28" i="13"/>
  <c r="H28" i="13"/>
  <c r="F28" i="13"/>
  <c r="E28" i="13"/>
  <c r="C28" i="13"/>
  <c r="A28" i="13"/>
  <c r="M27" i="13"/>
  <c r="L27" i="13"/>
  <c r="K27" i="13"/>
  <c r="J27" i="13"/>
  <c r="I27" i="13"/>
  <c r="H27" i="13"/>
  <c r="F27" i="13"/>
  <c r="E27" i="13"/>
  <c r="C27" i="13"/>
  <c r="A27" i="13"/>
  <c r="M26" i="13"/>
  <c r="L26" i="13"/>
  <c r="K26" i="13"/>
  <c r="J26" i="13"/>
  <c r="I26" i="13"/>
  <c r="H26" i="13"/>
  <c r="F26" i="13"/>
  <c r="E26" i="13"/>
  <c r="C26" i="13"/>
  <c r="A26" i="13"/>
  <c r="M25" i="13"/>
  <c r="L25" i="13"/>
  <c r="K25" i="13"/>
  <c r="J25" i="13"/>
  <c r="I25" i="13"/>
  <c r="H25" i="13"/>
  <c r="F25" i="13"/>
  <c r="E25" i="13"/>
  <c r="C25" i="13"/>
  <c r="A25" i="13"/>
  <c r="M24" i="13"/>
  <c r="L24" i="13"/>
  <c r="K24" i="13"/>
  <c r="J24" i="13"/>
  <c r="I24" i="13"/>
  <c r="H24" i="13"/>
  <c r="F24" i="13"/>
  <c r="E24" i="13"/>
  <c r="C24" i="13"/>
  <c r="A24" i="13"/>
  <c r="M23" i="13"/>
  <c r="L23" i="13"/>
  <c r="K23" i="13"/>
  <c r="J23" i="13"/>
  <c r="I23" i="13"/>
  <c r="H23" i="13"/>
  <c r="F23" i="13"/>
  <c r="E23" i="13"/>
  <c r="C23" i="13"/>
  <c r="A23" i="13"/>
  <c r="M22" i="13"/>
  <c r="L22" i="13"/>
  <c r="K22" i="13"/>
  <c r="J22" i="13"/>
  <c r="I22" i="13"/>
  <c r="H22" i="13"/>
  <c r="F22" i="13"/>
  <c r="E22" i="13"/>
  <c r="C22" i="13"/>
  <c r="A22" i="13"/>
  <c r="M21" i="13"/>
  <c r="L21" i="13"/>
  <c r="K21" i="13"/>
  <c r="J21" i="13"/>
  <c r="I21" i="13"/>
  <c r="H21" i="13"/>
  <c r="F21" i="13"/>
  <c r="E21" i="13"/>
  <c r="C21" i="13"/>
  <c r="A21" i="13"/>
  <c r="M20" i="13"/>
  <c r="L20" i="13"/>
  <c r="K20" i="13"/>
  <c r="J20" i="13"/>
  <c r="I20" i="13"/>
  <c r="H20" i="13"/>
  <c r="F20" i="13"/>
  <c r="E20" i="13"/>
  <c r="C20" i="13"/>
  <c r="A20" i="13"/>
  <c r="M19" i="13"/>
  <c r="L19" i="13"/>
  <c r="K19" i="13"/>
  <c r="J19" i="13"/>
  <c r="I19" i="13"/>
  <c r="H19" i="13"/>
  <c r="F19" i="13"/>
  <c r="E19" i="13"/>
  <c r="C19" i="13"/>
  <c r="A19" i="13"/>
  <c r="M18" i="13"/>
  <c r="L18" i="13"/>
  <c r="K18" i="13"/>
  <c r="J18" i="13"/>
  <c r="I18" i="13"/>
  <c r="H18" i="13"/>
  <c r="F18" i="13"/>
  <c r="E18" i="13"/>
  <c r="C18" i="13"/>
  <c r="A18" i="13"/>
  <c r="M17" i="13"/>
  <c r="L17" i="13"/>
  <c r="K17" i="13"/>
  <c r="J17" i="13"/>
  <c r="I17" i="13"/>
  <c r="H17" i="13"/>
  <c r="F17" i="13"/>
  <c r="E17" i="13"/>
  <c r="C17" i="13"/>
  <c r="A17" i="13"/>
  <c r="M16" i="13"/>
  <c r="L16" i="13"/>
  <c r="K16" i="13"/>
  <c r="J16" i="13"/>
  <c r="I16" i="13"/>
  <c r="H16" i="13"/>
  <c r="F16" i="13"/>
  <c r="E16" i="13"/>
  <c r="C16" i="13"/>
  <c r="A16" i="13"/>
  <c r="M15" i="13"/>
  <c r="L15" i="13"/>
  <c r="K15" i="13"/>
  <c r="J15" i="13"/>
  <c r="I15" i="13"/>
  <c r="H15" i="13"/>
  <c r="F15" i="13"/>
  <c r="E15" i="13"/>
  <c r="C15" i="13"/>
  <c r="A15" i="13"/>
  <c r="M14" i="13"/>
  <c r="L14" i="13"/>
  <c r="K14" i="13"/>
  <c r="J14" i="13"/>
  <c r="I14" i="13"/>
  <c r="H14" i="13"/>
  <c r="F14" i="13"/>
  <c r="E14" i="13"/>
  <c r="C14" i="13"/>
  <c r="A14" i="13"/>
  <c r="M13" i="13"/>
  <c r="L13" i="13"/>
  <c r="K13" i="13"/>
  <c r="J13" i="13"/>
  <c r="I13" i="13"/>
  <c r="H13" i="13"/>
  <c r="F13" i="13"/>
  <c r="E13" i="13"/>
  <c r="C13" i="13"/>
  <c r="A13" i="13"/>
  <c r="CQ108" i="2" l="1"/>
  <c r="CP108" i="2"/>
  <c r="CK108" i="2"/>
  <c r="CE108" i="2"/>
  <c r="EV194" i="2" l="1"/>
  <c r="B194" i="7" s="1"/>
  <c r="FS165" i="2"/>
  <c r="FT165" i="2"/>
  <c r="CK194" i="2"/>
  <c r="R194" i="2" s="1"/>
  <c r="CE194" i="2"/>
  <c r="P194" i="2" s="1"/>
  <c r="BU194" i="2"/>
  <c r="AZ194" i="2"/>
  <c r="T194" i="7" s="1"/>
  <c r="Y194" i="7" s="1"/>
  <c r="AA194" i="7" s="1"/>
  <c r="AG194" i="2"/>
  <c r="AJ194" i="2"/>
  <c r="S194" i="2"/>
  <c r="E194" i="2"/>
  <c r="F194" i="2"/>
  <c r="H194" i="2"/>
  <c r="O194" i="7" s="1"/>
  <c r="L194" i="2"/>
  <c r="EV192" i="2"/>
  <c r="B192" i="7" s="1"/>
  <c r="FS164" i="2"/>
  <c r="FT164" i="2"/>
  <c r="CK192" i="2"/>
  <c r="R192" i="2" s="1"/>
  <c r="CE192" i="2"/>
  <c r="P192" i="2" s="1"/>
  <c r="BU192" i="2"/>
  <c r="AZ192" i="2"/>
  <c r="T192" i="7" s="1"/>
  <c r="Y192" i="7" s="1"/>
  <c r="AA192" i="7" s="1"/>
  <c r="AG192" i="2"/>
  <c r="AJ192" i="2"/>
  <c r="S192" i="2"/>
  <c r="E192" i="2"/>
  <c r="F192" i="2"/>
  <c r="H192" i="2"/>
  <c r="O192" i="7" s="1"/>
  <c r="L192" i="2"/>
  <c r="EV172" i="2"/>
  <c r="B172" i="7" s="1"/>
  <c r="FS163" i="2"/>
  <c r="FT163" i="2"/>
  <c r="CK172" i="2"/>
  <c r="R172" i="2" s="1"/>
  <c r="CE172" i="2"/>
  <c r="P172" i="2" s="1"/>
  <c r="BU172" i="2"/>
  <c r="AZ172" i="2"/>
  <c r="T172" i="7" s="1"/>
  <c r="Y172" i="7" s="1"/>
  <c r="AA172" i="7" s="1"/>
  <c r="AG172" i="2"/>
  <c r="AJ172" i="2"/>
  <c r="S172" i="2"/>
  <c r="E172" i="2"/>
  <c r="F172" i="2"/>
  <c r="H172" i="2"/>
  <c r="O172" i="7" s="1"/>
  <c r="L172" i="2"/>
  <c r="EV142" i="2"/>
  <c r="FS162" i="2"/>
  <c r="FT162" i="2"/>
  <c r="CK142" i="2"/>
  <c r="R142" i="2" s="1"/>
  <c r="CE142" i="2"/>
  <c r="P142" i="2" s="1"/>
  <c r="BU142" i="2"/>
  <c r="AZ142" i="2"/>
  <c r="AG142" i="2"/>
  <c r="AJ142" i="2"/>
  <c r="S142" i="2"/>
  <c r="E142" i="2"/>
  <c r="F142" i="2"/>
  <c r="H142" i="2"/>
  <c r="L142" i="2"/>
  <c r="AG171" i="2"/>
  <c r="EV171" i="2"/>
  <c r="B171" i="7" s="1"/>
  <c r="FS161" i="2"/>
  <c r="FT161" i="2"/>
  <c r="CK171" i="2"/>
  <c r="R171" i="2" s="1"/>
  <c r="CE171" i="2"/>
  <c r="P171" i="2" s="1"/>
  <c r="BU171" i="2"/>
  <c r="AZ171" i="2"/>
  <c r="T171" i="7" s="1"/>
  <c r="Y171" i="7" s="1"/>
  <c r="AA171" i="7" s="1"/>
  <c r="AJ171" i="2"/>
  <c r="S171" i="2"/>
  <c r="E171" i="2"/>
  <c r="F171" i="2"/>
  <c r="H171" i="2"/>
  <c r="O171" i="7" s="1"/>
  <c r="L171" i="2"/>
  <c r="EV170" i="2"/>
  <c r="B170" i="7" s="1"/>
  <c r="FS160" i="2"/>
  <c r="FT160" i="2"/>
  <c r="CK170" i="2"/>
  <c r="R170" i="2" s="1"/>
  <c r="CE170" i="2"/>
  <c r="P170" i="2" s="1"/>
  <c r="BU170" i="2"/>
  <c r="AZ170" i="2"/>
  <c r="T170" i="7" s="1"/>
  <c r="Y170" i="7" s="1"/>
  <c r="AA170" i="7" s="1"/>
  <c r="AG170" i="2"/>
  <c r="AJ170" i="2"/>
  <c r="S170" i="2"/>
  <c r="E170" i="2"/>
  <c r="F170" i="2"/>
  <c r="H170" i="2"/>
  <c r="O170" i="7" s="1"/>
  <c r="L170" i="2"/>
  <c r="X19" i="5"/>
  <c r="M19" i="5"/>
  <c r="X18" i="5"/>
  <c r="M18" i="5"/>
  <c r="F160" i="7" l="1"/>
  <c r="G160" i="7" s="1"/>
  <c r="K160" i="7" s="1"/>
  <c r="F170" i="7"/>
  <c r="G170" i="7" s="1"/>
  <c r="K170" i="7" s="1"/>
  <c r="C194" i="7"/>
  <c r="AH194" i="7"/>
  <c r="F161" i="7"/>
  <c r="G161" i="7" s="1"/>
  <c r="K161" i="7" s="1"/>
  <c r="F171" i="7"/>
  <c r="G171" i="7" s="1"/>
  <c r="K171" i="7" s="1"/>
  <c r="F163" i="7"/>
  <c r="G163" i="7" s="1"/>
  <c r="K163" i="7" s="1"/>
  <c r="F172" i="7"/>
  <c r="G172" i="7" s="1"/>
  <c r="K172" i="7" s="1"/>
  <c r="F192" i="7"/>
  <c r="G192" i="7" s="1"/>
  <c r="K192" i="7" s="1"/>
  <c r="AH170" i="7"/>
  <c r="C170" i="7"/>
  <c r="F162" i="7"/>
  <c r="G162" i="7" s="1"/>
  <c r="K162" i="7" s="1"/>
  <c r="F142" i="7"/>
  <c r="G142" i="7" s="1"/>
  <c r="K142" i="7" s="1"/>
  <c r="AH171" i="7"/>
  <c r="C171" i="7"/>
  <c r="AH192" i="7"/>
  <c r="C192" i="7"/>
  <c r="AH172" i="7"/>
  <c r="C172" i="7"/>
  <c r="F165" i="7"/>
  <c r="G165" i="7" s="1"/>
  <c r="K165" i="7" s="1"/>
  <c r="F194" i="7"/>
  <c r="G194" i="7" s="1"/>
  <c r="K194" i="7" s="1"/>
  <c r="CQ172" i="2"/>
  <c r="CQ194" i="2"/>
  <c r="CQ142" i="2"/>
  <c r="CQ192" i="2"/>
  <c r="T194" i="2"/>
  <c r="CQ170" i="2"/>
  <c r="CQ171" i="2"/>
  <c r="L132" i="2"/>
  <c r="FT159" i="2" l="1"/>
  <c r="FS159" i="2"/>
  <c r="FM159" i="2"/>
  <c r="FL159" i="2"/>
  <c r="FD166" i="2"/>
  <c r="EX166" i="2"/>
  <c r="EV166" i="2"/>
  <c r="B166" i="7" s="1"/>
  <c r="EN166" i="2"/>
  <c r="EA166" i="2"/>
  <c r="DS166" i="2"/>
  <c r="DR166" i="2"/>
  <c r="DQ166" i="2"/>
  <c r="DP166" i="2"/>
  <c r="DO166" i="2"/>
  <c r="DN166" i="2"/>
  <c r="DT166" i="2" s="1"/>
  <c r="DK166" i="2"/>
  <c r="DJ166" i="2"/>
  <c r="DI166" i="2"/>
  <c r="DH166" i="2"/>
  <c r="DG166" i="2"/>
  <c r="DF166" i="2"/>
  <c r="DE166" i="2"/>
  <c r="DC166" i="2"/>
  <c r="DA166" i="2"/>
  <c r="CY166" i="2"/>
  <c r="CX166" i="2"/>
  <c r="CW166" i="2"/>
  <c r="CV166" i="2"/>
  <c r="CU166" i="2"/>
  <c r="CP166" i="2"/>
  <c r="S166" i="2" s="1"/>
  <c r="CK166" i="2"/>
  <c r="R166" i="2" s="1"/>
  <c r="CE166" i="2"/>
  <c r="P166" i="2" s="1"/>
  <c r="BX166" i="2"/>
  <c r="AZ166" i="2"/>
  <c r="T166" i="7" s="1"/>
  <c r="Y166" i="7" s="1"/>
  <c r="AA166" i="7" s="1"/>
  <c r="AJ166" i="2"/>
  <c r="AG166" i="2"/>
  <c r="L166" i="2"/>
  <c r="H166" i="2"/>
  <c r="O166" i="7" s="1"/>
  <c r="F166" i="2"/>
  <c r="E166" i="2"/>
  <c r="DA140" i="2"/>
  <c r="DC140" i="2"/>
  <c r="DE140" i="2"/>
  <c r="DF140" i="2"/>
  <c r="DG140" i="2"/>
  <c r="DH140" i="2"/>
  <c r="DI140" i="2"/>
  <c r="DJ140" i="2"/>
  <c r="DK140" i="2"/>
  <c r="DN140" i="2"/>
  <c r="DT140" i="2" s="1"/>
  <c r="DO140" i="2"/>
  <c r="DP140" i="2"/>
  <c r="DQ140" i="2"/>
  <c r="DR140" i="2"/>
  <c r="DS140" i="2"/>
  <c r="EA140" i="2"/>
  <c r="EN140" i="2"/>
  <c r="EV140" i="2"/>
  <c r="EX140" i="2"/>
  <c r="FD140" i="2"/>
  <c r="FL158" i="2"/>
  <c r="FM158" i="2"/>
  <c r="FS158" i="2"/>
  <c r="FT158" i="2"/>
  <c r="CU140" i="2"/>
  <c r="CV140" i="2"/>
  <c r="CW140" i="2"/>
  <c r="CX140" i="2"/>
  <c r="CY140" i="2"/>
  <c r="CP140" i="2"/>
  <c r="S140" i="2" s="1"/>
  <c r="CK140" i="2"/>
  <c r="R140" i="2" s="1"/>
  <c r="CE140" i="2"/>
  <c r="P140" i="2" s="1"/>
  <c r="BX140" i="2"/>
  <c r="AZ140" i="2"/>
  <c r="AG140" i="2"/>
  <c r="AJ140" i="2"/>
  <c r="E140" i="2"/>
  <c r="F140" i="2"/>
  <c r="H140" i="2"/>
  <c r="L140" i="2"/>
  <c r="E141" i="2"/>
  <c r="CE164" i="2"/>
  <c r="EV164" i="2"/>
  <c r="B164" i="7" s="1"/>
  <c r="FS154" i="2"/>
  <c r="FT154" i="2"/>
  <c r="FS155" i="2"/>
  <c r="FT155" i="2"/>
  <c r="FS156" i="2"/>
  <c r="FT156" i="2"/>
  <c r="FS157" i="2"/>
  <c r="FT157" i="2"/>
  <c r="FS140" i="2"/>
  <c r="FT140" i="2"/>
  <c r="FS141" i="2"/>
  <c r="FT141" i="2"/>
  <c r="FS138" i="2"/>
  <c r="FT138" i="2"/>
  <c r="FS134" i="2"/>
  <c r="FT134" i="2"/>
  <c r="FS124" i="2"/>
  <c r="FT124" i="2"/>
  <c r="FS125" i="2"/>
  <c r="FT125" i="2"/>
  <c r="FS116" i="2"/>
  <c r="FT116" i="2"/>
  <c r="FL104" i="2"/>
  <c r="FM104" i="2"/>
  <c r="FS104" i="2"/>
  <c r="FT104" i="2"/>
  <c r="FL105" i="2"/>
  <c r="FM105" i="2"/>
  <c r="FS105" i="2"/>
  <c r="FT105" i="2"/>
  <c r="FL106" i="2"/>
  <c r="FM106" i="2"/>
  <c r="FS106" i="2"/>
  <c r="FT106" i="2"/>
  <c r="FL107" i="2"/>
  <c r="FM107" i="2"/>
  <c r="FS107" i="2"/>
  <c r="FT107" i="2"/>
  <c r="FL108" i="2"/>
  <c r="FM108" i="2"/>
  <c r="FS108" i="2"/>
  <c r="FT108" i="2"/>
  <c r="FT110" i="2"/>
  <c r="FS110" i="2"/>
  <c r="FM110" i="2"/>
  <c r="FL110" i="2"/>
  <c r="FD110" i="2"/>
  <c r="EX110" i="2"/>
  <c r="EV110" i="2"/>
  <c r="EN110" i="2"/>
  <c r="EA110" i="2"/>
  <c r="DS110" i="2"/>
  <c r="DR110" i="2"/>
  <c r="DQ110" i="2"/>
  <c r="DP110" i="2"/>
  <c r="DO110" i="2"/>
  <c r="DN110" i="2"/>
  <c r="DT110" i="2" s="1"/>
  <c r="DK110" i="2"/>
  <c r="DJ110" i="2"/>
  <c r="DI110" i="2"/>
  <c r="DH110" i="2"/>
  <c r="DG110" i="2"/>
  <c r="DF110" i="2"/>
  <c r="DE110" i="2"/>
  <c r="DC110" i="2"/>
  <c r="DA110" i="2"/>
  <c r="CY110" i="2"/>
  <c r="CX110" i="2"/>
  <c r="CW110" i="2"/>
  <c r="CV110" i="2"/>
  <c r="CU110" i="2"/>
  <c r="CQ110" i="2"/>
  <c r="CP110" i="2"/>
  <c r="CK110" i="2"/>
  <c r="CE110" i="2"/>
  <c r="P110" i="2" s="1"/>
  <c r="AJ110" i="2"/>
  <c r="AG110" i="2"/>
  <c r="L110" i="2"/>
  <c r="H110" i="2"/>
  <c r="F110" i="2"/>
  <c r="E110" i="2"/>
  <c r="DC8" i="6"/>
  <c r="DE8" i="6"/>
  <c r="DF8" i="6"/>
  <c r="DG8" i="6"/>
  <c r="DH8" i="6"/>
  <c r="DI8" i="6"/>
  <c r="DJ8" i="6"/>
  <c r="DK8" i="6"/>
  <c r="DN8" i="6"/>
  <c r="DO8" i="6"/>
  <c r="DP8" i="6"/>
  <c r="DQ8" i="6"/>
  <c r="DR8" i="6"/>
  <c r="DS8" i="6"/>
  <c r="DT8" i="6"/>
  <c r="EA8" i="6"/>
  <c r="EP8" i="6"/>
  <c r="EW8" i="6"/>
  <c r="EY8" i="6"/>
  <c r="FE8" i="6"/>
  <c r="FI8" i="6"/>
  <c r="FJ8" i="6"/>
  <c r="FP8" i="6"/>
  <c r="FQ8" i="6"/>
  <c r="DA8" i="6"/>
  <c r="CU8" i="6"/>
  <c r="CV8" i="6"/>
  <c r="CW8" i="6"/>
  <c r="CX8" i="6"/>
  <c r="CY8" i="6"/>
  <c r="CP8" i="6"/>
  <c r="CQ8" i="6"/>
  <c r="CK8" i="6"/>
  <c r="CE8" i="6"/>
  <c r="AG8" i="6"/>
  <c r="AD8" i="6"/>
  <c r="O8" i="6"/>
  <c r="P8" i="6"/>
  <c r="A8" i="6"/>
  <c r="E8" i="6"/>
  <c r="F8" i="6"/>
  <c r="Q8" i="6" s="1"/>
  <c r="G8" i="6"/>
  <c r="J8" i="6"/>
  <c r="K8" i="6"/>
  <c r="L8" i="6"/>
  <c r="M8" i="6"/>
  <c r="DL1" i="6"/>
  <c r="DQ1" i="6"/>
  <c r="DR1" i="6"/>
  <c r="EA1" i="6"/>
  <c r="T2" i="6"/>
  <c r="L26" i="2"/>
  <c r="C166" i="7" l="1"/>
  <c r="AH166" i="7"/>
  <c r="B110" i="7"/>
  <c r="O110" i="7"/>
  <c r="C110" i="7"/>
  <c r="AH110" i="7"/>
  <c r="T110" i="2"/>
  <c r="S110" i="2"/>
  <c r="R110" i="2"/>
  <c r="CQ166" i="2"/>
  <c r="T166" i="2"/>
  <c r="CQ140" i="2"/>
  <c r="CK164" i="2"/>
  <c r="R164" i="2" s="1"/>
  <c r="P164" i="2"/>
  <c r="BU164" i="2"/>
  <c r="AZ164" i="2"/>
  <c r="T164" i="7" s="1"/>
  <c r="Y164" i="7" s="1"/>
  <c r="AA164" i="7" s="1"/>
  <c r="AG164" i="2"/>
  <c r="AJ164" i="2"/>
  <c r="S164" i="2"/>
  <c r="E164" i="2"/>
  <c r="F164" i="2"/>
  <c r="H164" i="2"/>
  <c r="O164" i="7" s="1"/>
  <c r="L164" i="2"/>
  <c r="C164" i="7" l="1"/>
  <c r="AH164" i="7"/>
  <c r="F157" i="7"/>
  <c r="G157" i="7" s="1"/>
  <c r="K157" i="7" s="1"/>
  <c r="F164" i="7"/>
  <c r="G164" i="7" s="1"/>
  <c r="K164" i="7" s="1"/>
  <c r="CQ164" i="2"/>
  <c r="EV121" i="2"/>
  <c r="EV158" i="2"/>
  <c r="EV134" i="2"/>
  <c r="EV93" i="2"/>
  <c r="EV96" i="2"/>
  <c r="EV116" i="2"/>
  <c r="B116" i="7" s="1"/>
  <c r="EV105" i="2"/>
  <c r="EV106" i="2"/>
  <c r="EV107" i="2"/>
  <c r="EV108" i="2"/>
  <c r="EV104" i="2"/>
  <c r="B104" i="7" s="1"/>
  <c r="EV141" i="2"/>
  <c r="EV119" i="2"/>
  <c r="EV120" i="2"/>
  <c r="EV139" i="2"/>
  <c r="EV138" i="2"/>
  <c r="EV165" i="2"/>
  <c r="EN139" i="2"/>
  <c r="EN138" i="2"/>
  <c r="EN165" i="2"/>
  <c r="CK139" i="2"/>
  <c r="CK165" i="2"/>
  <c r="R165" i="2" s="1"/>
  <c r="CE139" i="2"/>
  <c r="P165" i="2"/>
  <c r="BX139" i="2"/>
  <c r="BX138" i="2"/>
  <c r="BX165" i="2"/>
  <c r="S165" i="2"/>
  <c r="FS147" i="2"/>
  <c r="B158" i="7" l="1"/>
  <c r="B165" i="7"/>
  <c r="B107" i="7"/>
  <c r="B141" i="7"/>
  <c r="B105" i="7"/>
  <c r="B106" i="7"/>
  <c r="B140" i="7"/>
  <c r="B134" i="7"/>
  <c r="B108" i="7"/>
  <c r="CP121" i="2"/>
  <c r="S121" i="2" s="1"/>
  <c r="CK121" i="2"/>
  <c r="R121" i="2" s="1"/>
  <c r="CE121" i="2"/>
  <c r="P121" i="2" s="1"/>
  <c r="BX121" i="2"/>
  <c r="AZ121" i="2"/>
  <c r="AG121" i="2"/>
  <c r="AJ121" i="2"/>
  <c r="E121" i="2"/>
  <c r="F121" i="2"/>
  <c r="H121" i="2"/>
  <c r="L121" i="2"/>
  <c r="CK120" i="2"/>
  <c r="R120" i="2" s="1"/>
  <c r="CP120" i="2"/>
  <c r="S120" i="2" s="1"/>
  <c r="CE120" i="2"/>
  <c r="P120" i="2" s="1"/>
  <c r="BX120" i="2"/>
  <c r="AZ120" i="2"/>
  <c r="AJ120" i="2"/>
  <c r="AG120" i="2"/>
  <c r="E120" i="2"/>
  <c r="F120" i="2"/>
  <c r="H120" i="2"/>
  <c r="L120" i="2"/>
  <c r="CK119" i="2"/>
  <c r="R119" i="2" s="1"/>
  <c r="CP119" i="2"/>
  <c r="S119" i="2" s="1"/>
  <c r="CE119" i="2"/>
  <c r="P119" i="2" s="1"/>
  <c r="BX119" i="2"/>
  <c r="AZ119" i="2"/>
  <c r="AJ119" i="2"/>
  <c r="AG119" i="2"/>
  <c r="E119" i="2"/>
  <c r="F119" i="2"/>
  <c r="H119" i="2"/>
  <c r="L119" i="2"/>
  <c r="L116" i="2"/>
  <c r="CP105" i="2"/>
  <c r="L57" i="2"/>
  <c r="L54" i="2"/>
  <c r="CE11" i="2"/>
  <c r="CQ119" i="2" l="1"/>
  <c r="CQ121" i="2"/>
  <c r="CQ120" i="2"/>
  <c r="DA141" i="2"/>
  <c r="DC141" i="2"/>
  <c r="DE141" i="2"/>
  <c r="DF141" i="2"/>
  <c r="DG141" i="2"/>
  <c r="DH141" i="2"/>
  <c r="DI141" i="2"/>
  <c r="DJ141" i="2"/>
  <c r="DK141" i="2"/>
  <c r="DN141" i="2"/>
  <c r="DT141" i="2" s="1"/>
  <c r="DO141" i="2"/>
  <c r="DP141" i="2"/>
  <c r="DQ141" i="2"/>
  <c r="DR141" i="2"/>
  <c r="DS141" i="2"/>
  <c r="EA141" i="2"/>
  <c r="EN141" i="2"/>
  <c r="EX141" i="2"/>
  <c r="FD141" i="2"/>
  <c r="FL153" i="2"/>
  <c r="FM153" i="2"/>
  <c r="FS153" i="2"/>
  <c r="FT153" i="2"/>
  <c r="CU141" i="2"/>
  <c r="CV141" i="2"/>
  <c r="CW141" i="2"/>
  <c r="CX141" i="2"/>
  <c r="CY141" i="2"/>
  <c r="CP141" i="2"/>
  <c r="S141" i="2" s="1"/>
  <c r="CK141" i="2"/>
  <c r="R141" i="2" s="1"/>
  <c r="CE141" i="2"/>
  <c r="P141" i="2" s="1"/>
  <c r="BX141" i="2"/>
  <c r="AZ141" i="2"/>
  <c r="AG141" i="2"/>
  <c r="AJ141" i="2"/>
  <c r="F141" i="2"/>
  <c r="H141" i="2"/>
  <c r="L141" i="2"/>
  <c r="DC163" i="2"/>
  <c r="DE163" i="2"/>
  <c r="DF163" i="2"/>
  <c r="DG163" i="2"/>
  <c r="DH163" i="2"/>
  <c r="DI163" i="2"/>
  <c r="DJ163" i="2"/>
  <c r="DK163" i="2"/>
  <c r="DN163" i="2"/>
  <c r="DT163" i="2" s="1"/>
  <c r="DO163" i="2"/>
  <c r="DP163" i="2"/>
  <c r="DQ163" i="2"/>
  <c r="DR163" i="2"/>
  <c r="DS163" i="2"/>
  <c r="EA163" i="2"/>
  <c r="EN163" i="2"/>
  <c r="EV163" i="2"/>
  <c r="B163" i="7" s="1"/>
  <c r="EX163" i="2"/>
  <c r="FD163" i="2"/>
  <c r="FL152" i="2"/>
  <c r="FM152" i="2"/>
  <c r="FS152" i="2"/>
  <c r="FT152" i="2"/>
  <c r="DA163" i="2"/>
  <c r="CU163" i="2"/>
  <c r="CV163" i="2"/>
  <c r="CW163" i="2"/>
  <c r="CX163" i="2"/>
  <c r="CY163" i="2"/>
  <c r="CP163" i="2"/>
  <c r="S163" i="2" s="1"/>
  <c r="CK163" i="2"/>
  <c r="R163" i="2" s="1"/>
  <c r="CE163" i="2"/>
  <c r="P163" i="2" s="1"/>
  <c r="BX163" i="2"/>
  <c r="AZ163" i="2"/>
  <c r="T163" i="7" s="1"/>
  <c r="Y163" i="7" s="1"/>
  <c r="AA163" i="7" s="1"/>
  <c r="AG163" i="2"/>
  <c r="AJ163" i="2"/>
  <c r="E163" i="2"/>
  <c r="F163" i="2"/>
  <c r="H163" i="2"/>
  <c r="O163" i="7" s="1"/>
  <c r="L163" i="2"/>
  <c r="DC162" i="2"/>
  <c r="DE162" i="2"/>
  <c r="DF162" i="2"/>
  <c r="DG162" i="2"/>
  <c r="DH162" i="2"/>
  <c r="DI162" i="2"/>
  <c r="DJ162" i="2"/>
  <c r="DK162" i="2"/>
  <c r="DN162" i="2"/>
  <c r="DT162" i="2" s="1"/>
  <c r="DO162" i="2"/>
  <c r="DP162" i="2"/>
  <c r="DQ162" i="2"/>
  <c r="DR162" i="2"/>
  <c r="DS162" i="2"/>
  <c r="EA162" i="2"/>
  <c r="EN162" i="2"/>
  <c r="EV162" i="2"/>
  <c r="B162" i="7" s="1"/>
  <c r="EX162" i="2"/>
  <c r="FD162" i="2"/>
  <c r="FL151" i="2"/>
  <c r="FM151" i="2"/>
  <c r="FS151" i="2"/>
  <c r="FT151" i="2"/>
  <c r="DA162" i="2"/>
  <c r="CU162" i="2"/>
  <c r="CV162" i="2"/>
  <c r="CW162" i="2"/>
  <c r="CX162" i="2"/>
  <c r="CY162" i="2"/>
  <c r="CP162" i="2"/>
  <c r="S162" i="2" s="1"/>
  <c r="CK162" i="2"/>
  <c r="R162" i="2" s="1"/>
  <c r="CE162" i="2"/>
  <c r="P162" i="2" s="1"/>
  <c r="BX162" i="2"/>
  <c r="AZ162" i="2"/>
  <c r="T162" i="7" s="1"/>
  <c r="Y162" i="7" s="1"/>
  <c r="AA162" i="7" s="1"/>
  <c r="AG162" i="2"/>
  <c r="AJ162" i="2"/>
  <c r="E162" i="2"/>
  <c r="F162" i="2"/>
  <c r="H162" i="2"/>
  <c r="O162" i="7" s="1"/>
  <c r="L162" i="2"/>
  <c r="CP161" i="2"/>
  <c r="S161" i="2" s="1"/>
  <c r="CU161" i="2"/>
  <c r="CV161" i="2"/>
  <c r="CW161" i="2"/>
  <c r="CX161" i="2"/>
  <c r="CY161" i="2"/>
  <c r="DA161" i="2"/>
  <c r="DC161" i="2"/>
  <c r="DE161" i="2"/>
  <c r="DF161" i="2"/>
  <c r="DG161" i="2"/>
  <c r="DH161" i="2"/>
  <c r="DI161" i="2"/>
  <c r="DJ161" i="2"/>
  <c r="DK161" i="2"/>
  <c r="DN161" i="2"/>
  <c r="DT161" i="2" s="1"/>
  <c r="DO161" i="2"/>
  <c r="DP161" i="2"/>
  <c r="DQ161" i="2"/>
  <c r="DR161" i="2"/>
  <c r="DS161" i="2"/>
  <c r="EA161" i="2"/>
  <c r="EN161" i="2"/>
  <c r="EV161" i="2"/>
  <c r="B161" i="7" s="1"/>
  <c r="EX161" i="2"/>
  <c r="FD161" i="2"/>
  <c r="FL150" i="2"/>
  <c r="FM150" i="2"/>
  <c r="FS150" i="2"/>
  <c r="FT150" i="2"/>
  <c r="CK161" i="2"/>
  <c r="R161" i="2" s="1"/>
  <c r="CE161" i="2"/>
  <c r="P161" i="2" s="1"/>
  <c r="BX161" i="2"/>
  <c r="AZ161" i="2"/>
  <c r="T161" i="7" s="1"/>
  <c r="Y161" i="7" s="1"/>
  <c r="AA161" i="7" s="1"/>
  <c r="AG161" i="2"/>
  <c r="AJ161" i="2"/>
  <c r="E161" i="2"/>
  <c r="F161" i="2"/>
  <c r="H161" i="2"/>
  <c r="O161" i="7" s="1"/>
  <c r="L161" i="2"/>
  <c r="AH163" i="7" l="1"/>
  <c r="C163" i="7"/>
  <c r="AH161" i="7"/>
  <c r="C161" i="7"/>
  <c r="C162" i="7"/>
  <c r="AH162" i="7"/>
  <c r="CQ163" i="2"/>
  <c r="T162" i="2"/>
  <c r="CQ162" i="2"/>
  <c r="T141" i="2"/>
  <c r="T161" i="2"/>
  <c r="CQ141" i="2"/>
  <c r="CQ161" i="2"/>
  <c r="T163" i="2"/>
  <c r="E60" i="2"/>
  <c r="E130" i="2"/>
  <c r="E6" i="2"/>
  <c r="E7" i="2"/>
  <c r="E8" i="2"/>
  <c r="E9" i="2"/>
  <c r="E102" i="2"/>
  <c r="E29" i="2"/>
  <c r="E65" i="2"/>
  <c r="E112" i="2"/>
  <c r="E73" i="2"/>
  <c r="E30" i="2"/>
  <c r="E40" i="2"/>
  <c r="E17" i="2"/>
  <c r="E18" i="2"/>
  <c r="E98" i="2"/>
  <c r="E181" i="2"/>
  <c r="E13" i="2"/>
  <c r="E128" i="2"/>
  <c r="E21" i="2"/>
  <c r="E146" i="2"/>
  <c r="E23" i="2"/>
  <c r="E11" i="2"/>
  <c r="E79" i="2"/>
  <c r="E182" i="2"/>
  <c r="E24" i="2"/>
  <c r="E77" i="2"/>
  <c r="E25" i="2"/>
  <c r="E66" i="2"/>
  <c r="E114" i="2"/>
  <c r="E31" i="2"/>
  <c r="E33" i="2"/>
  <c r="E183" i="2"/>
  <c r="E193" i="2"/>
  <c r="E46" i="2"/>
  <c r="E99" i="2"/>
  <c r="E34" i="2"/>
  <c r="E147" i="2"/>
  <c r="E35" i="2"/>
  <c r="E41" i="2"/>
  <c r="E148" i="2"/>
  <c r="E129" i="2"/>
  <c r="E16" i="2"/>
  <c r="E42" i="2"/>
  <c r="E49" i="2"/>
  <c r="E67" i="2"/>
  <c r="E43" i="2"/>
  <c r="E113" i="2"/>
  <c r="E44" i="2"/>
  <c r="E45" i="2"/>
  <c r="E180" i="2"/>
  <c r="E56" i="2"/>
  <c r="E48" i="2"/>
  <c r="E4" i="2"/>
  <c r="E15" i="2"/>
  <c r="E74" i="2"/>
  <c r="E84" i="2"/>
  <c r="E20" i="2"/>
  <c r="E28" i="2"/>
  <c r="E64" i="2"/>
  <c r="E47" i="2"/>
  <c r="E12" i="2"/>
  <c r="E50" i="2"/>
  <c r="E58" i="2"/>
  <c r="E14" i="2"/>
  <c r="E22" i="2"/>
  <c r="E71" i="2"/>
  <c r="E85" i="2"/>
  <c r="E68" i="2"/>
  <c r="E69" i="2"/>
  <c r="E70" i="2"/>
  <c r="E5" i="2"/>
  <c r="E32" i="2"/>
  <c r="E39" i="2"/>
  <c r="E10" i="2"/>
  <c r="E53" i="2"/>
  <c r="E167" i="2"/>
  <c r="E54" i="2"/>
  <c r="E57" i="2"/>
  <c r="E27" i="2"/>
  <c r="E76" i="2"/>
  <c r="E3" i="2"/>
  <c r="E61" i="2"/>
  <c r="E78" i="2"/>
  <c r="E80" i="2"/>
  <c r="E90" i="2"/>
  <c r="E91" i="2"/>
  <c r="E92" i="2"/>
  <c r="E82" i="2"/>
  <c r="E26" i="2"/>
  <c r="E95" i="2"/>
  <c r="E83" i="2"/>
  <c r="E97" i="2"/>
  <c r="E19" i="2"/>
  <c r="E72" i="2"/>
  <c r="E87" i="2"/>
  <c r="E89" i="2"/>
  <c r="E75" i="2"/>
  <c r="E103" i="2"/>
  <c r="E104" i="2"/>
  <c r="E105" i="2"/>
  <c r="E106" i="2"/>
  <c r="E107" i="2"/>
  <c r="E108" i="2"/>
  <c r="E109" i="2"/>
  <c r="E51" i="2"/>
  <c r="E111" i="2"/>
  <c r="E36" i="2"/>
  <c r="E123" i="2"/>
  <c r="E124" i="2"/>
  <c r="E116" i="2"/>
  <c r="E149" i="2"/>
  <c r="E150" i="2"/>
  <c r="E115" i="2"/>
  <c r="E125" i="2"/>
  <c r="E117" i="2"/>
  <c r="E151" i="2"/>
  <c r="E152" i="2"/>
  <c r="E93" i="2"/>
  <c r="E96" i="2"/>
  <c r="E126" i="2"/>
  <c r="E127" i="2"/>
  <c r="E86" i="2"/>
  <c r="E88" i="2"/>
  <c r="E94" i="2"/>
  <c r="E131" i="2"/>
  <c r="E133" i="2"/>
  <c r="E132" i="2"/>
  <c r="E134" i="2"/>
  <c r="E135" i="2"/>
  <c r="E136" i="2"/>
  <c r="E118" i="2"/>
  <c r="E165" i="2"/>
  <c r="E137" i="2"/>
  <c r="E139" i="2"/>
  <c r="E138" i="2"/>
  <c r="E153" i="2"/>
  <c r="E154" i="2"/>
  <c r="E155" i="2"/>
  <c r="E156" i="2"/>
  <c r="E157" i="2"/>
  <c r="E158" i="2"/>
  <c r="E159" i="2"/>
  <c r="E160" i="2"/>
  <c r="E59" i="2"/>
  <c r="CK138" i="2"/>
  <c r="R138" i="2" s="1"/>
  <c r="CK137" i="2"/>
  <c r="R137" i="2" s="1"/>
  <c r="R139" i="2"/>
  <c r="CK134" i="2"/>
  <c r="CE138" i="2"/>
  <c r="P138" i="2" s="1"/>
  <c r="CE137" i="2"/>
  <c r="P137" i="2" s="1"/>
  <c r="P139" i="2"/>
  <c r="CE134" i="2"/>
  <c r="P134" i="2" s="1"/>
  <c r="CE93" i="2"/>
  <c r="CE96" i="2"/>
  <c r="CE107" i="2"/>
  <c r="CE104" i="2"/>
  <c r="CP93" i="2"/>
  <c r="CP96" i="2"/>
  <c r="CP107" i="2"/>
  <c r="CP104" i="2"/>
  <c r="CK93" i="2"/>
  <c r="CK96" i="2"/>
  <c r="CK107" i="2"/>
  <c r="CK104" i="2"/>
  <c r="BX93" i="2"/>
  <c r="BX96" i="2"/>
  <c r="BX107" i="2"/>
  <c r="BX104" i="2"/>
  <c r="AJ93" i="2"/>
  <c r="AJ107" i="2"/>
  <c r="AJ104" i="2"/>
  <c r="AZ93" i="2"/>
  <c r="AZ96" i="2"/>
  <c r="AZ107" i="2"/>
  <c r="AZ104" i="2"/>
  <c r="CQ105" i="2"/>
  <c r="CQ106" i="2"/>
  <c r="CK105" i="2"/>
  <c r="CK106" i="2"/>
  <c r="BX105" i="2"/>
  <c r="BX106" i="2"/>
  <c r="CE105" i="2"/>
  <c r="CE106" i="2"/>
  <c r="T107" i="7" l="1"/>
  <c r="Y107" i="7" s="1"/>
  <c r="AA107" i="7" s="1"/>
  <c r="T104" i="7"/>
  <c r="Y104" i="7" s="1"/>
  <c r="AA104" i="7" s="1"/>
  <c r="R134" i="2"/>
  <c r="CQ104" i="2"/>
  <c r="CQ107" i="2"/>
  <c r="CQ96" i="2"/>
  <c r="CQ93" i="2"/>
  <c r="DA160" i="2"/>
  <c r="DC160" i="2"/>
  <c r="DE160" i="2"/>
  <c r="DF160" i="2"/>
  <c r="DG160" i="2"/>
  <c r="DH160" i="2"/>
  <c r="DI160" i="2"/>
  <c r="DJ160" i="2"/>
  <c r="DK160" i="2"/>
  <c r="DN160" i="2"/>
  <c r="DT160" i="2" s="1"/>
  <c r="DO160" i="2"/>
  <c r="DP160" i="2"/>
  <c r="DQ160" i="2"/>
  <c r="DR160" i="2"/>
  <c r="DS160" i="2"/>
  <c r="EA160" i="2"/>
  <c r="EN160" i="2"/>
  <c r="EV160" i="2"/>
  <c r="B160" i="7" s="1"/>
  <c r="EX160" i="2"/>
  <c r="FD160" i="2"/>
  <c r="FL149" i="2"/>
  <c r="FM149" i="2"/>
  <c r="FS149" i="2"/>
  <c r="FT149" i="2"/>
  <c r="CU160" i="2"/>
  <c r="CV160" i="2"/>
  <c r="CW160" i="2"/>
  <c r="CX160" i="2"/>
  <c r="CY160" i="2"/>
  <c r="CP160" i="2"/>
  <c r="S160" i="2" s="1"/>
  <c r="CK160" i="2"/>
  <c r="R160" i="2" s="1"/>
  <c r="CE160" i="2"/>
  <c r="P160" i="2" s="1"/>
  <c r="BX160" i="2"/>
  <c r="AZ160" i="2"/>
  <c r="T160" i="7" s="1"/>
  <c r="Y160" i="7" s="1"/>
  <c r="AA160" i="7" s="1"/>
  <c r="AG160" i="2"/>
  <c r="AJ160" i="2"/>
  <c r="F160" i="2"/>
  <c r="H160" i="2"/>
  <c r="O160" i="7" s="1"/>
  <c r="L160" i="2"/>
  <c r="CK158" i="2"/>
  <c r="R158" i="2" s="1"/>
  <c r="CE158" i="2"/>
  <c r="P158" i="2" s="1"/>
  <c r="DC159" i="2"/>
  <c r="DE159" i="2"/>
  <c r="DF159" i="2"/>
  <c r="DG159" i="2"/>
  <c r="DH159" i="2"/>
  <c r="DI159" i="2"/>
  <c r="DJ159" i="2"/>
  <c r="DK159" i="2"/>
  <c r="DN159" i="2"/>
  <c r="DT159" i="2" s="1"/>
  <c r="DO159" i="2"/>
  <c r="DP159" i="2"/>
  <c r="DQ159" i="2"/>
  <c r="DR159" i="2"/>
  <c r="DS159" i="2"/>
  <c r="EA159" i="2"/>
  <c r="EN159" i="2"/>
  <c r="EV159" i="2"/>
  <c r="B159" i="7" s="1"/>
  <c r="EX159" i="2"/>
  <c r="FD159" i="2"/>
  <c r="FL148" i="2"/>
  <c r="FM148" i="2"/>
  <c r="FS148" i="2"/>
  <c r="FT148" i="2"/>
  <c r="DA159" i="2"/>
  <c r="CU159" i="2"/>
  <c r="CV159" i="2"/>
  <c r="CW159" i="2"/>
  <c r="CX159" i="2"/>
  <c r="CY159" i="2"/>
  <c r="CP159" i="2"/>
  <c r="S159" i="2" s="1"/>
  <c r="CK159" i="2"/>
  <c r="R159" i="2" s="1"/>
  <c r="CE159" i="2"/>
  <c r="P159" i="2" s="1"/>
  <c r="BX159" i="2"/>
  <c r="AZ159" i="2"/>
  <c r="T159" i="7" s="1"/>
  <c r="Y159" i="7" s="1"/>
  <c r="AA159" i="7" s="1"/>
  <c r="AG159" i="2"/>
  <c r="AJ159" i="2"/>
  <c r="F159" i="2"/>
  <c r="H159" i="2"/>
  <c r="O159" i="7" s="1"/>
  <c r="L159" i="2"/>
  <c r="BU158" i="2"/>
  <c r="AZ158" i="2"/>
  <c r="AG158" i="2"/>
  <c r="AJ158" i="2"/>
  <c r="F158" i="2"/>
  <c r="H158" i="2"/>
  <c r="L158" i="2"/>
  <c r="CQ49" i="2"/>
  <c r="Z49" i="7" s="1"/>
  <c r="DC157" i="2"/>
  <c r="DE157" i="2"/>
  <c r="DF157" i="2"/>
  <c r="DG157" i="2"/>
  <c r="DH157" i="2"/>
  <c r="DI157" i="2"/>
  <c r="DJ157" i="2"/>
  <c r="DK157" i="2"/>
  <c r="DN157" i="2"/>
  <c r="DT157" i="2" s="1"/>
  <c r="DO157" i="2"/>
  <c r="DP157" i="2"/>
  <c r="DQ157" i="2"/>
  <c r="DR157" i="2"/>
  <c r="DS157" i="2"/>
  <c r="EA157" i="2"/>
  <c r="EN157" i="2"/>
  <c r="EV157" i="2"/>
  <c r="B157" i="7" s="1"/>
  <c r="EX157" i="2"/>
  <c r="FD157" i="2"/>
  <c r="FL146" i="2"/>
  <c r="FM146" i="2"/>
  <c r="FS146" i="2"/>
  <c r="FT146" i="2"/>
  <c r="DA157" i="2"/>
  <c r="CU157" i="2"/>
  <c r="CV157" i="2"/>
  <c r="CW157" i="2"/>
  <c r="CX157" i="2"/>
  <c r="CY157" i="2"/>
  <c r="CP157" i="2"/>
  <c r="S157" i="2" s="1"/>
  <c r="CK157" i="2"/>
  <c r="R157" i="2" s="1"/>
  <c r="CE157" i="2"/>
  <c r="P157" i="2" s="1"/>
  <c r="BX157" i="2"/>
  <c r="AZ157" i="2"/>
  <c r="T157" i="7" s="1"/>
  <c r="Y157" i="7" s="1"/>
  <c r="AA157" i="7" s="1"/>
  <c r="AG157" i="2"/>
  <c r="AJ157" i="2"/>
  <c r="F157" i="2"/>
  <c r="H157" i="2"/>
  <c r="O157" i="7" s="1"/>
  <c r="L157" i="2"/>
  <c r="DC156" i="2"/>
  <c r="DE156" i="2"/>
  <c r="DF156" i="2"/>
  <c r="DG156" i="2"/>
  <c r="DH156" i="2"/>
  <c r="DI156" i="2"/>
  <c r="DJ156" i="2"/>
  <c r="DK156" i="2"/>
  <c r="DN156" i="2"/>
  <c r="DT156" i="2" s="1"/>
  <c r="DO156" i="2"/>
  <c r="DP156" i="2"/>
  <c r="DQ156" i="2"/>
  <c r="DR156" i="2"/>
  <c r="DS156" i="2"/>
  <c r="EA156" i="2"/>
  <c r="EN156" i="2"/>
  <c r="EV156" i="2"/>
  <c r="B156" i="7" s="1"/>
  <c r="EX156" i="2"/>
  <c r="FD156" i="2"/>
  <c r="FL145" i="2"/>
  <c r="FM145" i="2"/>
  <c r="FS145" i="2"/>
  <c r="FT145" i="2"/>
  <c r="DA156" i="2"/>
  <c r="CU156" i="2"/>
  <c r="CV156" i="2"/>
  <c r="CW156" i="2"/>
  <c r="CX156" i="2"/>
  <c r="CY156" i="2"/>
  <c r="CP156" i="2"/>
  <c r="S156" i="2" s="1"/>
  <c r="CK156" i="2"/>
  <c r="R156" i="2" s="1"/>
  <c r="CE156" i="2"/>
  <c r="P156" i="2" s="1"/>
  <c r="BX156" i="2"/>
  <c r="AZ156" i="2"/>
  <c r="T156" i="7" s="1"/>
  <c r="Y156" i="7" s="1"/>
  <c r="AA156" i="7" s="1"/>
  <c r="AG156" i="2"/>
  <c r="AJ156" i="2"/>
  <c r="F156" i="2"/>
  <c r="H156" i="2"/>
  <c r="O156" i="7" s="1"/>
  <c r="L156" i="2"/>
  <c r="DC155" i="2"/>
  <c r="DE155" i="2"/>
  <c r="DF155" i="2"/>
  <c r="DG155" i="2"/>
  <c r="DH155" i="2"/>
  <c r="DI155" i="2"/>
  <c r="DJ155" i="2"/>
  <c r="DK155" i="2"/>
  <c r="DN155" i="2"/>
  <c r="DT155" i="2" s="1"/>
  <c r="DO155" i="2"/>
  <c r="DP155" i="2"/>
  <c r="DQ155" i="2"/>
  <c r="DR155" i="2"/>
  <c r="DS155" i="2"/>
  <c r="EA155" i="2"/>
  <c r="EN155" i="2"/>
  <c r="EV155" i="2"/>
  <c r="B155" i="7" s="1"/>
  <c r="EX155" i="2"/>
  <c r="FD155" i="2"/>
  <c r="FL144" i="2"/>
  <c r="FM144" i="2"/>
  <c r="FS144" i="2"/>
  <c r="FT144" i="2"/>
  <c r="DA155" i="2"/>
  <c r="CU155" i="2"/>
  <c r="CV155" i="2"/>
  <c r="CW155" i="2"/>
  <c r="CX155" i="2"/>
  <c r="CY155" i="2"/>
  <c r="CP155" i="2"/>
  <c r="S155" i="2" s="1"/>
  <c r="CK155" i="2"/>
  <c r="R155" i="2" s="1"/>
  <c r="CE155" i="2"/>
  <c r="P155" i="2" s="1"/>
  <c r="BX155" i="2"/>
  <c r="AZ155" i="2"/>
  <c r="T155" i="7" s="1"/>
  <c r="Y155" i="7" s="1"/>
  <c r="AA155" i="7" s="1"/>
  <c r="AG155" i="2"/>
  <c r="AJ155" i="2"/>
  <c r="F155" i="2"/>
  <c r="H155" i="2"/>
  <c r="O155" i="7" s="1"/>
  <c r="L155" i="2"/>
  <c r="DC154" i="2"/>
  <c r="DE154" i="2"/>
  <c r="DF154" i="2"/>
  <c r="DG154" i="2"/>
  <c r="DH154" i="2"/>
  <c r="DI154" i="2"/>
  <c r="DJ154" i="2"/>
  <c r="DK154" i="2"/>
  <c r="DN154" i="2"/>
  <c r="DT154" i="2" s="1"/>
  <c r="DO154" i="2"/>
  <c r="DP154" i="2"/>
  <c r="DQ154" i="2"/>
  <c r="DR154" i="2"/>
  <c r="DS154" i="2"/>
  <c r="EA154" i="2"/>
  <c r="EN154" i="2"/>
  <c r="EV154" i="2"/>
  <c r="B154" i="7" s="1"/>
  <c r="EX154" i="2"/>
  <c r="FD154" i="2"/>
  <c r="FL143" i="2"/>
  <c r="FM143" i="2"/>
  <c r="FS143" i="2"/>
  <c r="FT143" i="2"/>
  <c r="DA154" i="2"/>
  <c r="CU154" i="2"/>
  <c r="CV154" i="2"/>
  <c r="CW154" i="2"/>
  <c r="CX154" i="2"/>
  <c r="CY154" i="2"/>
  <c r="CP154" i="2"/>
  <c r="S154" i="2" s="1"/>
  <c r="CK154" i="2"/>
  <c r="R154" i="2" s="1"/>
  <c r="CE154" i="2"/>
  <c r="P154" i="2" s="1"/>
  <c r="BX154" i="2"/>
  <c r="AZ154" i="2"/>
  <c r="T154" i="7" s="1"/>
  <c r="Y154" i="7" s="1"/>
  <c r="AA154" i="7" s="1"/>
  <c r="AG154" i="2"/>
  <c r="AJ154" i="2"/>
  <c r="F154" i="2"/>
  <c r="H154" i="2"/>
  <c r="O154" i="7" s="1"/>
  <c r="L154" i="2"/>
  <c r="DC153" i="2"/>
  <c r="DE153" i="2"/>
  <c r="DF153" i="2"/>
  <c r="DG153" i="2"/>
  <c r="DH153" i="2"/>
  <c r="DI153" i="2"/>
  <c r="DJ153" i="2"/>
  <c r="DK153" i="2"/>
  <c r="DN153" i="2"/>
  <c r="DT153" i="2" s="1"/>
  <c r="DO153" i="2"/>
  <c r="DP153" i="2"/>
  <c r="DQ153" i="2"/>
  <c r="DR153" i="2"/>
  <c r="DS153" i="2"/>
  <c r="EA153" i="2"/>
  <c r="EN153" i="2"/>
  <c r="EV153" i="2"/>
  <c r="B153" i="7" s="1"/>
  <c r="EX153" i="2"/>
  <c r="FD153" i="2"/>
  <c r="FL142" i="2"/>
  <c r="FM142" i="2"/>
  <c r="FS142" i="2"/>
  <c r="FT142" i="2"/>
  <c r="DA153" i="2"/>
  <c r="CU153" i="2"/>
  <c r="CV153" i="2"/>
  <c r="CW153" i="2"/>
  <c r="CX153" i="2"/>
  <c r="CY153" i="2"/>
  <c r="CP153" i="2"/>
  <c r="S153" i="2" s="1"/>
  <c r="CK153" i="2"/>
  <c r="R153" i="2" s="1"/>
  <c r="CE153" i="2"/>
  <c r="P153" i="2" s="1"/>
  <c r="BX153" i="2"/>
  <c r="AZ153" i="2"/>
  <c r="T153" i="7" s="1"/>
  <c r="Y153" i="7" s="1"/>
  <c r="AA153" i="7" s="1"/>
  <c r="AG153" i="2"/>
  <c r="AJ153" i="2"/>
  <c r="F153" i="2"/>
  <c r="H153" i="2"/>
  <c r="O153" i="7" s="1"/>
  <c r="L153" i="2"/>
  <c r="AZ138" i="2"/>
  <c r="AG138" i="2"/>
  <c r="AJ138" i="2"/>
  <c r="F138" i="2"/>
  <c r="H138" i="2"/>
  <c r="L138" i="2"/>
  <c r="AZ139" i="2"/>
  <c r="AG139" i="2"/>
  <c r="AJ139" i="2"/>
  <c r="F139" i="2"/>
  <c r="H139" i="2"/>
  <c r="L139" i="2"/>
  <c r="DA137" i="2"/>
  <c r="DC137" i="2"/>
  <c r="DE137" i="2"/>
  <c r="DF137" i="2"/>
  <c r="DG137" i="2"/>
  <c r="DH137" i="2"/>
  <c r="DI137" i="2"/>
  <c r="DJ137" i="2"/>
  <c r="DK137" i="2"/>
  <c r="DN137" i="2"/>
  <c r="DT137" i="2" s="1"/>
  <c r="DO137" i="2"/>
  <c r="DP137" i="2"/>
  <c r="DQ137" i="2"/>
  <c r="DR137" i="2"/>
  <c r="DS137" i="2"/>
  <c r="EA137" i="2"/>
  <c r="EN137" i="2"/>
  <c r="EV137" i="2"/>
  <c r="B138" i="7" s="1"/>
  <c r="EX137" i="2"/>
  <c r="FD137" i="2"/>
  <c r="FL139" i="2"/>
  <c r="FM139" i="2"/>
  <c r="FS139" i="2"/>
  <c r="FT139" i="2"/>
  <c r="CU137" i="2"/>
  <c r="CV137" i="2"/>
  <c r="CW137" i="2"/>
  <c r="CX137" i="2"/>
  <c r="CY137" i="2"/>
  <c r="CP137" i="2"/>
  <c r="S137" i="2" s="1"/>
  <c r="BX137" i="2"/>
  <c r="AZ137" i="2"/>
  <c r="AG137" i="2"/>
  <c r="AJ137" i="2"/>
  <c r="F137" i="2"/>
  <c r="H137" i="2"/>
  <c r="L137" i="2"/>
  <c r="AZ165" i="2"/>
  <c r="AG165" i="2"/>
  <c r="AJ165" i="2"/>
  <c r="F165" i="2"/>
  <c r="H165" i="2"/>
  <c r="L165" i="2"/>
  <c r="O158" i="7" l="1"/>
  <c r="O165" i="7"/>
  <c r="AH153" i="7"/>
  <c r="C153" i="7"/>
  <c r="C165" i="7"/>
  <c r="AH165" i="7"/>
  <c r="AH157" i="7"/>
  <c r="C157" i="7"/>
  <c r="C154" i="7"/>
  <c r="AH154" i="7"/>
  <c r="T158" i="7"/>
  <c r="Y158" i="7" s="1"/>
  <c r="AA158" i="7" s="1"/>
  <c r="T165" i="7"/>
  <c r="Y165" i="7" s="1"/>
  <c r="AA165" i="7" s="1"/>
  <c r="C156" i="7"/>
  <c r="AH156" i="7"/>
  <c r="AH160" i="7"/>
  <c r="C160" i="7"/>
  <c r="AH159" i="7"/>
  <c r="C159" i="7"/>
  <c r="C155" i="7"/>
  <c r="AH155" i="7"/>
  <c r="AH158" i="7"/>
  <c r="C158" i="7"/>
  <c r="T140" i="7"/>
  <c r="Y140" i="7" s="1"/>
  <c r="AA140" i="7" s="1"/>
  <c r="T139" i="7"/>
  <c r="Y139" i="7" s="1"/>
  <c r="AA139" i="7" s="1"/>
  <c r="O139" i="7"/>
  <c r="O143" i="7"/>
  <c r="O142" i="7"/>
  <c r="B139" i="7"/>
  <c r="T145" i="7"/>
  <c r="Y145" i="7" s="1"/>
  <c r="AA145" i="7" s="1"/>
  <c r="O141" i="7"/>
  <c r="T144" i="7"/>
  <c r="Y144" i="7" s="1"/>
  <c r="AA144" i="7" s="1"/>
  <c r="B145" i="7"/>
  <c r="T143" i="7"/>
  <c r="Y143" i="7" s="1"/>
  <c r="AA143" i="7" s="1"/>
  <c r="B144" i="7"/>
  <c r="O140" i="7"/>
  <c r="T142" i="7"/>
  <c r="Y142" i="7" s="1"/>
  <c r="AA142" i="7" s="1"/>
  <c r="B143" i="7"/>
  <c r="O149" i="7"/>
  <c r="O138" i="7"/>
  <c r="T138" i="7"/>
  <c r="Y138" i="7" s="1"/>
  <c r="AA138" i="7" s="1"/>
  <c r="B142" i="7"/>
  <c r="O145" i="7"/>
  <c r="T141" i="7"/>
  <c r="Y141" i="7" s="1"/>
  <c r="AA141" i="7" s="1"/>
  <c r="O144" i="7"/>
  <c r="C141" i="7"/>
  <c r="AH141" i="7"/>
  <c r="C144" i="7"/>
  <c r="AH144" i="7"/>
  <c r="C143" i="7"/>
  <c r="AH143" i="7"/>
  <c r="AH138" i="7"/>
  <c r="C138" i="7"/>
  <c r="AH140" i="7"/>
  <c r="C140" i="7"/>
  <c r="AH139" i="7"/>
  <c r="C139" i="7"/>
  <c r="C142" i="7"/>
  <c r="AH142" i="7"/>
  <c r="C145" i="7"/>
  <c r="AH145" i="7"/>
  <c r="FJ139" i="2"/>
  <c r="FH139" i="2"/>
  <c r="CQ137" i="2"/>
  <c r="CQ153" i="2"/>
  <c r="CQ154" i="2"/>
  <c r="CQ157" i="2"/>
  <c r="CQ159" i="2"/>
  <c r="T160" i="2"/>
  <c r="CQ138" i="2"/>
  <c r="T154" i="2"/>
  <c r="T156" i="2"/>
  <c r="CQ155" i="2"/>
  <c r="CQ156" i="2"/>
  <c r="CQ165" i="2"/>
  <c r="CQ160" i="2"/>
  <c r="T153" i="2"/>
  <c r="T155" i="2"/>
  <c r="T157" i="2"/>
  <c r="T158" i="2"/>
  <c r="T159" i="2"/>
  <c r="CQ139" i="2"/>
  <c r="X17" i="5"/>
  <c r="M17" i="5"/>
  <c r="CP118" i="2" l="1"/>
  <c r="CU118" i="2"/>
  <c r="CV118" i="2"/>
  <c r="CW118" i="2"/>
  <c r="CX118" i="2"/>
  <c r="CY118" i="2"/>
  <c r="DA118" i="2"/>
  <c r="DC118" i="2"/>
  <c r="DE118" i="2"/>
  <c r="DF118" i="2"/>
  <c r="DG118" i="2"/>
  <c r="DH118" i="2"/>
  <c r="DI118" i="2"/>
  <c r="DJ118" i="2"/>
  <c r="DK118" i="2"/>
  <c r="DN118" i="2"/>
  <c r="DT118" i="2" s="1"/>
  <c r="DO118" i="2"/>
  <c r="DP118" i="2"/>
  <c r="DQ118" i="2"/>
  <c r="DR118" i="2"/>
  <c r="DS118" i="2"/>
  <c r="EA118" i="2"/>
  <c r="EN118" i="2"/>
  <c r="EV118" i="2"/>
  <c r="EX118" i="2"/>
  <c r="FD118" i="2"/>
  <c r="FL137" i="2"/>
  <c r="FM137" i="2"/>
  <c r="FS137" i="2"/>
  <c r="FT137" i="2"/>
  <c r="CK118" i="2"/>
  <c r="CE118" i="2"/>
  <c r="P118" i="2" s="1"/>
  <c r="BX118" i="2"/>
  <c r="AZ118" i="2"/>
  <c r="AJ118" i="2"/>
  <c r="AG118" i="2"/>
  <c r="F118" i="2"/>
  <c r="H118" i="2"/>
  <c r="L118" i="2"/>
  <c r="CP136" i="2"/>
  <c r="CU136" i="2"/>
  <c r="CV136" i="2"/>
  <c r="CW136" i="2"/>
  <c r="CX136" i="2"/>
  <c r="CY136" i="2"/>
  <c r="DA136" i="2"/>
  <c r="DC136" i="2"/>
  <c r="DE136" i="2"/>
  <c r="DF136" i="2"/>
  <c r="DG136" i="2"/>
  <c r="DH136" i="2"/>
  <c r="DI136" i="2"/>
  <c r="DJ136" i="2"/>
  <c r="DK136" i="2"/>
  <c r="DN136" i="2"/>
  <c r="DT136" i="2" s="1"/>
  <c r="DO136" i="2"/>
  <c r="DP136" i="2"/>
  <c r="DQ136" i="2"/>
  <c r="DR136" i="2"/>
  <c r="DS136" i="2"/>
  <c r="EA136" i="2"/>
  <c r="EN136" i="2"/>
  <c r="EV136" i="2"/>
  <c r="EX136" i="2"/>
  <c r="FD136" i="2"/>
  <c r="FL136" i="2"/>
  <c r="FM136" i="2"/>
  <c r="FS136" i="2"/>
  <c r="FT136" i="2"/>
  <c r="CK136" i="2"/>
  <c r="CE136" i="2"/>
  <c r="P136" i="2" s="1"/>
  <c r="BX136" i="2"/>
  <c r="AZ136" i="2"/>
  <c r="AJ136" i="2"/>
  <c r="AG136" i="2"/>
  <c r="F136" i="2"/>
  <c r="H136" i="2"/>
  <c r="L136" i="2"/>
  <c r="DA135" i="2"/>
  <c r="DC135" i="2"/>
  <c r="DE135" i="2"/>
  <c r="DF135" i="2"/>
  <c r="DG135" i="2"/>
  <c r="DH135" i="2"/>
  <c r="DI135" i="2"/>
  <c r="DJ135" i="2"/>
  <c r="DK135" i="2"/>
  <c r="DN135" i="2"/>
  <c r="DT135" i="2" s="1"/>
  <c r="DO135" i="2"/>
  <c r="DP135" i="2"/>
  <c r="DQ135" i="2"/>
  <c r="DR135" i="2"/>
  <c r="DS135" i="2"/>
  <c r="EA135" i="2"/>
  <c r="EN135" i="2"/>
  <c r="EV135" i="2"/>
  <c r="EX135" i="2"/>
  <c r="FD135" i="2"/>
  <c r="FL135" i="2"/>
  <c r="FM135" i="2"/>
  <c r="FS135" i="2"/>
  <c r="FT135" i="2"/>
  <c r="CU135" i="2"/>
  <c r="CV135" i="2"/>
  <c r="CW135" i="2"/>
  <c r="CX135" i="2"/>
  <c r="CY135" i="2"/>
  <c r="CP135" i="2"/>
  <c r="CK135" i="2"/>
  <c r="CE135" i="2"/>
  <c r="P135" i="2" s="1"/>
  <c r="BX135" i="2"/>
  <c r="AZ135" i="2"/>
  <c r="AG135" i="2"/>
  <c r="AJ135" i="2"/>
  <c r="F135" i="2"/>
  <c r="H135" i="2"/>
  <c r="L135" i="2"/>
  <c r="AZ134" i="2"/>
  <c r="AG134" i="2"/>
  <c r="AJ134" i="2"/>
  <c r="F134" i="2"/>
  <c r="H134" i="2"/>
  <c r="L134" i="2"/>
  <c r="B137" i="7" l="1"/>
  <c r="O137" i="7"/>
  <c r="T134" i="7"/>
  <c r="Y134" i="7" s="1"/>
  <c r="AA134" i="7" s="1"/>
  <c r="B135" i="7"/>
  <c r="O136" i="7"/>
  <c r="O135" i="7"/>
  <c r="B136" i="7"/>
  <c r="O134" i="7"/>
  <c r="T137" i="7"/>
  <c r="Y137" i="7" s="1"/>
  <c r="AA137" i="7" s="1"/>
  <c r="T135" i="7"/>
  <c r="Y135" i="7" s="1"/>
  <c r="AA135" i="7" s="1"/>
  <c r="T136" i="7"/>
  <c r="Y136" i="7" s="1"/>
  <c r="AA136" i="7" s="1"/>
  <c r="AH137" i="7"/>
  <c r="C137" i="7"/>
  <c r="C134" i="7"/>
  <c r="AH134" i="7"/>
  <c r="AH136" i="7"/>
  <c r="C136" i="7"/>
  <c r="AH135" i="7"/>
  <c r="C135" i="7"/>
  <c r="R118" i="2"/>
  <c r="S136" i="2"/>
  <c r="R135" i="2"/>
  <c r="S135" i="2"/>
  <c r="S118" i="2"/>
  <c r="R136" i="2"/>
  <c r="CQ136" i="2"/>
  <c r="CQ118" i="2"/>
  <c r="CQ134" i="2"/>
  <c r="CQ135" i="2"/>
  <c r="FL133" i="2"/>
  <c r="FM133" i="2"/>
  <c r="FS133" i="2"/>
  <c r="FT133" i="2"/>
  <c r="FD132" i="2"/>
  <c r="EX132" i="2"/>
  <c r="EV132" i="2"/>
  <c r="EN132" i="2"/>
  <c r="EA132" i="2"/>
  <c r="CP132" i="2"/>
  <c r="CU132" i="2"/>
  <c r="CV132" i="2"/>
  <c r="CW132" i="2"/>
  <c r="CX132" i="2"/>
  <c r="CY132" i="2"/>
  <c r="DA132" i="2"/>
  <c r="DC132" i="2"/>
  <c r="DE132" i="2"/>
  <c r="DF132" i="2"/>
  <c r="DG132" i="2"/>
  <c r="DH132" i="2"/>
  <c r="DI132" i="2"/>
  <c r="DJ132" i="2"/>
  <c r="DK132" i="2"/>
  <c r="DN132" i="2"/>
  <c r="DT132" i="2" s="1"/>
  <c r="DO132" i="2"/>
  <c r="DP132" i="2"/>
  <c r="DQ132" i="2"/>
  <c r="DR132" i="2"/>
  <c r="DS132" i="2"/>
  <c r="CK132" i="2"/>
  <c r="CE132" i="2"/>
  <c r="P132" i="2" s="1"/>
  <c r="BX132" i="2"/>
  <c r="AZ132" i="2"/>
  <c r="AG132" i="2"/>
  <c r="AJ132" i="2"/>
  <c r="F132" i="2"/>
  <c r="H132" i="2"/>
  <c r="S132" i="2" l="1"/>
  <c r="R132" i="2"/>
  <c r="CQ132" i="2"/>
  <c r="CU91" i="2" l="1"/>
  <c r="CV91" i="2"/>
  <c r="CW91" i="2"/>
  <c r="CX91" i="2"/>
  <c r="CY91" i="2"/>
  <c r="DA91" i="2"/>
  <c r="DC91" i="2"/>
  <c r="DE91" i="2"/>
  <c r="DF91" i="2"/>
  <c r="DG91" i="2"/>
  <c r="DH91" i="2"/>
  <c r="DI91" i="2"/>
  <c r="DJ91" i="2"/>
  <c r="DK91" i="2"/>
  <c r="DN91" i="2"/>
  <c r="DT91" i="2" s="1"/>
  <c r="DO91" i="2"/>
  <c r="DP91" i="2"/>
  <c r="DQ91" i="2"/>
  <c r="DR91" i="2"/>
  <c r="DS91" i="2"/>
  <c r="EA91" i="2"/>
  <c r="EN91" i="2"/>
  <c r="EV91" i="2"/>
  <c r="EX91" i="2"/>
  <c r="FD91" i="2"/>
  <c r="FL91" i="2"/>
  <c r="FM91" i="2"/>
  <c r="FS91" i="2"/>
  <c r="FT91" i="2"/>
  <c r="CP91" i="2"/>
  <c r="CK91" i="2"/>
  <c r="CE91" i="2"/>
  <c r="P91" i="2" s="1"/>
  <c r="BX91" i="2"/>
  <c r="AZ91" i="2"/>
  <c r="BA91" i="2"/>
  <c r="AG91" i="2"/>
  <c r="AJ91" i="2"/>
  <c r="F91" i="2"/>
  <c r="H91" i="2"/>
  <c r="L91" i="2"/>
  <c r="B91" i="7" l="1"/>
  <c r="O91" i="7"/>
  <c r="T91" i="7"/>
  <c r="Y91" i="7" s="1"/>
  <c r="AA91" i="7" s="1"/>
  <c r="AH91" i="7"/>
  <c r="C91" i="7"/>
  <c r="R91" i="2"/>
  <c r="S91" i="2"/>
  <c r="CQ91" i="2"/>
  <c r="DA133" i="2"/>
  <c r="DC133" i="2"/>
  <c r="DE133" i="2"/>
  <c r="DF133" i="2"/>
  <c r="DG133" i="2"/>
  <c r="DH133" i="2"/>
  <c r="DI133" i="2"/>
  <c r="DJ133" i="2"/>
  <c r="DK133" i="2"/>
  <c r="DN133" i="2"/>
  <c r="DT133" i="2" s="1"/>
  <c r="DO133" i="2"/>
  <c r="DP133" i="2"/>
  <c r="DQ133" i="2"/>
  <c r="DR133" i="2"/>
  <c r="DS133" i="2"/>
  <c r="EA133" i="2"/>
  <c r="EN133" i="2"/>
  <c r="EV133" i="2"/>
  <c r="B133" i="7" s="1"/>
  <c r="EX133" i="2"/>
  <c r="FD133" i="2"/>
  <c r="FL132" i="2"/>
  <c r="FM132" i="2"/>
  <c r="FS132" i="2"/>
  <c r="FT132" i="2"/>
  <c r="CU133" i="2"/>
  <c r="CV133" i="2"/>
  <c r="CW133" i="2"/>
  <c r="CX133" i="2"/>
  <c r="CY133" i="2"/>
  <c r="CP133" i="2"/>
  <c r="CK133" i="2"/>
  <c r="CE133" i="2"/>
  <c r="P133" i="2" s="1"/>
  <c r="BX133" i="2"/>
  <c r="AZ133" i="2"/>
  <c r="T133" i="7" s="1"/>
  <c r="Y133" i="7" s="1"/>
  <c r="AA133" i="7" s="1"/>
  <c r="AG133" i="2"/>
  <c r="AJ133" i="2"/>
  <c r="F133" i="2"/>
  <c r="H133" i="2"/>
  <c r="O133" i="7" s="1"/>
  <c r="L133" i="2"/>
  <c r="C133" i="7" l="1"/>
  <c r="AH133" i="7"/>
  <c r="B132" i="7"/>
  <c r="O132" i="7"/>
  <c r="T132" i="7"/>
  <c r="Y132" i="7" s="1"/>
  <c r="AA132" i="7" s="1"/>
  <c r="AH132" i="7"/>
  <c r="C132" i="7"/>
  <c r="R133" i="2"/>
  <c r="S133" i="2"/>
  <c r="CQ133" i="2"/>
  <c r="EJ96" i="2"/>
  <c r="AG96" i="2"/>
  <c r="R96" i="2"/>
  <c r="S96" i="2"/>
  <c r="F96" i="2"/>
  <c r="H96" i="2"/>
  <c r="L96" i="2"/>
  <c r="P96" i="2"/>
  <c r="CP48" i="2" l="1"/>
  <c r="S48" i="2" s="1"/>
  <c r="CU48" i="2"/>
  <c r="CV48" i="2"/>
  <c r="CW48" i="2"/>
  <c r="CX48" i="2"/>
  <c r="CY48" i="2"/>
  <c r="DA48" i="2"/>
  <c r="DC48" i="2"/>
  <c r="DE48" i="2"/>
  <c r="DF48" i="2"/>
  <c r="DG48" i="2"/>
  <c r="DH48" i="2"/>
  <c r="DI48" i="2"/>
  <c r="DJ48" i="2"/>
  <c r="DK48" i="2"/>
  <c r="DN48" i="2"/>
  <c r="DT48" i="2" s="1"/>
  <c r="DO48" i="2"/>
  <c r="DP48" i="2"/>
  <c r="DQ48" i="2"/>
  <c r="DR48" i="2"/>
  <c r="DS48" i="2"/>
  <c r="EA48" i="2"/>
  <c r="EN48" i="2"/>
  <c r="EV48" i="2"/>
  <c r="EX48" i="2"/>
  <c r="FD48" i="2"/>
  <c r="FL57" i="2"/>
  <c r="FM57" i="2"/>
  <c r="FS57" i="2"/>
  <c r="FT57" i="2"/>
  <c r="CK48" i="2"/>
  <c r="R48" i="2" s="1"/>
  <c r="CE48" i="2"/>
  <c r="P48" i="2" s="1"/>
  <c r="BX48" i="2"/>
  <c r="AZ48" i="2"/>
  <c r="AG48" i="2"/>
  <c r="AJ48" i="2"/>
  <c r="F48" i="2"/>
  <c r="H48" i="2"/>
  <c r="L48" i="2"/>
  <c r="CU131" i="2"/>
  <c r="CV131" i="2"/>
  <c r="CW131" i="2"/>
  <c r="CX131" i="2"/>
  <c r="CY131" i="2"/>
  <c r="DA131" i="2"/>
  <c r="DC131" i="2"/>
  <c r="DE131" i="2"/>
  <c r="DF131" i="2"/>
  <c r="DG131" i="2"/>
  <c r="DH131" i="2"/>
  <c r="DI131" i="2"/>
  <c r="DJ131" i="2"/>
  <c r="DK131" i="2"/>
  <c r="DN131" i="2"/>
  <c r="DT131" i="2" s="1"/>
  <c r="DO131" i="2"/>
  <c r="DP131" i="2"/>
  <c r="DQ131" i="2"/>
  <c r="DR131" i="2"/>
  <c r="DS131" i="2"/>
  <c r="EA131" i="2"/>
  <c r="EN131" i="2"/>
  <c r="EV131" i="2"/>
  <c r="EX131" i="2"/>
  <c r="FD131" i="2"/>
  <c r="FL131" i="2"/>
  <c r="FM131" i="2"/>
  <c r="FS131" i="2"/>
  <c r="FT131" i="2"/>
  <c r="CP131" i="2"/>
  <c r="S131" i="2" s="1"/>
  <c r="CK131" i="2"/>
  <c r="CE131" i="2"/>
  <c r="P131" i="2" s="1"/>
  <c r="BX131" i="2"/>
  <c r="AZ131" i="2"/>
  <c r="BA131" i="2"/>
  <c r="AG131" i="2"/>
  <c r="AJ131" i="2"/>
  <c r="F131" i="2"/>
  <c r="H131" i="2"/>
  <c r="L131" i="2"/>
  <c r="CU94" i="2"/>
  <c r="CV94" i="2"/>
  <c r="CW94" i="2"/>
  <c r="CX94" i="2"/>
  <c r="CY94" i="2"/>
  <c r="DA94" i="2"/>
  <c r="DC94" i="2"/>
  <c r="DE94" i="2"/>
  <c r="DF94" i="2"/>
  <c r="DG94" i="2"/>
  <c r="DH94" i="2"/>
  <c r="DI94" i="2"/>
  <c r="DJ94" i="2"/>
  <c r="DK94" i="2"/>
  <c r="DN94" i="2"/>
  <c r="DT94" i="2" s="1"/>
  <c r="DO94" i="2"/>
  <c r="DP94" i="2"/>
  <c r="DQ94" i="2"/>
  <c r="DR94" i="2"/>
  <c r="DS94" i="2"/>
  <c r="EA94" i="2"/>
  <c r="EN94" i="2"/>
  <c r="EV94" i="2"/>
  <c r="EX94" i="2"/>
  <c r="FD94" i="2"/>
  <c r="FL94" i="2"/>
  <c r="FM94" i="2"/>
  <c r="FS94" i="2"/>
  <c r="FT94" i="2"/>
  <c r="CP94" i="2"/>
  <c r="CK94" i="2"/>
  <c r="CE94" i="2"/>
  <c r="P94" i="2" s="1"/>
  <c r="BX94" i="2"/>
  <c r="AZ94" i="2"/>
  <c r="BA94" i="2"/>
  <c r="AG94" i="2"/>
  <c r="AJ94" i="2"/>
  <c r="F94" i="2"/>
  <c r="H94" i="2"/>
  <c r="L94" i="2"/>
  <c r="CU88" i="2"/>
  <c r="CV88" i="2"/>
  <c r="CW88" i="2"/>
  <c r="CX88" i="2"/>
  <c r="CY88" i="2"/>
  <c r="DA88" i="2"/>
  <c r="DC88" i="2"/>
  <c r="DE88" i="2"/>
  <c r="DF88" i="2"/>
  <c r="DG88" i="2"/>
  <c r="DH88" i="2"/>
  <c r="DI88" i="2"/>
  <c r="DJ88" i="2"/>
  <c r="DK88" i="2"/>
  <c r="DN88" i="2"/>
  <c r="DT88" i="2" s="1"/>
  <c r="DO88" i="2"/>
  <c r="DP88" i="2"/>
  <c r="DQ88" i="2"/>
  <c r="DR88" i="2"/>
  <c r="DS88" i="2"/>
  <c r="EA88" i="2"/>
  <c r="EN88" i="2"/>
  <c r="EV88" i="2"/>
  <c r="EX88" i="2"/>
  <c r="FD88" i="2"/>
  <c r="FL88" i="2"/>
  <c r="FM88" i="2"/>
  <c r="FS88" i="2"/>
  <c r="FT88" i="2"/>
  <c r="CP88" i="2"/>
  <c r="CK88" i="2"/>
  <c r="CE88" i="2"/>
  <c r="P88" i="2" s="1"/>
  <c r="BX88" i="2"/>
  <c r="AZ88" i="2"/>
  <c r="BA88" i="2"/>
  <c r="AG88" i="2"/>
  <c r="AJ88" i="2"/>
  <c r="F88" i="2"/>
  <c r="H88" i="2"/>
  <c r="L88" i="2"/>
  <c r="CU86" i="2"/>
  <c r="CV86" i="2"/>
  <c r="CW86" i="2"/>
  <c r="CX86" i="2"/>
  <c r="CY86" i="2"/>
  <c r="DA86" i="2"/>
  <c r="DC86" i="2"/>
  <c r="DE86" i="2"/>
  <c r="DF86" i="2"/>
  <c r="DG86" i="2"/>
  <c r="DH86" i="2"/>
  <c r="DI86" i="2"/>
  <c r="DJ86" i="2"/>
  <c r="DK86" i="2"/>
  <c r="DN86" i="2"/>
  <c r="DT86" i="2" s="1"/>
  <c r="DO86" i="2"/>
  <c r="DP86" i="2"/>
  <c r="DQ86" i="2"/>
  <c r="DR86" i="2"/>
  <c r="DS86" i="2"/>
  <c r="EA86" i="2"/>
  <c r="EN86" i="2"/>
  <c r="EV86" i="2"/>
  <c r="EX86" i="2"/>
  <c r="FD86" i="2"/>
  <c r="FL86" i="2"/>
  <c r="FM86" i="2"/>
  <c r="FS86" i="2"/>
  <c r="FT86" i="2"/>
  <c r="CP86" i="2"/>
  <c r="CK86" i="2"/>
  <c r="CE86" i="2"/>
  <c r="P86" i="2" s="1"/>
  <c r="BX86" i="2"/>
  <c r="AZ86" i="2"/>
  <c r="BA86" i="2"/>
  <c r="AG86" i="2"/>
  <c r="AJ86" i="2"/>
  <c r="F86" i="2"/>
  <c r="H86" i="2"/>
  <c r="L86" i="2"/>
  <c r="L11" i="2"/>
  <c r="T57" i="7" l="1"/>
  <c r="Y57" i="7" s="1"/>
  <c r="AA57" i="7" s="1"/>
  <c r="T86" i="7"/>
  <c r="Y86" i="7" s="1"/>
  <c r="AA86" i="7" s="1"/>
  <c r="T88" i="7"/>
  <c r="Y88" i="7" s="1"/>
  <c r="AA88" i="7" s="1"/>
  <c r="T94" i="7"/>
  <c r="Y94" i="7" s="1"/>
  <c r="AA94" i="7" s="1"/>
  <c r="T131" i="7"/>
  <c r="Y131" i="7" s="1"/>
  <c r="AA131" i="7" s="1"/>
  <c r="O86" i="7"/>
  <c r="B86" i="7"/>
  <c r="O88" i="7"/>
  <c r="B88" i="7"/>
  <c r="O94" i="7"/>
  <c r="B94" i="7"/>
  <c r="O131" i="7"/>
  <c r="B131" i="7"/>
  <c r="AH94" i="7"/>
  <c r="C94" i="7"/>
  <c r="AH131" i="7"/>
  <c r="C131" i="7"/>
  <c r="C86" i="7"/>
  <c r="AH86" i="7"/>
  <c r="C88" i="7"/>
  <c r="AH88" i="7"/>
  <c r="CQ48" i="2"/>
  <c r="S94" i="2"/>
  <c r="R131" i="2"/>
  <c r="R86" i="2"/>
  <c r="S86" i="2"/>
  <c r="S88" i="2"/>
  <c r="R94" i="2"/>
  <c r="R88" i="2"/>
  <c r="CQ94" i="2"/>
  <c r="CQ131" i="2"/>
  <c r="CQ86" i="2"/>
  <c r="CQ88" i="2"/>
  <c r="FT127" i="2"/>
  <c r="FS127" i="2"/>
  <c r="FM127" i="2"/>
  <c r="FL127" i="2"/>
  <c r="FD127" i="2"/>
  <c r="EX127" i="2"/>
  <c r="EV127" i="2"/>
  <c r="EN127" i="2"/>
  <c r="EA127" i="2"/>
  <c r="DS127" i="2"/>
  <c r="DR127" i="2"/>
  <c r="DQ127" i="2"/>
  <c r="DP127" i="2"/>
  <c r="DO127" i="2"/>
  <c r="DN127" i="2"/>
  <c r="DT127" i="2" s="1"/>
  <c r="DK127" i="2"/>
  <c r="DJ127" i="2"/>
  <c r="DI127" i="2"/>
  <c r="DH127" i="2"/>
  <c r="DG127" i="2"/>
  <c r="DF127" i="2"/>
  <c r="DE127" i="2"/>
  <c r="DC127" i="2"/>
  <c r="DA127" i="2"/>
  <c r="CY127" i="2"/>
  <c r="CX127" i="2"/>
  <c r="CW127" i="2"/>
  <c r="CV127" i="2"/>
  <c r="CU127" i="2"/>
  <c r="CP127" i="2"/>
  <c r="CK127" i="2"/>
  <c r="CE127" i="2"/>
  <c r="P127" i="2" s="1"/>
  <c r="BX127" i="2"/>
  <c r="AZ127" i="2"/>
  <c r="AJ127" i="2"/>
  <c r="AG127" i="2"/>
  <c r="L127" i="2"/>
  <c r="H127" i="2"/>
  <c r="F127" i="2"/>
  <c r="B127" i="7" l="1"/>
  <c r="O127" i="7"/>
  <c r="T127" i="7"/>
  <c r="Y127" i="7" s="1"/>
  <c r="AA127" i="7" s="1"/>
  <c r="AH127" i="7"/>
  <c r="C127" i="7"/>
  <c r="R127" i="2"/>
  <c r="S127" i="2"/>
  <c r="CQ127" i="2"/>
  <c r="EJ75" i="2" l="1"/>
  <c r="EJ11" i="2"/>
  <c r="CE116" i="2" l="1"/>
  <c r="CP116" i="2"/>
  <c r="CP60" i="2"/>
  <c r="CP130" i="2"/>
  <c r="CP6" i="2"/>
  <c r="CP7" i="2"/>
  <c r="CP8" i="2"/>
  <c r="CP9" i="2"/>
  <c r="CP102" i="2"/>
  <c r="CP29" i="2"/>
  <c r="CP65" i="2"/>
  <c r="CP112" i="2"/>
  <c r="CP73" i="2"/>
  <c r="CP30" i="2"/>
  <c r="CP40" i="2"/>
  <c r="CP17" i="2"/>
  <c r="CP18" i="2"/>
  <c r="CP98" i="2"/>
  <c r="CP181" i="2"/>
  <c r="CP13" i="2"/>
  <c r="CP128" i="2"/>
  <c r="CP21" i="2"/>
  <c r="CP146" i="2"/>
  <c r="CP23" i="2"/>
  <c r="CP11" i="2"/>
  <c r="CP79" i="2"/>
  <c r="CP182" i="2"/>
  <c r="CP24" i="2"/>
  <c r="CP77" i="2"/>
  <c r="CP25" i="2"/>
  <c r="CP66" i="2"/>
  <c r="CP114" i="2"/>
  <c r="CP31" i="2"/>
  <c r="CP33" i="2"/>
  <c r="CP183" i="2"/>
  <c r="CP193" i="2"/>
  <c r="CP46" i="2"/>
  <c r="CP99" i="2"/>
  <c r="CP34" i="2"/>
  <c r="CP147" i="2"/>
  <c r="CP35" i="2"/>
  <c r="CP41" i="2"/>
  <c r="CP148" i="2"/>
  <c r="CP129" i="2"/>
  <c r="CP16" i="2"/>
  <c r="CP42" i="2"/>
  <c r="CP49" i="2"/>
  <c r="CP67" i="2"/>
  <c r="CP43" i="2"/>
  <c r="CP113" i="2"/>
  <c r="CP44" i="2"/>
  <c r="CP45" i="2"/>
  <c r="CP56" i="2"/>
  <c r="CP4" i="2"/>
  <c r="CP15" i="2"/>
  <c r="CP74" i="2"/>
  <c r="CP84" i="2"/>
  <c r="CP20" i="2"/>
  <c r="CP28" i="2"/>
  <c r="CP64" i="2"/>
  <c r="CP47" i="2"/>
  <c r="CP12" i="2"/>
  <c r="CP50" i="2"/>
  <c r="CP58" i="2"/>
  <c r="CP14" i="2"/>
  <c r="CP22" i="2"/>
  <c r="CP71" i="2"/>
  <c r="CP85" i="2"/>
  <c r="CP68" i="2"/>
  <c r="CP69" i="2"/>
  <c r="CP70" i="2"/>
  <c r="CP5" i="2"/>
  <c r="CP32" i="2"/>
  <c r="CP39" i="2"/>
  <c r="CP10" i="2"/>
  <c r="CP53" i="2"/>
  <c r="CP167" i="2"/>
  <c r="CP54" i="2"/>
  <c r="CP57" i="2"/>
  <c r="CP27" i="2"/>
  <c r="CP76" i="2"/>
  <c r="CP3" i="2"/>
  <c r="CP61" i="2"/>
  <c r="CP78" i="2"/>
  <c r="CP80" i="2"/>
  <c r="CP90" i="2"/>
  <c r="CP92" i="2"/>
  <c r="CP82" i="2"/>
  <c r="CP26" i="2"/>
  <c r="CP95" i="2"/>
  <c r="CP83" i="2"/>
  <c r="CP97" i="2"/>
  <c r="CP19" i="2"/>
  <c r="CP72" i="2"/>
  <c r="CP87" i="2"/>
  <c r="CP89" i="2"/>
  <c r="CP75" i="2"/>
  <c r="CP103" i="2"/>
  <c r="CP59" i="2"/>
  <c r="H60" i="2"/>
  <c r="CU126" i="2"/>
  <c r="CV126" i="2"/>
  <c r="CW126" i="2"/>
  <c r="CX126" i="2"/>
  <c r="CY126" i="2"/>
  <c r="DA126" i="2"/>
  <c r="DC126" i="2"/>
  <c r="DE126" i="2"/>
  <c r="DF126" i="2"/>
  <c r="DG126" i="2"/>
  <c r="DH126" i="2"/>
  <c r="DI126" i="2"/>
  <c r="DJ126" i="2"/>
  <c r="DK126" i="2"/>
  <c r="DN126" i="2"/>
  <c r="DT126" i="2" s="1"/>
  <c r="DO126" i="2"/>
  <c r="DP126" i="2"/>
  <c r="DQ126" i="2"/>
  <c r="DR126" i="2"/>
  <c r="DS126" i="2"/>
  <c r="EA126" i="2"/>
  <c r="EN126" i="2"/>
  <c r="EV126" i="2"/>
  <c r="B126" i="7" s="1"/>
  <c r="EX126" i="2"/>
  <c r="FD126" i="2"/>
  <c r="FL126" i="2"/>
  <c r="FM126" i="2"/>
  <c r="FS126" i="2"/>
  <c r="FT126" i="2"/>
  <c r="CP126" i="2"/>
  <c r="CK126" i="2"/>
  <c r="CE126" i="2"/>
  <c r="P126" i="2" s="1"/>
  <c r="BX126" i="2"/>
  <c r="AZ126" i="2"/>
  <c r="BA126" i="2"/>
  <c r="AG126" i="2"/>
  <c r="AJ126" i="2"/>
  <c r="F126" i="2"/>
  <c r="H126" i="2"/>
  <c r="L126" i="2"/>
  <c r="O126" i="7" l="1"/>
  <c r="O60" i="7"/>
  <c r="T126" i="7"/>
  <c r="Y126" i="7" s="1"/>
  <c r="AA126" i="7" s="1"/>
  <c r="C126" i="7"/>
  <c r="AH126" i="7"/>
  <c r="S68" i="2"/>
  <c r="R126" i="2"/>
  <c r="S126" i="2"/>
  <c r="S70" i="2"/>
  <c r="S69" i="2"/>
  <c r="CQ126" i="2"/>
  <c r="CK64" i="2"/>
  <c r="EJ93" i="2" l="1"/>
  <c r="AG93" i="2"/>
  <c r="R93" i="2"/>
  <c r="S93" i="2"/>
  <c r="F93" i="2"/>
  <c r="H93" i="2"/>
  <c r="L93" i="2"/>
  <c r="P93" i="2"/>
  <c r="DC152" i="2" l="1"/>
  <c r="DE152" i="2"/>
  <c r="DF152" i="2"/>
  <c r="DG152" i="2"/>
  <c r="DH152" i="2"/>
  <c r="DI152" i="2"/>
  <c r="DJ152" i="2"/>
  <c r="DK152" i="2"/>
  <c r="DN152" i="2"/>
  <c r="DT152" i="2" s="1"/>
  <c r="DO152" i="2"/>
  <c r="DP152" i="2"/>
  <c r="DQ152" i="2"/>
  <c r="DR152" i="2"/>
  <c r="DS152" i="2"/>
  <c r="EA152" i="2"/>
  <c r="EN152" i="2"/>
  <c r="EV152" i="2"/>
  <c r="B152" i="7" s="1"/>
  <c r="EX152" i="2"/>
  <c r="FD152" i="2"/>
  <c r="FL123" i="2"/>
  <c r="FM123" i="2"/>
  <c r="FS123" i="2"/>
  <c r="FT123" i="2"/>
  <c r="DA152" i="2"/>
  <c r="CU152" i="2"/>
  <c r="CV152" i="2"/>
  <c r="CW152" i="2"/>
  <c r="CX152" i="2"/>
  <c r="CY152" i="2"/>
  <c r="CP152" i="2"/>
  <c r="CK152" i="2"/>
  <c r="CE152" i="2"/>
  <c r="P152" i="2" s="1"/>
  <c r="BX152" i="2"/>
  <c r="AZ152" i="2"/>
  <c r="T152" i="7" s="1"/>
  <c r="Y152" i="7" s="1"/>
  <c r="AA152" i="7" s="1"/>
  <c r="AG152" i="2"/>
  <c r="AJ152" i="2"/>
  <c r="F152" i="2"/>
  <c r="H152" i="2"/>
  <c r="O152" i="7" s="1"/>
  <c r="L152" i="2"/>
  <c r="AH152" i="7" l="1"/>
  <c r="C152" i="7"/>
  <c r="R152" i="2"/>
  <c r="S152" i="2"/>
  <c r="T152" i="2"/>
  <c r="CQ152" i="2"/>
  <c r="DC151" i="2"/>
  <c r="DE151" i="2"/>
  <c r="DF151" i="2"/>
  <c r="DG151" i="2"/>
  <c r="DH151" i="2"/>
  <c r="DI151" i="2"/>
  <c r="DJ151" i="2"/>
  <c r="DK151" i="2"/>
  <c r="DN151" i="2"/>
  <c r="DT151" i="2" s="1"/>
  <c r="DO151" i="2"/>
  <c r="DP151" i="2"/>
  <c r="DQ151" i="2"/>
  <c r="DR151" i="2"/>
  <c r="DS151" i="2"/>
  <c r="EA151" i="2"/>
  <c r="EN151" i="2"/>
  <c r="EV151" i="2"/>
  <c r="B151" i="7" s="1"/>
  <c r="EX151" i="2"/>
  <c r="FD151" i="2"/>
  <c r="FL122" i="2"/>
  <c r="FM122" i="2"/>
  <c r="FS122" i="2"/>
  <c r="FT122" i="2"/>
  <c r="DA151" i="2"/>
  <c r="CU151" i="2"/>
  <c r="CV151" i="2"/>
  <c r="CW151" i="2"/>
  <c r="CX151" i="2"/>
  <c r="CY151" i="2"/>
  <c r="CP151" i="2"/>
  <c r="CK151" i="2"/>
  <c r="CE151" i="2"/>
  <c r="P151" i="2" s="1"/>
  <c r="BX151" i="2"/>
  <c r="AZ151" i="2"/>
  <c r="T151" i="7" s="1"/>
  <c r="Y151" i="7" s="1"/>
  <c r="AA151" i="7" s="1"/>
  <c r="AG151" i="2"/>
  <c r="AJ151" i="2"/>
  <c r="F151" i="2"/>
  <c r="H151" i="2"/>
  <c r="O151" i="7" s="1"/>
  <c r="L151" i="2"/>
  <c r="C151" i="7" l="1"/>
  <c r="AH151" i="7"/>
  <c r="T122" i="7"/>
  <c r="Y122" i="7" s="1"/>
  <c r="AA122" i="7" s="1"/>
  <c r="B122" i="7"/>
  <c r="O122" i="7"/>
  <c r="C122" i="7"/>
  <c r="AH122" i="7"/>
  <c r="R151" i="2"/>
  <c r="S151" i="2"/>
  <c r="CQ151" i="2"/>
  <c r="T151" i="2"/>
  <c r="FT121" i="2" l="1"/>
  <c r="FS121" i="2"/>
  <c r="FM121" i="2"/>
  <c r="FL121" i="2"/>
  <c r="FD117" i="2"/>
  <c r="EX117" i="2"/>
  <c r="EV117" i="2"/>
  <c r="EN117" i="2"/>
  <c r="EA117" i="2"/>
  <c r="DS117" i="2"/>
  <c r="DR117" i="2"/>
  <c r="DQ117" i="2"/>
  <c r="DP117" i="2"/>
  <c r="DO117" i="2"/>
  <c r="DN117" i="2"/>
  <c r="DT117" i="2" s="1"/>
  <c r="DK117" i="2"/>
  <c r="DJ117" i="2"/>
  <c r="DI117" i="2"/>
  <c r="DH117" i="2"/>
  <c r="DG117" i="2"/>
  <c r="DF117" i="2"/>
  <c r="DE117" i="2"/>
  <c r="DC117" i="2"/>
  <c r="DA117" i="2"/>
  <c r="CY117" i="2"/>
  <c r="CX117" i="2"/>
  <c r="CW117" i="2"/>
  <c r="CV117" i="2"/>
  <c r="CU117" i="2"/>
  <c r="CP117" i="2"/>
  <c r="CK117" i="2"/>
  <c r="CE117" i="2"/>
  <c r="P117" i="2" s="1"/>
  <c r="AG117" i="2"/>
  <c r="L117" i="2"/>
  <c r="H117" i="2"/>
  <c r="O117" i="7" s="1"/>
  <c r="F117" i="2"/>
  <c r="BX116" i="2"/>
  <c r="CQ116" i="2"/>
  <c r="Z116" i="7" s="1"/>
  <c r="AA116" i="7" s="1"/>
  <c r="DC125" i="2"/>
  <c r="DE125" i="2"/>
  <c r="DF125" i="2"/>
  <c r="DG125" i="2"/>
  <c r="DH125" i="2"/>
  <c r="DI125" i="2"/>
  <c r="DJ125" i="2"/>
  <c r="DK125" i="2"/>
  <c r="DN125" i="2"/>
  <c r="DT125" i="2" s="1"/>
  <c r="DO125" i="2"/>
  <c r="DP125" i="2"/>
  <c r="DQ125" i="2"/>
  <c r="DR125" i="2"/>
  <c r="DS125" i="2"/>
  <c r="EA125" i="2"/>
  <c r="EN125" i="2"/>
  <c r="EV125" i="2"/>
  <c r="B125" i="7" s="1"/>
  <c r="EX125" i="2"/>
  <c r="FD125" i="2"/>
  <c r="FL120" i="2"/>
  <c r="FM120" i="2"/>
  <c r="FS120" i="2"/>
  <c r="FT120" i="2"/>
  <c r="DA125" i="2"/>
  <c r="CU125" i="2"/>
  <c r="CV125" i="2"/>
  <c r="CW125" i="2"/>
  <c r="CX125" i="2"/>
  <c r="CY125" i="2"/>
  <c r="CP125" i="2"/>
  <c r="CK125" i="2"/>
  <c r="CE125" i="2"/>
  <c r="P125" i="2" s="1"/>
  <c r="BX125" i="2"/>
  <c r="AZ125" i="2"/>
  <c r="T125" i="7" s="1"/>
  <c r="Y125" i="7" s="1"/>
  <c r="AA125" i="7" s="1"/>
  <c r="AG125" i="2"/>
  <c r="AJ125" i="2"/>
  <c r="F125" i="2"/>
  <c r="H125" i="2"/>
  <c r="O125" i="7" s="1"/>
  <c r="L125" i="2"/>
  <c r="P116" i="2"/>
  <c r="C125" i="7" l="1"/>
  <c r="AH125" i="7"/>
  <c r="B120" i="7"/>
  <c r="T120" i="7"/>
  <c r="Y120" i="7" s="1"/>
  <c r="AA120" i="7" s="1"/>
  <c r="O120" i="7"/>
  <c r="O121" i="7"/>
  <c r="B121" i="7"/>
  <c r="C121" i="7"/>
  <c r="AH121" i="7"/>
  <c r="AH120" i="7"/>
  <c r="C120" i="7"/>
  <c r="R125" i="2"/>
  <c r="R117" i="2"/>
  <c r="S125" i="2"/>
  <c r="S117" i="2"/>
  <c r="CQ125" i="2"/>
  <c r="BX117" i="2"/>
  <c r="AZ117" i="2"/>
  <c r="AJ117" i="2"/>
  <c r="T121" i="7" l="1"/>
  <c r="Y121" i="7" s="1"/>
  <c r="AA121" i="7" s="1"/>
  <c r="CQ117" i="2"/>
  <c r="AZ115" i="2"/>
  <c r="DA115" i="2"/>
  <c r="DC115" i="2"/>
  <c r="DE115" i="2"/>
  <c r="DF115" i="2"/>
  <c r="DG115" i="2"/>
  <c r="DH115" i="2"/>
  <c r="DI115" i="2"/>
  <c r="DJ115" i="2"/>
  <c r="DK115" i="2"/>
  <c r="DN115" i="2"/>
  <c r="DT115" i="2" s="1"/>
  <c r="DO115" i="2"/>
  <c r="DP115" i="2"/>
  <c r="DQ115" i="2"/>
  <c r="DR115" i="2"/>
  <c r="DS115" i="2"/>
  <c r="EA115" i="2"/>
  <c r="EN115" i="2"/>
  <c r="EV115" i="2"/>
  <c r="EX115" i="2"/>
  <c r="FD115" i="2"/>
  <c r="FL119" i="2"/>
  <c r="FM119" i="2"/>
  <c r="FS119" i="2"/>
  <c r="FT119" i="2"/>
  <c r="CU115" i="2"/>
  <c r="CV115" i="2"/>
  <c r="CW115" i="2"/>
  <c r="CX115" i="2"/>
  <c r="CY115" i="2"/>
  <c r="CP115" i="2"/>
  <c r="CK115" i="2"/>
  <c r="CE115" i="2"/>
  <c r="P115" i="2" s="1"/>
  <c r="BX115" i="2"/>
  <c r="AG115" i="2"/>
  <c r="AJ115" i="2"/>
  <c r="F115" i="2"/>
  <c r="H115" i="2"/>
  <c r="L115" i="2"/>
  <c r="R115" i="2" l="1"/>
  <c r="S115" i="2"/>
  <c r="CQ115" i="2"/>
  <c r="DE150" i="2"/>
  <c r="DF150" i="2"/>
  <c r="DG150" i="2"/>
  <c r="DH150" i="2"/>
  <c r="DI150" i="2"/>
  <c r="DJ150" i="2"/>
  <c r="DK150" i="2"/>
  <c r="DN150" i="2"/>
  <c r="DT150" i="2" s="1"/>
  <c r="DO150" i="2"/>
  <c r="DP150" i="2"/>
  <c r="DQ150" i="2"/>
  <c r="DR150" i="2"/>
  <c r="DS150" i="2"/>
  <c r="EA150" i="2"/>
  <c r="EN150" i="2"/>
  <c r="EV150" i="2"/>
  <c r="B150" i="7" s="1"/>
  <c r="EX150" i="2"/>
  <c r="FD150" i="2"/>
  <c r="FL118" i="2"/>
  <c r="FM118" i="2"/>
  <c r="FS118" i="2"/>
  <c r="FT118" i="2"/>
  <c r="DC150" i="2"/>
  <c r="DA150" i="2"/>
  <c r="CU150" i="2"/>
  <c r="CV150" i="2"/>
  <c r="CW150" i="2"/>
  <c r="CX150" i="2"/>
  <c r="CY150" i="2"/>
  <c r="CP150" i="2"/>
  <c r="CK150" i="2"/>
  <c r="CE150" i="2"/>
  <c r="P150" i="2" s="1"/>
  <c r="BX150" i="2"/>
  <c r="AZ150" i="2"/>
  <c r="T150" i="7" s="1"/>
  <c r="Y150" i="7" s="1"/>
  <c r="AA150" i="7" s="1"/>
  <c r="AG150" i="2"/>
  <c r="AJ150" i="2"/>
  <c r="F150" i="2"/>
  <c r="H150" i="2"/>
  <c r="O150" i="7" s="1"/>
  <c r="L150" i="2"/>
  <c r="DE149" i="2"/>
  <c r="DF149" i="2"/>
  <c r="DG149" i="2"/>
  <c r="DH149" i="2"/>
  <c r="DI149" i="2"/>
  <c r="DJ149" i="2"/>
  <c r="DK149" i="2"/>
  <c r="DN149" i="2"/>
  <c r="DT149" i="2" s="1"/>
  <c r="DO149" i="2"/>
  <c r="DP149" i="2"/>
  <c r="DQ149" i="2"/>
  <c r="DR149" i="2"/>
  <c r="DS149" i="2"/>
  <c r="EA149" i="2"/>
  <c r="EN149" i="2"/>
  <c r="EV149" i="2"/>
  <c r="B149" i="7" s="1"/>
  <c r="EX149" i="2"/>
  <c r="FD149" i="2"/>
  <c r="FL117" i="2"/>
  <c r="FM117" i="2"/>
  <c r="FS117" i="2"/>
  <c r="FT117" i="2"/>
  <c r="DC149" i="2"/>
  <c r="DA149" i="2"/>
  <c r="CU149" i="2"/>
  <c r="CV149" i="2"/>
  <c r="CW149" i="2"/>
  <c r="CX149" i="2"/>
  <c r="CY149" i="2"/>
  <c r="CP149" i="2"/>
  <c r="S149" i="2" s="1"/>
  <c r="CK149" i="2"/>
  <c r="R149" i="2" s="1"/>
  <c r="CE149" i="2"/>
  <c r="P149" i="2" s="1"/>
  <c r="BX149" i="2"/>
  <c r="AZ149" i="2"/>
  <c r="T149" i="7" s="1"/>
  <c r="Y149" i="7" s="1"/>
  <c r="AA149" i="7" s="1"/>
  <c r="AG149" i="2"/>
  <c r="AJ149" i="2"/>
  <c r="F149" i="2"/>
  <c r="L149" i="2"/>
  <c r="DJ60" i="2"/>
  <c r="DJ130" i="2"/>
  <c r="DJ6" i="2"/>
  <c r="DJ7" i="2"/>
  <c r="DJ8" i="2"/>
  <c r="DJ9" i="2"/>
  <c r="DJ102" i="2"/>
  <c r="DJ29" i="2"/>
  <c r="DJ65" i="2"/>
  <c r="DJ112" i="2"/>
  <c r="DJ73" i="2"/>
  <c r="DJ30" i="2"/>
  <c r="DJ40" i="2"/>
  <c r="DJ17" i="2"/>
  <c r="DJ18" i="2"/>
  <c r="DJ98" i="2"/>
  <c r="DJ181" i="2"/>
  <c r="DJ13" i="2"/>
  <c r="DJ128" i="2"/>
  <c r="DJ21" i="2"/>
  <c r="DJ146" i="2"/>
  <c r="DJ23" i="2"/>
  <c r="DJ11" i="2"/>
  <c r="DJ79" i="2"/>
  <c r="DJ182" i="2"/>
  <c r="DJ24" i="2"/>
  <c r="DJ77" i="2"/>
  <c r="DJ25" i="2"/>
  <c r="DJ66" i="2"/>
  <c r="DJ114" i="2"/>
  <c r="DJ31" i="2"/>
  <c r="DJ33" i="2"/>
  <c r="DJ183" i="2"/>
  <c r="DJ193" i="2"/>
  <c r="DJ46" i="2"/>
  <c r="DJ99" i="2"/>
  <c r="DJ34" i="2"/>
  <c r="DJ147" i="2"/>
  <c r="DJ35" i="2"/>
  <c r="DJ41" i="2"/>
  <c r="DJ148" i="2"/>
  <c r="DJ129" i="2"/>
  <c r="DJ16" i="2"/>
  <c r="DJ42" i="2"/>
  <c r="DJ67" i="2"/>
  <c r="DJ43" i="2"/>
  <c r="DJ113" i="2"/>
  <c r="DJ44" i="2"/>
  <c r="DJ45" i="2"/>
  <c r="DJ180" i="2"/>
  <c r="DJ56" i="2"/>
  <c r="DJ4" i="2"/>
  <c r="DJ15" i="2"/>
  <c r="DJ74" i="2"/>
  <c r="DJ84" i="2"/>
  <c r="DJ20" i="2"/>
  <c r="DJ28" i="2"/>
  <c r="DJ64" i="2"/>
  <c r="DJ47" i="2"/>
  <c r="DJ12" i="2"/>
  <c r="DJ50" i="2"/>
  <c r="DJ58" i="2"/>
  <c r="DJ14" i="2"/>
  <c r="DJ22" i="2"/>
  <c r="DJ71" i="2"/>
  <c r="DJ85" i="2"/>
  <c r="DJ68" i="2"/>
  <c r="DJ69" i="2"/>
  <c r="DJ70" i="2"/>
  <c r="DJ5" i="2"/>
  <c r="DJ32" i="2"/>
  <c r="DJ39" i="2"/>
  <c r="DJ10" i="2"/>
  <c r="DJ53" i="2"/>
  <c r="DJ167" i="2"/>
  <c r="DJ54" i="2"/>
  <c r="DJ57" i="2"/>
  <c r="DJ27" i="2"/>
  <c r="DJ76" i="2"/>
  <c r="DJ3" i="2"/>
  <c r="DJ61" i="2"/>
  <c r="DJ78" i="2"/>
  <c r="DJ80" i="2"/>
  <c r="DJ90" i="2"/>
  <c r="DJ92" i="2"/>
  <c r="DJ82" i="2"/>
  <c r="DJ26" i="2"/>
  <c r="DJ95" i="2"/>
  <c r="DJ83" i="2"/>
  <c r="DJ97" i="2"/>
  <c r="DJ19" i="2"/>
  <c r="DJ72" i="2"/>
  <c r="DJ87" i="2"/>
  <c r="DJ89" i="2"/>
  <c r="DJ75" i="2"/>
  <c r="DJ103" i="2"/>
  <c r="DJ59" i="2"/>
  <c r="C150" i="7" l="1"/>
  <c r="AH150" i="7"/>
  <c r="AH149" i="7"/>
  <c r="C149" i="7"/>
  <c r="T118" i="7"/>
  <c r="Y118" i="7" s="1"/>
  <c r="AA118" i="7" s="1"/>
  <c r="T117" i="7"/>
  <c r="Y117" i="7" s="1"/>
  <c r="AA117" i="7" s="1"/>
  <c r="B118" i="7"/>
  <c r="B117" i="7"/>
  <c r="O118" i="7"/>
  <c r="AH117" i="7"/>
  <c r="C117" i="7"/>
  <c r="AH118" i="7"/>
  <c r="C118" i="7"/>
  <c r="S150" i="2"/>
  <c r="R150" i="2"/>
  <c r="T150" i="2"/>
  <c r="CQ149" i="2"/>
  <c r="CQ150" i="2"/>
  <c r="T149" i="2"/>
  <c r="AJ116" i="2"/>
  <c r="F116" i="2"/>
  <c r="AG116" i="2"/>
  <c r="CF116" i="2"/>
  <c r="CG116" i="2"/>
  <c r="CH116" i="2"/>
  <c r="CK116" i="2"/>
  <c r="CT116" i="2"/>
  <c r="CU116" i="2"/>
  <c r="CV116" i="2"/>
  <c r="CY116" i="2"/>
  <c r="DE116" i="2" s="1"/>
  <c r="CZ116" i="2"/>
  <c r="DA116" i="2"/>
  <c r="DB116" i="2"/>
  <c r="DC116" i="2"/>
  <c r="DD116" i="2"/>
  <c r="DM116" i="2"/>
  <c r="DZ116" i="2"/>
  <c r="A116" i="2" s="1"/>
  <c r="EE116" i="2"/>
  <c r="EG116" i="2"/>
  <c r="EM116" i="2"/>
  <c r="EQ116" i="2"/>
  <c r="ES116" i="2"/>
  <c r="ET116" i="2"/>
  <c r="EU116" i="2"/>
  <c r="EX116" i="2"/>
  <c r="EY116" i="2"/>
  <c r="EZ116" i="2"/>
  <c r="M116" i="7" s="1"/>
  <c r="L14" i="2"/>
  <c r="AZ84" i="2"/>
  <c r="T84" i="7" l="1"/>
  <c r="Y84" i="7" s="1"/>
  <c r="AA84" i="7" s="1"/>
  <c r="AH116" i="7"/>
  <c r="C116" i="7"/>
  <c r="R116" i="2"/>
  <c r="L16" i="2"/>
  <c r="H103" i="2"/>
  <c r="H10" i="2"/>
  <c r="O103" i="7" l="1"/>
  <c r="O10" i="7"/>
  <c r="A6" i="6"/>
  <c r="E6" i="6"/>
  <c r="F6" i="6"/>
  <c r="O6" i="6" s="1"/>
  <c r="G6" i="6"/>
  <c r="AA6" i="6"/>
  <c r="AD6" i="6"/>
  <c r="AT6" i="6"/>
  <c r="CN6" i="6" s="1"/>
  <c r="BU6" i="6"/>
  <c r="CB6" i="6"/>
  <c r="K6" i="6" s="1"/>
  <c r="CH6" i="6"/>
  <c r="M6" i="6" s="1"/>
  <c r="CM6" i="6"/>
  <c r="N6" i="6" s="1"/>
  <c r="CR6" i="6"/>
  <c r="CS6" i="6"/>
  <c r="CT6" i="6"/>
  <c r="CU6" i="6"/>
  <c r="CV6" i="6"/>
  <c r="CX6" i="6"/>
  <c r="CZ6" i="6"/>
  <c r="DB6" i="6"/>
  <c r="DC6" i="6"/>
  <c r="DD6" i="6"/>
  <c r="DE6" i="6"/>
  <c r="DF6" i="6"/>
  <c r="DG6" i="6"/>
  <c r="DH6" i="6"/>
  <c r="DK6" i="6"/>
  <c r="DQ6" i="6" s="1"/>
  <c r="DL6" i="6"/>
  <c r="DM6" i="6"/>
  <c r="DN6" i="6"/>
  <c r="DO6" i="6"/>
  <c r="DP6" i="6"/>
  <c r="DX6" i="6"/>
  <c r="EM6" i="6"/>
  <c r="ET6" i="6"/>
  <c r="EV6" i="6"/>
  <c r="FB6" i="6"/>
  <c r="FF6" i="6"/>
  <c r="FG6" i="6"/>
  <c r="FM6" i="6"/>
  <c r="FN6" i="6"/>
  <c r="A7" i="6"/>
  <c r="E7" i="6"/>
  <c r="F7" i="6"/>
  <c r="O7" i="6" s="1"/>
  <c r="G7" i="6"/>
  <c r="AA7" i="6"/>
  <c r="AD7" i="6"/>
  <c r="AT7" i="6"/>
  <c r="CN7" i="6" s="1"/>
  <c r="BU7" i="6"/>
  <c r="CB7" i="6"/>
  <c r="K7" i="6" s="1"/>
  <c r="CH7" i="6"/>
  <c r="M7" i="6" s="1"/>
  <c r="CM7" i="6"/>
  <c r="N7" i="6" s="1"/>
  <c r="CR7" i="6"/>
  <c r="CS7" i="6"/>
  <c r="CT7" i="6"/>
  <c r="CU7" i="6"/>
  <c r="CV7" i="6"/>
  <c r="CX7" i="6"/>
  <c r="CZ7" i="6"/>
  <c r="DB7" i="6"/>
  <c r="DC7" i="6"/>
  <c r="DD7" i="6"/>
  <c r="DE7" i="6"/>
  <c r="DF7" i="6"/>
  <c r="DG7" i="6"/>
  <c r="DH7" i="6"/>
  <c r="DK7" i="6"/>
  <c r="DQ7" i="6" s="1"/>
  <c r="DL7" i="6"/>
  <c r="DM7" i="6"/>
  <c r="DN7" i="6"/>
  <c r="DO7" i="6"/>
  <c r="DP7" i="6"/>
  <c r="DX7" i="6"/>
  <c r="EM7" i="6"/>
  <c r="ET7" i="6"/>
  <c r="EV7" i="6"/>
  <c r="FB7" i="6"/>
  <c r="FF7" i="6"/>
  <c r="FG7" i="6"/>
  <c r="FM7" i="6"/>
  <c r="FN7" i="6"/>
  <c r="L85" i="2" l="1"/>
  <c r="CC49" i="2"/>
  <c r="DA147" i="2"/>
  <c r="DC147" i="2"/>
  <c r="DE147" i="2"/>
  <c r="DF147" i="2"/>
  <c r="DG147" i="2"/>
  <c r="DH147" i="2"/>
  <c r="DI147" i="2"/>
  <c r="DK147" i="2"/>
  <c r="DN147" i="2"/>
  <c r="DT147" i="2" s="1"/>
  <c r="DO147" i="2"/>
  <c r="DP147" i="2"/>
  <c r="DQ147" i="2"/>
  <c r="DR147" i="2"/>
  <c r="DS147" i="2"/>
  <c r="EA147" i="2"/>
  <c r="EN147" i="2"/>
  <c r="EV147" i="2"/>
  <c r="B147" i="7" s="1"/>
  <c r="EX147" i="2"/>
  <c r="FD147" i="2"/>
  <c r="FL42" i="2"/>
  <c r="FM42" i="2"/>
  <c r="FS42" i="2"/>
  <c r="FT42" i="2"/>
  <c r="CU147" i="2"/>
  <c r="CV147" i="2"/>
  <c r="CW147" i="2"/>
  <c r="CX147" i="2"/>
  <c r="CY147" i="2"/>
  <c r="S147" i="2"/>
  <c r="CK147" i="2"/>
  <c r="CE147" i="2"/>
  <c r="P147" i="2" s="1"/>
  <c r="BX147" i="2"/>
  <c r="AZ147" i="2"/>
  <c r="T147" i="7" s="1"/>
  <c r="Y147" i="7" s="1"/>
  <c r="AA147" i="7" s="1"/>
  <c r="AG147" i="2"/>
  <c r="AJ147" i="2"/>
  <c r="F147" i="2"/>
  <c r="H147" i="2"/>
  <c r="O147" i="7" s="1"/>
  <c r="L147" i="2"/>
  <c r="DA148" i="2"/>
  <c r="DC148" i="2"/>
  <c r="DE148" i="2"/>
  <c r="DF148" i="2"/>
  <c r="DG148" i="2"/>
  <c r="DH148" i="2"/>
  <c r="DI148" i="2"/>
  <c r="DK148" i="2"/>
  <c r="DN148" i="2"/>
  <c r="DT148" i="2" s="1"/>
  <c r="DO148" i="2"/>
  <c r="DP148" i="2"/>
  <c r="DQ148" i="2"/>
  <c r="DR148" i="2"/>
  <c r="DS148" i="2"/>
  <c r="EA148" i="2"/>
  <c r="EN148" i="2"/>
  <c r="EV148" i="2"/>
  <c r="B148" i="7" s="1"/>
  <c r="EX148" i="2"/>
  <c r="FD148" i="2"/>
  <c r="FL45" i="2"/>
  <c r="FM45" i="2"/>
  <c r="FS45" i="2"/>
  <c r="FT45" i="2"/>
  <c r="CU148" i="2"/>
  <c r="CV148" i="2"/>
  <c r="CW148" i="2"/>
  <c r="CX148" i="2"/>
  <c r="CY148" i="2"/>
  <c r="S148" i="2"/>
  <c r="CK148" i="2"/>
  <c r="CE148" i="2"/>
  <c r="P148" i="2" s="1"/>
  <c r="BX148" i="2"/>
  <c r="AZ148" i="2"/>
  <c r="T148" i="7" s="1"/>
  <c r="Y148" i="7" s="1"/>
  <c r="AA148" i="7" s="1"/>
  <c r="AG148" i="2"/>
  <c r="AJ148" i="2"/>
  <c r="F148" i="2"/>
  <c r="H148" i="2"/>
  <c r="O148" i="7" s="1"/>
  <c r="L148" i="2"/>
  <c r="DA146" i="2"/>
  <c r="DC146" i="2"/>
  <c r="DE146" i="2"/>
  <c r="DF146" i="2"/>
  <c r="DG146" i="2"/>
  <c r="DH146" i="2"/>
  <c r="DI146" i="2"/>
  <c r="DK146" i="2"/>
  <c r="DN146" i="2"/>
  <c r="DT146" i="2" s="1"/>
  <c r="DO146" i="2"/>
  <c r="DP146" i="2"/>
  <c r="DQ146" i="2"/>
  <c r="DR146" i="2"/>
  <c r="DS146" i="2"/>
  <c r="EA146" i="2"/>
  <c r="EN146" i="2"/>
  <c r="EV146" i="2"/>
  <c r="B146" i="7" s="1"/>
  <c r="EX146" i="2"/>
  <c r="FD146" i="2"/>
  <c r="FL24" i="2"/>
  <c r="FM24" i="2"/>
  <c r="FS24" i="2"/>
  <c r="FT24" i="2"/>
  <c r="CU146" i="2"/>
  <c r="CV146" i="2"/>
  <c r="CW146" i="2"/>
  <c r="CX146" i="2"/>
  <c r="CY146" i="2"/>
  <c r="S146" i="2"/>
  <c r="CK146" i="2"/>
  <c r="CE146" i="2"/>
  <c r="P146" i="2" s="1"/>
  <c r="BX146" i="2"/>
  <c r="AZ146" i="2"/>
  <c r="T146" i="7" s="1"/>
  <c r="Y146" i="7" s="1"/>
  <c r="AA146" i="7" s="1"/>
  <c r="AG146" i="2"/>
  <c r="AJ146" i="2"/>
  <c r="F146" i="2"/>
  <c r="H146" i="2"/>
  <c r="O146" i="7" s="1"/>
  <c r="L146" i="2"/>
  <c r="DA124" i="2"/>
  <c r="DC124" i="2"/>
  <c r="DE124" i="2"/>
  <c r="DF124" i="2"/>
  <c r="DG124" i="2"/>
  <c r="DH124" i="2"/>
  <c r="DI124" i="2"/>
  <c r="DJ124" i="2"/>
  <c r="DK124" i="2"/>
  <c r="DN124" i="2"/>
  <c r="DT124" i="2" s="1"/>
  <c r="DO124" i="2"/>
  <c r="DP124" i="2"/>
  <c r="DQ124" i="2"/>
  <c r="DR124" i="2"/>
  <c r="DS124" i="2"/>
  <c r="EA124" i="2"/>
  <c r="EN124" i="2"/>
  <c r="EV124" i="2"/>
  <c r="EX124" i="2"/>
  <c r="FD124" i="2"/>
  <c r="FL115" i="2"/>
  <c r="FM115" i="2"/>
  <c r="FS115" i="2"/>
  <c r="FT115" i="2"/>
  <c r="CU124" i="2"/>
  <c r="CV124" i="2"/>
  <c r="CW124" i="2"/>
  <c r="CX124" i="2"/>
  <c r="CY124" i="2"/>
  <c r="CP124" i="2"/>
  <c r="CK124" i="2"/>
  <c r="CE124" i="2"/>
  <c r="P124" i="2" s="1"/>
  <c r="BX124" i="2"/>
  <c r="AZ124" i="2"/>
  <c r="AG124" i="2"/>
  <c r="AJ124" i="2"/>
  <c r="F124" i="2"/>
  <c r="H124" i="2"/>
  <c r="L124" i="2"/>
  <c r="DA123" i="2"/>
  <c r="DC123" i="2"/>
  <c r="DE123" i="2"/>
  <c r="DF123" i="2"/>
  <c r="DG123" i="2"/>
  <c r="DH123" i="2"/>
  <c r="DI123" i="2"/>
  <c r="DJ123" i="2"/>
  <c r="DK123" i="2"/>
  <c r="DN123" i="2"/>
  <c r="DT123" i="2" s="1"/>
  <c r="DO123" i="2"/>
  <c r="DP123" i="2"/>
  <c r="DQ123" i="2"/>
  <c r="DR123" i="2"/>
  <c r="DS123" i="2"/>
  <c r="EA123" i="2"/>
  <c r="EN123" i="2"/>
  <c r="EV123" i="2"/>
  <c r="B123" i="7" s="1"/>
  <c r="EX123" i="2"/>
  <c r="FD123" i="2"/>
  <c r="FL114" i="2"/>
  <c r="FM114" i="2"/>
  <c r="FS114" i="2"/>
  <c r="FT114" i="2"/>
  <c r="CU123" i="2"/>
  <c r="CV123" i="2"/>
  <c r="CW123" i="2"/>
  <c r="CX123" i="2"/>
  <c r="CY123" i="2"/>
  <c r="CP123" i="2"/>
  <c r="CK123" i="2"/>
  <c r="CE123" i="2"/>
  <c r="P123" i="2" s="1"/>
  <c r="BX123" i="2"/>
  <c r="AZ123" i="2"/>
  <c r="T123" i="7" s="1"/>
  <c r="Y123" i="7" s="1"/>
  <c r="AA123" i="7" s="1"/>
  <c r="AG123" i="2"/>
  <c r="AJ123" i="2"/>
  <c r="F123" i="2"/>
  <c r="H123" i="2"/>
  <c r="O123" i="7" s="1"/>
  <c r="L123" i="2"/>
  <c r="AL5" i="5"/>
  <c r="AD5" i="5"/>
  <c r="M5" i="5"/>
  <c r="AH123" i="7" l="1"/>
  <c r="C123" i="7"/>
  <c r="T119" i="7"/>
  <c r="Y119" i="7" s="1"/>
  <c r="AA119" i="7" s="1"/>
  <c r="T124" i="7"/>
  <c r="Y124" i="7" s="1"/>
  <c r="AA124" i="7" s="1"/>
  <c r="C147" i="7"/>
  <c r="AH147" i="7"/>
  <c r="B119" i="7"/>
  <c r="B124" i="7"/>
  <c r="C124" i="7"/>
  <c r="AH124" i="7"/>
  <c r="AH148" i="7"/>
  <c r="C148" i="7"/>
  <c r="AH146" i="7"/>
  <c r="C146" i="7"/>
  <c r="O119" i="7"/>
  <c r="O124" i="7"/>
  <c r="AH119" i="7"/>
  <c r="C119" i="7"/>
  <c r="B115" i="7"/>
  <c r="T115" i="7"/>
  <c r="Y115" i="7" s="1"/>
  <c r="AA115" i="7" s="1"/>
  <c r="O115" i="7"/>
  <c r="AH115" i="7"/>
  <c r="C115" i="7"/>
  <c r="R148" i="2"/>
  <c r="R146" i="2"/>
  <c r="R147" i="2"/>
  <c r="R124" i="2"/>
  <c r="R123" i="2"/>
  <c r="S124" i="2"/>
  <c r="S123" i="2"/>
  <c r="T146" i="2"/>
  <c r="T148" i="2"/>
  <c r="T147" i="2"/>
  <c r="CQ124" i="2"/>
  <c r="CQ146" i="2"/>
  <c r="CQ148" i="2"/>
  <c r="CQ147" i="2"/>
  <c r="CQ123" i="2"/>
  <c r="DN109" i="2"/>
  <c r="DT109" i="2" s="1"/>
  <c r="DO109" i="2"/>
  <c r="DP109" i="2"/>
  <c r="DQ109" i="2"/>
  <c r="DR109" i="2"/>
  <c r="DS109" i="2"/>
  <c r="EA109" i="2"/>
  <c r="EN109" i="2"/>
  <c r="EV109" i="2"/>
  <c r="EX109" i="2"/>
  <c r="FD109" i="2"/>
  <c r="FL109" i="2"/>
  <c r="FM109" i="2"/>
  <c r="FS109" i="2"/>
  <c r="FT109" i="2"/>
  <c r="DE109" i="2"/>
  <c r="DF109" i="2"/>
  <c r="DG109" i="2"/>
  <c r="DH109" i="2"/>
  <c r="DI109" i="2"/>
  <c r="DJ109" i="2"/>
  <c r="DK109" i="2"/>
  <c r="DC109" i="2"/>
  <c r="DA109" i="2"/>
  <c r="CU109" i="2"/>
  <c r="CV109" i="2"/>
  <c r="CW109" i="2"/>
  <c r="CX109" i="2"/>
  <c r="CY109" i="2"/>
  <c r="CP109" i="2"/>
  <c r="CQ109" i="2"/>
  <c r="CK109" i="2"/>
  <c r="CE109" i="2"/>
  <c r="P109" i="2" s="1"/>
  <c r="AG109" i="2"/>
  <c r="AJ109" i="2"/>
  <c r="F109" i="2"/>
  <c r="H109" i="2"/>
  <c r="L109" i="2"/>
  <c r="O109" i="7" l="1"/>
  <c r="B109" i="7"/>
  <c r="AH109" i="7"/>
  <c r="C109" i="7"/>
  <c r="R109" i="2"/>
  <c r="S109" i="2"/>
  <c r="T109" i="2"/>
  <c r="CE18" i="2"/>
  <c r="CE98" i="2"/>
  <c r="CE49" i="2"/>
  <c r="CE4" i="2"/>
  <c r="CE15" i="2"/>
  <c r="CE3" i="2"/>
  <c r="CE46" i="2"/>
  <c r="CE59" i="2"/>
  <c r="CE60" i="2"/>
  <c r="CE130" i="2"/>
  <c r="CE128" i="2"/>
  <c r="CE129" i="2"/>
  <c r="CE16" i="2"/>
  <c r="CE67" i="2"/>
  <c r="CE99" i="2"/>
  <c r="CE65" i="2"/>
  <c r="CE64" i="2"/>
  <c r="CE47" i="2"/>
  <c r="CE12" i="2"/>
  <c r="CE50" i="2"/>
  <c r="CE58" i="2"/>
  <c r="CE14" i="2"/>
  <c r="CE22" i="2"/>
  <c r="CE61" i="2"/>
  <c r="CE45" i="2"/>
  <c r="P45" i="2" s="1"/>
  <c r="CE43" i="2"/>
  <c r="CE182" i="2"/>
  <c r="CE34" i="2"/>
  <c r="CE181" i="2"/>
  <c r="CE97" i="2"/>
  <c r="CE6" i="2"/>
  <c r="CE42" i="2"/>
  <c r="CE13" i="2"/>
  <c r="CE35" i="2"/>
  <c r="CE80" i="2"/>
  <c r="CE76" i="2"/>
  <c r="CE71" i="2"/>
  <c r="CE85" i="2"/>
  <c r="CE113" i="2"/>
  <c r="CE44" i="2"/>
  <c r="CE180" i="2"/>
  <c r="CE56" i="2"/>
  <c r="CE7" i="2"/>
  <c r="CE21" i="2"/>
  <c r="CE87" i="2"/>
  <c r="CE183" i="2"/>
  <c r="CE31" i="2"/>
  <c r="CE41" i="2"/>
  <c r="CE33" i="2"/>
  <c r="CE23" i="2"/>
  <c r="CE193" i="2"/>
  <c r="CE89" i="2"/>
  <c r="CE83" i="2"/>
  <c r="CE82" i="2"/>
  <c r="CE19" i="2"/>
  <c r="CE95" i="2"/>
  <c r="CE77" i="2"/>
  <c r="CE20" i="2"/>
  <c r="CE28" i="2"/>
  <c r="CE90" i="2"/>
  <c r="CE8" i="2"/>
  <c r="CE9" i="2"/>
  <c r="CE92" i="2"/>
  <c r="CE68" i="2"/>
  <c r="CE69" i="2"/>
  <c r="CE70" i="2"/>
  <c r="CE5" i="2"/>
  <c r="CE32" i="2"/>
  <c r="CE39" i="2"/>
  <c r="CE10" i="2"/>
  <c r="CE75" i="2"/>
  <c r="CE72" i="2"/>
  <c r="CE79" i="2"/>
  <c r="CE73" i="2"/>
  <c r="CE112" i="2"/>
  <c r="CE102" i="2"/>
  <c r="CE78" i="2"/>
  <c r="CE53" i="2"/>
  <c r="CE167" i="2"/>
  <c r="CE25" i="2"/>
  <c r="CE26" i="2"/>
  <c r="CE27" i="2"/>
  <c r="CE66" i="2"/>
  <c r="CE24" i="2"/>
  <c r="CE29" i="2"/>
  <c r="CE51" i="2"/>
  <c r="CE111" i="2"/>
  <c r="CE30" i="2"/>
  <c r="CE103" i="2"/>
  <c r="CE74" i="2"/>
  <c r="CE114" i="2"/>
  <c r="CE36" i="2"/>
  <c r="CE40" i="2"/>
  <c r="CE54" i="2"/>
  <c r="CE57" i="2"/>
  <c r="CE17" i="2"/>
  <c r="EJ108" i="2"/>
  <c r="AG108" i="2"/>
  <c r="R108" i="2"/>
  <c r="S108" i="2"/>
  <c r="F108" i="2"/>
  <c r="H108" i="2"/>
  <c r="L108" i="2"/>
  <c r="P108" i="2"/>
  <c r="EJ107" i="2"/>
  <c r="AG107" i="2"/>
  <c r="R107" i="2"/>
  <c r="S107" i="2"/>
  <c r="F107" i="2"/>
  <c r="H107" i="2"/>
  <c r="L107" i="2"/>
  <c r="P107" i="2"/>
  <c r="EJ106" i="2"/>
  <c r="AG106" i="2"/>
  <c r="R106" i="2"/>
  <c r="S106" i="2"/>
  <c r="F106" i="2"/>
  <c r="H106" i="2"/>
  <c r="L106" i="2"/>
  <c r="P106" i="2"/>
  <c r="EJ105" i="2"/>
  <c r="AG105" i="2"/>
  <c r="R105" i="2"/>
  <c r="S105" i="2"/>
  <c r="F105" i="2"/>
  <c r="H105" i="2"/>
  <c r="L105" i="2"/>
  <c r="P105" i="2"/>
  <c r="EJ104" i="2"/>
  <c r="AG104" i="2"/>
  <c r="R104" i="2"/>
  <c r="S104" i="2"/>
  <c r="F104" i="2"/>
  <c r="H104" i="2"/>
  <c r="L104" i="2"/>
  <c r="P104" i="2"/>
  <c r="O104" i="7" l="1"/>
  <c r="O105" i="7"/>
  <c r="O106" i="7"/>
  <c r="O107" i="7"/>
  <c r="O108" i="7"/>
  <c r="C106" i="7"/>
  <c r="AH106" i="7"/>
  <c r="C105" i="7"/>
  <c r="AH105" i="7"/>
  <c r="AH104" i="7"/>
  <c r="C104" i="7"/>
  <c r="AH107" i="7"/>
  <c r="C107" i="7"/>
  <c r="AH108" i="7"/>
  <c r="C108" i="7"/>
  <c r="AD16" i="5"/>
  <c r="V16" i="5"/>
  <c r="M16" i="5"/>
  <c r="AD15" i="5"/>
  <c r="V15" i="5"/>
  <c r="M15" i="5"/>
  <c r="DN84" i="2"/>
  <c r="DT84" i="2" s="1"/>
  <c r="DO84" i="2"/>
  <c r="DP84" i="2"/>
  <c r="DQ84" i="2"/>
  <c r="DR84" i="2"/>
  <c r="DS84" i="2"/>
  <c r="EA84" i="2"/>
  <c r="EN84" i="2"/>
  <c r="EV84" i="2"/>
  <c r="EX84" i="2"/>
  <c r="FD84" i="2"/>
  <c r="FL84" i="2"/>
  <c r="FM84" i="2"/>
  <c r="FS84" i="2"/>
  <c r="FT84" i="2"/>
  <c r="DE84" i="2"/>
  <c r="DF84" i="2"/>
  <c r="DG84" i="2"/>
  <c r="DH84" i="2"/>
  <c r="DI84" i="2"/>
  <c r="DK84" i="2"/>
  <c r="DC84" i="2"/>
  <c r="DA84" i="2"/>
  <c r="CU84" i="2"/>
  <c r="CV84" i="2"/>
  <c r="CW84" i="2"/>
  <c r="CX84" i="2"/>
  <c r="CY84" i="2"/>
  <c r="S84" i="2"/>
  <c r="CQ84" i="2"/>
  <c r="CK84" i="2"/>
  <c r="P84" i="2"/>
  <c r="AG84" i="2"/>
  <c r="AJ84" i="2"/>
  <c r="F84" i="2"/>
  <c r="H84" i="2"/>
  <c r="L84" i="2"/>
  <c r="B84" i="7" l="1"/>
  <c r="O84" i="7"/>
  <c r="C84" i="7"/>
  <c r="AH84" i="7"/>
  <c r="R84" i="2"/>
  <c r="EJ64" i="2" l="1"/>
  <c r="S57" i="2"/>
  <c r="CQ57" i="2"/>
  <c r="CU57" i="2"/>
  <c r="CV57" i="2"/>
  <c r="CW57" i="2"/>
  <c r="CX57" i="2"/>
  <c r="CY57" i="2"/>
  <c r="DA57" i="2"/>
  <c r="DC57" i="2"/>
  <c r="DE57" i="2"/>
  <c r="DF57" i="2"/>
  <c r="DG57" i="2"/>
  <c r="DH57" i="2"/>
  <c r="DI57" i="2"/>
  <c r="DK57" i="2"/>
  <c r="DN57" i="2"/>
  <c r="DT57" i="2" s="1"/>
  <c r="DO57" i="2"/>
  <c r="DP57" i="2"/>
  <c r="DQ57" i="2"/>
  <c r="DR57" i="2"/>
  <c r="DS57" i="2"/>
  <c r="EA57" i="2"/>
  <c r="EN57" i="2"/>
  <c r="EV57" i="2"/>
  <c r="B57" i="7" s="1"/>
  <c r="EX57" i="2"/>
  <c r="FD57" i="2"/>
  <c r="FL83" i="2"/>
  <c r="FM83" i="2"/>
  <c r="FS83" i="2"/>
  <c r="FT83" i="2"/>
  <c r="CK57" i="2"/>
  <c r="P57" i="2"/>
  <c r="AG57" i="2"/>
  <c r="AJ57" i="2"/>
  <c r="F57" i="2"/>
  <c r="H57" i="2"/>
  <c r="O57" i="7" s="1"/>
  <c r="S54" i="2"/>
  <c r="CU54" i="2"/>
  <c r="CV54" i="2"/>
  <c r="CW54" i="2"/>
  <c r="CX54" i="2"/>
  <c r="CY54" i="2"/>
  <c r="DA54" i="2"/>
  <c r="DC54" i="2"/>
  <c r="DE54" i="2"/>
  <c r="DF54" i="2"/>
  <c r="DG54" i="2"/>
  <c r="DH54" i="2"/>
  <c r="DI54" i="2"/>
  <c r="DK54" i="2"/>
  <c r="DN54" i="2"/>
  <c r="DT54" i="2" s="1"/>
  <c r="DO54" i="2"/>
  <c r="DP54" i="2"/>
  <c r="DQ54" i="2"/>
  <c r="DR54" i="2"/>
  <c r="DS54" i="2"/>
  <c r="EA54" i="2"/>
  <c r="EN54" i="2"/>
  <c r="EX54" i="2"/>
  <c r="FD54" i="2"/>
  <c r="FL82" i="2"/>
  <c r="FM82" i="2"/>
  <c r="FS82" i="2"/>
  <c r="FT82" i="2"/>
  <c r="CK54" i="2"/>
  <c r="P54" i="2"/>
  <c r="CQ54" i="2"/>
  <c r="EV54" i="2"/>
  <c r="AG54" i="2"/>
  <c r="AJ54" i="2"/>
  <c r="F54" i="2"/>
  <c r="H54" i="2"/>
  <c r="C57" i="7" l="1"/>
  <c r="AH57" i="7"/>
  <c r="R54" i="2"/>
  <c r="R57" i="2"/>
  <c r="AF7" i="5" l="1"/>
  <c r="AI7" i="5" s="1"/>
  <c r="AG7" i="5"/>
  <c r="AH7" i="5"/>
  <c r="EJ22" i="2"/>
  <c r="EJ14" i="2"/>
  <c r="EJ58" i="2"/>
  <c r="EJ50" i="2"/>
  <c r="EJ12" i="2"/>
  <c r="EJ47" i="2"/>
  <c r="L4" i="2"/>
  <c r="AB9" i="5"/>
  <c r="AB8" i="5"/>
  <c r="AB7" i="5"/>
  <c r="AB6" i="5"/>
  <c r="AB3" i="5"/>
  <c r="AH6" i="5"/>
  <c r="AG6" i="5"/>
  <c r="AF6" i="5"/>
  <c r="AI6" i="5" s="1"/>
  <c r="V7" i="5"/>
  <c r="M7" i="5"/>
  <c r="AH8" i="5"/>
  <c r="AG8" i="5"/>
  <c r="AF8" i="5"/>
  <c r="AI8" i="5" s="1"/>
  <c r="AH9" i="5"/>
  <c r="AG9" i="5"/>
  <c r="AI9" i="5"/>
  <c r="AH3" i="5"/>
  <c r="AG3" i="5"/>
  <c r="AF3" i="5"/>
  <c r="AI3" i="5" s="1"/>
  <c r="AJ7" i="5" l="1"/>
  <c r="AL7" i="5" s="1"/>
  <c r="AJ6" i="5"/>
  <c r="AL6" i="5" s="1"/>
  <c r="AJ3" i="5"/>
  <c r="AL3" i="5" s="1"/>
  <c r="AJ8" i="5"/>
  <c r="AL8" i="5" s="1"/>
  <c r="AJ9" i="5"/>
  <c r="AL9" i="5" s="1"/>
  <c r="H36" i="2" l="1"/>
  <c r="O113" i="7" l="1"/>
  <c r="F29" i="2"/>
  <c r="CK58" i="2" l="1"/>
  <c r="S58" i="2"/>
  <c r="CU58" i="2"/>
  <c r="CV58" i="2"/>
  <c r="CW58" i="2"/>
  <c r="CX58" i="2"/>
  <c r="CY58" i="2"/>
  <c r="DA58" i="2"/>
  <c r="DC58" i="2"/>
  <c r="DE58" i="2"/>
  <c r="DF58" i="2"/>
  <c r="DG58" i="2"/>
  <c r="DH58" i="2"/>
  <c r="DI58" i="2"/>
  <c r="DK58" i="2"/>
  <c r="DN58" i="2"/>
  <c r="DT58" i="2" s="1"/>
  <c r="DO58" i="2"/>
  <c r="DP58" i="2"/>
  <c r="DQ58" i="2"/>
  <c r="DR58" i="2"/>
  <c r="DS58" i="2"/>
  <c r="EA58" i="2"/>
  <c r="EN58" i="2"/>
  <c r="EV58" i="2"/>
  <c r="EX58" i="2"/>
  <c r="FD58" i="2"/>
  <c r="FL58" i="2"/>
  <c r="FM58" i="2"/>
  <c r="FS58" i="2"/>
  <c r="FT58" i="2"/>
  <c r="P58" i="2"/>
  <c r="BX58" i="2"/>
  <c r="AZ58" i="2"/>
  <c r="AG58" i="2"/>
  <c r="F58" i="2"/>
  <c r="H58" i="2"/>
  <c r="L58" i="2"/>
  <c r="DA40" i="2"/>
  <c r="DC40" i="2"/>
  <c r="DE40" i="2"/>
  <c r="DF40" i="2"/>
  <c r="DG40" i="2"/>
  <c r="DH40" i="2"/>
  <c r="DI40" i="2"/>
  <c r="DK40" i="2"/>
  <c r="DN40" i="2"/>
  <c r="DT40" i="2" s="1"/>
  <c r="DO40" i="2"/>
  <c r="DP40" i="2"/>
  <c r="DQ40" i="2"/>
  <c r="DR40" i="2"/>
  <c r="DS40" i="2"/>
  <c r="EA40" i="2"/>
  <c r="EN40" i="2"/>
  <c r="EV40" i="2"/>
  <c r="EX40" i="2"/>
  <c r="FD40" i="2"/>
  <c r="FL40" i="2"/>
  <c r="FM40" i="2"/>
  <c r="FS40" i="2"/>
  <c r="FT40" i="2"/>
  <c r="CU40" i="2"/>
  <c r="CV40" i="2"/>
  <c r="CW40" i="2"/>
  <c r="CX40" i="2"/>
  <c r="CY40" i="2"/>
  <c r="S40" i="2"/>
  <c r="CK40" i="2"/>
  <c r="P40" i="2"/>
  <c r="BX40" i="2"/>
  <c r="AZ40" i="2"/>
  <c r="AG40" i="2"/>
  <c r="AJ40" i="2"/>
  <c r="F40" i="2"/>
  <c r="H40" i="2"/>
  <c r="L40" i="2"/>
  <c r="V9" i="5"/>
  <c r="M9" i="5"/>
  <c r="FT113" i="2"/>
  <c r="FS113" i="2"/>
  <c r="FM113" i="2"/>
  <c r="FL113" i="2"/>
  <c r="FD36" i="2"/>
  <c r="EX36" i="2"/>
  <c r="EV36" i="2"/>
  <c r="EN36" i="2"/>
  <c r="EA36" i="2"/>
  <c r="DS36" i="2"/>
  <c r="DR36" i="2"/>
  <c r="DQ36" i="2"/>
  <c r="DP36" i="2"/>
  <c r="DO36" i="2"/>
  <c r="DN36" i="2"/>
  <c r="DT36" i="2" s="1"/>
  <c r="DK36" i="2"/>
  <c r="DJ36" i="2"/>
  <c r="DI36" i="2"/>
  <c r="DH36" i="2"/>
  <c r="DG36" i="2"/>
  <c r="DF36" i="2"/>
  <c r="DE36" i="2"/>
  <c r="DC36" i="2"/>
  <c r="DA36" i="2"/>
  <c r="CY36" i="2"/>
  <c r="CX36" i="2"/>
  <c r="CW36" i="2"/>
  <c r="CV36" i="2"/>
  <c r="CU36" i="2"/>
  <c r="CP36" i="2"/>
  <c r="CK36" i="2"/>
  <c r="P36" i="2"/>
  <c r="BX36" i="2"/>
  <c r="AZ36" i="2"/>
  <c r="AJ36" i="2"/>
  <c r="AG36" i="2"/>
  <c r="L36" i="2"/>
  <c r="F36" i="2"/>
  <c r="AJ180" i="2"/>
  <c r="AJ44" i="2"/>
  <c r="AJ113" i="2"/>
  <c r="AJ80" i="2"/>
  <c r="AJ35" i="2"/>
  <c r="AJ13" i="2"/>
  <c r="AJ42" i="2"/>
  <c r="AJ6" i="2"/>
  <c r="AJ181" i="2"/>
  <c r="AJ34" i="2"/>
  <c r="AJ182" i="2"/>
  <c r="AJ43" i="2"/>
  <c r="AJ45" i="2"/>
  <c r="AJ61" i="2"/>
  <c r="AJ31" i="2"/>
  <c r="AJ183" i="2"/>
  <c r="AJ87" i="2"/>
  <c r="AJ21" i="2"/>
  <c r="AJ7" i="2"/>
  <c r="AJ56" i="2"/>
  <c r="AJ193" i="2"/>
  <c r="AJ23" i="2"/>
  <c r="AJ33" i="2"/>
  <c r="AJ41" i="2"/>
  <c r="AJ20" i="2"/>
  <c r="AJ77" i="2"/>
  <c r="AJ82" i="2"/>
  <c r="AJ83" i="2"/>
  <c r="AJ89" i="2"/>
  <c r="AJ114" i="2"/>
  <c r="AJ167" i="2"/>
  <c r="AJ53" i="2"/>
  <c r="T40" i="7" l="1"/>
  <c r="Y40" i="7" s="1"/>
  <c r="AA40" i="7" s="1"/>
  <c r="B40" i="7"/>
  <c r="O58" i="7"/>
  <c r="O40" i="7"/>
  <c r="T58" i="7"/>
  <c r="Y58" i="7" s="1"/>
  <c r="AA58" i="7" s="1"/>
  <c r="B58" i="7"/>
  <c r="AH58" i="7"/>
  <c r="C58" i="7"/>
  <c r="AH40" i="7"/>
  <c r="C40" i="7"/>
  <c r="S36" i="2"/>
  <c r="R40" i="2"/>
  <c r="R58" i="2"/>
  <c r="R36" i="2"/>
  <c r="T58" i="2"/>
  <c r="T40" i="2"/>
  <c r="CQ36" i="2"/>
  <c r="CQ58" i="2"/>
  <c r="EJ3" i="2"/>
  <c r="EJ4" i="2"/>
  <c r="EJ49" i="2"/>
  <c r="I1" i="7"/>
  <c r="S114" i="2" l="1"/>
  <c r="CU114" i="2"/>
  <c r="CV114" i="2"/>
  <c r="CW114" i="2"/>
  <c r="CX114" i="2"/>
  <c r="CY114" i="2"/>
  <c r="DA114" i="2"/>
  <c r="DC114" i="2"/>
  <c r="DE114" i="2"/>
  <c r="DF114" i="2"/>
  <c r="DG114" i="2"/>
  <c r="DH114" i="2"/>
  <c r="DI114" i="2"/>
  <c r="DK114" i="2"/>
  <c r="DN114" i="2"/>
  <c r="DT114" i="2" s="1"/>
  <c r="DO114" i="2"/>
  <c r="DP114" i="2"/>
  <c r="DQ114" i="2"/>
  <c r="DR114" i="2"/>
  <c r="DS114" i="2"/>
  <c r="EA114" i="2"/>
  <c r="EN114" i="2"/>
  <c r="EV114" i="2"/>
  <c r="B114" i="7" s="1"/>
  <c r="EX114" i="2"/>
  <c r="FD114" i="2"/>
  <c r="FL33" i="2"/>
  <c r="FM33" i="2"/>
  <c r="FS33" i="2"/>
  <c r="FT33" i="2"/>
  <c r="CK114" i="2"/>
  <c r="P114" i="2"/>
  <c r="BX114" i="2"/>
  <c r="AZ114" i="2"/>
  <c r="T114" i="7" s="1"/>
  <c r="Y114" i="7" s="1"/>
  <c r="AA114" i="7" s="1"/>
  <c r="AG114" i="2"/>
  <c r="F114" i="2"/>
  <c r="H114" i="2"/>
  <c r="O114" i="7" s="1"/>
  <c r="L114" i="2"/>
  <c r="C114" i="7" l="1"/>
  <c r="AH114" i="7"/>
  <c r="R114" i="2"/>
  <c r="CQ114" i="2"/>
  <c r="CU74" i="2" l="1"/>
  <c r="CV74" i="2"/>
  <c r="CW74" i="2"/>
  <c r="CX74" i="2"/>
  <c r="CY74" i="2"/>
  <c r="DA74" i="2"/>
  <c r="DC74" i="2"/>
  <c r="DE74" i="2"/>
  <c r="DF74" i="2"/>
  <c r="DG74" i="2"/>
  <c r="DH74" i="2"/>
  <c r="DI74" i="2"/>
  <c r="DK74" i="2"/>
  <c r="DN74" i="2"/>
  <c r="DT74" i="2" s="1"/>
  <c r="DO74" i="2"/>
  <c r="DP74" i="2"/>
  <c r="DQ74" i="2"/>
  <c r="DR74" i="2"/>
  <c r="DS74" i="2"/>
  <c r="EA74" i="2"/>
  <c r="EN74" i="2"/>
  <c r="EV74" i="2"/>
  <c r="EX74" i="2"/>
  <c r="FD74" i="2"/>
  <c r="FL74" i="2"/>
  <c r="FM74" i="2"/>
  <c r="FS74" i="2"/>
  <c r="FT74" i="2"/>
  <c r="S74" i="2"/>
  <c r="CK74" i="2"/>
  <c r="P74" i="2"/>
  <c r="BX74" i="2"/>
  <c r="AZ74" i="2"/>
  <c r="AG74" i="2"/>
  <c r="AJ74" i="2"/>
  <c r="F74" i="2"/>
  <c r="H74" i="2"/>
  <c r="L74" i="2"/>
  <c r="AJ90" i="2"/>
  <c r="B74" i="7" l="1"/>
  <c r="O74" i="7"/>
  <c r="T74" i="7"/>
  <c r="Y74" i="7" s="1"/>
  <c r="AA74" i="7" s="1"/>
  <c r="C74" i="7"/>
  <c r="AH74" i="7"/>
  <c r="R74" i="2"/>
  <c r="CQ74" i="2"/>
  <c r="CU103" i="2"/>
  <c r="CV103" i="2"/>
  <c r="CW103" i="2"/>
  <c r="CX103" i="2"/>
  <c r="CY103" i="2"/>
  <c r="DA103" i="2"/>
  <c r="DC103" i="2"/>
  <c r="DE103" i="2"/>
  <c r="DF103" i="2"/>
  <c r="DG103" i="2"/>
  <c r="DH103" i="2"/>
  <c r="DI103" i="2"/>
  <c r="DK103" i="2"/>
  <c r="DN103" i="2"/>
  <c r="DT103" i="2" s="1"/>
  <c r="DO103" i="2"/>
  <c r="DP103" i="2"/>
  <c r="DQ103" i="2"/>
  <c r="DR103" i="2"/>
  <c r="DS103" i="2"/>
  <c r="EA103" i="2"/>
  <c r="EN103" i="2"/>
  <c r="EV103" i="2"/>
  <c r="EX103" i="2"/>
  <c r="FD103" i="2"/>
  <c r="FL103" i="2"/>
  <c r="FM103" i="2"/>
  <c r="FS103" i="2"/>
  <c r="FT103" i="2"/>
  <c r="S103" i="2"/>
  <c r="CK103" i="2"/>
  <c r="P103" i="2"/>
  <c r="BX103" i="2"/>
  <c r="AZ103" i="2"/>
  <c r="AG103" i="2"/>
  <c r="AJ103" i="2"/>
  <c r="F103" i="2"/>
  <c r="L103" i="2"/>
  <c r="B103" i="7" l="1"/>
  <c r="T103" i="7"/>
  <c r="Y103" i="7" s="1"/>
  <c r="AA103" i="7" s="1"/>
  <c r="AH103" i="7"/>
  <c r="C103" i="7"/>
  <c r="R103" i="2"/>
  <c r="CQ103" i="2"/>
  <c r="AJ15" i="2"/>
  <c r="AJ4" i="2"/>
  <c r="BX15" i="2"/>
  <c r="BX4" i="2"/>
  <c r="CU30" i="2" l="1"/>
  <c r="CV30" i="2"/>
  <c r="CW30" i="2"/>
  <c r="CX30" i="2"/>
  <c r="CY30" i="2"/>
  <c r="DA30" i="2"/>
  <c r="DC30" i="2"/>
  <c r="DE30" i="2"/>
  <c r="DF30" i="2"/>
  <c r="DG30" i="2"/>
  <c r="DH30" i="2"/>
  <c r="DI30" i="2"/>
  <c r="DK30" i="2"/>
  <c r="DN30" i="2"/>
  <c r="DT30" i="2" s="1"/>
  <c r="DO30" i="2"/>
  <c r="DP30" i="2"/>
  <c r="DQ30" i="2"/>
  <c r="DR30" i="2"/>
  <c r="DS30" i="2"/>
  <c r="EA30" i="2"/>
  <c r="EN30" i="2"/>
  <c r="EV30" i="2"/>
  <c r="EX30" i="2"/>
  <c r="FD30" i="2"/>
  <c r="FL30" i="2"/>
  <c r="FM30" i="2"/>
  <c r="FS30" i="2"/>
  <c r="FT30" i="2"/>
  <c r="S30" i="2"/>
  <c r="CK30" i="2"/>
  <c r="P30" i="2"/>
  <c r="BX30" i="2"/>
  <c r="AZ30" i="2"/>
  <c r="AG30" i="2"/>
  <c r="AJ30" i="2"/>
  <c r="F30" i="2"/>
  <c r="H30" i="2"/>
  <c r="L30" i="2"/>
  <c r="CU111" i="2"/>
  <c r="CV111" i="2"/>
  <c r="CW111" i="2"/>
  <c r="CX111" i="2"/>
  <c r="CY111" i="2"/>
  <c r="DA111" i="2"/>
  <c r="DC111" i="2"/>
  <c r="DE111" i="2"/>
  <c r="DF111" i="2"/>
  <c r="DG111" i="2"/>
  <c r="DH111" i="2"/>
  <c r="DI111" i="2"/>
  <c r="DJ111" i="2"/>
  <c r="DK111" i="2"/>
  <c r="DN111" i="2"/>
  <c r="DT111" i="2" s="1"/>
  <c r="DO111" i="2"/>
  <c r="DP111" i="2"/>
  <c r="DQ111" i="2"/>
  <c r="DR111" i="2"/>
  <c r="DS111" i="2"/>
  <c r="EA111" i="2"/>
  <c r="EN111" i="2"/>
  <c r="EV111" i="2"/>
  <c r="EX111" i="2"/>
  <c r="FD111" i="2"/>
  <c r="FL112" i="2"/>
  <c r="FM112" i="2"/>
  <c r="FS112" i="2"/>
  <c r="FT112" i="2"/>
  <c r="CP111" i="2"/>
  <c r="CK111" i="2"/>
  <c r="P111" i="2"/>
  <c r="BX111" i="2"/>
  <c r="AZ111" i="2"/>
  <c r="AG111" i="2"/>
  <c r="AJ111" i="2"/>
  <c r="F111" i="2"/>
  <c r="H111" i="2"/>
  <c r="L111" i="2"/>
  <c r="F8" i="2"/>
  <c r="DA9" i="2"/>
  <c r="DC9" i="2"/>
  <c r="DE9" i="2"/>
  <c r="DF9" i="2"/>
  <c r="DG9" i="2"/>
  <c r="DH9" i="2"/>
  <c r="DI9" i="2"/>
  <c r="DK9" i="2"/>
  <c r="DN9" i="2"/>
  <c r="DT9" i="2" s="1"/>
  <c r="DO9" i="2"/>
  <c r="DP9" i="2"/>
  <c r="DQ9" i="2"/>
  <c r="DR9" i="2"/>
  <c r="DS9" i="2"/>
  <c r="EA9" i="2"/>
  <c r="EN9" i="2"/>
  <c r="EV9" i="2"/>
  <c r="B9" i="7" s="1"/>
  <c r="EX9" i="2"/>
  <c r="FD9" i="2"/>
  <c r="FL9" i="2"/>
  <c r="FM9" i="2"/>
  <c r="FS9" i="2"/>
  <c r="FT9" i="2"/>
  <c r="CU9" i="2"/>
  <c r="CV9" i="2"/>
  <c r="CW9" i="2"/>
  <c r="CX9" i="2"/>
  <c r="CY9" i="2"/>
  <c r="S9" i="2"/>
  <c r="CK9" i="2"/>
  <c r="P9" i="2"/>
  <c r="BX9" i="2"/>
  <c r="AZ9" i="2"/>
  <c r="AG9" i="2"/>
  <c r="F9" i="2"/>
  <c r="H9" i="2"/>
  <c r="L9" i="2"/>
  <c r="B30" i="7" l="1"/>
  <c r="O30" i="7"/>
  <c r="T9" i="7"/>
  <c r="Y9" i="7" s="1"/>
  <c r="AA9" i="7" s="1"/>
  <c r="O9" i="7"/>
  <c r="T30" i="7"/>
  <c r="Y30" i="7" s="1"/>
  <c r="AA30" i="7" s="1"/>
  <c r="AH8" i="7"/>
  <c r="C8" i="7"/>
  <c r="AH30" i="7"/>
  <c r="C30" i="7"/>
  <c r="AH9" i="7"/>
  <c r="C9" i="7"/>
  <c r="R30" i="2"/>
  <c r="R111" i="2"/>
  <c r="S111" i="2"/>
  <c r="R9" i="2"/>
  <c r="T30" i="2"/>
  <c r="CQ9" i="2"/>
  <c r="CQ111" i="2"/>
  <c r="L64" i="2"/>
  <c r="AD14" i="5" l="1"/>
  <c r="M14" i="5"/>
  <c r="V14" i="5"/>
  <c r="FT111" i="2" l="1"/>
  <c r="FS111" i="2"/>
  <c r="FM111" i="2"/>
  <c r="FL111" i="2"/>
  <c r="FD51" i="2"/>
  <c r="EX51" i="2"/>
  <c r="EV51" i="2"/>
  <c r="EN51" i="2"/>
  <c r="EA51" i="2"/>
  <c r="DS51" i="2"/>
  <c r="DR51" i="2"/>
  <c r="DQ51" i="2"/>
  <c r="DP51" i="2"/>
  <c r="DO51" i="2"/>
  <c r="DN51" i="2"/>
  <c r="DT51" i="2" s="1"/>
  <c r="DK51" i="2"/>
  <c r="DJ51" i="2"/>
  <c r="DI51" i="2"/>
  <c r="DH51" i="2"/>
  <c r="DG51" i="2"/>
  <c r="DF51" i="2"/>
  <c r="DE51" i="2"/>
  <c r="DC51" i="2"/>
  <c r="DA51" i="2"/>
  <c r="CY51" i="2"/>
  <c r="CX51" i="2"/>
  <c r="CW51" i="2"/>
  <c r="CV51" i="2"/>
  <c r="CU51" i="2"/>
  <c r="CP51" i="2"/>
  <c r="S51" i="2" s="1"/>
  <c r="CK51" i="2"/>
  <c r="R51" i="2" s="1"/>
  <c r="P51" i="2"/>
  <c r="BX51" i="2"/>
  <c r="AZ51" i="2"/>
  <c r="AJ51" i="2"/>
  <c r="AG51" i="2"/>
  <c r="L51" i="2"/>
  <c r="H51" i="2"/>
  <c r="F51" i="2"/>
  <c r="T111" i="7" l="1"/>
  <c r="Y111" i="7" s="1"/>
  <c r="AA111" i="7" s="1"/>
  <c r="B111" i="7"/>
  <c r="O111" i="7"/>
  <c r="AH111" i="7"/>
  <c r="C111" i="7"/>
  <c r="CQ51" i="2"/>
  <c r="CU29" i="2" l="1"/>
  <c r="CV29" i="2"/>
  <c r="CW29" i="2"/>
  <c r="CX29" i="2"/>
  <c r="CY29" i="2"/>
  <c r="DA29" i="2"/>
  <c r="DC29" i="2"/>
  <c r="DE29" i="2"/>
  <c r="DF29" i="2"/>
  <c r="DG29" i="2"/>
  <c r="DH29" i="2"/>
  <c r="DI29" i="2"/>
  <c r="DK29" i="2"/>
  <c r="DN29" i="2"/>
  <c r="DT29" i="2" s="1"/>
  <c r="DO29" i="2"/>
  <c r="DP29" i="2"/>
  <c r="DQ29" i="2"/>
  <c r="DR29" i="2"/>
  <c r="DS29" i="2"/>
  <c r="EA29" i="2"/>
  <c r="EN29" i="2"/>
  <c r="EV29" i="2"/>
  <c r="EX29" i="2"/>
  <c r="FD29" i="2"/>
  <c r="FL11" i="2"/>
  <c r="FM11" i="2"/>
  <c r="FS11" i="2"/>
  <c r="FT11" i="2"/>
  <c r="S29" i="2"/>
  <c r="CK29" i="2"/>
  <c r="P29" i="2"/>
  <c r="BX29" i="2"/>
  <c r="AZ29" i="2"/>
  <c r="AG29" i="2"/>
  <c r="AJ29" i="2"/>
  <c r="H29" i="2"/>
  <c r="L29" i="2"/>
  <c r="R29" i="2" l="1"/>
  <c r="CQ29" i="2"/>
  <c r="CG5" i="6"/>
  <c r="M5" i="6" s="1"/>
  <c r="CL5" i="6"/>
  <c r="N5" i="6" s="1"/>
  <c r="CQ5" i="6"/>
  <c r="CR5" i="6"/>
  <c r="CS5" i="6"/>
  <c r="CT5" i="6"/>
  <c r="CU5" i="6"/>
  <c r="CW5" i="6"/>
  <c r="CY5" i="6"/>
  <c r="DA5" i="6"/>
  <c r="DB5" i="6"/>
  <c r="DC5" i="6"/>
  <c r="DD5" i="6"/>
  <c r="DE5" i="6"/>
  <c r="DF5" i="6"/>
  <c r="DG5" i="6"/>
  <c r="DJ5" i="6"/>
  <c r="DP5" i="6" s="1"/>
  <c r="DK5" i="6"/>
  <c r="DL5" i="6"/>
  <c r="DM5" i="6"/>
  <c r="DN5" i="6"/>
  <c r="DO5" i="6"/>
  <c r="DW5" i="6"/>
  <c r="EK5" i="6"/>
  <c r="ER5" i="6"/>
  <c r="ET5" i="6"/>
  <c r="EZ5" i="6"/>
  <c r="FD5" i="6"/>
  <c r="FE5" i="6"/>
  <c r="FK5" i="6"/>
  <c r="FL5" i="6"/>
  <c r="CA5" i="6"/>
  <c r="K5" i="6" s="1"/>
  <c r="BT5" i="6"/>
  <c r="AS5" i="6"/>
  <c r="CM5" i="6" s="1"/>
  <c r="Z5" i="6"/>
  <c r="AC5" i="6"/>
  <c r="A5" i="6"/>
  <c r="E5" i="6"/>
  <c r="F5" i="6"/>
  <c r="G5" i="6"/>
  <c r="J5" i="6"/>
  <c r="AJ112" i="2" l="1"/>
  <c r="AD12" i="5" l="1"/>
  <c r="M12" i="5"/>
  <c r="V12" i="5"/>
  <c r="S15" i="2" l="1"/>
  <c r="CU15" i="2"/>
  <c r="CV15" i="2"/>
  <c r="CW15" i="2"/>
  <c r="CX15" i="2"/>
  <c r="CY15" i="2"/>
  <c r="DA15" i="2"/>
  <c r="DC15" i="2"/>
  <c r="DE15" i="2"/>
  <c r="DF15" i="2"/>
  <c r="DG15" i="2"/>
  <c r="DH15" i="2"/>
  <c r="DI15" i="2"/>
  <c r="DK15" i="2"/>
  <c r="DN15" i="2"/>
  <c r="DT15" i="2" s="1"/>
  <c r="DO15" i="2"/>
  <c r="DP15" i="2"/>
  <c r="DQ15" i="2"/>
  <c r="DR15" i="2"/>
  <c r="DS15" i="2"/>
  <c r="EA15" i="2"/>
  <c r="EN15" i="2"/>
  <c r="EV15" i="2"/>
  <c r="B15" i="7" s="1"/>
  <c r="EX15" i="2"/>
  <c r="FD15" i="2"/>
  <c r="FL15" i="2"/>
  <c r="FM15" i="2"/>
  <c r="CK15" i="2"/>
  <c r="P15" i="2"/>
  <c r="AZ15" i="2"/>
  <c r="T15" i="7" s="1"/>
  <c r="Y15" i="7" s="1"/>
  <c r="AG15" i="2"/>
  <c r="F15" i="2"/>
  <c r="H15" i="2"/>
  <c r="O15" i="7" s="1"/>
  <c r="CU24" i="2"/>
  <c r="CV24" i="2"/>
  <c r="CW24" i="2"/>
  <c r="CX24" i="2"/>
  <c r="CY24" i="2"/>
  <c r="DA24" i="2"/>
  <c r="DC24" i="2"/>
  <c r="DE24" i="2"/>
  <c r="DF24" i="2"/>
  <c r="DG24" i="2"/>
  <c r="DH24" i="2"/>
  <c r="DI24" i="2"/>
  <c r="DK24" i="2"/>
  <c r="DN24" i="2"/>
  <c r="DT24" i="2" s="1"/>
  <c r="DO24" i="2"/>
  <c r="DP24" i="2"/>
  <c r="DQ24" i="2"/>
  <c r="DR24" i="2"/>
  <c r="DS24" i="2"/>
  <c r="EA24" i="2"/>
  <c r="EN24" i="2"/>
  <c r="EV24" i="2"/>
  <c r="B24" i="7" s="1"/>
  <c r="EX24" i="2"/>
  <c r="FD24" i="2"/>
  <c r="FL29" i="2"/>
  <c r="FM29" i="2"/>
  <c r="FS29" i="2"/>
  <c r="FT29" i="2"/>
  <c r="S24" i="2"/>
  <c r="CK24" i="2"/>
  <c r="P24" i="2"/>
  <c r="BX24" i="2"/>
  <c r="AZ24" i="2"/>
  <c r="T24" i="7" s="1"/>
  <c r="Y24" i="7" s="1"/>
  <c r="AA24" i="7" s="1"/>
  <c r="AG24" i="2"/>
  <c r="AJ24" i="2"/>
  <c r="F24" i="2"/>
  <c r="H24" i="2"/>
  <c r="O24" i="7" s="1"/>
  <c r="L24" i="2"/>
  <c r="C24" i="7" l="1"/>
  <c r="AH24" i="7"/>
  <c r="B29" i="7"/>
  <c r="T29" i="7"/>
  <c r="Y29" i="7" s="1"/>
  <c r="AA29" i="7" s="1"/>
  <c r="O29" i="7"/>
  <c r="C15" i="7"/>
  <c r="AH15" i="7"/>
  <c r="C29" i="7"/>
  <c r="AH29" i="7"/>
  <c r="R24" i="2"/>
  <c r="R15" i="2"/>
  <c r="T15" i="2"/>
  <c r="CQ15" i="2"/>
  <c r="Z15" i="7" s="1"/>
  <c r="AA15" i="7" s="1"/>
  <c r="CQ24" i="2"/>
  <c r="DA98" i="2"/>
  <c r="DC98" i="2"/>
  <c r="DE98" i="2"/>
  <c r="DF98" i="2"/>
  <c r="DG98" i="2"/>
  <c r="DH98" i="2"/>
  <c r="DI98" i="2"/>
  <c r="DK98" i="2"/>
  <c r="DN98" i="2"/>
  <c r="DT98" i="2" s="1"/>
  <c r="DO98" i="2"/>
  <c r="DP98" i="2"/>
  <c r="DQ98" i="2"/>
  <c r="DR98" i="2"/>
  <c r="DS98" i="2"/>
  <c r="EA98" i="2"/>
  <c r="EN98" i="2"/>
  <c r="EV98" i="2"/>
  <c r="EX98" i="2"/>
  <c r="FD98" i="2"/>
  <c r="FL98" i="2"/>
  <c r="FM98" i="2"/>
  <c r="CU98" i="2"/>
  <c r="CV98" i="2"/>
  <c r="CW98" i="2"/>
  <c r="CX98" i="2"/>
  <c r="CY98" i="2"/>
  <c r="S98" i="2"/>
  <c r="CK98" i="2"/>
  <c r="R98" i="2" s="1"/>
  <c r="P98" i="2"/>
  <c r="BX98" i="2"/>
  <c r="AZ98" i="2"/>
  <c r="AG98" i="2"/>
  <c r="F98" i="2"/>
  <c r="H98" i="2"/>
  <c r="AD13" i="5"/>
  <c r="M13" i="5"/>
  <c r="V13" i="5"/>
  <c r="B98" i="7" l="1"/>
  <c r="T98" i="7"/>
  <c r="Y98" i="7" s="1"/>
  <c r="AA98" i="7" s="1"/>
  <c r="O98" i="7"/>
  <c r="AH98" i="7"/>
  <c r="C98" i="7"/>
  <c r="T98" i="2"/>
  <c r="CQ98" i="2"/>
  <c r="H18" i="2"/>
  <c r="O18" i="7" s="1"/>
  <c r="F39" i="2"/>
  <c r="H39" i="2"/>
  <c r="O39" i="7" s="1"/>
  <c r="L39" i="2"/>
  <c r="F10" i="2"/>
  <c r="L10" i="2"/>
  <c r="AH10" i="7" l="1"/>
  <c r="C10" i="7"/>
  <c r="AH39" i="7"/>
  <c r="C39" i="7"/>
  <c r="T10" i="2"/>
  <c r="T39" i="2"/>
  <c r="CU66" i="2"/>
  <c r="CV66" i="2"/>
  <c r="CW66" i="2"/>
  <c r="CX66" i="2"/>
  <c r="CY66" i="2"/>
  <c r="DA66" i="2"/>
  <c r="DC66" i="2"/>
  <c r="DE66" i="2"/>
  <c r="DF66" i="2"/>
  <c r="DG66" i="2"/>
  <c r="DH66" i="2"/>
  <c r="DI66" i="2"/>
  <c r="DK66" i="2"/>
  <c r="DN66" i="2"/>
  <c r="DT66" i="2" s="1"/>
  <c r="DO66" i="2"/>
  <c r="DP66" i="2"/>
  <c r="DQ66" i="2"/>
  <c r="DR66" i="2"/>
  <c r="DS66" i="2"/>
  <c r="EA66" i="2"/>
  <c r="EN66" i="2"/>
  <c r="EV66" i="2"/>
  <c r="EX66" i="2"/>
  <c r="FD66" i="2"/>
  <c r="FL66" i="2"/>
  <c r="FM66" i="2"/>
  <c r="FS66" i="2"/>
  <c r="FT66" i="2"/>
  <c r="S66" i="2"/>
  <c r="CK66" i="2"/>
  <c r="P66" i="2"/>
  <c r="BX66" i="2"/>
  <c r="AZ66" i="2"/>
  <c r="AG66" i="2"/>
  <c r="AJ66" i="2"/>
  <c r="F66" i="2"/>
  <c r="H66" i="2"/>
  <c r="L66" i="2"/>
  <c r="T66" i="7" l="1"/>
  <c r="Y66" i="7" s="1"/>
  <c r="AA66" i="7" s="1"/>
  <c r="B66" i="7"/>
  <c r="O66" i="7"/>
  <c r="AH66" i="7"/>
  <c r="C66" i="7"/>
  <c r="R66" i="2"/>
  <c r="CU27" i="2" l="1"/>
  <c r="CV27" i="2"/>
  <c r="CW27" i="2"/>
  <c r="CX27" i="2"/>
  <c r="CY27" i="2"/>
  <c r="DA27" i="2"/>
  <c r="DC27" i="2"/>
  <c r="DE27" i="2"/>
  <c r="DF27" i="2"/>
  <c r="DG27" i="2"/>
  <c r="DH27" i="2"/>
  <c r="DI27" i="2"/>
  <c r="DK27" i="2"/>
  <c r="DN27" i="2"/>
  <c r="DT27" i="2" s="1"/>
  <c r="DO27" i="2"/>
  <c r="DP27" i="2"/>
  <c r="DQ27" i="2"/>
  <c r="DR27" i="2"/>
  <c r="DS27" i="2"/>
  <c r="EA27" i="2"/>
  <c r="EN27" i="2"/>
  <c r="EV27" i="2"/>
  <c r="EX27" i="2"/>
  <c r="FD27" i="2"/>
  <c r="FL27" i="2"/>
  <c r="FM27" i="2"/>
  <c r="FS27" i="2"/>
  <c r="FT27" i="2"/>
  <c r="S27" i="2"/>
  <c r="CK27" i="2"/>
  <c r="P27" i="2"/>
  <c r="BX27" i="2"/>
  <c r="AZ27" i="2"/>
  <c r="AG27" i="2"/>
  <c r="AJ27" i="2"/>
  <c r="F27" i="2"/>
  <c r="H27" i="2"/>
  <c r="L27" i="2"/>
  <c r="CU26" i="2"/>
  <c r="CV26" i="2"/>
  <c r="CW26" i="2"/>
  <c r="CX26" i="2"/>
  <c r="CY26" i="2"/>
  <c r="DA26" i="2"/>
  <c r="DC26" i="2"/>
  <c r="DE26" i="2"/>
  <c r="DF26" i="2"/>
  <c r="DG26" i="2"/>
  <c r="DH26" i="2"/>
  <c r="DI26" i="2"/>
  <c r="DK26" i="2"/>
  <c r="DN26" i="2"/>
  <c r="DT26" i="2" s="1"/>
  <c r="DO26" i="2"/>
  <c r="DP26" i="2"/>
  <c r="DQ26" i="2"/>
  <c r="DR26" i="2"/>
  <c r="DS26" i="2"/>
  <c r="EA26" i="2"/>
  <c r="EN26" i="2"/>
  <c r="EV26" i="2"/>
  <c r="EX26" i="2"/>
  <c r="FD26" i="2"/>
  <c r="FL26" i="2"/>
  <c r="FM26" i="2"/>
  <c r="FS26" i="2"/>
  <c r="FT26" i="2"/>
  <c r="S26" i="2"/>
  <c r="CK26" i="2"/>
  <c r="P26" i="2"/>
  <c r="AG26" i="2"/>
  <c r="BX26" i="2"/>
  <c r="F26" i="2"/>
  <c r="H26" i="2"/>
  <c r="AD11" i="5"/>
  <c r="M11" i="5"/>
  <c r="V11" i="5"/>
  <c r="AJ25" i="2"/>
  <c r="DA25" i="2"/>
  <c r="DC25" i="2"/>
  <c r="DE25" i="2"/>
  <c r="DF25" i="2"/>
  <c r="DG25" i="2"/>
  <c r="DH25" i="2"/>
  <c r="DI25" i="2"/>
  <c r="DK25" i="2"/>
  <c r="DN25" i="2"/>
  <c r="DT25" i="2" s="1"/>
  <c r="DO25" i="2"/>
  <c r="DP25" i="2"/>
  <c r="DQ25" i="2"/>
  <c r="DR25" i="2"/>
  <c r="DS25" i="2"/>
  <c r="EA25" i="2"/>
  <c r="EN25" i="2"/>
  <c r="EV25" i="2"/>
  <c r="EX25" i="2"/>
  <c r="FD25" i="2"/>
  <c r="FL31" i="2"/>
  <c r="FM31" i="2"/>
  <c r="FS31" i="2"/>
  <c r="FT31" i="2"/>
  <c r="CU25" i="2"/>
  <c r="CV25" i="2"/>
  <c r="CW25" i="2"/>
  <c r="CX25" i="2"/>
  <c r="CY25" i="2"/>
  <c r="S25" i="2"/>
  <c r="CK25" i="2"/>
  <c r="P25" i="2"/>
  <c r="BX25" i="2"/>
  <c r="AZ25" i="2"/>
  <c r="AG25" i="2"/>
  <c r="F25" i="2"/>
  <c r="H25" i="2"/>
  <c r="L25" i="2"/>
  <c r="B27" i="7" l="1"/>
  <c r="O27" i="7"/>
  <c r="B26" i="7"/>
  <c r="O26" i="7"/>
  <c r="T27" i="7"/>
  <c r="Y27" i="7" s="1"/>
  <c r="AA27" i="7" s="1"/>
  <c r="AH26" i="7"/>
  <c r="C26" i="7"/>
  <c r="C27" i="7"/>
  <c r="AH27" i="7"/>
  <c r="R25" i="2"/>
  <c r="R26" i="2"/>
  <c r="R27" i="2"/>
  <c r="T27" i="2"/>
  <c r="T26" i="2"/>
  <c r="CQ25" i="2"/>
  <c r="CQ27" i="2"/>
  <c r="AJ26" i="2"/>
  <c r="AZ26" i="2"/>
  <c r="CU167" i="2"/>
  <c r="CV167" i="2"/>
  <c r="CW167" i="2"/>
  <c r="CX167" i="2"/>
  <c r="CY167" i="2"/>
  <c r="DA167" i="2"/>
  <c r="DC167" i="2"/>
  <c r="DE167" i="2"/>
  <c r="DF167" i="2"/>
  <c r="DG167" i="2"/>
  <c r="DH167" i="2"/>
  <c r="DI167" i="2"/>
  <c r="DK167" i="2"/>
  <c r="DN167" i="2"/>
  <c r="DT167" i="2" s="1"/>
  <c r="DO167" i="2"/>
  <c r="DP167" i="2"/>
  <c r="DQ167" i="2"/>
  <c r="DR167" i="2"/>
  <c r="DS167" i="2"/>
  <c r="EA167" i="2"/>
  <c r="EN167" i="2"/>
  <c r="EV167" i="2"/>
  <c r="B167" i="7" s="1"/>
  <c r="EX167" i="2"/>
  <c r="FD167" i="2"/>
  <c r="FL81" i="2"/>
  <c r="FM81" i="2"/>
  <c r="FS81" i="2"/>
  <c r="FT81" i="2"/>
  <c r="S167" i="2"/>
  <c r="CK167" i="2"/>
  <c r="P167" i="2"/>
  <c r="BX167" i="2"/>
  <c r="AZ167" i="2"/>
  <c r="T167" i="7" s="1"/>
  <c r="Y167" i="7" s="1"/>
  <c r="AA167" i="7" s="1"/>
  <c r="BA167" i="2"/>
  <c r="AG167" i="2"/>
  <c r="F167" i="2"/>
  <c r="H167" i="2"/>
  <c r="O167" i="7" s="1"/>
  <c r="L167" i="2"/>
  <c r="CU53" i="2"/>
  <c r="CV53" i="2"/>
  <c r="CW53" i="2"/>
  <c r="CX53" i="2"/>
  <c r="CY53" i="2"/>
  <c r="DA53" i="2"/>
  <c r="DC53" i="2"/>
  <c r="DE53" i="2"/>
  <c r="DF53" i="2"/>
  <c r="DG53" i="2"/>
  <c r="DH53" i="2"/>
  <c r="DI53" i="2"/>
  <c r="DK53" i="2"/>
  <c r="DN53" i="2"/>
  <c r="DT53" i="2" s="1"/>
  <c r="DO53" i="2"/>
  <c r="DP53" i="2"/>
  <c r="DQ53" i="2"/>
  <c r="DR53" i="2"/>
  <c r="DS53" i="2"/>
  <c r="EA53" i="2"/>
  <c r="EN53" i="2"/>
  <c r="EX53" i="2"/>
  <c r="FD53" i="2"/>
  <c r="FL80" i="2"/>
  <c r="FM80" i="2"/>
  <c r="FS80" i="2"/>
  <c r="FT80" i="2"/>
  <c r="S53" i="2"/>
  <c r="CK53" i="2"/>
  <c r="P53" i="2"/>
  <c r="BX53" i="2"/>
  <c r="AZ53" i="2"/>
  <c r="AG53" i="2"/>
  <c r="F53" i="2"/>
  <c r="H53" i="2"/>
  <c r="O53" i="7" s="1"/>
  <c r="L53" i="2"/>
  <c r="C167" i="7" l="1"/>
  <c r="AH167" i="7"/>
  <c r="T26" i="7"/>
  <c r="Y26" i="7" s="1"/>
  <c r="AA26" i="7" s="1"/>
  <c r="B81" i="7"/>
  <c r="O81" i="7"/>
  <c r="T81" i="7"/>
  <c r="Y81" i="7" s="1"/>
  <c r="AA81" i="7" s="1"/>
  <c r="C81" i="7"/>
  <c r="AH81" i="7"/>
  <c r="R167" i="2"/>
  <c r="R53" i="2"/>
  <c r="CQ53" i="2"/>
  <c r="CQ167" i="2"/>
  <c r="CQ26" i="2"/>
  <c r="EV53" i="2"/>
  <c r="BA53" i="2"/>
  <c r="AG78" i="2"/>
  <c r="AG102" i="2"/>
  <c r="AG112" i="2"/>
  <c r="AG73" i="2"/>
  <c r="AG79" i="2"/>
  <c r="AG72" i="2"/>
  <c r="AG75" i="2"/>
  <c r="AG11" i="2"/>
  <c r="AG10" i="2"/>
  <c r="AG39" i="2"/>
  <c r="AG32" i="2"/>
  <c r="AG5" i="2"/>
  <c r="AG70" i="2"/>
  <c r="AG69" i="2"/>
  <c r="AG68" i="2"/>
  <c r="AG92" i="2"/>
  <c r="AG8" i="2"/>
  <c r="AG90" i="2"/>
  <c r="AG28" i="2"/>
  <c r="AG20" i="2"/>
  <c r="AG77" i="2"/>
  <c r="AG95" i="2"/>
  <c r="AG19" i="2"/>
  <c r="AG82" i="2"/>
  <c r="AG83" i="2"/>
  <c r="AG89" i="2"/>
  <c r="AG193" i="2"/>
  <c r="AG23" i="2"/>
  <c r="AG33" i="2"/>
  <c r="AG41" i="2"/>
  <c r="AG31" i="2"/>
  <c r="AG183" i="2"/>
  <c r="AG87" i="2"/>
  <c r="AG21" i="2"/>
  <c r="AG7" i="2"/>
  <c r="AG56" i="2"/>
  <c r="AG180" i="2"/>
  <c r="AG44" i="2"/>
  <c r="AG113" i="2"/>
  <c r="AG85" i="2"/>
  <c r="AG71" i="2"/>
  <c r="AG76" i="2"/>
  <c r="AG80" i="2"/>
  <c r="AG35" i="2"/>
  <c r="AG13" i="2"/>
  <c r="AG42" i="2"/>
  <c r="AG6" i="2"/>
  <c r="AG97" i="2"/>
  <c r="AG181" i="2"/>
  <c r="AG34" i="2"/>
  <c r="AG182" i="2"/>
  <c r="AG43" i="2"/>
  <c r="AG45" i="2"/>
  <c r="AG61" i="2"/>
  <c r="AG22" i="2"/>
  <c r="AG14" i="2"/>
  <c r="AG50" i="2"/>
  <c r="AG12" i="2"/>
  <c r="AG47" i="2"/>
  <c r="AG64" i="2"/>
  <c r="AG65" i="2"/>
  <c r="AG99" i="2"/>
  <c r="AG67" i="2"/>
  <c r="AG16" i="2"/>
  <c r="AG129" i="2"/>
  <c r="AG128" i="2"/>
  <c r="AG130" i="2"/>
  <c r="AG60" i="2"/>
  <c r="AG59" i="2"/>
  <c r="AG46" i="2"/>
  <c r="AG3" i="2"/>
  <c r="AG4" i="2"/>
  <c r="AG49" i="2"/>
  <c r="AG18" i="2"/>
  <c r="AG17" i="2"/>
  <c r="AI78" i="2" l="1"/>
  <c r="P78" i="7" l="1"/>
  <c r="CU85" i="2"/>
  <c r="CV85" i="2"/>
  <c r="CW85" i="2"/>
  <c r="CX85" i="2"/>
  <c r="CY85" i="2"/>
  <c r="DA85" i="2"/>
  <c r="DC85" i="2"/>
  <c r="DE85" i="2"/>
  <c r="DF85" i="2"/>
  <c r="DG85" i="2"/>
  <c r="DH85" i="2"/>
  <c r="DI85" i="2"/>
  <c r="DK85" i="2"/>
  <c r="DN85" i="2"/>
  <c r="DT85" i="2" s="1"/>
  <c r="DO85" i="2"/>
  <c r="DP85" i="2"/>
  <c r="DQ85" i="2"/>
  <c r="DR85" i="2"/>
  <c r="DS85" i="2"/>
  <c r="EA85" i="2"/>
  <c r="EN85" i="2"/>
  <c r="EV85" i="2"/>
  <c r="EX85" i="2"/>
  <c r="FD85" i="2"/>
  <c r="FL85" i="2"/>
  <c r="FM85" i="2"/>
  <c r="FS85" i="2"/>
  <c r="FT85" i="2"/>
  <c r="S85" i="2"/>
  <c r="CK85" i="2"/>
  <c r="P85" i="2"/>
  <c r="BX85" i="2"/>
  <c r="AZ85" i="2"/>
  <c r="H85" i="2"/>
  <c r="B85" i="7" l="1"/>
  <c r="O85" i="7"/>
  <c r="T85" i="7"/>
  <c r="Y85" i="7" s="1"/>
  <c r="AA85" i="7" s="1"/>
  <c r="R85" i="2"/>
  <c r="CQ85" i="2"/>
  <c r="T85" i="2"/>
  <c r="CU10" i="2"/>
  <c r="CV10" i="2"/>
  <c r="CW10" i="2"/>
  <c r="CX10" i="2"/>
  <c r="CY10" i="2"/>
  <c r="DA10" i="2"/>
  <c r="DC10" i="2"/>
  <c r="DE10" i="2"/>
  <c r="DF10" i="2"/>
  <c r="DG10" i="2"/>
  <c r="DH10" i="2"/>
  <c r="DI10" i="2"/>
  <c r="DK10" i="2"/>
  <c r="DN10" i="2"/>
  <c r="DT10" i="2" s="1"/>
  <c r="DO10" i="2"/>
  <c r="DP10" i="2"/>
  <c r="DQ10" i="2"/>
  <c r="DR10" i="2"/>
  <c r="DS10" i="2"/>
  <c r="EA10" i="2"/>
  <c r="EN10" i="2"/>
  <c r="EX10" i="2"/>
  <c r="FD10" i="2"/>
  <c r="FL10" i="2"/>
  <c r="FM10" i="2"/>
  <c r="FS10" i="2"/>
  <c r="FT10" i="2"/>
  <c r="S10" i="2"/>
  <c r="CK10" i="2"/>
  <c r="P10" i="2"/>
  <c r="BX10" i="2"/>
  <c r="AZ10" i="2"/>
  <c r="Z10" i="2"/>
  <c r="AJ10" i="2"/>
  <c r="CU39" i="2"/>
  <c r="CV39" i="2"/>
  <c r="CW39" i="2"/>
  <c r="CX39" i="2"/>
  <c r="CY39" i="2"/>
  <c r="DA39" i="2"/>
  <c r="DC39" i="2"/>
  <c r="DE39" i="2"/>
  <c r="DF39" i="2"/>
  <c r="DG39" i="2"/>
  <c r="DH39" i="2"/>
  <c r="DI39" i="2"/>
  <c r="DK39" i="2"/>
  <c r="DN39" i="2"/>
  <c r="DT39" i="2" s="1"/>
  <c r="DO39" i="2"/>
  <c r="DP39" i="2"/>
  <c r="DQ39" i="2"/>
  <c r="DR39" i="2"/>
  <c r="DS39" i="2"/>
  <c r="EA39" i="2"/>
  <c r="EN39" i="2"/>
  <c r="EX39" i="2"/>
  <c r="FD39" i="2"/>
  <c r="FL39" i="2"/>
  <c r="FM39" i="2"/>
  <c r="FS39" i="2"/>
  <c r="FT39" i="2"/>
  <c r="S39" i="2"/>
  <c r="CK39" i="2"/>
  <c r="P39" i="2"/>
  <c r="BX39" i="2"/>
  <c r="AZ39" i="2"/>
  <c r="T39" i="7" s="1"/>
  <c r="Y39" i="7" s="1"/>
  <c r="Z39" i="2"/>
  <c r="BA39" i="2" s="1"/>
  <c r="AJ39" i="2"/>
  <c r="CU32" i="2"/>
  <c r="CV32" i="2"/>
  <c r="CW32" i="2"/>
  <c r="CX32" i="2"/>
  <c r="CY32" i="2"/>
  <c r="DA32" i="2"/>
  <c r="DC32" i="2"/>
  <c r="DE32" i="2"/>
  <c r="DF32" i="2"/>
  <c r="DG32" i="2"/>
  <c r="DH32" i="2"/>
  <c r="DI32" i="2"/>
  <c r="DK32" i="2"/>
  <c r="DN32" i="2"/>
  <c r="DT32" i="2" s="1"/>
  <c r="DO32" i="2"/>
  <c r="DP32" i="2"/>
  <c r="DQ32" i="2"/>
  <c r="DR32" i="2"/>
  <c r="DS32" i="2"/>
  <c r="EA32" i="2"/>
  <c r="EN32" i="2"/>
  <c r="EX32" i="2"/>
  <c r="FD32" i="2"/>
  <c r="FL32" i="2"/>
  <c r="FM32" i="2"/>
  <c r="FS32" i="2"/>
  <c r="FT32" i="2"/>
  <c r="S32" i="2"/>
  <c r="CK32" i="2"/>
  <c r="P32" i="2"/>
  <c r="BX32" i="2"/>
  <c r="AZ32" i="2"/>
  <c r="T32" i="7" s="1"/>
  <c r="Y32" i="7" s="1"/>
  <c r="Z32" i="2"/>
  <c r="EV32" i="2" s="1"/>
  <c r="B32" i="7" s="1"/>
  <c r="AJ32" i="2"/>
  <c r="F32" i="2"/>
  <c r="H32" i="2"/>
  <c r="O32" i="7" s="1"/>
  <c r="L32" i="2"/>
  <c r="T10" i="7" l="1"/>
  <c r="Y10" i="7" s="1"/>
  <c r="AA10" i="7" s="1"/>
  <c r="AH32" i="7"/>
  <c r="C32" i="7"/>
  <c r="R32" i="2"/>
  <c r="R39" i="2"/>
  <c r="R10" i="2"/>
  <c r="T32" i="2"/>
  <c r="CQ39" i="2"/>
  <c r="Z39" i="7" s="1"/>
  <c r="AA39" i="7" s="1"/>
  <c r="CQ32" i="2"/>
  <c r="Z32" i="7" s="1"/>
  <c r="AA32" i="7" s="1"/>
  <c r="CQ10" i="2"/>
  <c r="EV39" i="2"/>
  <c r="B39" i="7" s="1"/>
  <c r="EV10" i="2"/>
  <c r="BA10" i="2"/>
  <c r="BA32" i="2"/>
  <c r="B10" i="7" l="1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M6" i="8"/>
  <c r="L6" i="8"/>
  <c r="K6" i="8"/>
  <c r="J6" i="8"/>
  <c r="I6" i="8"/>
  <c r="H6" i="8"/>
  <c r="G6" i="8"/>
  <c r="F6" i="8"/>
  <c r="E6" i="8"/>
  <c r="D6" i="8"/>
  <c r="M5" i="8"/>
  <c r="L5" i="8"/>
  <c r="K5" i="8"/>
  <c r="J5" i="8"/>
  <c r="I5" i="8"/>
  <c r="H5" i="8"/>
  <c r="G5" i="8"/>
  <c r="F5" i="8"/>
  <c r="E5" i="8"/>
  <c r="D5" i="8"/>
  <c r="M4" i="8"/>
  <c r="L4" i="8"/>
  <c r="K4" i="8"/>
  <c r="J4" i="8"/>
  <c r="I4" i="8"/>
  <c r="H4" i="8"/>
  <c r="G4" i="8"/>
  <c r="F4" i="8"/>
  <c r="E4" i="8"/>
  <c r="D4" i="8"/>
  <c r="M3" i="8"/>
  <c r="L3" i="8"/>
  <c r="K3" i="8"/>
  <c r="J3" i="8"/>
  <c r="I3" i="8"/>
  <c r="H3" i="8"/>
  <c r="G3" i="8"/>
  <c r="F3" i="8"/>
  <c r="E3" i="8"/>
  <c r="D3" i="8"/>
  <c r="H3" i="2"/>
  <c r="S78" i="2" l="1"/>
  <c r="CU78" i="2"/>
  <c r="CV78" i="2"/>
  <c r="CW78" i="2"/>
  <c r="CX78" i="2"/>
  <c r="CY78" i="2"/>
  <c r="DA78" i="2"/>
  <c r="DC78" i="2"/>
  <c r="DE78" i="2"/>
  <c r="DF78" i="2"/>
  <c r="DG78" i="2"/>
  <c r="DH78" i="2"/>
  <c r="DI78" i="2"/>
  <c r="DK78" i="2"/>
  <c r="DN78" i="2"/>
  <c r="DT78" i="2" s="1"/>
  <c r="DO78" i="2"/>
  <c r="DP78" i="2"/>
  <c r="DQ78" i="2"/>
  <c r="DR78" i="2"/>
  <c r="DS78" i="2"/>
  <c r="EA78" i="2"/>
  <c r="EN78" i="2"/>
  <c r="EV78" i="2"/>
  <c r="EX78" i="2"/>
  <c r="FD78" i="2"/>
  <c r="FL78" i="2"/>
  <c r="FM78" i="2"/>
  <c r="FS78" i="2"/>
  <c r="FT78" i="2"/>
  <c r="CK78" i="2"/>
  <c r="P78" i="2"/>
  <c r="BX78" i="2"/>
  <c r="AZ78" i="2"/>
  <c r="AJ78" i="2"/>
  <c r="F78" i="2"/>
  <c r="H78" i="2"/>
  <c r="L78" i="2"/>
  <c r="CU22" i="2"/>
  <c r="CV22" i="2"/>
  <c r="CW22" i="2"/>
  <c r="CX22" i="2"/>
  <c r="CY22" i="2"/>
  <c r="DA22" i="2"/>
  <c r="DC22" i="2"/>
  <c r="DE22" i="2"/>
  <c r="DF22" i="2"/>
  <c r="DG22" i="2"/>
  <c r="DH22" i="2"/>
  <c r="DI22" i="2"/>
  <c r="DK22" i="2"/>
  <c r="DN22" i="2"/>
  <c r="DT22" i="2" s="1"/>
  <c r="DO22" i="2"/>
  <c r="DP22" i="2"/>
  <c r="DQ22" i="2"/>
  <c r="DR22" i="2"/>
  <c r="DS22" i="2"/>
  <c r="EA22" i="2"/>
  <c r="EN22" i="2"/>
  <c r="EV22" i="2"/>
  <c r="EX22" i="2"/>
  <c r="FD22" i="2"/>
  <c r="FL22" i="2"/>
  <c r="FM22" i="2"/>
  <c r="FS22" i="2"/>
  <c r="FT22" i="2"/>
  <c r="S22" i="2"/>
  <c r="CK22" i="2"/>
  <c r="P22" i="2"/>
  <c r="BX22" i="2"/>
  <c r="AZ22" i="2"/>
  <c r="F22" i="2"/>
  <c r="H22" i="2"/>
  <c r="L22" i="2"/>
  <c r="CU14" i="2"/>
  <c r="CV14" i="2"/>
  <c r="CW14" i="2"/>
  <c r="CX14" i="2"/>
  <c r="CY14" i="2"/>
  <c r="DA14" i="2"/>
  <c r="DC14" i="2"/>
  <c r="DE14" i="2"/>
  <c r="DF14" i="2"/>
  <c r="DG14" i="2"/>
  <c r="DH14" i="2"/>
  <c r="DI14" i="2"/>
  <c r="DK14" i="2"/>
  <c r="DN14" i="2"/>
  <c r="DT14" i="2" s="1"/>
  <c r="DO14" i="2"/>
  <c r="DP14" i="2"/>
  <c r="DQ14" i="2"/>
  <c r="DR14" i="2"/>
  <c r="DS14" i="2"/>
  <c r="EA14" i="2"/>
  <c r="EN14" i="2"/>
  <c r="EV14" i="2"/>
  <c r="EX14" i="2"/>
  <c r="FD14" i="2"/>
  <c r="FL14" i="2"/>
  <c r="FM14" i="2"/>
  <c r="FS14" i="2"/>
  <c r="FT14" i="2"/>
  <c r="S14" i="2"/>
  <c r="CK14" i="2"/>
  <c r="P14" i="2"/>
  <c r="BX14" i="2"/>
  <c r="AZ14" i="2"/>
  <c r="F14" i="2"/>
  <c r="H14" i="2"/>
  <c r="CU50" i="2"/>
  <c r="CV50" i="2"/>
  <c r="CW50" i="2"/>
  <c r="CX50" i="2"/>
  <c r="CY50" i="2"/>
  <c r="DA50" i="2"/>
  <c r="DC50" i="2"/>
  <c r="DE50" i="2"/>
  <c r="DF50" i="2"/>
  <c r="DG50" i="2"/>
  <c r="DH50" i="2"/>
  <c r="DI50" i="2"/>
  <c r="DK50" i="2"/>
  <c r="DN50" i="2"/>
  <c r="DT50" i="2" s="1"/>
  <c r="DO50" i="2"/>
  <c r="DP50" i="2"/>
  <c r="DQ50" i="2"/>
  <c r="DR50" i="2"/>
  <c r="DS50" i="2"/>
  <c r="EA50" i="2"/>
  <c r="EN50" i="2"/>
  <c r="EV50" i="2"/>
  <c r="EX50" i="2"/>
  <c r="FD50" i="2"/>
  <c r="FL50" i="2"/>
  <c r="FM50" i="2"/>
  <c r="FS50" i="2"/>
  <c r="FT50" i="2"/>
  <c r="S50" i="2"/>
  <c r="CK50" i="2"/>
  <c r="P50" i="2"/>
  <c r="BX50" i="2"/>
  <c r="AZ50" i="2"/>
  <c r="F50" i="2"/>
  <c r="H50" i="2"/>
  <c r="L50" i="2"/>
  <c r="CU12" i="2"/>
  <c r="CV12" i="2"/>
  <c r="CW12" i="2"/>
  <c r="CX12" i="2"/>
  <c r="CY12" i="2"/>
  <c r="DA12" i="2"/>
  <c r="DC12" i="2"/>
  <c r="DE12" i="2"/>
  <c r="DF12" i="2"/>
  <c r="DG12" i="2"/>
  <c r="DH12" i="2"/>
  <c r="DI12" i="2"/>
  <c r="DK12" i="2"/>
  <c r="DN12" i="2"/>
  <c r="DT12" i="2" s="1"/>
  <c r="DO12" i="2"/>
  <c r="DP12" i="2"/>
  <c r="DQ12" i="2"/>
  <c r="DR12" i="2"/>
  <c r="DS12" i="2"/>
  <c r="EA12" i="2"/>
  <c r="EN12" i="2"/>
  <c r="EV12" i="2"/>
  <c r="EX12" i="2"/>
  <c r="FD12" i="2"/>
  <c r="FL12" i="2"/>
  <c r="FM12" i="2"/>
  <c r="FS12" i="2"/>
  <c r="FT12" i="2"/>
  <c r="S12" i="2"/>
  <c r="CK12" i="2"/>
  <c r="P12" i="2"/>
  <c r="BX12" i="2"/>
  <c r="AZ12" i="2"/>
  <c r="F12" i="2"/>
  <c r="H12" i="2"/>
  <c r="L12" i="2"/>
  <c r="CU47" i="2"/>
  <c r="CV47" i="2"/>
  <c r="CW47" i="2"/>
  <c r="CX47" i="2"/>
  <c r="CY47" i="2"/>
  <c r="DA47" i="2"/>
  <c r="DC47" i="2"/>
  <c r="DE47" i="2"/>
  <c r="DF47" i="2"/>
  <c r="DG47" i="2"/>
  <c r="DH47" i="2"/>
  <c r="DI47" i="2"/>
  <c r="DK47" i="2"/>
  <c r="DN47" i="2"/>
  <c r="DT47" i="2" s="1"/>
  <c r="DO47" i="2"/>
  <c r="DP47" i="2"/>
  <c r="DQ47" i="2"/>
  <c r="DR47" i="2"/>
  <c r="DS47" i="2"/>
  <c r="EA47" i="2"/>
  <c r="EN47" i="2"/>
  <c r="EV47" i="2"/>
  <c r="EX47" i="2"/>
  <c r="FD47" i="2"/>
  <c r="FL47" i="2"/>
  <c r="FM47" i="2"/>
  <c r="FS47" i="2"/>
  <c r="FT47" i="2"/>
  <c r="S47" i="2"/>
  <c r="CK47" i="2"/>
  <c r="P47" i="2"/>
  <c r="BX47" i="2"/>
  <c r="AZ47" i="2"/>
  <c r="F47" i="2"/>
  <c r="H47" i="2"/>
  <c r="L47" i="2"/>
  <c r="O22" i="7" l="1"/>
  <c r="O50" i="7"/>
  <c r="B14" i="7"/>
  <c r="B78" i="7"/>
  <c r="T22" i="7"/>
  <c r="Y22" i="7" s="1"/>
  <c r="AA22" i="7" s="1"/>
  <c r="O47" i="7"/>
  <c r="T50" i="7"/>
  <c r="Y50" i="7" s="1"/>
  <c r="AA50" i="7" s="1"/>
  <c r="B12" i="7"/>
  <c r="T47" i="7"/>
  <c r="Y47" i="7" s="1"/>
  <c r="AA47" i="7" s="1"/>
  <c r="O14" i="7"/>
  <c r="O78" i="7"/>
  <c r="B22" i="7"/>
  <c r="O12" i="7"/>
  <c r="B50" i="7"/>
  <c r="T14" i="7"/>
  <c r="Y14" i="7" s="1"/>
  <c r="AA14" i="7" s="1"/>
  <c r="B47" i="7"/>
  <c r="T12" i="7"/>
  <c r="Y12" i="7" s="1"/>
  <c r="AA12" i="7" s="1"/>
  <c r="T78" i="7"/>
  <c r="Y78" i="7" s="1"/>
  <c r="AA78" i="7" s="1"/>
  <c r="C14" i="7"/>
  <c r="AH14" i="7"/>
  <c r="AH12" i="7"/>
  <c r="C12" i="7"/>
  <c r="AH47" i="7"/>
  <c r="C47" i="7"/>
  <c r="C78" i="7"/>
  <c r="AH78" i="7"/>
  <c r="AH50" i="7"/>
  <c r="C50" i="7"/>
  <c r="C22" i="7"/>
  <c r="AH22" i="7"/>
  <c r="R22" i="2"/>
  <c r="R47" i="2"/>
  <c r="R50" i="2"/>
  <c r="R12" i="2"/>
  <c r="R78" i="2"/>
  <c r="R14" i="2"/>
  <c r="T22" i="2"/>
  <c r="T12" i="2"/>
  <c r="T14" i="2"/>
  <c r="T47" i="2"/>
  <c r="T50" i="2"/>
  <c r="CQ50" i="2"/>
  <c r="CQ47" i="2"/>
  <c r="CQ12" i="2"/>
  <c r="CQ22" i="2"/>
  <c r="CQ14" i="2"/>
  <c r="CQ78" i="2"/>
  <c r="AJ102" i="2" l="1"/>
  <c r="CW4" i="6" l="1"/>
  <c r="CY4" i="6"/>
  <c r="DA4" i="6"/>
  <c r="DB4" i="6"/>
  <c r="DC4" i="6"/>
  <c r="DD4" i="6"/>
  <c r="DE4" i="6"/>
  <c r="DF4" i="6"/>
  <c r="DG4" i="6"/>
  <c r="DJ4" i="6"/>
  <c r="DP4" i="6" s="1"/>
  <c r="DK4" i="6"/>
  <c r="DL4" i="6"/>
  <c r="DM4" i="6"/>
  <c r="DN4" i="6"/>
  <c r="DO4" i="6"/>
  <c r="DW4" i="6"/>
  <c r="EK4" i="6"/>
  <c r="ER4" i="6"/>
  <c r="ET4" i="6"/>
  <c r="EZ4" i="6"/>
  <c r="FD4" i="6"/>
  <c r="FE4" i="6"/>
  <c r="FK4" i="6"/>
  <c r="FL4" i="6"/>
  <c r="CQ4" i="6"/>
  <c r="CR4" i="6"/>
  <c r="CS4" i="6"/>
  <c r="CT4" i="6"/>
  <c r="CU4" i="6"/>
  <c r="CL4" i="6"/>
  <c r="N4" i="6" s="1"/>
  <c r="CG4" i="6"/>
  <c r="M4" i="6" s="1"/>
  <c r="CA4" i="6"/>
  <c r="K4" i="6" s="1"/>
  <c r="BT4" i="6"/>
  <c r="AS4" i="6"/>
  <c r="CM4" i="6" s="1"/>
  <c r="A4" i="6"/>
  <c r="E4" i="6"/>
  <c r="F4" i="6"/>
  <c r="G4" i="6"/>
  <c r="DA102" i="2"/>
  <c r="DC102" i="2"/>
  <c r="DE102" i="2"/>
  <c r="DF102" i="2"/>
  <c r="DG102" i="2"/>
  <c r="DH102" i="2"/>
  <c r="DI102" i="2"/>
  <c r="DK102" i="2"/>
  <c r="DN102" i="2"/>
  <c r="DT102" i="2" s="1"/>
  <c r="DO102" i="2"/>
  <c r="DP102" i="2"/>
  <c r="DQ102" i="2"/>
  <c r="DR102" i="2"/>
  <c r="DS102" i="2"/>
  <c r="EA102" i="2"/>
  <c r="EN102" i="2"/>
  <c r="EV102" i="2"/>
  <c r="EX102" i="2"/>
  <c r="FD102" i="2"/>
  <c r="FL102" i="2"/>
  <c r="FM102" i="2"/>
  <c r="FS102" i="2"/>
  <c r="FT102" i="2"/>
  <c r="CU102" i="2"/>
  <c r="CV102" i="2"/>
  <c r="CW102" i="2"/>
  <c r="CX102" i="2"/>
  <c r="CY102" i="2"/>
  <c r="S102" i="2"/>
  <c r="CK102" i="2"/>
  <c r="R102" i="2" s="1"/>
  <c r="P102" i="2"/>
  <c r="BX102" i="2"/>
  <c r="AZ102" i="2"/>
  <c r="F102" i="2"/>
  <c r="H102" i="2"/>
  <c r="L102" i="2"/>
  <c r="T102" i="7" l="1"/>
  <c r="Y102" i="7" s="1"/>
  <c r="AA102" i="7" s="1"/>
  <c r="B102" i="7"/>
  <c r="O102" i="7"/>
  <c r="AH102" i="7"/>
  <c r="C102" i="7"/>
  <c r="CQ102" i="2"/>
  <c r="H112" i="2" l="1"/>
  <c r="O112" i="7" s="1"/>
  <c r="AZ79" i="2"/>
  <c r="DA112" i="2"/>
  <c r="DC112" i="2"/>
  <c r="DE112" i="2"/>
  <c r="DF112" i="2"/>
  <c r="DG112" i="2"/>
  <c r="DH112" i="2"/>
  <c r="DI112" i="2"/>
  <c r="DK112" i="2"/>
  <c r="DN112" i="2"/>
  <c r="DT112" i="2" s="1"/>
  <c r="DO112" i="2"/>
  <c r="DP112" i="2"/>
  <c r="DQ112" i="2"/>
  <c r="DR112" i="2"/>
  <c r="DS112" i="2"/>
  <c r="EA112" i="2"/>
  <c r="EN112" i="2"/>
  <c r="EV112" i="2"/>
  <c r="B112" i="7" s="1"/>
  <c r="EX112" i="2"/>
  <c r="FD112" i="2"/>
  <c r="FL13" i="2"/>
  <c r="FM13" i="2"/>
  <c r="FS13" i="2"/>
  <c r="FT13" i="2"/>
  <c r="CU112" i="2"/>
  <c r="CV112" i="2"/>
  <c r="CW112" i="2"/>
  <c r="CX112" i="2"/>
  <c r="CY112" i="2"/>
  <c r="S112" i="2"/>
  <c r="CK112" i="2"/>
  <c r="P112" i="2"/>
  <c r="BX112" i="2"/>
  <c r="AZ112" i="2"/>
  <c r="T112" i="7" s="1"/>
  <c r="Y112" i="7" s="1"/>
  <c r="AA112" i="7" s="1"/>
  <c r="F112" i="2"/>
  <c r="DA73" i="2"/>
  <c r="DC73" i="2"/>
  <c r="DE73" i="2"/>
  <c r="DF73" i="2"/>
  <c r="DG73" i="2"/>
  <c r="DH73" i="2"/>
  <c r="DI73" i="2"/>
  <c r="DK73" i="2"/>
  <c r="DN73" i="2"/>
  <c r="DT73" i="2" s="1"/>
  <c r="DO73" i="2"/>
  <c r="DP73" i="2"/>
  <c r="DQ73" i="2"/>
  <c r="DR73" i="2"/>
  <c r="DS73" i="2"/>
  <c r="EA73" i="2"/>
  <c r="EN73" i="2"/>
  <c r="EV73" i="2"/>
  <c r="EX73" i="2"/>
  <c r="FD73" i="2"/>
  <c r="FL73" i="2"/>
  <c r="FM73" i="2"/>
  <c r="FS73" i="2"/>
  <c r="FT73" i="2"/>
  <c r="CU73" i="2"/>
  <c r="CV73" i="2"/>
  <c r="CW73" i="2"/>
  <c r="CX73" i="2"/>
  <c r="CY73" i="2"/>
  <c r="S73" i="2"/>
  <c r="CK73" i="2"/>
  <c r="P73" i="2"/>
  <c r="BX73" i="2"/>
  <c r="AZ73" i="2"/>
  <c r="AJ73" i="2"/>
  <c r="F73" i="2"/>
  <c r="H73" i="2"/>
  <c r="L73" i="2"/>
  <c r="CU79" i="2"/>
  <c r="CV79" i="2"/>
  <c r="CW79" i="2"/>
  <c r="CX79" i="2"/>
  <c r="CY79" i="2"/>
  <c r="DA79" i="2"/>
  <c r="DC79" i="2"/>
  <c r="DE79" i="2"/>
  <c r="DF79" i="2"/>
  <c r="DG79" i="2"/>
  <c r="DH79" i="2"/>
  <c r="DI79" i="2"/>
  <c r="DK79" i="2"/>
  <c r="DN79" i="2"/>
  <c r="DT79" i="2" s="1"/>
  <c r="DO79" i="2"/>
  <c r="DP79" i="2"/>
  <c r="DQ79" i="2"/>
  <c r="DR79" i="2"/>
  <c r="DS79" i="2"/>
  <c r="EA79" i="2"/>
  <c r="EN79" i="2"/>
  <c r="EV79" i="2"/>
  <c r="EX79" i="2"/>
  <c r="FD79" i="2"/>
  <c r="FL79" i="2"/>
  <c r="FM79" i="2"/>
  <c r="FS79" i="2"/>
  <c r="FT79" i="2"/>
  <c r="S79" i="2"/>
  <c r="CK79" i="2"/>
  <c r="P79" i="2"/>
  <c r="BX79" i="2"/>
  <c r="AJ79" i="2"/>
  <c r="F79" i="2"/>
  <c r="H79" i="2"/>
  <c r="L79" i="2"/>
  <c r="AH112" i="7" l="1"/>
  <c r="C112" i="7"/>
  <c r="O73" i="7"/>
  <c r="B73" i="7"/>
  <c r="T79" i="7"/>
  <c r="Y79" i="7" s="1"/>
  <c r="AA79" i="7" s="1"/>
  <c r="B79" i="7"/>
  <c r="T73" i="7"/>
  <c r="Y73" i="7" s="1"/>
  <c r="AA73" i="7" s="1"/>
  <c r="O79" i="7"/>
  <c r="AH79" i="7"/>
  <c r="C79" i="7"/>
  <c r="C73" i="7"/>
  <c r="AH73" i="7"/>
  <c r="R112" i="2"/>
  <c r="R73" i="2"/>
  <c r="R79" i="2"/>
  <c r="T73" i="2"/>
  <c r="CQ112" i="2"/>
  <c r="CQ73" i="2"/>
  <c r="CQ79" i="2"/>
  <c r="FT72" i="2"/>
  <c r="FS72" i="2"/>
  <c r="FM72" i="2"/>
  <c r="FL72" i="2"/>
  <c r="FD72" i="2"/>
  <c r="EX72" i="2"/>
  <c r="EV72" i="2"/>
  <c r="EN72" i="2"/>
  <c r="EA72" i="2"/>
  <c r="DS72" i="2"/>
  <c r="DR72" i="2"/>
  <c r="DQ72" i="2"/>
  <c r="DP72" i="2"/>
  <c r="DO72" i="2"/>
  <c r="DN72" i="2"/>
  <c r="DT72" i="2" s="1"/>
  <c r="DK72" i="2"/>
  <c r="DI72" i="2"/>
  <c r="DH72" i="2"/>
  <c r="DG72" i="2"/>
  <c r="DF72" i="2"/>
  <c r="DE72" i="2"/>
  <c r="DC72" i="2"/>
  <c r="DA72" i="2"/>
  <c r="CY72" i="2"/>
  <c r="CX72" i="2"/>
  <c r="CW72" i="2"/>
  <c r="CV72" i="2"/>
  <c r="CU72" i="2"/>
  <c r="S72" i="2"/>
  <c r="CK72" i="2"/>
  <c r="P72" i="2"/>
  <c r="BX72" i="2"/>
  <c r="BA72" i="2"/>
  <c r="AZ72" i="2"/>
  <c r="AJ72" i="2"/>
  <c r="L72" i="2"/>
  <c r="H72" i="2"/>
  <c r="F72" i="2"/>
  <c r="B72" i="7" l="1"/>
  <c r="O72" i="7"/>
  <c r="T72" i="7"/>
  <c r="Y72" i="7" s="1"/>
  <c r="AA72" i="7" s="1"/>
  <c r="C72" i="7"/>
  <c r="AH72" i="7"/>
  <c r="R72" i="2"/>
  <c r="T72" i="2"/>
  <c r="CQ72" i="2"/>
  <c r="H8" i="2"/>
  <c r="CU69" i="2"/>
  <c r="CV69" i="2"/>
  <c r="CW69" i="2"/>
  <c r="CX69" i="2"/>
  <c r="CY69" i="2"/>
  <c r="DA69" i="2"/>
  <c r="DC69" i="2"/>
  <c r="DE69" i="2"/>
  <c r="DF69" i="2"/>
  <c r="DG69" i="2"/>
  <c r="DH69" i="2"/>
  <c r="DI69" i="2"/>
  <c r="DK69" i="2"/>
  <c r="DN69" i="2"/>
  <c r="DT69" i="2" s="1"/>
  <c r="DO69" i="2"/>
  <c r="DP69" i="2"/>
  <c r="DQ69" i="2"/>
  <c r="DR69" i="2"/>
  <c r="DS69" i="2"/>
  <c r="EA69" i="2"/>
  <c r="EN69" i="2"/>
  <c r="EX69" i="2"/>
  <c r="FD69" i="2"/>
  <c r="FL69" i="2"/>
  <c r="FM69" i="2"/>
  <c r="FS69" i="2"/>
  <c r="FT69" i="2"/>
  <c r="CK69" i="2"/>
  <c r="P69" i="2"/>
  <c r="BX69" i="2"/>
  <c r="AZ69" i="2"/>
  <c r="T69" i="7" s="1"/>
  <c r="Y69" i="7" s="1"/>
  <c r="Z69" i="2"/>
  <c r="BA69" i="2" s="1"/>
  <c r="AJ69" i="2"/>
  <c r="F69" i="2"/>
  <c r="H69" i="2"/>
  <c r="O69" i="7" s="1"/>
  <c r="L69" i="2"/>
  <c r="O8" i="7" l="1"/>
  <c r="AH69" i="7"/>
  <c r="C69" i="7"/>
  <c r="R69" i="2"/>
  <c r="T69" i="2"/>
  <c r="CQ69" i="2"/>
  <c r="Z69" i="7" s="1"/>
  <c r="AA69" i="7" s="1"/>
  <c r="EV69" i="2"/>
  <c r="B69" i="7" s="1"/>
  <c r="AD10" i="5" l="1"/>
  <c r="M10" i="5"/>
  <c r="V10" i="5"/>
  <c r="CU75" i="2" l="1"/>
  <c r="CV75" i="2"/>
  <c r="CW75" i="2"/>
  <c r="CX75" i="2"/>
  <c r="CY75" i="2"/>
  <c r="DA75" i="2"/>
  <c r="DC75" i="2"/>
  <c r="DE75" i="2"/>
  <c r="DF75" i="2"/>
  <c r="DG75" i="2"/>
  <c r="DH75" i="2"/>
  <c r="DI75" i="2"/>
  <c r="DK75" i="2"/>
  <c r="DN75" i="2"/>
  <c r="DT75" i="2" s="1"/>
  <c r="DO75" i="2"/>
  <c r="DP75" i="2"/>
  <c r="DQ75" i="2"/>
  <c r="DR75" i="2"/>
  <c r="DS75" i="2"/>
  <c r="EA75" i="2"/>
  <c r="EN75" i="2"/>
  <c r="EV75" i="2"/>
  <c r="EX75" i="2"/>
  <c r="FD75" i="2"/>
  <c r="FL75" i="2"/>
  <c r="FM75" i="2"/>
  <c r="FS75" i="2"/>
  <c r="FT75" i="2"/>
  <c r="S75" i="2"/>
  <c r="CK75" i="2"/>
  <c r="P75" i="2"/>
  <c r="BX75" i="2"/>
  <c r="AZ75" i="2"/>
  <c r="AJ75" i="2"/>
  <c r="F75" i="2"/>
  <c r="H75" i="2"/>
  <c r="L75" i="2"/>
  <c r="AJ11" i="2"/>
  <c r="CU11" i="2"/>
  <c r="CV11" i="2"/>
  <c r="CW11" i="2"/>
  <c r="CX11" i="2"/>
  <c r="CY11" i="2"/>
  <c r="DA11" i="2"/>
  <c r="DC11" i="2"/>
  <c r="DE11" i="2"/>
  <c r="DF11" i="2"/>
  <c r="DG11" i="2"/>
  <c r="DH11" i="2"/>
  <c r="DI11" i="2"/>
  <c r="DK11" i="2"/>
  <c r="DN11" i="2"/>
  <c r="DT11" i="2" s="1"/>
  <c r="DO11" i="2"/>
  <c r="DP11" i="2"/>
  <c r="DQ11" i="2"/>
  <c r="DR11" i="2"/>
  <c r="DS11" i="2"/>
  <c r="EA11" i="2"/>
  <c r="EN11" i="2"/>
  <c r="EV11" i="2"/>
  <c r="B11" i="7" s="1"/>
  <c r="EX11" i="2"/>
  <c r="FD11" i="2"/>
  <c r="FL61" i="2"/>
  <c r="FM61" i="2"/>
  <c r="FS61" i="2"/>
  <c r="FT61" i="2"/>
  <c r="S11" i="2"/>
  <c r="CK11" i="2"/>
  <c r="P11" i="2"/>
  <c r="BX11" i="2"/>
  <c r="AZ11" i="2"/>
  <c r="T11" i="7" s="1"/>
  <c r="Y11" i="7" s="1"/>
  <c r="AA11" i="7" s="1"/>
  <c r="F11" i="2"/>
  <c r="H11" i="2"/>
  <c r="O11" i="7" s="1"/>
  <c r="AH11" i="7" l="1"/>
  <c r="C11" i="7"/>
  <c r="B75" i="7"/>
  <c r="O75" i="7"/>
  <c r="T75" i="7"/>
  <c r="Y75" i="7" s="1"/>
  <c r="AA75" i="7" s="1"/>
  <c r="C75" i="7"/>
  <c r="AH75" i="7"/>
  <c r="R75" i="2"/>
  <c r="R11" i="2"/>
  <c r="CQ75" i="2"/>
  <c r="BA92" i="2"/>
  <c r="BA90" i="2"/>
  <c r="L3" i="2" l="1"/>
  <c r="Z5" i="2" l="1"/>
  <c r="BA5" i="2" s="1"/>
  <c r="Z70" i="2"/>
  <c r="EV70" i="2" s="1"/>
  <c r="B70" i="7" s="1"/>
  <c r="Z68" i="2"/>
  <c r="CK5" i="2"/>
  <c r="S5" i="2"/>
  <c r="CU5" i="2"/>
  <c r="CV5" i="2"/>
  <c r="CW5" i="2"/>
  <c r="CX5" i="2"/>
  <c r="CY5" i="2"/>
  <c r="DA5" i="2"/>
  <c r="DC5" i="2"/>
  <c r="DE5" i="2"/>
  <c r="DF5" i="2"/>
  <c r="DG5" i="2"/>
  <c r="DH5" i="2"/>
  <c r="DI5" i="2"/>
  <c r="DK5" i="2"/>
  <c r="DN5" i="2"/>
  <c r="DT5" i="2" s="1"/>
  <c r="DO5" i="2"/>
  <c r="DP5" i="2"/>
  <c r="DQ5" i="2"/>
  <c r="DR5" i="2"/>
  <c r="DS5" i="2"/>
  <c r="EA5" i="2"/>
  <c r="EN5" i="2"/>
  <c r="EX5" i="2"/>
  <c r="FD5" i="2"/>
  <c r="FL5" i="2"/>
  <c r="FM5" i="2"/>
  <c r="FS5" i="2"/>
  <c r="FT5" i="2"/>
  <c r="P5" i="2"/>
  <c r="BX5" i="2"/>
  <c r="AZ5" i="2"/>
  <c r="AJ5" i="2"/>
  <c r="F5" i="2"/>
  <c r="H5" i="2"/>
  <c r="L5" i="2"/>
  <c r="CK70" i="2"/>
  <c r="CU70" i="2"/>
  <c r="CV70" i="2"/>
  <c r="CW70" i="2"/>
  <c r="CX70" i="2"/>
  <c r="CY70" i="2"/>
  <c r="DA70" i="2"/>
  <c r="DC70" i="2"/>
  <c r="DE70" i="2"/>
  <c r="DF70" i="2"/>
  <c r="DG70" i="2"/>
  <c r="DH70" i="2"/>
  <c r="DI70" i="2"/>
  <c r="DK70" i="2"/>
  <c r="DN70" i="2"/>
  <c r="DT70" i="2" s="1"/>
  <c r="DO70" i="2"/>
  <c r="DP70" i="2"/>
  <c r="DQ70" i="2"/>
  <c r="DR70" i="2"/>
  <c r="DS70" i="2"/>
  <c r="EA70" i="2"/>
  <c r="EN70" i="2"/>
  <c r="EX70" i="2"/>
  <c r="FD70" i="2"/>
  <c r="FL70" i="2"/>
  <c r="FM70" i="2"/>
  <c r="FS70" i="2"/>
  <c r="FT70" i="2"/>
  <c r="P70" i="2"/>
  <c r="BX70" i="2"/>
  <c r="AZ70" i="2"/>
  <c r="T70" i="7" s="1"/>
  <c r="Y70" i="7" s="1"/>
  <c r="AJ70" i="2"/>
  <c r="F70" i="2"/>
  <c r="H70" i="2"/>
  <c r="O70" i="7" s="1"/>
  <c r="L70" i="2"/>
  <c r="L18" i="2"/>
  <c r="P95" i="2"/>
  <c r="P68" i="2"/>
  <c r="F68" i="2"/>
  <c r="AJ68" i="2"/>
  <c r="CU68" i="2"/>
  <c r="CV68" i="2"/>
  <c r="CW68" i="2"/>
  <c r="CX68" i="2"/>
  <c r="CY68" i="2"/>
  <c r="DA68" i="2"/>
  <c r="DC68" i="2"/>
  <c r="DE68" i="2"/>
  <c r="DF68" i="2"/>
  <c r="DG68" i="2"/>
  <c r="DH68" i="2"/>
  <c r="DI68" i="2"/>
  <c r="DK68" i="2"/>
  <c r="DN68" i="2"/>
  <c r="DT68" i="2" s="1"/>
  <c r="DO68" i="2"/>
  <c r="DP68" i="2"/>
  <c r="DQ68" i="2"/>
  <c r="DR68" i="2"/>
  <c r="DS68" i="2"/>
  <c r="EA68" i="2"/>
  <c r="EN68" i="2"/>
  <c r="EV68" i="2"/>
  <c r="B68" i="7" s="1"/>
  <c r="EX68" i="2"/>
  <c r="FD68" i="2"/>
  <c r="FL68" i="2"/>
  <c r="FM68" i="2"/>
  <c r="FS68" i="2"/>
  <c r="FT68" i="2"/>
  <c r="CK68" i="2"/>
  <c r="BX68" i="2"/>
  <c r="AZ68" i="2"/>
  <c r="T68" i="7" s="1"/>
  <c r="Y68" i="7" s="1"/>
  <c r="H68" i="2"/>
  <c r="O68" i="7" s="1"/>
  <c r="L68" i="2"/>
  <c r="O5" i="7" l="1"/>
  <c r="T5" i="7"/>
  <c r="Y5" i="7" s="1"/>
  <c r="AA5" i="7" s="1"/>
  <c r="C5" i="7"/>
  <c r="AH5" i="7"/>
  <c r="AH68" i="7"/>
  <c r="C68" i="7"/>
  <c r="AH70" i="7"/>
  <c r="C70" i="7"/>
  <c r="R5" i="2"/>
  <c r="R68" i="2"/>
  <c r="R70" i="2"/>
  <c r="T68" i="2"/>
  <c r="T5" i="2"/>
  <c r="T70" i="2"/>
  <c r="BA70" i="2"/>
  <c r="EV5" i="2"/>
  <c r="CQ68" i="2"/>
  <c r="Z68" i="7" s="1"/>
  <c r="AA68" i="7" s="1"/>
  <c r="CQ5" i="2"/>
  <c r="CQ70" i="2"/>
  <c r="Z70" i="7" s="1"/>
  <c r="AA70" i="7" s="1"/>
  <c r="M8" i="5"/>
  <c r="V8" i="5"/>
  <c r="B5" i="7" l="1"/>
  <c r="AJ92" i="2"/>
  <c r="FT92" i="2"/>
  <c r="FS92" i="2"/>
  <c r="FM92" i="2"/>
  <c r="FL92" i="2"/>
  <c r="FD92" i="2"/>
  <c r="EX92" i="2"/>
  <c r="EV92" i="2"/>
  <c r="B92" i="7" s="1"/>
  <c r="EN92" i="2"/>
  <c r="EA92" i="2"/>
  <c r="DS92" i="2"/>
  <c r="DR92" i="2"/>
  <c r="DQ92" i="2"/>
  <c r="DP92" i="2"/>
  <c r="DO92" i="2"/>
  <c r="DN92" i="2"/>
  <c r="DT92" i="2" s="1"/>
  <c r="DK92" i="2"/>
  <c r="DI92" i="2"/>
  <c r="DH92" i="2"/>
  <c r="DG92" i="2"/>
  <c r="DF92" i="2"/>
  <c r="DE92" i="2"/>
  <c r="DC92" i="2"/>
  <c r="DA92" i="2"/>
  <c r="CY92" i="2"/>
  <c r="CX92" i="2"/>
  <c r="CW92" i="2"/>
  <c r="CV92" i="2"/>
  <c r="CU92" i="2"/>
  <c r="S92" i="2"/>
  <c r="CK92" i="2"/>
  <c r="P92" i="2"/>
  <c r="BX92" i="2"/>
  <c r="AZ92" i="2"/>
  <c r="H92" i="2"/>
  <c r="F97" i="2"/>
  <c r="H97" i="2"/>
  <c r="O97" i="7" s="1"/>
  <c r="L97" i="2"/>
  <c r="AZ97" i="2"/>
  <c r="T97" i="7" s="1"/>
  <c r="Y97" i="7" s="1"/>
  <c r="BX97" i="2"/>
  <c r="P97" i="2"/>
  <c r="CK97" i="2"/>
  <c r="S97" i="2"/>
  <c r="CU97" i="2"/>
  <c r="CV97" i="2"/>
  <c r="CW97" i="2"/>
  <c r="CX97" i="2"/>
  <c r="CY97" i="2"/>
  <c r="DA97" i="2"/>
  <c r="DC97" i="2"/>
  <c r="DE97" i="2"/>
  <c r="DF97" i="2"/>
  <c r="DG97" i="2"/>
  <c r="DH97" i="2"/>
  <c r="DI97" i="2"/>
  <c r="DK97" i="2"/>
  <c r="DN97" i="2"/>
  <c r="DT97" i="2" s="1"/>
  <c r="DO97" i="2"/>
  <c r="DP97" i="2"/>
  <c r="DQ97" i="2"/>
  <c r="DR97" i="2"/>
  <c r="DS97" i="2"/>
  <c r="EA97" i="2"/>
  <c r="EN97" i="2"/>
  <c r="EV97" i="2"/>
  <c r="B97" i="7" s="1"/>
  <c r="EX97" i="2"/>
  <c r="FD97" i="2"/>
  <c r="FL97" i="2"/>
  <c r="FM97" i="2"/>
  <c r="FS97" i="2"/>
  <c r="FT97" i="2"/>
  <c r="T92" i="7" l="1"/>
  <c r="Y92" i="7" s="1"/>
  <c r="AA92" i="7" s="1"/>
  <c r="O92" i="7"/>
  <c r="C97" i="7"/>
  <c r="AH97" i="7"/>
  <c r="R92" i="2"/>
  <c r="R97" i="2"/>
  <c r="T97" i="2"/>
  <c r="CQ92" i="2"/>
  <c r="CQ97" i="2"/>
  <c r="Z97" i="7" s="1"/>
  <c r="AA97" i="7" s="1"/>
  <c r="H17" i="2"/>
  <c r="O17" i="7" s="1"/>
  <c r="E3" i="7" l="1"/>
  <c r="FS67" i="2"/>
  <c r="FT67" i="2"/>
  <c r="FS99" i="2"/>
  <c r="FT99" i="2"/>
  <c r="FS65" i="2"/>
  <c r="FT65" i="2"/>
  <c r="FS64" i="2"/>
  <c r="FT64" i="2"/>
  <c r="FS87" i="2"/>
  <c r="FT87" i="2"/>
  <c r="FS54" i="2"/>
  <c r="FT54" i="2"/>
  <c r="FS51" i="2"/>
  <c r="FT51" i="2"/>
  <c r="FS28" i="2"/>
  <c r="FT28" i="2"/>
  <c r="FS41" i="2"/>
  <c r="FT41" i="2"/>
  <c r="FS20" i="2"/>
  <c r="FT20" i="2"/>
  <c r="FS6" i="2"/>
  <c r="FT6" i="2"/>
  <c r="FS48" i="2"/>
  <c r="FT48" i="2"/>
  <c r="FS21" i="2"/>
  <c r="FT21" i="2"/>
  <c r="FS43" i="2"/>
  <c r="FT43" i="2"/>
  <c r="FS89" i="2"/>
  <c r="FT89" i="2"/>
  <c r="FS76" i="2"/>
  <c r="FT76" i="2"/>
  <c r="FS71" i="2"/>
  <c r="FT71" i="2"/>
  <c r="FS52" i="2"/>
  <c r="FT52" i="2"/>
  <c r="FS53" i="2"/>
  <c r="FT53" i="2"/>
  <c r="FS55" i="2"/>
  <c r="FT55" i="2"/>
  <c r="FS56" i="2"/>
  <c r="FT56" i="2"/>
  <c r="FS7" i="2"/>
  <c r="FT7" i="2"/>
  <c r="FS23" i="2"/>
  <c r="FT23" i="2"/>
  <c r="FS100" i="2"/>
  <c r="FT100" i="2"/>
  <c r="FS36" i="2"/>
  <c r="FT36" i="2"/>
  <c r="FS34" i="2"/>
  <c r="FT34" i="2"/>
  <c r="FS44" i="2"/>
  <c r="FT44" i="2"/>
  <c r="FS35" i="2"/>
  <c r="FT35" i="2"/>
  <c r="FS25" i="2"/>
  <c r="FT25" i="2"/>
  <c r="FS38" i="2"/>
  <c r="FT38" i="2"/>
  <c r="FS101" i="2"/>
  <c r="FT101" i="2"/>
  <c r="FS96" i="2"/>
  <c r="FT96" i="2"/>
  <c r="FS93" i="2"/>
  <c r="FT93" i="2"/>
  <c r="FS19" i="2"/>
  <c r="FT19" i="2"/>
  <c r="FS95" i="2"/>
  <c r="FT95" i="2"/>
  <c r="FS77" i="2"/>
  <c r="FT77" i="2"/>
  <c r="FS62" i="2"/>
  <c r="FT62" i="2"/>
  <c r="FS63" i="2"/>
  <c r="FT63" i="2"/>
  <c r="FS90" i="2"/>
  <c r="FT90" i="2"/>
  <c r="FS8" i="2"/>
  <c r="FT8" i="2"/>
  <c r="FT16" i="2"/>
  <c r="FS16" i="2"/>
  <c r="FM18" i="2"/>
  <c r="FM49" i="2"/>
  <c r="FM4" i="2"/>
  <c r="FM3" i="2"/>
  <c r="FM46" i="2"/>
  <c r="FM59" i="2"/>
  <c r="FM60" i="2"/>
  <c r="FM130" i="2"/>
  <c r="FM128" i="2"/>
  <c r="FM129" i="2"/>
  <c r="FM16" i="2"/>
  <c r="FM67" i="2"/>
  <c r="FM99" i="2"/>
  <c r="FM65" i="2"/>
  <c r="FM64" i="2"/>
  <c r="FM87" i="2"/>
  <c r="FM54" i="2"/>
  <c r="FM51" i="2"/>
  <c r="FM28" i="2"/>
  <c r="FM41" i="2"/>
  <c r="FM20" i="2"/>
  <c r="FM6" i="2"/>
  <c r="FM48" i="2"/>
  <c r="FM21" i="2"/>
  <c r="FM43" i="2"/>
  <c r="FM89" i="2"/>
  <c r="FM76" i="2"/>
  <c r="FM71" i="2"/>
  <c r="FM52" i="2"/>
  <c r="FM53" i="2"/>
  <c r="FM55" i="2"/>
  <c r="FM56" i="2"/>
  <c r="FM7" i="2"/>
  <c r="FM23" i="2"/>
  <c r="FM100" i="2"/>
  <c r="FM36" i="2"/>
  <c r="FM34" i="2"/>
  <c r="FM44" i="2"/>
  <c r="FM35" i="2"/>
  <c r="FM25" i="2"/>
  <c r="FM38" i="2"/>
  <c r="FM101" i="2"/>
  <c r="FM96" i="2"/>
  <c r="FM93" i="2"/>
  <c r="FM19" i="2"/>
  <c r="FM95" i="2"/>
  <c r="FM77" i="2"/>
  <c r="FM62" i="2"/>
  <c r="FM63" i="2"/>
  <c r="FM90" i="2"/>
  <c r="FM8" i="2"/>
  <c r="FM17" i="2"/>
  <c r="FL18" i="2"/>
  <c r="FL49" i="2"/>
  <c r="FL4" i="2"/>
  <c r="FL3" i="2"/>
  <c r="FL46" i="2"/>
  <c r="FL59" i="2"/>
  <c r="FL60" i="2"/>
  <c r="FL130" i="2"/>
  <c r="FL128" i="2"/>
  <c r="FL129" i="2"/>
  <c r="FL16" i="2"/>
  <c r="FL67" i="2"/>
  <c r="FL99" i="2"/>
  <c r="FL65" i="2"/>
  <c r="FL64" i="2"/>
  <c r="FL87" i="2"/>
  <c r="FL54" i="2"/>
  <c r="FL51" i="2"/>
  <c r="FL28" i="2"/>
  <c r="FL41" i="2"/>
  <c r="FL20" i="2"/>
  <c r="FL6" i="2"/>
  <c r="FL48" i="2"/>
  <c r="FL21" i="2"/>
  <c r="FL43" i="2"/>
  <c r="FL89" i="2"/>
  <c r="FL76" i="2"/>
  <c r="FL71" i="2"/>
  <c r="FL52" i="2"/>
  <c r="FL53" i="2"/>
  <c r="FL55" i="2"/>
  <c r="FL56" i="2"/>
  <c r="FL7" i="2"/>
  <c r="FL23" i="2"/>
  <c r="FL100" i="2"/>
  <c r="FL36" i="2"/>
  <c r="FL34" i="2"/>
  <c r="FL44" i="2"/>
  <c r="FL35" i="2"/>
  <c r="FL25" i="2"/>
  <c r="FL38" i="2"/>
  <c r="FL101" i="2"/>
  <c r="FL96" i="2"/>
  <c r="FL93" i="2"/>
  <c r="FL19" i="2"/>
  <c r="FL95" i="2"/>
  <c r="FL77" i="2"/>
  <c r="FL62" i="2"/>
  <c r="FL63" i="2"/>
  <c r="FL90" i="2"/>
  <c r="FL8" i="2"/>
  <c r="FL17" i="2"/>
  <c r="EX18" i="2"/>
  <c r="FD18" i="2"/>
  <c r="EX49" i="2"/>
  <c r="FD49" i="2"/>
  <c r="EX4" i="2"/>
  <c r="FD4" i="2"/>
  <c r="EX3" i="2"/>
  <c r="FD3" i="2"/>
  <c r="EX46" i="2"/>
  <c r="FD46" i="2"/>
  <c r="EX59" i="2"/>
  <c r="FD59" i="2"/>
  <c r="EX60" i="2"/>
  <c r="FD60" i="2"/>
  <c r="EX130" i="2"/>
  <c r="FD130" i="2"/>
  <c r="EX128" i="2"/>
  <c r="FD128" i="2"/>
  <c r="EX129" i="2"/>
  <c r="FD129" i="2"/>
  <c r="EX16" i="2"/>
  <c r="FD16" i="2"/>
  <c r="EX67" i="2"/>
  <c r="FD67" i="2"/>
  <c r="EX99" i="2"/>
  <c r="FD99" i="2"/>
  <c r="EX65" i="2"/>
  <c r="FD65" i="2"/>
  <c r="EX64" i="2"/>
  <c r="FD64" i="2"/>
  <c r="EX61" i="2"/>
  <c r="FD61" i="2"/>
  <c r="EX45" i="2"/>
  <c r="FD45" i="2"/>
  <c r="EX43" i="2"/>
  <c r="FD43" i="2"/>
  <c r="EX182" i="2"/>
  <c r="FD182" i="2"/>
  <c r="EX34" i="2"/>
  <c r="FD34" i="2"/>
  <c r="EX181" i="2"/>
  <c r="FD181" i="2"/>
  <c r="EX6" i="2"/>
  <c r="FD6" i="2"/>
  <c r="EX42" i="2"/>
  <c r="FD42" i="2"/>
  <c r="EX13" i="2"/>
  <c r="FD13" i="2"/>
  <c r="EX35" i="2"/>
  <c r="FD35" i="2"/>
  <c r="EX80" i="2"/>
  <c r="FD80" i="2"/>
  <c r="EX76" i="2"/>
  <c r="FD76" i="2"/>
  <c r="EX71" i="2"/>
  <c r="FD71" i="2"/>
  <c r="EX113" i="2"/>
  <c r="FD113" i="2"/>
  <c r="EX44" i="2"/>
  <c r="FD44" i="2"/>
  <c r="EX180" i="2"/>
  <c r="FD180" i="2"/>
  <c r="EX56" i="2"/>
  <c r="FD56" i="2"/>
  <c r="EX7" i="2"/>
  <c r="FD7" i="2"/>
  <c r="EX21" i="2"/>
  <c r="FD21" i="2"/>
  <c r="EX87" i="2"/>
  <c r="FD87" i="2"/>
  <c r="EX183" i="2"/>
  <c r="FD183" i="2"/>
  <c r="EX31" i="2"/>
  <c r="FD31" i="2"/>
  <c r="EX41" i="2"/>
  <c r="FD41" i="2"/>
  <c r="EX33" i="2"/>
  <c r="FD33" i="2"/>
  <c r="EX23" i="2"/>
  <c r="FD23" i="2"/>
  <c r="EX193" i="2"/>
  <c r="FD193" i="2"/>
  <c r="EX89" i="2"/>
  <c r="FD89" i="2"/>
  <c r="EX83" i="2"/>
  <c r="FD83" i="2"/>
  <c r="EX82" i="2"/>
  <c r="FD82" i="2"/>
  <c r="EX19" i="2"/>
  <c r="FD19" i="2"/>
  <c r="EX95" i="2"/>
  <c r="FD95" i="2"/>
  <c r="EX77" i="2"/>
  <c r="FD77" i="2"/>
  <c r="EX20" i="2"/>
  <c r="FD20" i="2"/>
  <c r="EX28" i="2"/>
  <c r="FD28" i="2"/>
  <c r="EX90" i="2"/>
  <c r="FD90" i="2"/>
  <c r="EX8" i="2"/>
  <c r="FD8" i="2"/>
  <c r="E1" i="7" l="1"/>
  <c r="B2" i="3" a="1"/>
  <c r="S18" i="2"/>
  <c r="S49" i="2"/>
  <c r="S4" i="2"/>
  <c r="S3" i="2"/>
  <c r="S46" i="2"/>
  <c r="S59" i="2"/>
  <c r="S60" i="2"/>
  <c r="S130" i="2"/>
  <c r="S128" i="2"/>
  <c r="S129" i="2"/>
  <c r="S16" i="2"/>
  <c r="S67" i="2"/>
  <c r="S99" i="2"/>
  <c r="S65" i="2"/>
  <c r="S64" i="2"/>
  <c r="S61" i="2"/>
  <c r="S45" i="2"/>
  <c r="S43" i="2"/>
  <c r="S182" i="2"/>
  <c r="S34" i="2"/>
  <c r="S181" i="2"/>
  <c r="S6" i="2"/>
  <c r="S42" i="2"/>
  <c r="S13" i="2"/>
  <c r="S35" i="2"/>
  <c r="S80" i="2"/>
  <c r="S76" i="2"/>
  <c r="S71" i="2"/>
  <c r="S113" i="2"/>
  <c r="S44" i="2"/>
  <c r="S180" i="2"/>
  <c r="S56" i="2"/>
  <c r="S7" i="2"/>
  <c r="S21" i="2"/>
  <c r="S87" i="2"/>
  <c r="S183" i="2"/>
  <c r="S31" i="2"/>
  <c r="S41" i="2"/>
  <c r="S33" i="2"/>
  <c r="S23" i="2"/>
  <c r="S193" i="2"/>
  <c r="S89" i="2"/>
  <c r="S83" i="2"/>
  <c r="S82" i="2"/>
  <c r="S19" i="2"/>
  <c r="S95" i="2"/>
  <c r="S77" i="2"/>
  <c r="S20" i="2"/>
  <c r="S28" i="2"/>
  <c r="S90" i="2"/>
  <c r="S8" i="2"/>
  <c r="L49" i="2"/>
  <c r="L46" i="2"/>
  <c r="L59" i="2"/>
  <c r="L60" i="2"/>
  <c r="L130" i="2"/>
  <c r="L128" i="2"/>
  <c r="L129" i="2"/>
  <c r="L67" i="2"/>
  <c r="L99" i="2"/>
  <c r="L65" i="2"/>
  <c r="L61" i="2"/>
  <c r="L182" i="2"/>
  <c r="L34" i="2"/>
  <c r="L181" i="2"/>
  <c r="L6" i="2"/>
  <c r="L42" i="2"/>
  <c r="L13" i="2"/>
  <c r="L35" i="2"/>
  <c r="L80" i="2"/>
  <c r="L76" i="2"/>
  <c r="L71" i="2"/>
  <c r="L113" i="2"/>
  <c r="L44" i="2"/>
  <c r="L56" i="2"/>
  <c r="L7" i="2"/>
  <c r="L21" i="2"/>
  <c r="L87" i="2"/>
  <c r="L183" i="2"/>
  <c r="L31" i="2"/>
  <c r="L41" i="2"/>
  <c r="L33" i="2"/>
  <c r="L23" i="2"/>
  <c r="L193" i="2"/>
  <c r="L89" i="2"/>
  <c r="L83" i="2"/>
  <c r="L82" i="2"/>
  <c r="L19" i="2"/>
  <c r="L95" i="2"/>
  <c r="L77" i="2"/>
  <c r="L20" i="2"/>
  <c r="L28" i="2"/>
  <c r="L90" i="2"/>
  <c r="L8" i="2"/>
  <c r="L17" i="2"/>
  <c r="F18" i="2"/>
  <c r="F49" i="2"/>
  <c r="F4" i="2"/>
  <c r="F3" i="2"/>
  <c r="F46" i="2"/>
  <c r="F59" i="2"/>
  <c r="F60" i="2"/>
  <c r="F130" i="2"/>
  <c r="F128" i="2"/>
  <c r="F129" i="2"/>
  <c r="F16" i="2"/>
  <c r="F67" i="2"/>
  <c r="F99" i="2"/>
  <c r="F65" i="2"/>
  <c r="F64" i="2"/>
  <c r="F61" i="2"/>
  <c r="F45" i="2"/>
  <c r="F43" i="2"/>
  <c r="F182" i="2"/>
  <c r="F34" i="2"/>
  <c r="F181" i="2"/>
  <c r="F6" i="2"/>
  <c r="F42" i="2"/>
  <c r="F13" i="2"/>
  <c r="F35" i="2"/>
  <c r="F80" i="2"/>
  <c r="F76" i="2"/>
  <c r="F71" i="2"/>
  <c r="F113" i="2"/>
  <c r="F44" i="2"/>
  <c r="F180" i="2"/>
  <c r="F56" i="2"/>
  <c r="F7" i="2"/>
  <c r="F21" i="2"/>
  <c r="F87" i="2"/>
  <c r="F183" i="2"/>
  <c r="F31" i="2"/>
  <c r="F41" i="2"/>
  <c r="F33" i="2"/>
  <c r="F23" i="2"/>
  <c r="F193" i="2"/>
  <c r="F89" i="2"/>
  <c r="F83" i="2"/>
  <c r="F82" i="2"/>
  <c r="F19" i="2"/>
  <c r="F95" i="2"/>
  <c r="F77" i="2"/>
  <c r="F20" i="2"/>
  <c r="F28" i="2"/>
  <c r="F90" i="2"/>
  <c r="EV18" i="2"/>
  <c r="B18" i="7" s="1"/>
  <c r="EV49" i="2"/>
  <c r="B49" i="7" s="1"/>
  <c r="EV4" i="2"/>
  <c r="B4" i="7" s="1"/>
  <c r="EV3" i="2"/>
  <c r="EV46" i="2"/>
  <c r="B46" i="7" s="1"/>
  <c r="EV59" i="2"/>
  <c r="EV60" i="2"/>
  <c r="EV130" i="2"/>
  <c r="EV128" i="2"/>
  <c r="EV129" i="2"/>
  <c r="EV16" i="2"/>
  <c r="B16" i="7" s="1"/>
  <c r="EV67" i="2"/>
  <c r="EV99" i="2"/>
  <c r="EV65" i="2"/>
  <c r="EV64" i="2"/>
  <c r="EV61" i="2"/>
  <c r="B61" i="7" s="1"/>
  <c r="EV45" i="2"/>
  <c r="B45" i="7" s="1"/>
  <c r="EV43" i="2"/>
  <c r="EV182" i="2"/>
  <c r="B182" i="7" s="1"/>
  <c r="EV34" i="2"/>
  <c r="EV181" i="2"/>
  <c r="B181" i="7" s="1"/>
  <c r="EV6" i="2"/>
  <c r="EV42" i="2"/>
  <c r="B42" i="7" s="1"/>
  <c r="EV13" i="2"/>
  <c r="B13" i="7" s="1"/>
  <c r="EV35" i="2"/>
  <c r="EV80" i="2"/>
  <c r="B80" i="7" s="1"/>
  <c r="EV76" i="2"/>
  <c r="EV71" i="2"/>
  <c r="EV113" i="2"/>
  <c r="B113" i="7" s="1"/>
  <c r="EV44" i="2"/>
  <c r="EV180" i="2"/>
  <c r="B180" i="7" s="1"/>
  <c r="EV56" i="2"/>
  <c r="EV7" i="2"/>
  <c r="EV21" i="2"/>
  <c r="EV87" i="2"/>
  <c r="EV183" i="2"/>
  <c r="B183" i="7" s="1"/>
  <c r="EV31" i="2"/>
  <c r="B31" i="7" s="1"/>
  <c r="EV41" i="2"/>
  <c r="EV33" i="2"/>
  <c r="B33" i="7" s="1"/>
  <c r="EV23" i="2"/>
  <c r="EV193" i="2"/>
  <c r="B193" i="7" s="1"/>
  <c r="EV89" i="2"/>
  <c r="EV83" i="2"/>
  <c r="B83" i="7" s="1"/>
  <c r="EV82" i="2"/>
  <c r="B82" i="7" s="1"/>
  <c r="EV19" i="2"/>
  <c r="EV95" i="2"/>
  <c r="B95" i="7" s="1"/>
  <c r="EV77" i="2"/>
  <c r="EV20" i="2"/>
  <c r="EV28" i="2"/>
  <c r="EV90" i="2"/>
  <c r="B90" i="7" s="1"/>
  <c r="EV8" i="2"/>
  <c r="B8" i="7" s="1"/>
  <c r="EV17" i="2"/>
  <c r="B17" i="7" s="1"/>
  <c r="EN18" i="2"/>
  <c r="EN49" i="2"/>
  <c r="EN4" i="2"/>
  <c r="EN3" i="2"/>
  <c r="EN46" i="2"/>
  <c r="EN59" i="2"/>
  <c r="EN60" i="2"/>
  <c r="EN130" i="2"/>
  <c r="EN128" i="2"/>
  <c r="EN129" i="2"/>
  <c r="EN16" i="2"/>
  <c r="EN67" i="2"/>
  <c r="EN99" i="2"/>
  <c r="EN65" i="2"/>
  <c r="EN64" i="2"/>
  <c r="EN61" i="2"/>
  <c r="EN45" i="2"/>
  <c r="EN43" i="2"/>
  <c r="EN182" i="2"/>
  <c r="EN34" i="2"/>
  <c r="EN181" i="2"/>
  <c r="EN6" i="2"/>
  <c r="EN42" i="2"/>
  <c r="EN13" i="2"/>
  <c r="EN35" i="2"/>
  <c r="EN80" i="2"/>
  <c r="EN76" i="2"/>
  <c r="EN71" i="2"/>
  <c r="EN113" i="2"/>
  <c r="EN44" i="2"/>
  <c r="EN180" i="2"/>
  <c r="EN56" i="2"/>
  <c r="EN7" i="2"/>
  <c r="EN21" i="2"/>
  <c r="EN87" i="2"/>
  <c r="EN183" i="2"/>
  <c r="EN31" i="2"/>
  <c r="EN41" i="2"/>
  <c r="EN33" i="2"/>
  <c r="EN23" i="2"/>
  <c r="EN193" i="2"/>
  <c r="EN89" i="2"/>
  <c r="EN83" i="2"/>
  <c r="EN82" i="2"/>
  <c r="EN19" i="2"/>
  <c r="EN95" i="2"/>
  <c r="EN77" i="2"/>
  <c r="EN20" i="2"/>
  <c r="EN28" i="2"/>
  <c r="EN90" i="2"/>
  <c r="EN8" i="2"/>
  <c r="CU18" i="2"/>
  <c r="CV18" i="2"/>
  <c r="CW18" i="2"/>
  <c r="CX18" i="2"/>
  <c r="CY18" i="2"/>
  <c r="DA18" i="2"/>
  <c r="DC18" i="2"/>
  <c r="DE18" i="2"/>
  <c r="DF18" i="2"/>
  <c r="DG18" i="2"/>
  <c r="DH18" i="2"/>
  <c r="DI18" i="2"/>
  <c r="DK18" i="2"/>
  <c r="DN18" i="2"/>
  <c r="DT18" i="2" s="1"/>
  <c r="DO18" i="2"/>
  <c r="DP18" i="2"/>
  <c r="DQ18" i="2"/>
  <c r="DR18" i="2"/>
  <c r="DS18" i="2"/>
  <c r="EA18" i="2"/>
  <c r="CU49" i="2"/>
  <c r="CV49" i="2" s="1"/>
  <c r="CY49" i="2"/>
  <c r="DA49" i="2"/>
  <c r="DH49" i="2" s="1"/>
  <c r="DC49" i="2"/>
  <c r="DI49" i="2" s="1"/>
  <c r="DE49" i="2"/>
  <c r="DJ49" i="2" s="1"/>
  <c r="CU4" i="2"/>
  <c r="CV4" i="2"/>
  <c r="CW4" i="2"/>
  <c r="CX4" i="2"/>
  <c r="CY4" i="2"/>
  <c r="DA4" i="2"/>
  <c r="DC4" i="2"/>
  <c r="DE4" i="2"/>
  <c r="DF4" i="2"/>
  <c r="DG4" i="2"/>
  <c r="DH4" i="2"/>
  <c r="DI4" i="2"/>
  <c r="DK4" i="2"/>
  <c r="DN4" i="2"/>
  <c r="DT4" i="2" s="1"/>
  <c r="DO4" i="2"/>
  <c r="DP4" i="2"/>
  <c r="DQ4" i="2"/>
  <c r="DR4" i="2"/>
  <c r="DS4" i="2"/>
  <c r="EA4" i="2"/>
  <c r="CU3" i="2"/>
  <c r="CV3" i="2"/>
  <c r="CW3" i="2"/>
  <c r="CX3" i="2"/>
  <c r="CY3" i="2"/>
  <c r="DA3" i="2"/>
  <c r="DC3" i="2"/>
  <c r="DE3" i="2"/>
  <c r="DF3" i="2"/>
  <c r="DG3" i="2"/>
  <c r="DH3" i="2"/>
  <c r="DI3" i="2"/>
  <c r="DK3" i="2"/>
  <c r="DN3" i="2"/>
  <c r="DT3" i="2" s="1"/>
  <c r="DO3" i="2"/>
  <c r="DP3" i="2"/>
  <c r="DQ3" i="2"/>
  <c r="DR3" i="2"/>
  <c r="DS3" i="2"/>
  <c r="EA3" i="2"/>
  <c r="CU46" i="2"/>
  <c r="CV46" i="2"/>
  <c r="CW46" i="2"/>
  <c r="CX46" i="2"/>
  <c r="CY46" i="2"/>
  <c r="DA46" i="2"/>
  <c r="DC46" i="2"/>
  <c r="DE46" i="2"/>
  <c r="DF46" i="2"/>
  <c r="DG46" i="2"/>
  <c r="DH46" i="2"/>
  <c r="DI46" i="2"/>
  <c r="DK46" i="2"/>
  <c r="DN46" i="2"/>
  <c r="DT46" i="2" s="1"/>
  <c r="DO46" i="2"/>
  <c r="DP46" i="2"/>
  <c r="DQ46" i="2"/>
  <c r="DR46" i="2"/>
  <c r="DS46" i="2"/>
  <c r="EA46" i="2"/>
  <c r="CU59" i="2"/>
  <c r="CV59" i="2"/>
  <c r="CW59" i="2"/>
  <c r="CX59" i="2"/>
  <c r="CY59" i="2"/>
  <c r="DA59" i="2"/>
  <c r="DC59" i="2"/>
  <c r="DE59" i="2"/>
  <c r="DF59" i="2"/>
  <c r="DG59" i="2"/>
  <c r="DH59" i="2"/>
  <c r="DI59" i="2"/>
  <c r="DK59" i="2"/>
  <c r="DN59" i="2"/>
  <c r="DT59" i="2" s="1"/>
  <c r="DO59" i="2"/>
  <c r="DP59" i="2"/>
  <c r="DQ59" i="2"/>
  <c r="DR59" i="2"/>
  <c r="DS59" i="2"/>
  <c r="EA59" i="2"/>
  <c r="CU60" i="2"/>
  <c r="CV60" i="2"/>
  <c r="CW60" i="2"/>
  <c r="CX60" i="2"/>
  <c r="CY60" i="2"/>
  <c r="DA60" i="2"/>
  <c r="DC60" i="2"/>
  <c r="DE60" i="2"/>
  <c r="DF60" i="2"/>
  <c r="DG60" i="2"/>
  <c r="DH60" i="2"/>
  <c r="DI60" i="2"/>
  <c r="DK60" i="2"/>
  <c r="DN60" i="2"/>
  <c r="DT60" i="2" s="1"/>
  <c r="DO60" i="2"/>
  <c r="DP60" i="2"/>
  <c r="DQ60" i="2"/>
  <c r="DR60" i="2"/>
  <c r="DS60" i="2"/>
  <c r="EA60" i="2"/>
  <c r="CU130" i="2"/>
  <c r="CV130" i="2"/>
  <c r="CW130" i="2"/>
  <c r="CX130" i="2"/>
  <c r="CY130" i="2"/>
  <c r="DA130" i="2"/>
  <c r="DC130" i="2"/>
  <c r="DE130" i="2"/>
  <c r="DF130" i="2"/>
  <c r="DG130" i="2"/>
  <c r="DH130" i="2"/>
  <c r="DI130" i="2"/>
  <c r="DK130" i="2"/>
  <c r="DN130" i="2"/>
  <c r="DT130" i="2" s="1"/>
  <c r="DO130" i="2"/>
  <c r="DP130" i="2"/>
  <c r="DQ130" i="2"/>
  <c r="DR130" i="2"/>
  <c r="DS130" i="2"/>
  <c r="EA130" i="2"/>
  <c r="CU128" i="2"/>
  <c r="CV128" i="2"/>
  <c r="CW128" i="2"/>
  <c r="CX128" i="2"/>
  <c r="CY128" i="2"/>
  <c r="DA128" i="2"/>
  <c r="DC128" i="2"/>
  <c r="DE128" i="2"/>
  <c r="DF128" i="2"/>
  <c r="DG128" i="2"/>
  <c r="DH128" i="2"/>
  <c r="DI128" i="2"/>
  <c r="DK128" i="2"/>
  <c r="DN128" i="2"/>
  <c r="DT128" i="2" s="1"/>
  <c r="DO128" i="2"/>
  <c r="DP128" i="2"/>
  <c r="DQ128" i="2"/>
  <c r="DR128" i="2"/>
  <c r="DS128" i="2"/>
  <c r="EA128" i="2"/>
  <c r="CU129" i="2"/>
  <c r="CV129" i="2"/>
  <c r="CW129" i="2"/>
  <c r="CX129" i="2"/>
  <c r="CY129" i="2"/>
  <c r="DA129" i="2"/>
  <c r="DC129" i="2"/>
  <c r="DE129" i="2"/>
  <c r="DF129" i="2"/>
  <c r="DG129" i="2"/>
  <c r="DH129" i="2"/>
  <c r="DI129" i="2"/>
  <c r="DK129" i="2"/>
  <c r="DN129" i="2"/>
  <c r="DT129" i="2" s="1"/>
  <c r="DO129" i="2"/>
  <c r="DP129" i="2"/>
  <c r="DQ129" i="2"/>
  <c r="DR129" i="2"/>
  <c r="DS129" i="2"/>
  <c r="EA129" i="2"/>
  <c r="CU16" i="2"/>
  <c r="CV16" i="2"/>
  <c r="CW16" i="2"/>
  <c r="CX16" i="2"/>
  <c r="CY16" i="2"/>
  <c r="DA16" i="2"/>
  <c r="DC16" i="2"/>
  <c r="DE16" i="2"/>
  <c r="DF16" i="2"/>
  <c r="DG16" i="2"/>
  <c r="DH16" i="2"/>
  <c r="DI16" i="2"/>
  <c r="DK16" i="2"/>
  <c r="DN16" i="2"/>
  <c r="DT16" i="2" s="1"/>
  <c r="DO16" i="2"/>
  <c r="DP16" i="2"/>
  <c r="DQ16" i="2"/>
  <c r="DR16" i="2"/>
  <c r="DS16" i="2"/>
  <c r="EA16" i="2"/>
  <c r="CU67" i="2"/>
  <c r="CV67" i="2"/>
  <c r="CW67" i="2"/>
  <c r="CX67" i="2"/>
  <c r="CY67" i="2"/>
  <c r="DA67" i="2"/>
  <c r="DC67" i="2"/>
  <c r="DE67" i="2"/>
  <c r="DF67" i="2"/>
  <c r="DG67" i="2"/>
  <c r="DH67" i="2"/>
  <c r="DI67" i="2"/>
  <c r="DK67" i="2"/>
  <c r="DN67" i="2"/>
  <c r="DT67" i="2" s="1"/>
  <c r="DO67" i="2"/>
  <c r="DP67" i="2"/>
  <c r="DQ67" i="2"/>
  <c r="DR67" i="2"/>
  <c r="DS67" i="2"/>
  <c r="EA67" i="2"/>
  <c r="CU99" i="2"/>
  <c r="CV99" i="2"/>
  <c r="CW99" i="2"/>
  <c r="CX99" i="2"/>
  <c r="CY99" i="2"/>
  <c r="DA99" i="2"/>
  <c r="DC99" i="2"/>
  <c r="DE99" i="2"/>
  <c r="DF99" i="2"/>
  <c r="DG99" i="2"/>
  <c r="DH99" i="2"/>
  <c r="DI99" i="2"/>
  <c r="DK99" i="2"/>
  <c r="DN99" i="2"/>
  <c r="DT99" i="2" s="1"/>
  <c r="DO99" i="2"/>
  <c r="DP99" i="2"/>
  <c r="DQ99" i="2"/>
  <c r="DR99" i="2"/>
  <c r="DS99" i="2"/>
  <c r="EA99" i="2"/>
  <c r="CU65" i="2"/>
  <c r="CV65" i="2"/>
  <c r="CW65" i="2"/>
  <c r="CX65" i="2"/>
  <c r="CY65" i="2"/>
  <c r="DA65" i="2"/>
  <c r="DC65" i="2"/>
  <c r="DE65" i="2"/>
  <c r="DF65" i="2"/>
  <c r="DG65" i="2"/>
  <c r="DH65" i="2"/>
  <c r="DI65" i="2"/>
  <c r="DK65" i="2"/>
  <c r="DN65" i="2"/>
  <c r="DT65" i="2" s="1"/>
  <c r="DO65" i="2"/>
  <c r="DP65" i="2"/>
  <c r="DQ65" i="2"/>
  <c r="DR65" i="2"/>
  <c r="DS65" i="2"/>
  <c r="EA65" i="2"/>
  <c r="CU64" i="2"/>
  <c r="CV64" i="2"/>
  <c r="CW64" i="2"/>
  <c r="CX64" i="2"/>
  <c r="CY64" i="2"/>
  <c r="DA64" i="2"/>
  <c r="DC64" i="2"/>
  <c r="DE64" i="2"/>
  <c r="DF64" i="2"/>
  <c r="DG64" i="2"/>
  <c r="DH64" i="2"/>
  <c r="DI64" i="2"/>
  <c r="DK64" i="2"/>
  <c r="DN64" i="2"/>
  <c r="DT64" i="2" s="1"/>
  <c r="DO64" i="2"/>
  <c r="DP64" i="2"/>
  <c r="DQ64" i="2"/>
  <c r="DR64" i="2"/>
  <c r="DS64" i="2"/>
  <c r="EA64" i="2"/>
  <c r="CU61" i="2"/>
  <c r="CV61" i="2"/>
  <c r="CW61" i="2"/>
  <c r="CX61" i="2"/>
  <c r="CY61" i="2"/>
  <c r="DA61" i="2"/>
  <c r="DC61" i="2"/>
  <c r="DE61" i="2"/>
  <c r="DF61" i="2"/>
  <c r="DG61" i="2"/>
  <c r="DH61" i="2"/>
  <c r="DI61" i="2"/>
  <c r="DK61" i="2"/>
  <c r="DN61" i="2"/>
  <c r="DT61" i="2" s="1"/>
  <c r="DO61" i="2"/>
  <c r="DP61" i="2"/>
  <c r="DQ61" i="2"/>
  <c r="DR61" i="2"/>
  <c r="DS61" i="2"/>
  <c r="EA61" i="2"/>
  <c r="CU45" i="2"/>
  <c r="CV45" i="2"/>
  <c r="CW45" i="2"/>
  <c r="CX45" i="2"/>
  <c r="CY45" i="2"/>
  <c r="DA45" i="2"/>
  <c r="DC45" i="2"/>
  <c r="DE45" i="2"/>
  <c r="DF45" i="2"/>
  <c r="DG45" i="2"/>
  <c r="DH45" i="2"/>
  <c r="DI45" i="2"/>
  <c r="DK45" i="2"/>
  <c r="DN45" i="2"/>
  <c r="DT45" i="2" s="1"/>
  <c r="DO45" i="2"/>
  <c r="DP45" i="2"/>
  <c r="DQ45" i="2"/>
  <c r="DR45" i="2"/>
  <c r="DS45" i="2"/>
  <c r="EA45" i="2"/>
  <c r="CU43" i="2"/>
  <c r="CV43" i="2"/>
  <c r="CW43" i="2"/>
  <c r="CX43" i="2"/>
  <c r="CY43" i="2"/>
  <c r="DA43" i="2"/>
  <c r="DC43" i="2"/>
  <c r="DE43" i="2"/>
  <c r="DF43" i="2"/>
  <c r="DG43" i="2"/>
  <c r="DH43" i="2"/>
  <c r="DI43" i="2"/>
  <c r="DK43" i="2"/>
  <c r="DN43" i="2"/>
  <c r="DT43" i="2" s="1"/>
  <c r="DO43" i="2"/>
  <c r="DP43" i="2"/>
  <c r="DQ43" i="2"/>
  <c r="DR43" i="2"/>
  <c r="DS43" i="2"/>
  <c r="EA43" i="2"/>
  <c r="CU182" i="2"/>
  <c r="CV182" i="2"/>
  <c r="CW182" i="2"/>
  <c r="CX182" i="2"/>
  <c r="CY182" i="2"/>
  <c r="DA182" i="2"/>
  <c r="DC182" i="2"/>
  <c r="DE182" i="2"/>
  <c r="DF182" i="2"/>
  <c r="DG182" i="2"/>
  <c r="DH182" i="2"/>
  <c r="DI182" i="2"/>
  <c r="DK182" i="2"/>
  <c r="DN182" i="2"/>
  <c r="DT182" i="2" s="1"/>
  <c r="DO182" i="2"/>
  <c r="DP182" i="2"/>
  <c r="DQ182" i="2"/>
  <c r="DR182" i="2"/>
  <c r="DS182" i="2"/>
  <c r="EA182" i="2"/>
  <c r="CU34" i="2"/>
  <c r="CV34" i="2"/>
  <c r="CW34" i="2"/>
  <c r="CX34" i="2"/>
  <c r="CY34" i="2"/>
  <c r="DA34" i="2"/>
  <c r="DC34" i="2"/>
  <c r="DE34" i="2"/>
  <c r="DF34" i="2"/>
  <c r="DG34" i="2"/>
  <c r="DH34" i="2"/>
  <c r="DI34" i="2"/>
  <c r="DK34" i="2"/>
  <c r="DN34" i="2"/>
  <c r="DT34" i="2" s="1"/>
  <c r="DO34" i="2"/>
  <c r="DP34" i="2"/>
  <c r="DQ34" i="2"/>
  <c r="DR34" i="2"/>
  <c r="DS34" i="2"/>
  <c r="EA34" i="2"/>
  <c r="CU181" i="2"/>
  <c r="CV181" i="2"/>
  <c r="CW181" i="2"/>
  <c r="CX181" i="2"/>
  <c r="CY181" i="2"/>
  <c r="DA181" i="2"/>
  <c r="DC181" i="2"/>
  <c r="DE181" i="2"/>
  <c r="DF181" i="2"/>
  <c r="DG181" i="2"/>
  <c r="DH181" i="2"/>
  <c r="DI181" i="2"/>
  <c r="DK181" i="2"/>
  <c r="DN181" i="2"/>
  <c r="DT181" i="2" s="1"/>
  <c r="DO181" i="2"/>
  <c r="DP181" i="2"/>
  <c r="DQ181" i="2"/>
  <c r="DR181" i="2"/>
  <c r="DS181" i="2"/>
  <c r="EA181" i="2"/>
  <c r="CU6" i="2"/>
  <c r="CV6" i="2"/>
  <c r="CW6" i="2"/>
  <c r="CX6" i="2"/>
  <c r="CY6" i="2"/>
  <c r="DA6" i="2"/>
  <c r="DC6" i="2"/>
  <c r="DE6" i="2"/>
  <c r="DF6" i="2"/>
  <c r="DG6" i="2"/>
  <c r="DH6" i="2"/>
  <c r="DI6" i="2"/>
  <c r="DK6" i="2"/>
  <c r="DN6" i="2"/>
  <c r="DT6" i="2" s="1"/>
  <c r="DO6" i="2"/>
  <c r="DP6" i="2"/>
  <c r="DQ6" i="2"/>
  <c r="DR6" i="2"/>
  <c r="DS6" i="2"/>
  <c r="EA6" i="2"/>
  <c r="CU42" i="2"/>
  <c r="CV42" i="2"/>
  <c r="CW42" i="2"/>
  <c r="CX42" i="2"/>
  <c r="CY42" i="2"/>
  <c r="DA42" i="2"/>
  <c r="DC42" i="2"/>
  <c r="DE42" i="2"/>
  <c r="DF42" i="2"/>
  <c r="DG42" i="2"/>
  <c r="DH42" i="2"/>
  <c r="DI42" i="2"/>
  <c r="DK42" i="2"/>
  <c r="DN42" i="2"/>
  <c r="DT42" i="2" s="1"/>
  <c r="DO42" i="2"/>
  <c r="DP42" i="2"/>
  <c r="DQ42" i="2"/>
  <c r="DR42" i="2"/>
  <c r="DS42" i="2"/>
  <c r="EA42" i="2"/>
  <c r="CU13" i="2"/>
  <c r="CV13" i="2"/>
  <c r="CW13" i="2"/>
  <c r="CX13" i="2"/>
  <c r="CY13" i="2"/>
  <c r="DA13" i="2"/>
  <c r="DC13" i="2"/>
  <c r="DE13" i="2"/>
  <c r="DF13" i="2"/>
  <c r="DG13" i="2"/>
  <c r="DH13" i="2"/>
  <c r="DI13" i="2"/>
  <c r="DK13" i="2"/>
  <c r="DN13" i="2"/>
  <c r="DT13" i="2" s="1"/>
  <c r="DO13" i="2"/>
  <c r="DP13" i="2"/>
  <c r="DQ13" i="2"/>
  <c r="DR13" i="2"/>
  <c r="DS13" i="2"/>
  <c r="EA13" i="2"/>
  <c r="CU35" i="2"/>
  <c r="CV35" i="2"/>
  <c r="CW35" i="2"/>
  <c r="CX35" i="2"/>
  <c r="CY35" i="2"/>
  <c r="DA35" i="2"/>
  <c r="DC35" i="2"/>
  <c r="DE35" i="2"/>
  <c r="DF35" i="2"/>
  <c r="DG35" i="2"/>
  <c r="DH35" i="2"/>
  <c r="DI35" i="2"/>
  <c r="DK35" i="2"/>
  <c r="DN35" i="2"/>
  <c r="DT35" i="2" s="1"/>
  <c r="DO35" i="2"/>
  <c r="DP35" i="2"/>
  <c r="DQ35" i="2"/>
  <c r="DR35" i="2"/>
  <c r="DS35" i="2"/>
  <c r="EA35" i="2"/>
  <c r="CU80" i="2"/>
  <c r="CV80" i="2"/>
  <c r="CW80" i="2"/>
  <c r="CX80" i="2"/>
  <c r="CY80" i="2"/>
  <c r="DA80" i="2"/>
  <c r="DC80" i="2"/>
  <c r="DE80" i="2"/>
  <c r="DF80" i="2"/>
  <c r="DG80" i="2"/>
  <c r="DH80" i="2"/>
  <c r="DI80" i="2"/>
  <c r="DK80" i="2"/>
  <c r="DN80" i="2"/>
  <c r="DT80" i="2" s="1"/>
  <c r="DO80" i="2"/>
  <c r="DP80" i="2"/>
  <c r="DQ80" i="2"/>
  <c r="DR80" i="2"/>
  <c r="DS80" i="2"/>
  <c r="EA80" i="2"/>
  <c r="CU76" i="2"/>
  <c r="CV76" i="2"/>
  <c r="CW76" i="2"/>
  <c r="CX76" i="2"/>
  <c r="CY76" i="2"/>
  <c r="DA76" i="2"/>
  <c r="DC76" i="2"/>
  <c r="DE76" i="2"/>
  <c r="DF76" i="2"/>
  <c r="DG76" i="2"/>
  <c r="DH76" i="2"/>
  <c r="DI76" i="2"/>
  <c r="DK76" i="2"/>
  <c r="DN76" i="2"/>
  <c r="DT76" i="2" s="1"/>
  <c r="DO76" i="2"/>
  <c r="DP76" i="2"/>
  <c r="DQ76" i="2"/>
  <c r="DR76" i="2"/>
  <c r="DS76" i="2"/>
  <c r="EA76" i="2"/>
  <c r="CU71" i="2"/>
  <c r="CV71" i="2"/>
  <c r="CW71" i="2"/>
  <c r="CX71" i="2"/>
  <c r="CY71" i="2"/>
  <c r="DA71" i="2"/>
  <c r="DC71" i="2"/>
  <c r="DE71" i="2"/>
  <c r="DF71" i="2"/>
  <c r="DG71" i="2"/>
  <c r="DH71" i="2"/>
  <c r="DI71" i="2"/>
  <c r="DK71" i="2"/>
  <c r="DN71" i="2"/>
  <c r="DT71" i="2" s="1"/>
  <c r="DO71" i="2"/>
  <c r="DP71" i="2"/>
  <c r="DQ71" i="2"/>
  <c r="DR71" i="2"/>
  <c r="DS71" i="2"/>
  <c r="EA71" i="2"/>
  <c r="CU113" i="2"/>
  <c r="CV113" i="2"/>
  <c r="CW113" i="2"/>
  <c r="CX113" i="2"/>
  <c r="CY113" i="2"/>
  <c r="DA113" i="2"/>
  <c r="DC113" i="2"/>
  <c r="DE113" i="2"/>
  <c r="DF113" i="2"/>
  <c r="DG113" i="2"/>
  <c r="DH113" i="2"/>
  <c r="DI113" i="2"/>
  <c r="DK113" i="2"/>
  <c r="DN113" i="2"/>
  <c r="DT113" i="2" s="1"/>
  <c r="DO113" i="2"/>
  <c r="DP113" i="2"/>
  <c r="DQ113" i="2"/>
  <c r="DR113" i="2"/>
  <c r="DS113" i="2"/>
  <c r="EA113" i="2"/>
  <c r="CU44" i="2"/>
  <c r="CV44" i="2"/>
  <c r="CW44" i="2"/>
  <c r="CX44" i="2"/>
  <c r="CY44" i="2"/>
  <c r="DA44" i="2"/>
  <c r="DC44" i="2"/>
  <c r="DE44" i="2"/>
  <c r="DF44" i="2"/>
  <c r="DG44" i="2"/>
  <c r="DH44" i="2"/>
  <c r="DI44" i="2"/>
  <c r="DK44" i="2"/>
  <c r="DN44" i="2"/>
  <c r="DT44" i="2" s="1"/>
  <c r="DO44" i="2"/>
  <c r="DP44" i="2"/>
  <c r="DQ44" i="2"/>
  <c r="DR44" i="2"/>
  <c r="DS44" i="2"/>
  <c r="EA44" i="2"/>
  <c r="CU180" i="2"/>
  <c r="CV180" i="2"/>
  <c r="CW180" i="2"/>
  <c r="CX180" i="2"/>
  <c r="CY180" i="2"/>
  <c r="DA180" i="2"/>
  <c r="DC180" i="2"/>
  <c r="DE180" i="2"/>
  <c r="DF180" i="2"/>
  <c r="DG180" i="2"/>
  <c r="DH180" i="2"/>
  <c r="DI180" i="2"/>
  <c r="DK180" i="2"/>
  <c r="DN180" i="2"/>
  <c r="DT180" i="2" s="1"/>
  <c r="DO180" i="2"/>
  <c r="DP180" i="2"/>
  <c r="DQ180" i="2"/>
  <c r="DR180" i="2"/>
  <c r="DS180" i="2"/>
  <c r="EA180" i="2"/>
  <c r="CU56" i="2"/>
  <c r="CV56" i="2"/>
  <c r="CW56" i="2"/>
  <c r="CX56" i="2"/>
  <c r="CY56" i="2"/>
  <c r="DA56" i="2"/>
  <c r="DC56" i="2"/>
  <c r="DE56" i="2"/>
  <c r="DF56" i="2"/>
  <c r="DG56" i="2"/>
  <c r="DH56" i="2"/>
  <c r="DI56" i="2"/>
  <c r="DK56" i="2"/>
  <c r="DN56" i="2"/>
  <c r="DT56" i="2" s="1"/>
  <c r="DO56" i="2"/>
  <c r="DP56" i="2"/>
  <c r="DQ56" i="2"/>
  <c r="DR56" i="2"/>
  <c r="DS56" i="2"/>
  <c r="EA56" i="2"/>
  <c r="CU7" i="2"/>
  <c r="CV7" i="2"/>
  <c r="CW7" i="2"/>
  <c r="CX7" i="2"/>
  <c r="CY7" i="2"/>
  <c r="DA7" i="2"/>
  <c r="DC7" i="2"/>
  <c r="DE7" i="2"/>
  <c r="DF7" i="2"/>
  <c r="DG7" i="2"/>
  <c r="DH7" i="2"/>
  <c r="DI7" i="2"/>
  <c r="DK7" i="2"/>
  <c r="DN7" i="2"/>
  <c r="DT7" i="2" s="1"/>
  <c r="DO7" i="2"/>
  <c r="DP7" i="2"/>
  <c r="DQ7" i="2"/>
  <c r="DR7" i="2"/>
  <c r="DS7" i="2"/>
  <c r="EA7" i="2"/>
  <c r="CU21" i="2"/>
  <c r="CV21" i="2"/>
  <c r="CW21" i="2"/>
  <c r="CX21" i="2"/>
  <c r="CY21" i="2"/>
  <c r="DA21" i="2"/>
  <c r="DC21" i="2"/>
  <c r="DE21" i="2"/>
  <c r="DF21" i="2"/>
  <c r="DG21" i="2"/>
  <c r="DH21" i="2"/>
  <c r="DI21" i="2"/>
  <c r="DK21" i="2"/>
  <c r="DN21" i="2"/>
  <c r="DT21" i="2" s="1"/>
  <c r="DO21" i="2"/>
  <c r="DP21" i="2"/>
  <c r="DQ21" i="2"/>
  <c r="DR21" i="2"/>
  <c r="DS21" i="2"/>
  <c r="EA21" i="2"/>
  <c r="CU87" i="2"/>
  <c r="CV87" i="2"/>
  <c r="CW87" i="2"/>
  <c r="CX87" i="2"/>
  <c r="CY87" i="2"/>
  <c r="DA87" i="2"/>
  <c r="DC87" i="2"/>
  <c r="DE87" i="2"/>
  <c r="DF87" i="2"/>
  <c r="DG87" i="2"/>
  <c r="DH87" i="2"/>
  <c r="DI87" i="2"/>
  <c r="DK87" i="2"/>
  <c r="DN87" i="2"/>
  <c r="DT87" i="2" s="1"/>
  <c r="DO87" i="2"/>
  <c r="DP87" i="2"/>
  <c r="DQ87" i="2"/>
  <c r="DR87" i="2"/>
  <c r="DS87" i="2"/>
  <c r="EA87" i="2"/>
  <c r="CU183" i="2"/>
  <c r="CV183" i="2"/>
  <c r="CW183" i="2"/>
  <c r="CX183" i="2"/>
  <c r="CY183" i="2"/>
  <c r="DA183" i="2"/>
  <c r="DC183" i="2"/>
  <c r="DE183" i="2"/>
  <c r="DF183" i="2"/>
  <c r="DG183" i="2"/>
  <c r="DH183" i="2"/>
  <c r="DI183" i="2"/>
  <c r="DK183" i="2"/>
  <c r="DN183" i="2"/>
  <c r="DT183" i="2" s="1"/>
  <c r="DO183" i="2"/>
  <c r="DP183" i="2"/>
  <c r="DQ183" i="2"/>
  <c r="DR183" i="2"/>
  <c r="DS183" i="2"/>
  <c r="EA183" i="2"/>
  <c r="CU31" i="2"/>
  <c r="CV31" i="2"/>
  <c r="CW31" i="2"/>
  <c r="CX31" i="2"/>
  <c r="CY31" i="2"/>
  <c r="DA31" i="2"/>
  <c r="DC31" i="2"/>
  <c r="DE31" i="2"/>
  <c r="DF31" i="2"/>
  <c r="DG31" i="2"/>
  <c r="DH31" i="2"/>
  <c r="DI31" i="2"/>
  <c r="DK31" i="2"/>
  <c r="DN31" i="2"/>
  <c r="DT31" i="2" s="1"/>
  <c r="DO31" i="2"/>
  <c r="DP31" i="2"/>
  <c r="DQ31" i="2"/>
  <c r="DR31" i="2"/>
  <c r="DS31" i="2"/>
  <c r="EA31" i="2"/>
  <c r="CU41" i="2"/>
  <c r="CV41" i="2"/>
  <c r="CW41" i="2"/>
  <c r="CX41" i="2"/>
  <c r="CY41" i="2"/>
  <c r="DA41" i="2"/>
  <c r="DC41" i="2"/>
  <c r="DE41" i="2"/>
  <c r="DF41" i="2"/>
  <c r="DG41" i="2"/>
  <c r="DH41" i="2"/>
  <c r="DI41" i="2"/>
  <c r="DK41" i="2"/>
  <c r="DN41" i="2"/>
  <c r="DT41" i="2" s="1"/>
  <c r="DO41" i="2"/>
  <c r="DP41" i="2"/>
  <c r="DQ41" i="2"/>
  <c r="DR41" i="2"/>
  <c r="DS41" i="2"/>
  <c r="EA41" i="2"/>
  <c r="CU33" i="2"/>
  <c r="CV33" i="2"/>
  <c r="CW33" i="2"/>
  <c r="CX33" i="2"/>
  <c r="CY33" i="2"/>
  <c r="DA33" i="2"/>
  <c r="DC33" i="2"/>
  <c r="DE33" i="2"/>
  <c r="DF33" i="2"/>
  <c r="DG33" i="2"/>
  <c r="DH33" i="2"/>
  <c r="DI33" i="2"/>
  <c r="DK33" i="2"/>
  <c r="DN33" i="2"/>
  <c r="DT33" i="2" s="1"/>
  <c r="DO33" i="2"/>
  <c r="DP33" i="2"/>
  <c r="DQ33" i="2"/>
  <c r="DR33" i="2"/>
  <c r="DS33" i="2"/>
  <c r="EA33" i="2"/>
  <c r="CU23" i="2"/>
  <c r="CV23" i="2"/>
  <c r="CW23" i="2"/>
  <c r="CX23" i="2"/>
  <c r="CY23" i="2"/>
  <c r="DA23" i="2"/>
  <c r="DC23" i="2"/>
  <c r="DE23" i="2"/>
  <c r="DF23" i="2"/>
  <c r="DG23" i="2"/>
  <c r="DH23" i="2"/>
  <c r="DI23" i="2"/>
  <c r="DK23" i="2"/>
  <c r="DN23" i="2"/>
  <c r="DT23" i="2" s="1"/>
  <c r="DO23" i="2"/>
  <c r="DP23" i="2"/>
  <c r="DQ23" i="2"/>
  <c r="DR23" i="2"/>
  <c r="DS23" i="2"/>
  <c r="EA23" i="2"/>
  <c r="CU193" i="2"/>
  <c r="CV193" i="2"/>
  <c r="CW193" i="2"/>
  <c r="CX193" i="2"/>
  <c r="CY193" i="2"/>
  <c r="DA193" i="2"/>
  <c r="DC193" i="2"/>
  <c r="DE193" i="2"/>
  <c r="DF193" i="2"/>
  <c r="DG193" i="2"/>
  <c r="DH193" i="2"/>
  <c r="DI193" i="2"/>
  <c r="DK193" i="2"/>
  <c r="DN193" i="2"/>
  <c r="DT193" i="2" s="1"/>
  <c r="DO193" i="2"/>
  <c r="DP193" i="2"/>
  <c r="DQ193" i="2"/>
  <c r="DR193" i="2"/>
  <c r="DS193" i="2"/>
  <c r="EA193" i="2"/>
  <c r="CU89" i="2"/>
  <c r="CV89" i="2"/>
  <c r="CW89" i="2"/>
  <c r="CX89" i="2"/>
  <c r="CY89" i="2"/>
  <c r="DA89" i="2"/>
  <c r="DC89" i="2"/>
  <c r="DE89" i="2"/>
  <c r="DF89" i="2"/>
  <c r="DG89" i="2"/>
  <c r="DH89" i="2"/>
  <c r="DI89" i="2"/>
  <c r="DK89" i="2"/>
  <c r="DN89" i="2"/>
  <c r="DT89" i="2" s="1"/>
  <c r="DO89" i="2"/>
  <c r="DP89" i="2"/>
  <c r="DQ89" i="2"/>
  <c r="DR89" i="2"/>
  <c r="DS89" i="2"/>
  <c r="EA89" i="2"/>
  <c r="CU83" i="2"/>
  <c r="CV83" i="2"/>
  <c r="CW83" i="2"/>
  <c r="CX83" i="2"/>
  <c r="CY83" i="2"/>
  <c r="DA83" i="2"/>
  <c r="DC83" i="2"/>
  <c r="DE83" i="2"/>
  <c r="DF83" i="2"/>
  <c r="DG83" i="2"/>
  <c r="DH83" i="2"/>
  <c r="DI83" i="2"/>
  <c r="DK83" i="2"/>
  <c r="DN83" i="2"/>
  <c r="DT83" i="2" s="1"/>
  <c r="DO83" i="2"/>
  <c r="DP83" i="2"/>
  <c r="DQ83" i="2"/>
  <c r="DR83" i="2"/>
  <c r="DS83" i="2"/>
  <c r="EA83" i="2"/>
  <c r="CU82" i="2"/>
  <c r="CV82" i="2"/>
  <c r="CW82" i="2"/>
  <c r="CX82" i="2"/>
  <c r="CY82" i="2"/>
  <c r="DA82" i="2"/>
  <c r="DC82" i="2"/>
  <c r="DE82" i="2"/>
  <c r="DF82" i="2"/>
  <c r="DG82" i="2"/>
  <c r="DH82" i="2"/>
  <c r="DI82" i="2"/>
  <c r="DK82" i="2"/>
  <c r="DN82" i="2"/>
  <c r="DT82" i="2" s="1"/>
  <c r="DO82" i="2"/>
  <c r="DP82" i="2"/>
  <c r="DQ82" i="2"/>
  <c r="DR82" i="2"/>
  <c r="DS82" i="2"/>
  <c r="EA82" i="2"/>
  <c r="CU19" i="2"/>
  <c r="CV19" i="2"/>
  <c r="CW19" i="2"/>
  <c r="CX19" i="2"/>
  <c r="CY19" i="2"/>
  <c r="DA19" i="2"/>
  <c r="DC19" i="2"/>
  <c r="DE19" i="2"/>
  <c r="DF19" i="2"/>
  <c r="DG19" i="2"/>
  <c r="DH19" i="2"/>
  <c r="DI19" i="2"/>
  <c r="DK19" i="2"/>
  <c r="DN19" i="2"/>
  <c r="DT19" i="2" s="1"/>
  <c r="DO19" i="2"/>
  <c r="DP19" i="2"/>
  <c r="DQ19" i="2"/>
  <c r="DR19" i="2"/>
  <c r="DS19" i="2"/>
  <c r="EA19" i="2"/>
  <c r="CU95" i="2"/>
  <c r="CV95" i="2"/>
  <c r="CW95" i="2"/>
  <c r="CX95" i="2"/>
  <c r="CY95" i="2"/>
  <c r="DA95" i="2"/>
  <c r="DC95" i="2"/>
  <c r="DE95" i="2"/>
  <c r="DF95" i="2"/>
  <c r="DG95" i="2"/>
  <c r="DH95" i="2"/>
  <c r="DI95" i="2"/>
  <c r="DK95" i="2"/>
  <c r="DN95" i="2"/>
  <c r="DT95" i="2" s="1"/>
  <c r="DO95" i="2"/>
  <c r="DP95" i="2"/>
  <c r="DQ95" i="2"/>
  <c r="DR95" i="2"/>
  <c r="DS95" i="2"/>
  <c r="EA95" i="2"/>
  <c r="CU77" i="2"/>
  <c r="CV77" i="2"/>
  <c r="CW77" i="2"/>
  <c r="CX77" i="2"/>
  <c r="CY77" i="2"/>
  <c r="DA77" i="2"/>
  <c r="DC77" i="2"/>
  <c r="DE77" i="2"/>
  <c r="DF77" i="2"/>
  <c r="DG77" i="2"/>
  <c r="DH77" i="2"/>
  <c r="DI77" i="2"/>
  <c r="DK77" i="2"/>
  <c r="DN77" i="2"/>
  <c r="DT77" i="2" s="1"/>
  <c r="DO77" i="2"/>
  <c r="DP77" i="2"/>
  <c r="DQ77" i="2"/>
  <c r="DR77" i="2"/>
  <c r="DS77" i="2"/>
  <c r="EA77" i="2"/>
  <c r="CU20" i="2"/>
  <c r="CV20" i="2"/>
  <c r="CW20" i="2"/>
  <c r="CX20" i="2"/>
  <c r="CY20" i="2"/>
  <c r="DA20" i="2"/>
  <c r="DC20" i="2"/>
  <c r="DE20" i="2"/>
  <c r="DF20" i="2"/>
  <c r="DG20" i="2"/>
  <c r="DH20" i="2"/>
  <c r="DI20" i="2"/>
  <c r="DK20" i="2"/>
  <c r="DN20" i="2"/>
  <c r="DT20" i="2" s="1"/>
  <c r="DO20" i="2"/>
  <c r="DP20" i="2"/>
  <c r="DQ20" i="2"/>
  <c r="DR20" i="2"/>
  <c r="DS20" i="2"/>
  <c r="EA20" i="2"/>
  <c r="CU28" i="2"/>
  <c r="CV28" i="2"/>
  <c r="CW28" i="2"/>
  <c r="CX28" i="2"/>
  <c r="CY28" i="2"/>
  <c r="DA28" i="2"/>
  <c r="DC28" i="2"/>
  <c r="DE28" i="2"/>
  <c r="DF28" i="2"/>
  <c r="DG28" i="2"/>
  <c r="DH28" i="2"/>
  <c r="DI28" i="2"/>
  <c r="DK28" i="2"/>
  <c r="DN28" i="2"/>
  <c r="DT28" i="2" s="1"/>
  <c r="DO28" i="2"/>
  <c r="DP28" i="2"/>
  <c r="DQ28" i="2"/>
  <c r="DR28" i="2"/>
  <c r="DS28" i="2"/>
  <c r="EA28" i="2"/>
  <c r="CU90" i="2"/>
  <c r="CV90" i="2"/>
  <c r="CW90" i="2"/>
  <c r="CX90" i="2"/>
  <c r="CY90" i="2"/>
  <c r="DA90" i="2"/>
  <c r="DC90" i="2"/>
  <c r="DE90" i="2"/>
  <c r="DF90" i="2"/>
  <c r="DG90" i="2"/>
  <c r="DH90" i="2"/>
  <c r="DI90" i="2"/>
  <c r="DK90" i="2"/>
  <c r="DN90" i="2"/>
  <c r="DT90" i="2" s="1"/>
  <c r="DO90" i="2"/>
  <c r="DP90" i="2"/>
  <c r="DQ90" i="2"/>
  <c r="DR90" i="2"/>
  <c r="DS90" i="2"/>
  <c r="EA90" i="2"/>
  <c r="CU8" i="2"/>
  <c r="CV8" i="2"/>
  <c r="CW8" i="2"/>
  <c r="CX8" i="2"/>
  <c r="CY8" i="2"/>
  <c r="DA8" i="2"/>
  <c r="DC8" i="2"/>
  <c r="DE8" i="2"/>
  <c r="DF8" i="2"/>
  <c r="DG8" i="2"/>
  <c r="DH8" i="2"/>
  <c r="DI8" i="2"/>
  <c r="DK8" i="2"/>
  <c r="DN8" i="2"/>
  <c r="DT8" i="2" s="1"/>
  <c r="DO8" i="2"/>
  <c r="DP8" i="2"/>
  <c r="DQ8" i="2"/>
  <c r="DR8" i="2"/>
  <c r="DS8" i="2"/>
  <c r="EA8" i="2"/>
  <c r="AZ3" i="2"/>
  <c r="AZ46" i="2"/>
  <c r="T46" i="7" s="1"/>
  <c r="Y46" i="7" s="1"/>
  <c r="AZ59" i="2"/>
  <c r="AZ60" i="2"/>
  <c r="AZ130" i="2"/>
  <c r="AZ128" i="2"/>
  <c r="AZ129" i="2"/>
  <c r="AZ16" i="2"/>
  <c r="T16" i="7" s="1"/>
  <c r="Y16" i="7" s="1"/>
  <c r="AZ67" i="2"/>
  <c r="AZ99" i="2"/>
  <c r="AZ65" i="2"/>
  <c r="AZ64" i="2"/>
  <c r="AZ61" i="2"/>
  <c r="T61" i="7" s="1"/>
  <c r="Y61" i="7" s="1"/>
  <c r="AA61" i="7" s="1"/>
  <c r="AZ45" i="2"/>
  <c r="T45" i="7" s="1"/>
  <c r="Y45" i="7" s="1"/>
  <c r="AA45" i="7" s="1"/>
  <c r="AZ43" i="2"/>
  <c r="AZ182" i="2"/>
  <c r="T182" i="7" s="1"/>
  <c r="Y182" i="7" s="1"/>
  <c r="AA182" i="7" s="1"/>
  <c r="AZ34" i="2"/>
  <c r="AZ181" i="2"/>
  <c r="T181" i="7" s="1"/>
  <c r="Y181" i="7" s="1"/>
  <c r="AA181" i="7" s="1"/>
  <c r="AZ6" i="2"/>
  <c r="AZ42" i="2"/>
  <c r="T42" i="7" s="1"/>
  <c r="Y42" i="7" s="1"/>
  <c r="AA42" i="7" s="1"/>
  <c r="AZ13" i="2"/>
  <c r="T13" i="7" s="1"/>
  <c r="Y13" i="7" s="1"/>
  <c r="AA13" i="7" s="1"/>
  <c r="AZ35" i="2"/>
  <c r="AZ80" i="2"/>
  <c r="T80" i="7" s="1"/>
  <c r="Y80" i="7" s="1"/>
  <c r="AA80" i="7" s="1"/>
  <c r="AZ76" i="2"/>
  <c r="AZ71" i="2"/>
  <c r="AZ113" i="2"/>
  <c r="T113" i="7" s="1"/>
  <c r="Y113" i="7" s="1"/>
  <c r="AA113" i="7" s="1"/>
  <c r="AZ44" i="2"/>
  <c r="AZ180" i="2"/>
  <c r="T180" i="7" s="1"/>
  <c r="Y180" i="7" s="1"/>
  <c r="AA180" i="7" s="1"/>
  <c r="AZ56" i="2"/>
  <c r="AZ7" i="2"/>
  <c r="AZ21" i="2"/>
  <c r="AZ87" i="2"/>
  <c r="AZ183" i="2"/>
  <c r="T183" i="7" s="1"/>
  <c r="Y183" i="7" s="1"/>
  <c r="AA183" i="7" s="1"/>
  <c r="AZ31" i="2"/>
  <c r="T31" i="7" s="1"/>
  <c r="Y31" i="7" s="1"/>
  <c r="AA31" i="7" s="1"/>
  <c r="AZ41" i="2"/>
  <c r="AZ33" i="2"/>
  <c r="T33" i="7" s="1"/>
  <c r="Y33" i="7" s="1"/>
  <c r="AA33" i="7" s="1"/>
  <c r="AZ23" i="2"/>
  <c r="AZ193" i="2"/>
  <c r="T193" i="7" s="1"/>
  <c r="Y193" i="7" s="1"/>
  <c r="AA193" i="7" s="1"/>
  <c r="AZ89" i="2"/>
  <c r="AZ83" i="2"/>
  <c r="T83" i="7" s="1"/>
  <c r="Y83" i="7" s="1"/>
  <c r="AA83" i="7" s="1"/>
  <c r="AZ82" i="2"/>
  <c r="T82" i="7" s="1"/>
  <c r="Y82" i="7" s="1"/>
  <c r="AA82" i="7" s="1"/>
  <c r="AZ19" i="2"/>
  <c r="AZ95" i="2"/>
  <c r="T95" i="7" s="1"/>
  <c r="Y95" i="7" s="1"/>
  <c r="AZ77" i="2"/>
  <c r="AZ20" i="2"/>
  <c r="AZ28" i="2"/>
  <c r="AZ90" i="2"/>
  <c r="AZ8" i="2"/>
  <c r="AZ18" i="2"/>
  <c r="T18" i="7" s="1"/>
  <c r="Y18" i="7" s="1"/>
  <c r="AZ49" i="2"/>
  <c r="T49" i="7" s="1"/>
  <c r="Y49" i="7" s="1"/>
  <c r="AA49" i="7" s="1"/>
  <c r="AZ17" i="2"/>
  <c r="T17" i="7" s="1"/>
  <c r="Y17" i="7" s="1"/>
  <c r="BX17" i="2"/>
  <c r="CK6" i="2"/>
  <c r="CK42" i="2"/>
  <c r="CK13" i="2"/>
  <c r="CK35" i="2"/>
  <c r="R35" i="2" s="1"/>
  <c r="CK80" i="2"/>
  <c r="CK76" i="2"/>
  <c r="CK71" i="2"/>
  <c r="CK113" i="2"/>
  <c r="CK44" i="2"/>
  <c r="CK180" i="2"/>
  <c r="CK56" i="2"/>
  <c r="CK7" i="2"/>
  <c r="CK21" i="2"/>
  <c r="CK87" i="2"/>
  <c r="CK183" i="2"/>
  <c r="CK31" i="2"/>
  <c r="CK41" i="2"/>
  <c r="CK33" i="2"/>
  <c r="CK23" i="2"/>
  <c r="CK193" i="2"/>
  <c r="CK89" i="2"/>
  <c r="CK83" i="2"/>
  <c r="R83" i="2" s="1"/>
  <c r="CK82" i="2"/>
  <c r="CK19" i="2"/>
  <c r="CK95" i="2"/>
  <c r="CK77" i="2"/>
  <c r="CK20" i="2"/>
  <c r="CK28" i="2"/>
  <c r="CK90" i="2"/>
  <c r="CK8" i="2"/>
  <c r="CK181" i="2"/>
  <c r="R64" i="2"/>
  <c r="CK61" i="2"/>
  <c r="CK45" i="2"/>
  <c r="CK43" i="2"/>
  <c r="CK182" i="2"/>
  <c r="CK34" i="2"/>
  <c r="CK128" i="2"/>
  <c r="R128" i="2" s="1"/>
  <c r="CK129" i="2"/>
  <c r="CK16" i="2"/>
  <c r="CK67" i="2"/>
  <c r="CK99" i="2"/>
  <c r="CK65" i="2"/>
  <c r="CK18" i="2"/>
  <c r="CK49" i="2"/>
  <c r="CK4" i="2"/>
  <c r="CK3" i="2"/>
  <c r="CK46" i="2"/>
  <c r="R46" i="2" s="1"/>
  <c r="CK59" i="2"/>
  <c r="CK60" i="2"/>
  <c r="CK130" i="2"/>
  <c r="R130" i="2" s="1"/>
  <c r="P18" i="2"/>
  <c r="P49" i="2"/>
  <c r="P4" i="2"/>
  <c r="P3" i="2"/>
  <c r="P46" i="2"/>
  <c r="P59" i="2"/>
  <c r="P60" i="2"/>
  <c r="P130" i="2"/>
  <c r="P128" i="2"/>
  <c r="P129" i="2"/>
  <c r="P16" i="2"/>
  <c r="P67" i="2"/>
  <c r="P99" i="2"/>
  <c r="P65" i="2"/>
  <c r="P64" i="2"/>
  <c r="P61" i="2"/>
  <c r="P43" i="2"/>
  <c r="P182" i="2"/>
  <c r="P34" i="2"/>
  <c r="P181" i="2"/>
  <c r="P6" i="2"/>
  <c r="P42" i="2"/>
  <c r="P13" i="2"/>
  <c r="P35" i="2"/>
  <c r="P80" i="2"/>
  <c r="P76" i="2"/>
  <c r="P71" i="2"/>
  <c r="P113" i="2"/>
  <c r="P44" i="2"/>
  <c r="P180" i="2"/>
  <c r="P56" i="2"/>
  <c r="P7" i="2"/>
  <c r="P21" i="2"/>
  <c r="P87" i="2"/>
  <c r="P183" i="2"/>
  <c r="P31" i="2"/>
  <c r="P41" i="2"/>
  <c r="P33" i="2"/>
  <c r="P23" i="2"/>
  <c r="P193" i="2"/>
  <c r="P89" i="2"/>
  <c r="P83" i="2"/>
  <c r="P82" i="2"/>
  <c r="P19" i="2"/>
  <c r="P77" i="2"/>
  <c r="P20" i="2"/>
  <c r="P28" i="2"/>
  <c r="P90" i="2"/>
  <c r="P8" i="2"/>
  <c r="BX18" i="2"/>
  <c r="BX49" i="2"/>
  <c r="CX49" i="2" s="1"/>
  <c r="BX3" i="2"/>
  <c r="BX46" i="2"/>
  <c r="BX59" i="2"/>
  <c r="BX60" i="2"/>
  <c r="BX130" i="2"/>
  <c r="BX128" i="2"/>
  <c r="BX129" i="2"/>
  <c r="BX16" i="2"/>
  <c r="BX67" i="2"/>
  <c r="BX99" i="2"/>
  <c r="BX65" i="2"/>
  <c r="BX64" i="2"/>
  <c r="BX61" i="2"/>
  <c r="BX45" i="2"/>
  <c r="BX43" i="2"/>
  <c r="BX182" i="2"/>
  <c r="BX34" i="2"/>
  <c r="BX181" i="2"/>
  <c r="BX6" i="2"/>
  <c r="BX42" i="2"/>
  <c r="BX13" i="2"/>
  <c r="BX35" i="2"/>
  <c r="BX80" i="2"/>
  <c r="BX76" i="2"/>
  <c r="BX71" i="2"/>
  <c r="BX113" i="2"/>
  <c r="BX44" i="2"/>
  <c r="BX180" i="2"/>
  <c r="BX56" i="2"/>
  <c r="BX7" i="2"/>
  <c r="BX21" i="2"/>
  <c r="BX87" i="2"/>
  <c r="BX183" i="2"/>
  <c r="BX31" i="2"/>
  <c r="BX41" i="2"/>
  <c r="BX33" i="2"/>
  <c r="BX23" i="2"/>
  <c r="BX193" i="2"/>
  <c r="BX89" i="2"/>
  <c r="BX83" i="2"/>
  <c r="BX82" i="2"/>
  <c r="BX19" i="2"/>
  <c r="BX95" i="2"/>
  <c r="BX77" i="2"/>
  <c r="BX20" i="2"/>
  <c r="BX28" i="2"/>
  <c r="BX90" i="2"/>
  <c r="BX8" i="2"/>
  <c r="H49" i="2"/>
  <c r="O49" i="7" s="1"/>
  <c r="H4" i="2"/>
  <c r="O4" i="7" s="1"/>
  <c r="H46" i="2"/>
  <c r="O46" i="7" s="1"/>
  <c r="H59" i="2"/>
  <c r="H130" i="2"/>
  <c r="H128" i="2"/>
  <c r="H129" i="2"/>
  <c r="H16" i="2"/>
  <c r="O16" i="7" s="1"/>
  <c r="H67" i="2"/>
  <c r="H99" i="2"/>
  <c r="H65" i="2"/>
  <c r="H64" i="2"/>
  <c r="H61" i="2"/>
  <c r="O61" i="7" s="1"/>
  <c r="H45" i="2"/>
  <c r="O45" i="7" s="1"/>
  <c r="H43" i="2"/>
  <c r="H34" i="2"/>
  <c r="H181" i="2"/>
  <c r="O181" i="7" s="1"/>
  <c r="H6" i="2"/>
  <c r="H42" i="2"/>
  <c r="O42" i="7" s="1"/>
  <c r="H13" i="2"/>
  <c r="O13" i="7" s="1"/>
  <c r="H35" i="2"/>
  <c r="H80" i="2"/>
  <c r="O80" i="7" s="1"/>
  <c r="H76" i="2"/>
  <c r="H71" i="2"/>
  <c r="H180" i="2"/>
  <c r="O180" i="7" s="1"/>
  <c r="H56" i="2"/>
  <c r="H7" i="2"/>
  <c r="H21" i="2"/>
  <c r="H87" i="2"/>
  <c r="H183" i="2"/>
  <c r="O183" i="7" s="1"/>
  <c r="H31" i="2"/>
  <c r="O31" i="7" s="1"/>
  <c r="H41" i="2"/>
  <c r="H33" i="2"/>
  <c r="O33" i="7" s="1"/>
  <c r="H23" i="2"/>
  <c r="H193" i="2"/>
  <c r="O193" i="7" s="1"/>
  <c r="H89" i="2"/>
  <c r="H83" i="2"/>
  <c r="O83" i="7" s="1"/>
  <c r="H82" i="2"/>
  <c r="O82" i="7" s="1"/>
  <c r="H19" i="2"/>
  <c r="H95" i="2"/>
  <c r="O95" i="7" s="1"/>
  <c r="H77" i="2"/>
  <c r="H20" i="2"/>
  <c r="H28" i="2"/>
  <c r="H90" i="2"/>
  <c r="C83" i="7" l="1"/>
  <c r="AH83" i="7"/>
  <c r="C80" i="7"/>
  <c r="AH80" i="7"/>
  <c r="AH33" i="7"/>
  <c r="C33" i="7"/>
  <c r="C13" i="7"/>
  <c r="AH13" i="7"/>
  <c r="C31" i="7"/>
  <c r="AH31" i="7"/>
  <c r="AH42" i="7"/>
  <c r="C42" i="7"/>
  <c r="AH45" i="7"/>
  <c r="C45" i="7"/>
  <c r="C82" i="7"/>
  <c r="AH82" i="7"/>
  <c r="AH61" i="7"/>
  <c r="C61" i="7"/>
  <c r="AH183" i="7"/>
  <c r="C183" i="7"/>
  <c r="C181" i="7"/>
  <c r="AH181" i="7"/>
  <c r="AH182" i="7"/>
  <c r="C182" i="7"/>
  <c r="C113" i="7"/>
  <c r="AH113" i="7"/>
  <c r="C180" i="7"/>
  <c r="AH180" i="7"/>
  <c r="AH193" i="7"/>
  <c r="C193" i="7"/>
  <c r="DF49" i="2"/>
  <c r="DG49" i="2"/>
  <c r="CW49" i="2"/>
  <c r="DP49" i="2"/>
  <c r="EA49" i="2"/>
  <c r="O41" i="7"/>
  <c r="B34" i="7"/>
  <c r="B20" i="7"/>
  <c r="O96" i="7"/>
  <c r="O100" i="7"/>
  <c r="O43" i="7"/>
  <c r="O54" i="7"/>
  <c r="O128" i="7"/>
  <c r="T93" i="7"/>
  <c r="Y93" i="7" s="1"/>
  <c r="AA93" i="7" s="1"/>
  <c r="T36" i="7"/>
  <c r="Y36" i="7" s="1"/>
  <c r="AA36" i="7" s="1"/>
  <c r="T71" i="7"/>
  <c r="Y71" i="7" s="1"/>
  <c r="AA71" i="7" s="1"/>
  <c r="T41" i="7"/>
  <c r="Y41" i="7" s="1"/>
  <c r="AA41" i="7" s="1"/>
  <c r="T67" i="7"/>
  <c r="Y67" i="7" s="1"/>
  <c r="AA67" i="7" s="1"/>
  <c r="B93" i="7"/>
  <c r="B36" i="7"/>
  <c r="B71" i="7"/>
  <c r="B41" i="7"/>
  <c r="B67" i="7"/>
  <c r="O71" i="7"/>
  <c r="T77" i="7"/>
  <c r="Y77" i="7" s="1"/>
  <c r="AA77" i="7" s="1"/>
  <c r="T60" i="7"/>
  <c r="Y60" i="7" s="1"/>
  <c r="AA60" i="7" s="1"/>
  <c r="O89" i="7"/>
  <c r="T34" i="7"/>
  <c r="Y34" i="7" s="1"/>
  <c r="AA34" i="7" s="1"/>
  <c r="T20" i="7"/>
  <c r="Y20" i="7" s="1"/>
  <c r="AA20" i="7" s="1"/>
  <c r="O90" i="7"/>
  <c r="O101" i="7"/>
  <c r="O23" i="7"/>
  <c r="O21" i="7"/>
  <c r="O87" i="7"/>
  <c r="O130" i="7"/>
  <c r="T8" i="7"/>
  <c r="Y8" i="7" s="1"/>
  <c r="AA8" i="7" s="1"/>
  <c r="T96" i="7"/>
  <c r="Y96" i="7" s="1"/>
  <c r="AA96" i="7" s="1"/>
  <c r="T100" i="7"/>
  <c r="Y100" i="7" s="1"/>
  <c r="AA100" i="7" s="1"/>
  <c r="T76" i="7"/>
  <c r="Y76" i="7" s="1"/>
  <c r="AA76" i="7" s="1"/>
  <c r="T28" i="7"/>
  <c r="Y28" i="7" s="1"/>
  <c r="AA28" i="7" s="1"/>
  <c r="B96" i="7"/>
  <c r="B100" i="7"/>
  <c r="B76" i="7"/>
  <c r="B28" i="7"/>
  <c r="O44" i="7"/>
  <c r="T35" i="7"/>
  <c r="Y35" i="7" s="1"/>
  <c r="AA35" i="7" s="1"/>
  <c r="O93" i="7"/>
  <c r="O51" i="7"/>
  <c r="T52" i="7"/>
  <c r="Y52" i="7" s="1"/>
  <c r="AA52" i="7" s="1"/>
  <c r="T99" i="7"/>
  <c r="Y99" i="7" s="1"/>
  <c r="AA99" i="7" s="1"/>
  <c r="B52" i="7"/>
  <c r="O63" i="7"/>
  <c r="O38" i="7"/>
  <c r="O7" i="7"/>
  <c r="O48" i="7"/>
  <c r="O64" i="7"/>
  <c r="O59" i="7"/>
  <c r="T90" i="7"/>
  <c r="Y90" i="7" s="1"/>
  <c r="AA90" i="7" s="1"/>
  <c r="T101" i="7"/>
  <c r="Y101" i="7" s="1"/>
  <c r="AA101" i="7" s="1"/>
  <c r="T23" i="7"/>
  <c r="Y23" i="7" s="1"/>
  <c r="AA23" i="7" s="1"/>
  <c r="T89" i="7"/>
  <c r="Y89" i="7" s="1"/>
  <c r="AA89" i="7" s="1"/>
  <c r="T51" i="7"/>
  <c r="Y51" i="7" s="1"/>
  <c r="AA51" i="7" s="1"/>
  <c r="T129" i="7"/>
  <c r="Y129" i="7" s="1"/>
  <c r="AA129" i="7" s="1"/>
  <c r="B101" i="7"/>
  <c r="B23" i="7"/>
  <c r="B89" i="7"/>
  <c r="B51" i="7"/>
  <c r="B129" i="7"/>
  <c r="T19" i="7"/>
  <c r="Y19" i="7" s="1"/>
  <c r="AA19" i="7" s="1"/>
  <c r="O25" i="7"/>
  <c r="O56" i="7"/>
  <c r="O6" i="7"/>
  <c r="O65" i="7"/>
  <c r="T63" i="7"/>
  <c r="Y63" i="7" s="1"/>
  <c r="AA63" i="7" s="1"/>
  <c r="T38" i="7"/>
  <c r="Y38" i="7" s="1"/>
  <c r="AA38" i="7" s="1"/>
  <c r="T7" i="7"/>
  <c r="Y7" i="7" s="1"/>
  <c r="AA7" i="7" s="1"/>
  <c r="T43" i="7"/>
  <c r="Y43" i="7" s="1"/>
  <c r="AA43" i="7" s="1"/>
  <c r="T54" i="7"/>
  <c r="Y54" i="7" s="1"/>
  <c r="AA54" i="7" s="1"/>
  <c r="T128" i="7"/>
  <c r="Y128" i="7" s="1"/>
  <c r="AA128" i="7" s="1"/>
  <c r="B63" i="7"/>
  <c r="B38" i="7"/>
  <c r="B7" i="7"/>
  <c r="B43" i="7"/>
  <c r="B54" i="7"/>
  <c r="B128" i="7"/>
  <c r="O67" i="7"/>
  <c r="T48" i="7"/>
  <c r="Y48" i="7" s="1"/>
  <c r="AA48" i="7" s="1"/>
  <c r="O36" i="7"/>
  <c r="O129" i="7"/>
  <c r="B19" i="7"/>
  <c r="B99" i="7"/>
  <c r="O62" i="7"/>
  <c r="O77" i="7"/>
  <c r="O35" i="7"/>
  <c r="O55" i="7"/>
  <c r="O20" i="7"/>
  <c r="O99" i="7"/>
  <c r="T62" i="7"/>
  <c r="Y62" i="7" s="1"/>
  <c r="AA62" i="7" s="1"/>
  <c r="T25" i="7"/>
  <c r="Y25" i="7" s="1"/>
  <c r="AA25" i="7" s="1"/>
  <c r="T56" i="7"/>
  <c r="Y56" i="7" s="1"/>
  <c r="AA56" i="7" s="1"/>
  <c r="T21" i="7"/>
  <c r="Y21" i="7" s="1"/>
  <c r="AA21" i="7" s="1"/>
  <c r="T87" i="7"/>
  <c r="Y87" i="7" s="1"/>
  <c r="AA87" i="7" s="1"/>
  <c r="T130" i="7"/>
  <c r="Y130" i="7" s="1"/>
  <c r="AA130" i="7" s="1"/>
  <c r="B62" i="7"/>
  <c r="B25" i="7"/>
  <c r="B56" i="7"/>
  <c r="B21" i="7"/>
  <c r="B87" i="7"/>
  <c r="B130" i="7"/>
  <c r="T64" i="7"/>
  <c r="Y64" i="7" s="1"/>
  <c r="AA64" i="7" s="1"/>
  <c r="B77" i="7"/>
  <c r="T55" i="7"/>
  <c r="Y55" i="7" s="1"/>
  <c r="AA55" i="7" s="1"/>
  <c r="B35" i="7"/>
  <c r="B55" i="7"/>
  <c r="B48" i="7"/>
  <c r="B64" i="7"/>
  <c r="B60" i="7"/>
  <c r="O19" i="7"/>
  <c r="O34" i="7"/>
  <c r="O76" i="7"/>
  <c r="O28" i="7"/>
  <c r="T44" i="7"/>
  <c r="Y44" i="7" s="1"/>
  <c r="AA44" i="7" s="1"/>
  <c r="T53" i="7"/>
  <c r="Y53" i="7" s="1"/>
  <c r="AA53" i="7" s="1"/>
  <c r="T6" i="7"/>
  <c r="Y6" i="7" s="1"/>
  <c r="AA6" i="7" s="1"/>
  <c r="T65" i="7"/>
  <c r="Y65" i="7" s="1"/>
  <c r="AA65" i="7" s="1"/>
  <c r="T59" i="7"/>
  <c r="Y59" i="7" s="1"/>
  <c r="AA59" i="7" s="1"/>
  <c r="B44" i="7"/>
  <c r="B53" i="7"/>
  <c r="B6" i="7"/>
  <c r="B65" i="7"/>
  <c r="B59" i="7"/>
  <c r="G96" i="3"/>
  <c r="G95" i="3"/>
  <c r="G93" i="3"/>
  <c r="G94" i="3"/>
  <c r="C48" i="7"/>
  <c r="AH48" i="7"/>
  <c r="AH90" i="7"/>
  <c r="C90" i="7"/>
  <c r="AH36" i="7"/>
  <c r="C36" i="7"/>
  <c r="AH6" i="7"/>
  <c r="C6" i="7"/>
  <c r="AH130" i="7"/>
  <c r="C130" i="7"/>
  <c r="AH43" i="7"/>
  <c r="C43" i="7"/>
  <c r="AH34" i="7"/>
  <c r="C34" i="7"/>
  <c r="C128" i="7"/>
  <c r="AH128" i="7"/>
  <c r="C63" i="7"/>
  <c r="AH63" i="7"/>
  <c r="C100" i="7"/>
  <c r="AH100" i="7"/>
  <c r="AH20" i="7"/>
  <c r="C20" i="7"/>
  <c r="C60" i="7"/>
  <c r="AH60" i="7"/>
  <c r="AH129" i="7"/>
  <c r="C129" i="7"/>
  <c r="C62" i="7"/>
  <c r="AH62" i="7"/>
  <c r="C23" i="7"/>
  <c r="AH23" i="7"/>
  <c r="C41" i="7"/>
  <c r="AH41" i="7"/>
  <c r="C59" i="7"/>
  <c r="AH59" i="7"/>
  <c r="AH16" i="7"/>
  <c r="C16" i="7"/>
  <c r="AH77" i="7"/>
  <c r="C77" i="7"/>
  <c r="AH7" i="7"/>
  <c r="C7" i="7"/>
  <c r="C28" i="7"/>
  <c r="AH28" i="7"/>
  <c r="AH46" i="7"/>
  <c r="C46" i="7"/>
  <c r="AH67" i="7"/>
  <c r="C67" i="7"/>
  <c r="C95" i="7"/>
  <c r="AH95" i="7"/>
  <c r="C56" i="7"/>
  <c r="AH56" i="7"/>
  <c r="C51" i="7"/>
  <c r="AH51" i="7"/>
  <c r="AH19" i="7"/>
  <c r="C19" i="7"/>
  <c r="C55" i="7"/>
  <c r="AH55" i="7"/>
  <c r="AH54" i="7"/>
  <c r="C54" i="7"/>
  <c r="AH4" i="7"/>
  <c r="C4" i="7"/>
  <c r="AH35" i="7"/>
  <c r="C35" i="7"/>
  <c r="AH21" i="7"/>
  <c r="C21" i="7"/>
  <c r="AH93" i="7"/>
  <c r="C93" i="7"/>
  <c r="C53" i="7"/>
  <c r="AH53" i="7"/>
  <c r="AH87" i="7"/>
  <c r="C87" i="7"/>
  <c r="C49" i="7"/>
  <c r="AH49" i="7"/>
  <c r="C96" i="7"/>
  <c r="AH96" i="7"/>
  <c r="C52" i="7"/>
  <c r="AH52" i="7"/>
  <c r="AH64" i="7"/>
  <c r="C64" i="7"/>
  <c r="AH18" i="7"/>
  <c r="C18" i="7"/>
  <c r="AH25" i="7"/>
  <c r="C25" i="7"/>
  <c r="AH89" i="7"/>
  <c r="C89" i="7"/>
  <c r="AH44" i="7"/>
  <c r="C44" i="7"/>
  <c r="C101" i="7"/>
  <c r="AH101" i="7"/>
  <c r="C71" i="7"/>
  <c r="AH71" i="7"/>
  <c r="AH65" i="7"/>
  <c r="C65" i="7"/>
  <c r="AH38" i="7"/>
  <c r="C38" i="7"/>
  <c r="AH76" i="7"/>
  <c r="C76" i="7"/>
  <c r="C99" i="7"/>
  <c r="AH99" i="7"/>
  <c r="G91" i="3"/>
  <c r="G92" i="3"/>
  <c r="G89" i="3"/>
  <c r="G90" i="3"/>
  <c r="G87" i="3"/>
  <c r="G88" i="3"/>
  <c r="G3" i="3"/>
  <c r="G17" i="3"/>
  <c r="G31" i="3"/>
  <c r="G45" i="3"/>
  <c r="G59" i="3"/>
  <c r="G73" i="3"/>
  <c r="G20" i="3"/>
  <c r="G62" i="3"/>
  <c r="G7" i="3"/>
  <c r="G8" i="3"/>
  <c r="G54" i="3"/>
  <c r="G27" i="3"/>
  <c r="G4" i="3"/>
  <c r="G18" i="3"/>
  <c r="G32" i="3"/>
  <c r="G46" i="3"/>
  <c r="G60" i="3"/>
  <c r="G74" i="3"/>
  <c r="G6" i="3"/>
  <c r="G48" i="3"/>
  <c r="G76" i="3"/>
  <c r="G35" i="3"/>
  <c r="G50" i="3"/>
  <c r="G26" i="3"/>
  <c r="G83" i="3"/>
  <c r="G5" i="3"/>
  <c r="G19" i="3"/>
  <c r="G33" i="3"/>
  <c r="G47" i="3"/>
  <c r="G61" i="3"/>
  <c r="G75" i="3"/>
  <c r="G34" i="3"/>
  <c r="G21" i="3"/>
  <c r="G78" i="3"/>
  <c r="G82" i="3"/>
  <c r="G69" i="3"/>
  <c r="G9" i="3"/>
  <c r="G23" i="3"/>
  <c r="G37" i="3"/>
  <c r="G51" i="3"/>
  <c r="G65" i="3"/>
  <c r="G79" i="3"/>
  <c r="G10" i="3"/>
  <c r="G24" i="3"/>
  <c r="G38" i="3"/>
  <c r="G52" i="3"/>
  <c r="G66" i="3"/>
  <c r="G80" i="3"/>
  <c r="G11" i="3"/>
  <c r="G25" i="3"/>
  <c r="G39" i="3"/>
  <c r="G53" i="3"/>
  <c r="G67" i="3"/>
  <c r="G81" i="3"/>
  <c r="G40" i="3"/>
  <c r="G13" i="3"/>
  <c r="G14" i="3"/>
  <c r="G28" i="3"/>
  <c r="G42" i="3"/>
  <c r="G56" i="3"/>
  <c r="G70" i="3"/>
  <c r="G84" i="3"/>
  <c r="G49" i="3"/>
  <c r="G22" i="3"/>
  <c r="G12" i="3"/>
  <c r="G41" i="3"/>
  <c r="G15" i="3"/>
  <c r="G29" i="3"/>
  <c r="G43" i="3"/>
  <c r="G57" i="3"/>
  <c r="G71" i="3"/>
  <c r="G85" i="3"/>
  <c r="G63" i="3"/>
  <c r="G36" i="3"/>
  <c r="G55" i="3"/>
  <c r="G16" i="3"/>
  <c r="G30" i="3"/>
  <c r="G44" i="3"/>
  <c r="G58" i="3"/>
  <c r="G72" i="3"/>
  <c r="G86" i="3"/>
  <c r="G77" i="3"/>
  <c r="G64" i="3"/>
  <c r="G68" i="3"/>
  <c r="F3" i="3"/>
  <c r="F15" i="3"/>
  <c r="F19" i="3"/>
  <c r="F27" i="3"/>
  <c r="F35" i="3"/>
  <c r="F43" i="3"/>
  <c r="F4" i="3"/>
  <c r="F59" i="3"/>
  <c r="F67" i="3"/>
  <c r="F75" i="3"/>
  <c r="F83" i="3"/>
  <c r="F11" i="3"/>
  <c r="F33" i="3"/>
  <c r="F56" i="3"/>
  <c r="F88" i="3"/>
  <c r="F61" i="3"/>
  <c r="F34" i="3"/>
  <c r="F8" i="3"/>
  <c r="F12" i="3"/>
  <c r="F20" i="3"/>
  <c r="F28" i="3"/>
  <c r="F36" i="3"/>
  <c r="F14" i="3"/>
  <c r="F52" i="3"/>
  <c r="F60" i="3"/>
  <c r="F68" i="3"/>
  <c r="F76" i="3"/>
  <c r="F84" i="3"/>
  <c r="F7" i="3"/>
  <c r="F32" i="3"/>
  <c r="F17" i="3"/>
  <c r="F57" i="3"/>
  <c r="F73" i="3"/>
  <c r="F89" i="3"/>
  <c r="F26" i="3"/>
  <c r="F6" i="3"/>
  <c r="F64" i="3"/>
  <c r="F66" i="3"/>
  <c r="F82" i="3"/>
  <c r="F5" i="3"/>
  <c r="F37" i="3"/>
  <c r="F21" i="3"/>
  <c r="F29" i="3"/>
  <c r="F51" i="3"/>
  <c r="F31" i="3"/>
  <c r="F38" i="3"/>
  <c r="F42" i="3"/>
  <c r="F69" i="3"/>
  <c r="F77" i="3"/>
  <c r="F85" i="3"/>
  <c r="F23" i="3"/>
  <c r="F24" i="3"/>
  <c r="F40" i="3"/>
  <c r="F50" i="3"/>
  <c r="F80" i="3"/>
  <c r="F9" i="3"/>
  <c r="F41" i="3"/>
  <c r="F49" i="3"/>
  <c r="F65" i="3"/>
  <c r="F81" i="3"/>
  <c r="F44" i="3"/>
  <c r="F58" i="3"/>
  <c r="F74" i="3"/>
  <c r="F13" i="3"/>
  <c r="F10" i="3"/>
  <c r="F22" i="3"/>
  <c r="F30" i="3"/>
  <c r="F53" i="3"/>
  <c r="F46" i="3"/>
  <c r="F54" i="3"/>
  <c r="F62" i="3"/>
  <c r="F70" i="3"/>
  <c r="F78" i="3"/>
  <c r="F86" i="3"/>
  <c r="F45" i="3"/>
  <c r="F39" i="3"/>
  <c r="F47" i="3"/>
  <c r="F55" i="3"/>
  <c r="F63" i="3"/>
  <c r="F71" i="3"/>
  <c r="F79" i="3"/>
  <c r="F87" i="3"/>
  <c r="F16" i="3"/>
  <c r="F48" i="3"/>
  <c r="F72" i="3"/>
  <c r="F25" i="3"/>
  <c r="F18" i="3"/>
  <c r="C94" i="3"/>
  <c r="L94" i="3"/>
  <c r="K95" i="3"/>
  <c r="J96" i="3"/>
  <c r="I97" i="3"/>
  <c r="A3" i="3"/>
  <c r="A11" i="3"/>
  <c r="A19" i="3"/>
  <c r="A27" i="3"/>
  <c r="A35" i="3"/>
  <c r="A43" i="3"/>
  <c r="A51" i="3"/>
  <c r="A59" i="3"/>
  <c r="A67" i="3"/>
  <c r="A75" i="3"/>
  <c r="A83" i="3"/>
  <c r="A91" i="3"/>
  <c r="A29" i="3"/>
  <c r="A53" i="3"/>
  <c r="A69" i="3"/>
  <c r="A85" i="3"/>
  <c r="D96" i="3"/>
  <c r="A14" i="3"/>
  <c r="A30" i="3"/>
  <c r="A46" i="3"/>
  <c r="A62" i="3"/>
  <c r="A78" i="3"/>
  <c r="A94" i="3"/>
  <c r="I95" i="3"/>
  <c r="A9" i="3"/>
  <c r="A25" i="3"/>
  <c r="A41" i="3"/>
  <c r="A57" i="3"/>
  <c r="A73" i="3"/>
  <c r="A89" i="3"/>
  <c r="I96" i="3"/>
  <c r="A10" i="3"/>
  <c r="A50" i="3"/>
  <c r="A74" i="3"/>
  <c r="A90" i="3"/>
  <c r="D94" i="3"/>
  <c r="C95" i="3"/>
  <c r="L95" i="3"/>
  <c r="K96" i="3"/>
  <c r="J97" i="3"/>
  <c r="A4" i="3"/>
  <c r="A12" i="3"/>
  <c r="A20" i="3"/>
  <c r="A28" i="3"/>
  <c r="A36" i="3"/>
  <c r="A44" i="3"/>
  <c r="A52" i="3"/>
  <c r="A60" i="3"/>
  <c r="A68" i="3"/>
  <c r="A76" i="3"/>
  <c r="A84" i="3"/>
  <c r="A92" i="3"/>
  <c r="E94" i="3"/>
  <c r="D95" i="3"/>
  <c r="C96" i="3"/>
  <c r="L96" i="3"/>
  <c r="K97" i="3"/>
  <c r="A5" i="3"/>
  <c r="A13" i="3"/>
  <c r="A21" i="3"/>
  <c r="A37" i="3"/>
  <c r="A45" i="3"/>
  <c r="A61" i="3"/>
  <c r="A77" i="3"/>
  <c r="A93" i="3"/>
  <c r="E95" i="3"/>
  <c r="C97" i="3"/>
  <c r="L97" i="3"/>
  <c r="A6" i="3"/>
  <c r="A22" i="3"/>
  <c r="A38" i="3"/>
  <c r="A54" i="3"/>
  <c r="A70" i="3"/>
  <c r="A86" i="3"/>
  <c r="J94" i="3"/>
  <c r="A97" i="3"/>
  <c r="H97" i="3"/>
  <c r="A26" i="3"/>
  <c r="A42" i="3"/>
  <c r="A66" i="3"/>
  <c r="A18" i="3"/>
  <c r="H94" i="3"/>
  <c r="E96" i="3"/>
  <c r="D97" i="3"/>
  <c r="A7" i="3"/>
  <c r="A15" i="3"/>
  <c r="A23" i="3"/>
  <c r="A31" i="3"/>
  <c r="A39" i="3"/>
  <c r="A47" i="3"/>
  <c r="A55" i="3"/>
  <c r="A63" i="3"/>
  <c r="A71" i="3"/>
  <c r="A79" i="3"/>
  <c r="A87" i="3"/>
  <c r="A95" i="3"/>
  <c r="I94" i="3"/>
  <c r="H95" i="3"/>
  <c r="E97" i="3"/>
  <c r="A8" i="3"/>
  <c r="A16" i="3"/>
  <c r="A24" i="3"/>
  <c r="A32" i="3"/>
  <c r="A40" i="3"/>
  <c r="A48" i="3"/>
  <c r="A56" i="3"/>
  <c r="A64" i="3"/>
  <c r="A72" i="3"/>
  <c r="A80" i="3"/>
  <c r="A88" i="3"/>
  <c r="A96" i="3"/>
  <c r="H96" i="3"/>
  <c r="A17" i="3"/>
  <c r="A33" i="3"/>
  <c r="A49" i="3"/>
  <c r="A65" i="3"/>
  <c r="A81" i="3"/>
  <c r="J95" i="3"/>
  <c r="A34" i="3"/>
  <c r="A58" i="3"/>
  <c r="A82" i="3"/>
  <c r="K94" i="3"/>
  <c r="E93" i="3"/>
  <c r="L93" i="3"/>
  <c r="H93" i="3"/>
  <c r="I93" i="3"/>
  <c r="J93" i="3"/>
  <c r="K93" i="3"/>
  <c r="C93" i="3"/>
  <c r="D93" i="3"/>
  <c r="J92" i="3"/>
  <c r="K92" i="3"/>
  <c r="L92" i="3"/>
  <c r="I92" i="3"/>
  <c r="E92" i="3"/>
  <c r="H92" i="3"/>
  <c r="C92" i="3"/>
  <c r="D92" i="3"/>
  <c r="J91" i="3"/>
  <c r="C91" i="3"/>
  <c r="D91" i="3"/>
  <c r="E91" i="3"/>
  <c r="H91" i="3"/>
  <c r="L91" i="3"/>
  <c r="I91" i="3"/>
  <c r="J90" i="3"/>
  <c r="K90" i="3"/>
  <c r="L90" i="3"/>
  <c r="E90" i="3"/>
  <c r="H90" i="3"/>
  <c r="I90" i="3"/>
  <c r="C90" i="3"/>
  <c r="D90" i="3"/>
  <c r="J89" i="3"/>
  <c r="K89" i="3"/>
  <c r="L89" i="3"/>
  <c r="D89" i="3"/>
  <c r="I89" i="3"/>
  <c r="C89" i="3"/>
  <c r="E89" i="3"/>
  <c r="H89" i="3"/>
  <c r="J88" i="3"/>
  <c r="H88" i="3"/>
  <c r="K88" i="3"/>
  <c r="L88" i="3"/>
  <c r="D88" i="3"/>
  <c r="C88" i="3"/>
  <c r="I88" i="3"/>
  <c r="E88" i="3"/>
  <c r="J87" i="3"/>
  <c r="I87" i="3"/>
  <c r="L87" i="3"/>
  <c r="E87" i="3"/>
  <c r="H87" i="3"/>
  <c r="D87" i="3"/>
  <c r="C87" i="3"/>
  <c r="J86" i="3"/>
  <c r="K86" i="3"/>
  <c r="L86" i="3"/>
  <c r="D86" i="3"/>
  <c r="C86" i="3"/>
  <c r="H86" i="3"/>
  <c r="I86" i="3"/>
  <c r="E86" i="3"/>
  <c r="J85" i="3"/>
  <c r="K85" i="3"/>
  <c r="L85" i="3"/>
  <c r="H85" i="3"/>
  <c r="I85" i="3"/>
  <c r="D85" i="3"/>
  <c r="C85" i="3"/>
  <c r="E85" i="3"/>
  <c r="J84" i="3"/>
  <c r="K84" i="3"/>
  <c r="H84" i="3"/>
  <c r="L84" i="3"/>
  <c r="E84" i="3"/>
  <c r="I84" i="3"/>
  <c r="C84" i="3"/>
  <c r="D84" i="3"/>
  <c r="J82" i="3"/>
  <c r="I83" i="3"/>
  <c r="L82" i="3"/>
  <c r="H83" i="3"/>
  <c r="C83" i="3"/>
  <c r="D83" i="3"/>
  <c r="E83" i="3"/>
  <c r="C82" i="3"/>
  <c r="D82" i="3"/>
  <c r="E82" i="3"/>
  <c r="J83" i="3"/>
  <c r="H82" i="3"/>
  <c r="K83" i="3"/>
  <c r="I82" i="3"/>
  <c r="L83" i="3"/>
  <c r="J81" i="3"/>
  <c r="K81" i="3"/>
  <c r="L81" i="3"/>
  <c r="C81" i="3"/>
  <c r="D81" i="3"/>
  <c r="E81" i="3"/>
  <c r="H81" i="3"/>
  <c r="I81" i="3"/>
  <c r="J80" i="3"/>
  <c r="E80" i="3"/>
  <c r="K80" i="3"/>
  <c r="H80" i="3"/>
  <c r="L80" i="3"/>
  <c r="C80" i="3"/>
  <c r="D80" i="3"/>
  <c r="I80" i="3"/>
  <c r="J79" i="3"/>
  <c r="K79" i="3"/>
  <c r="I79" i="3"/>
  <c r="L79" i="3"/>
  <c r="H79" i="3"/>
  <c r="C79" i="3"/>
  <c r="E79" i="3"/>
  <c r="D79" i="3"/>
  <c r="J78" i="3"/>
  <c r="H78" i="3"/>
  <c r="L78" i="3"/>
  <c r="C78" i="3"/>
  <c r="D78" i="3"/>
  <c r="E78" i="3"/>
  <c r="I78" i="3"/>
  <c r="J77" i="3"/>
  <c r="I77" i="3"/>
  <c r="K77" i="3"/>
  <c r="L77" i="3"/>
  <c r="H77" i="3"/>
  <c r="E77" i="3"/>
  <c r="C77" i="3"/>
  <c r="D77" i="3"/>
  <c r="J76" i="3"/>
  <c r="K76" i="3"/>
  <c r="E76" i="3"/>
  <c r="L76" i="3"/>
  <c r="H76" i="3"/>
  <c r="I76" i="3"/>
  <c r="D76" i="3"/>
  <c r="C76" i="3"/>
  <c r="R16" i="2"/>
  <c r="R181" i="2"/>
  <c r="R31" i="2"/>
  <c r="R183" i="2"/>
  <c r="K78" i="3" s="1"/>
  <c r="R76" i="2"/>
  <c r="R49" i="2"/>
  <c r="R34" i="2"/>
  <c r="R90" i="2"/>
  <c r="K31" i="3" s="1"/>
  <c r="R89" i="2"/>
  <c r="R21" i="2"/>
  <c r="R80" i="2"/>
  <c r="R113" i="2"/>
  <c r="R3" i="2"/>
  <c r="R129" i="2"/>
  <c r="R4" i="2"/>
  <c r="R18" i="2"/>
  <c r="R182" i="2"/>
  <c r="R28" i="2"/>
  <c r="R193" i="2"/>
  <c r="K87" i="3" s="1"/>
  <c r="R7" i="2"/>
  <c r="R82" i="2"/>
  <c r="R65" i="2"/>
  <c r="R43" i="2"/>
  <c r="R20" i="2"/>
  <c r="R23" i="2"/>
  <c r="R56" i="2"/>
  <c r="R13" i="2"/>
  <c r="R71" i="2"/>
  <c r="R8" i="2"/>
  <c r="R60" i="2"/>
  <c r="R99" i="2"/>
  <c r="R45" i="2"/>
  <c r="R77" i="2"/>
  <c r="R33" i="2"/>
  <c r="R180" i="2"/>
  <c r="R42" i="2"/>
  <c r="R19" i="2"/>
  <c r="R87" i="2"/>
  <c r="R59" i="2"/>
  <c r="R67" i="2"/>
  <c r="K40" i="3" s="1"/>
  <c r="R61" i="2"/>
  <c r="R95" i="2"/>
  <c r="R41" i="2"/>
  <c r="R44" i="2"/>
  <c r="R6" i="2"/>
  <c r="E75" i="3"/>
  <c r="H75" i="3"/>
  <c r="D75" i="3"/>
  <c r="I75" i="3"/>
  <c r="C75" i="3"/>
  <c r="J75" i="3"/>
  <c r="K75" i="3"/>
  <c r="L75" i="3"/>
  <c r="E74" i="3"/>
  <c r="H74" i="3"/>
  <c r="I74" i="3"/>
  <c r="J74" i="3"/>
  <c r="L74" i="3"/>
  <c r="K74" i="3"/>
  <c r="C74" i="3"/>
  <c r="D74" i="3"/>
  <c r="E73" i="3"/>
  <c r="H73" i="3"/>
  <c r="C73" i="3"/>
  <c r="I73" i="3"/>
  <c r="J73" i="3"/>
  <c r="D73" i="3"/>
  <c r="K73" i="3"/>
  <c r="L73" i="3"/>
  <c r="E72" i="3"/>
  <c r="H72" i="3"/>
  <c r="I72" i="3"/>
  <c r="J72" i="3"/>
  <c r="K72" i="3"/>
  <c r="L72" i="3"/>
  <c r="D72" i="3"/>
  <c r="C72" i="3"/>
  <c r="E71" i="3"/>
  <c r="H71" i="3"/>
  <c r="I71" i="3"/>
  <c r="K71" i="3"/>
  <c r="J71" i="3"/>
  <c r="C71" i="3"/>
  <c r="L71" i="3"/>
  <c r="D71" i="3"/>
  <c r="E70" i="3"/>
  <c r="D70" i="3"/>
  <c r="H70" i="3"/>
  <c r="I70" i="3"/>
  <c r="K70" i="3"/>
  <c r="C70" i="3"/>
  <c r="L70" i="3"/>
  <c r="J70" i="3"/>
  <c r="E69" i="3"/>
  <c r="D69" i="3"/>
  <c r="H69" i="3"/>
  <c r="I69" i="3"/>
  <c r="K69" i="3"/>
  <c r="C69" i="3"/>
  <c r="L69" i="3"/>
  <c r="J69" i="3"/>
  <c r="E68" i="3"/>
  <c r="L68" i="3"/>
  <c r="H68" i="3"/>
  <c r="I68" i="3"/>
  <c r="J68" i="3"/>
  <c r="K68" i="3"/>
  <c r="C68" i="3"/>
  <c r="D68" i="3"/>
  <c r="E67" i="3"/>
  <c r="H67" i="3"/>
  <c r="I67" i="3"/>
  <c r="J67" i="3"/>
  <c r="D67" i="3"/>
  <c r="K67" i="3"/>
  <c r="C67" i="3"/>
  <c r="L67" i="3"/>
  <c r="E66" i="3"/>
  <c r="H66" i="3"/>
  <c r="I66" i="3"/>
  <c r="K66" i="3"/>
  <c r="C66" i="3"/>
  <c r="L66" i="3"/>
  <c r="D66" i="3"/>
  <c r="J66" i="3"/>
  <c r="E65" i="3"/>
  <c r="C65" i="3"/>
  <c r="H65" i="3"/>
  <c r="D65" i="3"/>
  <c r="I65" i="3"/>
  <c r="L65" i="3"/>
  <c r="J65" i="3"/>
  <c r="K65" i="3"/>
  <c r="E64" i="3"/>
  <c r="H64" i="3"/>
  <c r="I64" i="3"/>
  <c r="J64" i="3"/>
  <c r="K64" i="3"/>
  <c r="C64" i="3"/>
  <c r="L64" i="3"/>
  <c r="D64" i="3"/>
  <c r="E63" i="3"/>
  <c r="H63" i="3"/>
  <c r="I63" i="3"/>
  <c r="J63" i="3"/>
  <c r="K63" i="3"/>
  <c r="C63" i="3"/>
  <c r="L63" i="3"/>
  <c r="D63" i="3"/>
  <c r="E62" i="3"/>
  <c r="H62" i="3"/>
  <c r="I62" i="3"/>
  <c r="J62" i="3"/>
  <c r="K62" i="3"/>
  <c r="C62" i="3"/>
  <c r="L62" i="3"/>
  <c r="D62" i="3"/>
  <c r="L61" i="3"/>
  <c r="C61" i="3"/>
  <c r="D61" i="3"/>
  <c r="E61" i="3"/>
  <c r="H61" i="3"/>
  <c r="I61" i="3"/>
  <c r="J61" i="3"/>
  <c r="K61" i="3"/>
  <c r="T49" i="2"/>
  <c r="T18" i="2"/>
  <c r="T16" i="2"/>
  <c r="T76" i="2"/>
  <c r="T4" i="2"/>
  <c r="T64" i="2"/>
  <c r="T60" i="2"/>
  <c r="T65" i="2"/>
  <c r="T59" i="2"/>
  <c r="T99" i="2"/>
  <c r="T46" i="2"/>
  <c r="T71" i="2"/>
  <c r="T67" i="2"/>
  <c r="T3" i="2"/>
  <c r="H60" i="3"/>
  <c r="L60" i="3"/>
  <c r="I60" i="3"/>
  <c r="J60" i="3"/>
  <c r="K60" i="3"/>
  <c r="C60" i="3"/>
  <c r="D60" i="3"/>
  <c r="E60" i="3"/>
  <c r="T95" i="2"/>
  <c r="T19" i="2"/>
  <c r="H59" i="3"/>
  <c r="I59" i="3"/>
  <c r="J59" i="3"/>
  <c r="K59" i="3"/>
  <c r="C59" i="3"/>
  <c r="L59" i="3"/>
  <c r="E59" i="3"/>
  <c r="D59" i="3"/>
  <c r="H58" i="3"/>
  <c r="I58" i="3"/>
  <c r="J58" i="3"/>
  <c r="C58" i="3"/>
  <c r="L58" i="3"/>
  <c r="D58" i="3"/>
  <c r="E58" i="3"/>
  <c r="H57" i="3"/>
  <c r="L57" i="3"/>
  <c r="I57" i="3"/>
  <c r="J57" i="3"/>
  <c r="C57" i="3"/>
  <c r="D57" i="3"/>
  <c r="E57" i="3"/>
  <c r="C55" i="3"/>
  <c r="H56" i="3"/>
  <c r="I56" i="3"/>
  <c r="H55" i="3"/>
  <c r="L56" i="3"/>
  <c r="J55" i="3"/>
  <c r="L55" i="3"/>
  <c r="C56" i="3"/>
  <c r="D56" i="3"/>
  <c r="E56" i="3"/>
  <c r="D55" i="3"/>
  <c r="E55" i="3"/>
  <c r="J56" i="3"/>
  <c r="I55" i="3"/>
  <c r="H54" i="3"/>
  <c r="I54" i="3"/>
  <c r="J54" i="3"/>
  <c r="K54" i="3"/>
  <c r="C54" i="3"/>
  <c r="L54" i="3"/>
  <c r="D54" i="3"/>
  <c r="E54" i="3"/>
  <c r="H53" i="3"/>
  <c r="L53" i="3"/>
  <c r="I53" i="3"/>
  <c r="J53" i="3"/>
  <c r="D53" i="3"/>
  <c r="K53" i="3"/>
  <c r="C53" i="3"/>
  <c r="E53" i="3"/>
  <c r="H52" i="3"/>
  <c r="I52" i="3"/>
  <c r="J52" i="3"/>
  <c r="K52" i="3"/>
  <c r="C52" i="3"/>
  <c r="L52" i="3"/>
  <c r="E52" i="3"/>
  <c r="D52" i="3"/>
  <c r="D51" i="3"/>
  <c r="E51" i="3"/>
  <c r="H51" i="3"/>
  <c r="J51" i="3"/>
  <c r="L51" i="3"/>
  <c r="I51" i="3"/>
  <c r="K51" i="3"/>
  <c r="C51" i="3"/>
  <c r="L50" i="3"/>
  <c r="H50" i="3"/>
  <c r="I50" i="3"/>
  <c r="J50" i="3"/>
  <c r="K50" i="3"/>
  <c r="C50" i="3"/>
  <c r="D50" i="3"/>
  <c r="E50" i="3"/>
  <c r="H49" i="3"/>
  <c r="I49" i="3"/>
  <c r="J49" i="3"/>
  <c r="K49" i="3"/>
  <c r="C49" i="3"/>
  <c r="L49" i="3"/>
  <c r="D49" i="3"/>
  <c r="E49" i="3"/>
  <c r="H48" i="3"/>
  <c r="I48" i="3"/>
  <c r="J48" i="3"/>
  <c r="K48" i="3"/>
  <c r="E48" i="3"/>
  <c r="C48" i="3"/>
  <c r="L48" i="3"/>
  <c r="D48" i="3"/>
  <c r="H47" i="3"/>
  <c r="I47" i="3"/>
  <c r="J47" i="3"/>
  <c r="K47" i="3"/>
  <c r="C47" i="3"/>
  <c r="L47" i="3"/>
  <c r="D47" i="3"/>
  <c r="E47" i="3"/>
  <c r="H46" i="3"/>
  <c r="I46" i="3"/>
  <c r="J46" i="3"/>
  <c r="E46" i="3"/>
  <c r="K46" i="3"/>
  <c r="C46" i="3"/>
  <c r="L46" i="3"/>
  <c r="D46" i="3"/>
  <c r="H45" i="3"/>
  <c r="I45" i="3"/>
  <c r="J45" i="3"/>
  <c r="C45" i="3"/>
  <c r="L45" i="3"/>
  <c r="D45" i="3"/>
  <c r="E45" i="3"/>
  <c r="H44" i="3"/>
  <c r="I44" i="3"/>
  <c r="J44" i="3"/>
  <c r="D44" i="3"/>
  <c r="K44" i="3"/>
  <c r="C44" i="3"/>
  <c r="L44" i="3"/>
  <c r="E44" i="3"/>
  <c r="H43" i="3"/>
  <c r="I43" i="3"/>
  <c r="J43" i="3"/>
  <c r="K43" i="3"/>
  <c r="C43" i="3"/>
  <c r="L43" i="3"/>
  <c r="D43" i="3"/>
  <c r="E43" i="3"/>
  <c r="H42" i="3"/>
  <c r="I42" i="3"/>
  <c r="J42" i="3"/>
  <c r="E42" i="3"/>
  <c r="C42" i="3"/>
  <c r="L42" i="3"/>
  <c r="D42" i="3"/>
  <c r="H41" i="3"/>
  <c r="I41" i="3"/>
  <c r="J41" i="3"/>
  <c r="C41" i="3"/>
  <c r="L41" i="3"/>
  <c r="D41" i="3"/>
  <c r="E41" i="3"/>
  <c r="H40" i="3"/>
  <c r="I40" i="3"/>
  <c r="J40" i="3"/>
  <c r="C40" i="3"/>
  <c r="L40" i="3"/>
  <c r="D40" i="3"/>
  <c r="E40" i="3"/>
  <c r="D39" i="3"/>
  <c r="H39" i="3"/>
  <c r="I39" i="3"/>
  <c r="J39" i="3"/>
  <c r="E39" i="3"/>
  <c r="C39" i="3"/>
  <c r="L39" i="3"/>
  <c r="E38" i="3"/>
  <c r="H38" i="3"/>
  <c r="I38" i="3"/>
  <c r="J38" i="3"/>
  <c r="C38" i="3"/>
  <c r="L38" i="3"/>
  <c r="D38" i="3"/>
  <c r="H37" i="3"/>
  <c r="L37" i="3"/>
  <c r="I37" i="3"/>
  <c r="J37" i="3"/>
  <c r="C37" i="3"/>
  <c r="D37" i="3"/>
  <c r="E37" i="3"/>
  <c r="H36" i="3"/>
  <c r="I36" i="3"/>
  <c r="J36" i="3"/>
  <c r="C36" i="3"/>
  <c r="L36" i="3"/>
  <c r="D36" i="3"/>
  <c r="E36" i="3"/>
  <c r="H35" i="3"/>
  <c r="I35" i="3"/>
  <c r="J35" i="3"/>
  <c r="D35" i="3"/>
  <c r="E35" i="3"/>
  <c r="C35" i="3"/>
  <c r="L35" i="3"/>
  <c r="C62" i="8"/>
  <c r="C30" i="8"/>
  <c r="D48" i="8"/>
  <c r="D16" i="8"/>
  <c r="C48" i="8"/>
  <c r="C16" i="8"/>
  <c r="C61" i="8"/>
  <c r="C29" i="8"/>
  <c r="D47" i="8"/>
  <c r="D15" i="8"/>
  <c r="C60" i="8"/>
  <c r="C28" i="8"/>
  <c r="D46" i="8"/>
  <c r="D14" i="8"/>
  <c r="D29" i="8"/>
  <c r="D42" i="8"/>
  <c r="C57" i="8"/>
  <c r="D21" i="8"/>
  <c r="D34" i="8"/>
  <c r="C63" i="8"/>
  <c r="D59" i="8"/>
  <c r="D27" i="8"/>
  <c r="C43" i="8"/>
  <c r="D36" i="8"/>
  <c r="D45" i="8"/>
  <c r="D13" i="8"/>
  <c r="D58" i="8"/>
  <c r="D26" i="8"/>
  <c r="C42" i="8"/>
  <c r="D60" i="8"/>
  <c r="D57" i="8"/>
  <c r="D25" i="8"/>
  <c r="C41" i="8"/>
  <c r="C14" i="8"/>
  <c r="D61" i="8"/>
  <c r="D44" i="8"/>
  <c r="D41" i="8"/>
  <c r="C19" i="8"/>
  <c r="C49" i="8"/>
  <c r="C54" i="8"/>
  <c r="C22" i="8"/>
  <c r="D40" i="8"/>
  <c r="C31" i="8"/>
  <c r="C40" i="8"/>
  <c r="C13" i="8"/>
  <c r="C53" i="8"/>
  <c r="C21" i="8"/>
  <c r="D39" i="8"/>
  <c r="C55" i="8"/>
  <c r="C52" i="8"/>
  <c r="C20" i="8"/>
  <c r="D38" i="8"/>
  <c r="C59" i="8"/>
  <c r="C58" i="8"/>
  <c r="D35" i="8"/>
  <c r="D33" i="8"/>
  <c r="D51" i="8"/>
  <c r="D19" i="8"/>
  <c r="C35" i="8"/>
  <c r="C12" i="8"/>
  <c r="D37" i="8"/>
  <c r="D52" i="8"/>
  <c r="D50" i="8"/>
  <c r="D18" i="8"/>
  <c r="C34" i="8"/>
  <c r="D28" i="8"/>
  <c r="D49" i="8"/>
  <c r="D17" i="8"/>
  <c r="C33" i="8"/>
  <c r="D43" i="8"/>
  <c r="C26" i="8"/>
  <c r="C51" i="8"/>
  <c r="C18" i="8"/>
  <c r="C46" i="8"/>
  <c r="D64" i="8"/>
  <c r="D32" i="8"/>
  <c r="C64" i="8"/>
  <c r="C32" i="8"/>
  <c r="C47" i="8"/>
  <c r="C45" i="8"/>
  <c r="D63" i="8"/>
  <c r="D31" i="8"/>
  <c r="C23" i="8"/>
  <c r="C44" i="8"/>
  <c r="D62" i="8"/>
  <c r="D30" i="8"/>
  <c r="C27" i="8"/>
  <c r="D20" i="8"/>
  <c r="C25" i="8"/>
  <c r="D53" i="8"/>
  <c r="C50" i="8"/>
  <c r="C17" i="8"/>
  <c r="C38" i="8"/>
  <c r="D56" i="8"/>
  <c r="D24" i="8"/>
  <c r="C56" i="8"/>
  <c r="C24" i="8"/>
  <c r="C39" i="8"/>
  <c r="C37" i="8"/>
  <c r="D55" i="8"/>
  <c r="D23" i="8"/>
  <c r="C15" i="8"/>
  <c r="C36" i="8"/>
  <c r="D54" i="8"/>
  <c r="D22" i="8"/>
  <c r="D12" i="8"/>
  <c r="H30" i="3"/>
  <c r="E32" i="3"/>
  <c r="D33" i="3"/>
  <c r="C34" i="3"/>
  <c r="L34" i="3"/>
  <c r="D31" i="3"/>
  <c r="C33" i="3"/>
  <c r="I30" i="3"/>
  <c r="H31" i="3"/>
  <c r="E33" i="3"/>
  <c r="D34" i="3"/>
  <c r="L33" i="3"/>
  <c r="J30" i="3"/>
  <c r="I31" i="3"/>
  <c r="H32" i="3"/>
  <c r="E34" i="3"/>
  <c r="E30" i="3"/>
  <c r="E31" i="3"/>
  <c r="J31" i="3"/>
  <c r="I32" i="3"/>
  <c r="H33" i="3"/>
  <c r="J34" i="3"/>
  <c r="D32" i="3"/>
  <c r="C30" i="3"/>
  <c r="L30" i="3"/>
  <c r="J32" i="3"/>
  <c r="I33" i="3"/>
  <c r="H34" i="3"/>
  <c r="L32" i="3"/>
  <c r="D30" i="3"/>
  <c r="C31" i="3"/>
  <c r="L31" i="3"/>
  <c r="J33" i="3"/>
  <c r="I34" i="3"/>
  <c r="C32" i="3"/>
  <c r="C5" i="3"/>
  <c r="H29" i="3"/>
  <c r="I29" i="3"/>
  <c r="J29" i="3"/>
  <c r="L29" i="3"/>
  <c r="C29" i="3"/>
  <c r="D29" i="3"/>
  <c r="E29" i="3"/>
  <c r="CQ180" i="2"/>
  <c r="CQ61" i="2"/>
  <c r="CQ130" i="2"/>
  <c r="CQ19" i="2"/>
  <c r="CQ31" i="2"/>
  <c r="CQ113" i="2"/>
  <c r="CQ17" i="2"/>
  <c r="Z17" i="7" s="1"/>
  <c r="AA17" i="7" s="1"/>
  <c r="CQ6" i="2"/>
  <c r="CQ46" i="2"/>
  <c r="Z46" i="7" s="1"/>
  <c r="AA46" i="7" s="1"/>
  <c r="CQ95" i="2"/>
  <c r="Z95" i="7" s="1"/>
  <c r="AA95" i="7" s="1"/>
  <c r="CQ8" i="2"/>
  <c r="CQ83" i="2"/>
  <c r="CQ76" i="2"/>
  <c r="CQ34" i="2"/>
  <c r="CQ67" i="2"/>
  <c r="CQ3" i="2"/>
  <c r="CQ44" i="2"/>
  <c r="CQ82" i="2"/>
  <c r="CQ90" i="2"/>
  <c r="CQ89" i="2"/>
  <c r="CQ80" i="2"/>
  <c r="CQ182" i="2"/>
  <c r="CQ64" i="2"/>
  <c r="CQ43" i="2"/>
  <c r="CQ77" i="2"/>
  <c r="CQ28" i="2"/>
  <c r="CQ193" i="2"/>
  <c r="CQ7" i="2"/>
  <c r="CQ23" i="2"/>
  <c r="CQ56" i="2"/>
  <c r="CQ45" i="2"/>
  <c r="CQ128" i="2"/>
  <c r="CQ13" i="2"/>
  <c r="CQ21" i="2"/>
  <c r="CQ20" i="2"/>
  <c r="CQ183" i="2"/>
  <c r="CQ87" i="2"/>
  <c r="CQ41" i="2"/>
  <c r="CQ181" i="2"/>
  <c r="D12" i="3"/>
  <c r="C19" i="3"/>
  <c r="CQ71" i="2"/>
  <c r="CQ65" i="2"/>
  <c r="CQ99" i="2"/>
  <c r="CQ18" i="2"/>
  <c r="Z18" i="7" s="1"/>
  <c r="AA18" i="7" s="1"/>
  <c r="CQ33" i="2"/>
  <c r="CQ35" i="2"/>
  <c r="CQ4" i="2"/>
  <c r="Z4" i="7" s="1"/>
  <c r="AA4" i="7" s="1"/>
  <c r="CQ16" i="2"/>
  <c r="Z16" i="7" s="1"/>
  <c r="AA16" i="7" s="1"/>
  <c r="CQ42" i="2"/>
  <c r="CQ129" i="2"/>
  <c r="B2" i="3"/>
  <c r="C24" i="3"/>
  <c r="I25" i="3"/>
  <c r="D27" i="3"/>
  <c r="J28" i="3"/>
  <c r="E3" i="3"/>
  <c r="E5" i="3"/>
  <c r="E7" i="3"/>
  <c r="E9" i="3"/>
  <c r="E11" i="3"/>
  <c r="E13" i="3"/>
  <c r="E15" i="3"/>
  <c r="E17" i="3"/>
  <c r="E19" i="3"/>
  <c r="E21" i="3"/>
  <c r="E23" i="3"/>
  <c r="D24" i="3"/>
  <c r="J25" i="3"/>
  <c r="E27" i="3"/>
  <c r="E24" i="3"/>
  <c r="L28" i="3"/>
  <c r="H3" i="3"/>
  <c r="H5" i="3"/>
  <c r="H7" i="3"/>
  <c r="H9" i="3"/>
  <c r="H11" i="3"/>
  <c r="H13" i="3"/>
  <c r="H15" i="3"/>
  <c r="H17" i="3"/>
  <c r="H19" i="3"/>
  <c r="H21" i="3"/>
  <c r="H23" i="3"/>
  <c r="L25" i="3"/>
  <c r="H27" i="3"/>
  <c r="I3" i="3"/>
  <c r="I5" i="3"/>
  <c r="I7" i="3"/>
  <c r="I9" i="3"/>
  <c r="I11" i="3"/>
  <c r="I13" i="3"/>
  <c r="I15" i="3"/>
  <c r="I17" i="3"/>
  <c r="I19" i="3"/>
  <c r="I21" i="3"/>
  <c r="I23" i="3"/>
  <c r="H24" i="3"/>
  <c r="C26" i="3"/>
  <c r="I27" i="3"/>
  <c r="J3" i="3"/>
  <c r="J5" i="3"/>
  <c r="J7" i="3"/>
  <c r="J13" i="3"/>
  <c r="J15" i="3"/>
  <c r="J17" i="3"/>
  <c r="J19" i="3"/>
  <c r="J21" i="3"/>
  <c r="J23" i="3"/>
  <c r="I24" i="3"/>
  <c r="D26" i="3"/>
  <c r="J27" i="3"/>
  <c r="K3" i="3"/>
  <c r="J24" i="3"/>
  <c r="L26" i="3"/>
  <c r="L4" i="3"/>
  <c r="H12" i="3"/>
  <c r="L15" i="3"/>
  <c r="J18" i="3"/>
  <c r="E22" i="3"/>
  <c r="L27" i="3"/>
  <c r="H16" i="3"/>
  <c r="C28" i="3"/>
  <c r="D28" i="3"/>
  <c r="E28" i="3"/>
  <c r="J6" i="3"/>
  <c r="E14" i="3"/>
  <c r="L3" i="3"/>
  <c r="I10" i="3"/>
  <c r="H20" i="3"/>
  <c r="H28" i="3"/>
  <c r="L6" i="3"/>
  <c r="I20" i="3"/>
  <c r="I28" i="3"/>
  <c r="L17" i="3"/>
  <c r="H4" i="3"/>
  <c r="E18" i="3"/>
  <c r="I26" i="3"/>
  <c r="L20" i="3"/>
  <c r="J4" i="3"/>
  <c r="E12" i="3"/>
  <c r="H18" i="3"/>
  <c r="I8" i="3"/>
  <c r="L21" i="3"/>
  <c r="C27" i="3"/>
  <c r="L5" i="3"/>
  <c r="I12" i="3"/>
  <c r="E16" i="3"/>
  <c r="L24" i="3"/>
  <c r="E6" i="3"/>
  <c r="L18" i="3"/>
  <c r="H22" i="3"/>
  <c r="C25" i="3"/>
  <c r="I22" i="3"/>
  <c r="D25" i="3"/>
  <c r="H6" i="3"/>
  <c r="E10" i="3"/>
  <c r="I16" i="3"/>
  <c r="L19" i="3"/>
  <c r="J22" i="3"/>
  <c r="E25" i="3"/>
  <c r="I6" i="3"/>
  <c r="L13" i="3"/>
  <c r="J16" i="3"/>
  <c r="E20" i="3"/>
  <c r="H10" i="3"/>
  <c r="L22" i="3"/>
  <c r="H25" i="3"/>
  <c r="L16" i="3"/>
  <c r="E26" i="3"/>
  <c r="E4" i="3"/>
  <c r="H14" i="3"/>
  <c r="L23" i="3"/>
  <c r="L7" i="3"/>
  <c r="I14" i="3"/>
  <c r="J20" i="3"/>
  <c r="H26" i="3"/>
  <c r="E8" i="3"/>
  <c r="J14" i="3"/>
  <c r="I4" i="3"/>
  <c r="J26" i="3"/>
  <c r="H8" i="3"/>
  <c r="L14" i="3"/>
  <c r="I18" i="3"/>
  <c r="D11" i="3"/>
  <c r="C18" i="3"/>
  <c r="C4" i="3"/>
  <c r="D10" i="3"/>
  <c r="C17" i="3"/>
  <c r="C3" i="3"/>
  <c r="D23" i="3"/>
  <c r="D9" i="3"/>
  <c r="C16" i="3"/>
  <c r="D8" i="3"/>
  <c r="C15" i="3"/>
  <c r="D21" i="3"/>
  <c r="D7" i="3"/>
  <c r="C14" i="3"/>
  <c r="D20" i="3"/>
  <c r="D6" i="3"/>
  <c r="C13" i="3"/>
  <c r="D19" i="3"/>
  <c r="D5" i="3"/>
  <c r="C12" i="3"/>
  <c r="D17" i="3"/>
  <c r="D3" i="3"/>
  <c r="C10" i="3"/>
  <c r="D16" i="3"/>
  <c r="C23" i="3"/>
  <c r="C9" i="3"/>
  <c r="D18" i="3"/>
  <c r="C11" i="3"/>
  <c r="D15" i="3"/>
  <c r="C22" i="3"/>
  <c r="C8" i="3"/>
  <c r="D4" i="3"/>
  <c r="D14" i="3"/>
  <c r="C21" i="3"/>
  <c r="C7" i="3"/>
  <c r="D22" i="3"/>
  <c r="D13" i="3"/>
  <c r="C20" i="3"/>
  <c r="C6" i="3"/>
  <c r="L3" i="7"/>
  <c r="L1" i="7" s="1"/>
  <c r="AD3" i="7"/>
  <c r="K6" i="3" l="1"/>
  <c r="K82" i="3"/>
  <c r="K91" i="3"/>
  <c r="K39" i="3"/>
  <c r="DK49" i="2"/>
  <c r="DN49" i="2" s="1"/>
  <c r="DT49" i="2" s="1"/>
  <c r="K27" i="3"/>
  <c r="K13" i="3"/>
  <c r="K16" i="3"/>
  <c r="K7" i="3"/>
  <c r="K30" i="3"/>
  <c r="K26" i="3"/>
  <c r="K57" i="3"/>
  <c r="K56" i="3"/>
  <c r="K4" i="3"/>
  <c r="K17" i="3"/>
  <c r="F2" i="3"/>
  <c r="G2" i="3"/>
  <c r="K55" i="3"/>
  <c r="K33" i="3"/>
  <c r="K14" i="3"/>
  <c r="K36" i="3"/>
  <c r="K58" i="3"/>
  <c r="K5" i="3"/>
  <c r="K22" i="3"/>
  <c r="K21" i="3"/>
  <c r="K28" i="3"/>
  <c r="K25" i="3"/>
  <c r="K37" i="3"/>
  <c r="K20" i="3"/>
  <c r="K15" i="3"/>
  <c r="C2" i="3"/>
  <c r="A2" i="3"/>
  <c r="K29" i="3"/>
  <c r="K34" i="3"/>
  <c r="K45" i="3"/>
  <c r="K19" i="3"/>
  <c r="K35" i="3"/>
  <c r="K18" i="3"/>
  <c r="K24" i="3"/>
  <c r="K41" i="3"/>
  <c r="K38" i="3"/>
  <c r="K42" i="3"/>
  <c r="K32" i="3"/>
  <c r="K23" i="3"/>
  <c r="D2" i="3"/>
  <c r="H2" i="3"/>
  <c r="E2" i="3"/>
  <c r="I2" i="3"/>
  <c r="S17" i="2"/>
  <c r="P17" i="2"/>
  <c r="CK17" i="2"/>
  <c r="DL1" i="2"/>
  <c r="B11" i="8" a="1"/>
  <c r="D3" i="7"/>
  <c r="F3" i="7"/>
  <c r="H3" i="7"/>
  <c r="H1" i="7" s="1"/>
  <c r="M3" i="7"/>
  <c r="M1" i="7" s="1"/>
  <c r="N3" i="7"/>
  <c r="O3" i="7"/>
  <c r="P3" i="7"/>
  <c r="Q3" i="7"/>
  <c r="R3" i="7"/>
  <c r="S3" i="7"/>
  <c r="V3" i="7"/>
  <c r="V1" i="7" s="1"/>
  <c r="AC3" i="7"/>
  <c r="A3" i="6"/>
  <c r="F3" i="6"/>
  <c r="E3" i="6" s="1"/>
  <c r="H3" i="6"/>
  <c r="R3" i="6"/>
  <c r="V3" i="6"/>
  <c r="Y3" i="6"/>
  <c r="AM3" i="6" s="1"/>
  <c r="BH3" i="6"/>
  <c r="CD3" i="6"/>
  <c r="CO3" i="6" s="1"/>
  <c r="CH3" i="6"/>
  <c r="CJ3" i="6"/>
  <c r="CL3" i="6"/>
  <c r="CN3" i="6"/>
  <c r="CS3" i="6" s="1"/>
  <c r="CR3" i="6"/>
  <c r="DV3" i="6"/>
  <c r="EC3" i="6"/>
  <c r="EE3" i="6"/>
  <c r="EK3" i="6"/>
  <c r="EO3" i="6"/>
  <c r="EP3" i="6"/>
  <c r="EQ3" i="6"/>
  <c r="ER3" i="6"/>
  <c r="ES3" i="6"/>
  <c r="ET3" i="6"/>
  <c r="EU3" i="6"/>
  <c r="EV3" i="6"/>
  <c r="M3" i="5"/>
  <c r="V3" i="5"/>
  <c r="M4" i="5"/>
  <c r="V4" i="5"/>
  <c r="AD4" i="5"/>
  <c r="AL4" i="5"/>
  <c r="M6" i="5"/>
  <c r="V6" i="5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D1" i="3"/>
  <c r="F17" i="2"/>
  <c r="T3" i="7"/>
  <c r="T1" i="7" s="1"/>
  <c r="AG3" i="7"/>
  <c r="CU17" i="2"/>
  <c r="CV17" i="2"/>
  <c r="CW17" i="2"/>
  <c r="CX17" i="2"/>
  <c r="CY17" i="2"/>
  <c r="DA17" i="2"/>
  <c r="DC17" i="2"/>
  <c r="DE17" i="2"/>
  <c r="DF17" i="2"/>
  <c r="DG17" i="2"/>
  <c r="DH17" i="2"/>
  <c r="DI17" i="2"/>
  <c r="DK17" i="2"/>
  <c r="DN17" i="2"/>
  <c r="DT17" i="2" s="1"/>
  <c r="DO17" i="2"/>
  <c r="DP17" i="2"/>
  <c r="DQ17" i="2"/>
  <c r="DR17" i="2"/>
  <c r="DS17" i="2"/>
  <c r="EA17" i="2"/>
  <c r="EN17" i="2"/>
  <c r="B3" i="7"/>
  <c r="EX17" i="2"/>
  <c r="FD17" i="2"/>
  <c r="DO49" i="2" l="1"/>
  <c r="DR49" i="2" s="1"/>
  <c r="AH17" i="7"/>
  <c r="C17" i="7"/>
  <c r="J9" i="3"/>
  <c r="J8" i="3"/>
  <c r="L9" i="3"/>
  <c r="L8" i="3"/>
  <c r="R17" i="2"/>
  <c r="K8" i="3" s="1"/>
  <c r="K12" i="3"/>
  <c r="J12" i="3"/>
  <c r="J10" i="3"/>
  <c r="L12" i="3"/>
  <c r="L10" i="3"/>
  <c r="BU3" i="6"/>
  <c r="CP3" i="6"/>
  <c r="CE3" i="6"/>
  <c r="J2" i="3"/>
  <c r="J11" i="3"/>
  <c r="L2" i="3"/>
  <c r="L11" i="3"/>
  <c r="K2" i="3"/>
  <c r="K11" i="3"/>
  <c r="A2" i="4" a="1"/>
  <c r="T17" i="2"/>
  <c r="B3" i="13" s="1" a="1"/>
  <c r="J7" i="8"/>
  <c r="AH3" i="7"/>
  <c r="C3" i="7"/>
  <c r="M7" i="8"/>
  <c r="I7" i="8"/>
  <c r="G3" i="7"/>
  <c r="Y3" i="7"/>
  <c r="Y1" i="7" s="1"/>
  <c r="G7" i="8"/>
  <c r="D7" i="8"/>
  <c r="C5" i="8"/>
  <c r="F7" i="8"/>
  <c r="E7" i="8"/>
  <c r="K7" i="8"/>
  <c r="L7" i="8"/>
  <c r="H7" i="8"/>
  <c r="C3" i="8"/>
  <c r="C4" i="8"/>
  <c r="C6" i="8"/>
  <c r="B11" i="8"/>
  <c r="CF3" i="6"/>
  <c r="DA3" i="6"/>
  <c r="CQ3" i="6"/>
  <c r="CT3" i="6" s="1"/>
  <c r="CY3" i="6" s="1"/>
  <c r="CZ3" i="6" s="1"/>
  <c r="CG3" i="6"/>
  <c r="Z3" i="7"/>
  <c r="DQ49" i="2" l="1"/>
  <c r="DS49" i="2" s="1"/>
  <c r="B18" i="4"/>
  <c r="C18" i="4"/>
  <c r="B17" i="4"/>
  <c r="C17" i="4"/>
  <c r="B16" i="4"/>
  <c r="C16" i="4"/>
  <c r="B15" i="4"/>
  <c r="C15" i="4"/>
  <c r="B14" i="4"/>
  <c r="C14" i="4"/>
  <c r="B13" i="4"/>
  <c r="C13" i="4"/>
  <c r="D12" i="13"/>
  <c r="D8" i="13"/>
  <c r="D9" i="13"/>
  <c r="D10" i="13"/>
  <c r="D11" i="13"/>
  <c r="K12" i="13"/>
  <c r="M11" i="13"/>
  <c r="C11" i="13"/>
  <c r="F10" i="13"/>
  <c r="J12" i="13"/>
  <c r="L11" i="13"/>
  <c r="E10" i="13"/>
  <c r="I12" i="13"/>
  <c r="M10" i="13"/>
  <c r="C10" i="13"/>
  <c r="J11" i="13"/>
  <c r="A10" i="13"/>
  <c r="F12" i="13"/>
  <c r="K10" i="13"/>
  <c r="E12" i="13"/>
  <c r="M12" i="13"/>
  <c r="A12" i="13"/>
  <c r="H10" i="13"/>
  <c r="A11" i="13"/>
  <c r="K11" i="13"/>
  <c r="H12" i="13"/>
  <c r="L10" i="13"/>
  <c r="I11" i="13"/>
  <c r="H11" i="13"/>
  <c r="J10" i="13"/>
  <c r="C12" i="13"/>
  <c r="I10" i="13"/>
  <c r="L12" i="13"/>
  <c r="E11" i="13"/>
  <c r="F11" i="13"/>
  <c r="I9" i="13"/>
  <c r="H9" i="13"/>
  <c r="L9" i="13"/>
  <c r="C9" i="13"/>
  <c r="A9" i="13"/>
  <c r="J9" i="13"/>
  <c r="F9" i="13"/>
  <c r="E9" i="13"/>
  <c r="M9" i="13"/>
  <c r="K9" i="13"/>
  <c r="K8" i="13"/>
  <c r="J8" i="13"/>
  <c r="I8" i="13"/>
  <c r="E8" i="13"/>
  <c r="M8" i="13"/>
  <c r="L8" i="13"/>
  <c r="H8" i="13"/>
  <c r="F8" i="13"/>
  <c r="C8" i="13"/>
  <c r="A8" i="13"/>
  <c r="B3" i="13"/>
  <c r="D3" i="13" s="1"/>
  <c r="D4" i="13"/>
  <c r="J7" i="13"/>
  <c r="L6" i="13"/>
  <c r="A6" i="13"/>
  <c r="E5" i="13"/>
  <c r="H4" i="13"/>
  <c r="M5" i="13"/>
  <c r="D5" i="13"/>
  <c r="I7" i="13"/>
  <c r="K6" i="13"/>
  <c r="C5" i="13"/>
  <c r="F4" i="13"/>
  <c r="E7" i="13"/>
  <c r="H6" i="13"/>
  <c r="J5" i="13"/>
  <c r="L4" i="13"/>
  <c r="A4" i="13"/>
  <c r="M7" i="13"/>
  <c r="C7" i="13"/>
  <c r="F6" i="13"/>
  <c r="I5" i="13"/>
  <c r="K4" i="13"/>
  <c r="L7" i="13"/>
  <c r="A7" i="13"/>
  <c r="E6" i="13"/>
  <c r="H5" i="13"/>
  <c r="J4" i="13"/>
  <c r="K7" i="13"/>
  <c r="M6" i="13"/>
  <c r="C6" i="13"/>
  <c r="F5" i="13"/>
  <c r="I4" i="13"/>
  <c r="D6" i="13"/>
  <c r="H7" i="13"/>
  <c r="J6" i="13"/>
  <c r="L5" i="13"/>
  <c r="A5" i="13"/>
  <c r="E4" i="13"/>
  <c r="D7" i="13"/>
  <c r="F7" i="13"/>
  <c r="I6" i="13"/>
  <c r="K5" i="13"/>
  <c r="M4" i="13"/>
  <c r="C4" i="13"/>
  <c r="B3" i="12" a="1"/>
  <c r="B3" i="12" s="1"/>
  <c r="L39" i="12"/>
  <c r="K38" i="12"/>
  <c r="A33" i="12"/>
  <c r="C26" i="12"/>
  <c r="D19" i="12"/>
  <c r="H13" i="12"/>
  <c r="A8" i="12"/>
  <c r="A15" i="12"/>
  <c r="J38" i="12"/>
  <c r="K31" i="12"/>
  <c r="A26" i="12"/>
  <c r="C19" i="12"/>
  <c r="G13" i="12"/>
  <c r="L7" i="12"/>
  <c r="J31" i="12"/>
  <c r="K24" i="12"/>
  <c r="A19" i="12"/>
  <c r="K7" i="12"/>
  <c r="E23" i="12"/>
  <c r="G6" i="12"/>
  <c r="A29" i="12"/>
  <c r="E16" i="12"/>
  <c r="K28" i="12"/>
  <c r="K21" i="12"/>
  <c r="G9" i="12"/>
  <c r="H27" i="12"/>
  <c r="H20" i="12"/>
  <c r="D26" i="12"/>
  <c r="I38" i="12"/>
  <c r="D12" i="12"/>
  <c r="D16" i="12"/>
  <c r="I20" i="12"/>
  <c r="G20" i="12"/>
  <c r="G37" i="12"/>
  <c r="I31" i="12"/>
  <c r="J24" i="12"/>
  <c r="K17" i="12"/>
  <c r="C12" i="12"/>
  <c r="J6" i="12"/>
  <c r="E30" i="12"/>
  <c r="I17" i="12"/>
  <c r="H6" i="12"/>
  <c r="D30" i="12"/>
  <c r="K10" i="12"/>
  <c r="D23" i="12"/>
  <c r="J10" i="12"/>
  <c r="L28" i="12"/>
  <c r="I10" i="12"/>
  <c r="L21" i="12"/>
  <c r="H34" i="12"/>
  <c r="L14" i="12"/>
  <c r="G27" i="12"/>
  <c r="D9" i="12"/>
  <c r="I13" i="12"/>
  <c r="E37" i="12"/>
  <c r="G30" i="12"/>
  <c r="I24" i="12"/>
  <c r="J17" i="12"/>
  <c r="A12" i="12"/>
  <c r="I6" i="12"/>
  <c r="D37" i="12"/>
  <c r="G23" i="12"/>
  <c r="L10" i="12"/>
  <c r="A36" i="12"/>
  <c r="H16" i="12"/>
  <c r="L35" i="12"/>
  <c r="G16" i="12"/>
  <c r="K35" i="12"/>
  <c r="A22" i="12"/>
  <c r="I34" i="12"/>
  <c r="H9" i="12"/>
  <c r="I27" i="12"/>
  <c r="G34" i="12"/>
  <c r="E9" i="12"/>
  <c r="D33" i="12"/>
  <c r="K14" i="12"/>
  <c r="C33" i="12"/>
  <c r="C8" i="12"/>
  <c r="C15" i="12"/>
  <c r="I23" i="12"/>
  <c r="G8" i="12"/>
  <c r="C28" i="12"/>
  <c r="J15" i="12"/>
  <c r="I32" i="12"/>
  <c r="A18" i="12"/>
  <c r="J30" i="12"/>
  <c r="L16" i="12"/>
  <c r="E21" i="12"/>
  <c r="C13" i="12"/>
  <c r="J32" i="12"/>
  <c r="A24" i="12"/>
  <c r="I7" i="12"/>
  <c r="D27" i="12"/>
  <c r="L31" i="12"/>
  <c r="I8" i="12"/>
  <c r="A20" i="12"/>
  <c r="J21" i="12"/>
  <c r="I30" i="12"/>
  <c r="G15" i="12"/>
  <c r="C24" i="12"/>
  <c r="A25" i="12"/>
  <c r="E25" i="12"/>
  <c r="L15" i="12"/>
  <c r="I36" i="12"/>
  <c r="I9" i="12"/>
  <c r="I22" i="12"/>
  <c r="H24" i="12"/>
  <c r="J9" i="12"/>
  <c r="G38" i="12"/>
  <c r="L32" i="12"/>
  <c r="I29" i="12"/>
  <c r="K26" i="12"/>
  <c r="H25" i="12"/>
  <c r="C38" i="12"/>
  <c r="H26" i="12"/>
  <c r="L17" i="12"/>
  <c r="K27" i="12"/>
  <c r="I12" i="12"/>
  <c r="E32" i="12"/>
  <c r="H18" i="12"/>
  <c r="A34" i="12"/>
  <c r="D22" i="12"/>
  <c r="L34" i="12"/>
  <c r="H22" i="12"/>
  <c r="L26" i="12"/>
  <c r="H14" i="12"/>
  <c r="C34" i="12"/>
  <c r="G32" i="12"/>
  <c r="A9" i="12"/>
  <c r="I28" i="12"/>
  <c r="C36" i="12"/>
  <c r="K9" i="12"/>
  <c r="I15" i="12"/>
  <c r="D24" i="12"/>
  <c r="C23" i="12"/>
  <c r="C22" i="12"/>
  <c r="J33" i="12"/>
  <c r="G35" i="12"/>
  <c r="C39" i="12"/>
  <c r="L33" i="12"/>
  <c r="H35" i="12"/>
  <c r="G10" i="12"/>
  <c r="A30" i="12"/>
  <c r="K16" i="12"/>
  <c r="G25" i="12"/>
  <c r="E11" i="12"/>
  <c r="K6" i="12"/>
  <c r="G29" i="12"/>
  <c r="J26" i="12"/>
  <c r="E18" i="12"/>
  <c r="D31" i="12"/>
  <c r="G18" i="12"/>
  <c r="H30" i="12"/>
  <c r="J37" i="12"/>
  <c r="L24" i="12"/>
  <c r="D36" i="12"/>
  <c r="I19" i="12"/>
  <c r="L37" i="12"/>
  <c r="J29" i="12"/>
  <c r="K36" i="12"/>
  <c r="D29" i="12"/>
  <c r="L30" i="12"/>
  <c r="H39" i="12"/>
  <c r="E17" i="12"/>
  <c r="L36" i="12"/>
  <c r="E7" i="12"/>
  <c r="K11" i="12"/>
  <c r="G31" i="12"/>
  <c r="D15" i="12"/>
  <c r="K23" i="12"/>
  <c r="D28" i="12"/>
  <c r="E6" i="12"/>
  <c r="L25" i="12"/>
  <c r="A16" i="12"/>
  <c r="L13" i="12"/>
  <c r="A27" i="12"/>
  <c r="G17" i="12"/>
  <c r="D39" i="12"/>
  <c r="H19" i="12"/>
  <c r="G36" i="12"/>
  <c r="I18" i="12"/>
  <c r="G22" i="12"/>
  <c r="E24" i="12"/>
  <c r="K18" i="12"/>
  <c r="L19" i="12"/>
  <c r="E15" i="12"/>
  <c r="J25" i="12"/>
  <c r="H12" i="12"/>
  <c r="C21" i="12"/>
  <c r="E31" i="12"/>
  <c r="C29" i="12"/>
  <c r="A21" i="12"/>
  <c r="E35" i="12"/>
  <c r="D38" i="12"/>
  <c r="G33" i="12"/>
  <c r="A7" i="12"/>
  <c r="E39" i="12"/>
  <c r="G7" i="12"/>
  <c r="J18" i="12"/>
  <c r="E38" i="12"/>
  <c r="C17" i="12"/>
  <c r="D13" i="12"/>
  <c r="K32" i="12"/>
  <c r="K20" i="12"/>
  <c r="A28" i="12"/>
  <c r="A31" i="12"/>
  <c r="J7" i="12"/>
  <c r="E27" i="12"/>
  <c r="C11" i="12"/>
  <c r="D14" i="12"/>
  <c r="I11" i="12"/>
  <c r="A39" i="12"/>
  <c r="G11" i="12"/>
  <c r="D17" i="12"/>
  <c r="C7" i="12"/>
  <c r="I35" i="12"/>
  <c r="A35" i="12"/>
  <c r="H10" i="12"/>
  <c r="K30" i="12"/>
  <c r="K19" i="12"/>
  <c r="C37" i="12"/>
  <c r="H8" i="12"/>
  <c r="K25" i="12"/>
  <c r="E33" i="12"/>
  <c r="E8" i="12"/>
  <c r="D25" i="12"/>
  <c r="A10" i="12"/>
  <c r="K8" i="12"/>
  <c r="I39" i="12"/>
  <c r="K34" i="12"/>
  <c r="D11" i="12"/>
  <c r="D7" i="12"/>
  <c r="A13" i="12"/>
  <c r="C20" i="12"/>
  <c r="J39" i="12"/>
  <c r="J22" i="12"/>
  <c r="I14" i="12"/>
  <c r="D34" i="12"/>
  <c r="G26" i="12"/>
  <c r="D32" i="12"/>
  <c r="D35" i="12"/>
  <c r="C9" i="12"/>
  <c r="J28" i="12"/>
  <c r="H37" i="12"/>
  <c r="I26" i="12"/>
  <c r="J20" i="12"/>
  <c r="A14" i="12"/>
  <c r="H21" i="12"/>
  <c r="E28" i="12"/>
  <c r="A32" i="12"/>
  <c r="J8" i="12"/>
  <c r="C30" i="12"/>
  <c r="K15" i="12"/>
  <c r="H23" i="12"/>
  <c r="D18" i="12"/>
  <c r="A17" i="12"/>
  <c r="L22" i="12"/>
  <c r="C14" i="12"/>
  <c r="H32" i="12"/>
  <c r="A37" i="12"/>
  <c r="I37" i="12"/>
  <c r="E14" i="12"/>
  <c r="H31" i="12"/>
  <c r="J27" i="12"/>
  <c r="D21" i="12"/>
  <c r="J19" i="12"/>
  <c r="J36" i="12"/>
  <c r="L6" i="12"/>
  <c r="E13" i="12"/>
  <c r="E22" i="12"/>
  <c r="C6" i="12"/>
  <c r="K39" i="12"/>
  <c r="E34" i="12"/>
  <c r="H11" i="12"/>
  <c r="D6" i="12"/>
  <c r="L11" i="12"/>
  <c r="G21" i="12"/>
  <c r="D20" i="12"/>
  <c r="J14" i="12"/>
  <c r="K13" i="12"/>
  <c r="E26" i="12"/>
  <c r="D8" i="12"/>
  <c r="L27" i="12"/>
  <c r="L9" i="12"/>
  <c r="K33" i="12"/>
  <c r="K22" i="12"/>
  <c r="J34" i="12"/>
  <c r="C18" i="12"/>
  <c r="I33" i="12"/>
  <c r="A38" i="12"/>
  <c r="H7" i="12"/>
  <c r="C27" i="12"/>
  <c r="C35" i="12"/>
  <c r="D10" i="12"/>
  <c r="I21" i="12"/>
  <c r="E12" i="12"/>
  <c r="J16" i="12"/>
  <c r="L23" i="12"/>
  <c r="C31" i="12"/>
  <c r="C16" i="12"/>
  <c r="J35" i="12"/>
  <c r="E36" i="12"/>
  <c r="E20" i="12"/>
  <c r="G12" i="12"/>
  <c r="C32" i="12"/>
  <c r="J12" i="12"/>
  <c r="G39" i="12"/>
  <c r="G28" i="12"/>
  <c r="L38" i="12"/>
  <c r="L20" i="12"/>
  <c r="K37" i="12"/>
  <c r="L8" i="12"/>
  <c r="H28" i="12"/>
  <c r="I25" i="12"/>
  <c r="A23" i="12"/>
  <c r="J13" i="12"/>
  <c r="C25" i="12"/>
  <c r="H29" i="12"/>
  <c r="H17" i="12"/>
  <c r="L12" i="12"/>
  <c r="G14" i="12"/>
  <c r="I16" i="12"/>
  <c r="H33" i="12"/>
  <c r="H15" i="12"/>
  <c r="K29" i="12"/>
  <c r="A11" i="12"/>
  <c r="J23" i="12"/>
  <c r="C10" i="12"/>
  <c r="E10" i="12"/>
  <c r="L29" i="12"/>
  <c r="K12" i="12"/>
  <c r="G24" i="12"/>
  <c r="E19" i="12"/>
  <c r="E29" i="12"/>
  <c r="H36" i="12"/>
  <c r="A6" i="12"/>
  <c r="L18" i="12"/>
  <c r="H38" i="12"/>
  <c r="G19" i="12"/>
  <c r="J11" i="12"/>
  <c r="K10" i="3"/>
  <c r="K9" i="3"/>
  <c r="B12" i="4"/>
  <c r="C12" i="4"/>
  <c r="C11" i="4"/>
  <c r="B11" i="4"/>
  <c r="B10" i="4"/>
  <c r="C10" i="4"/>
  <c r="B9" i="4"/>
  <c r="C9" i="4"/>
  <c r="B3" i="4"/>
  <c r="B8" i="4"/>
  <c r="C8" i="4"/>
  <c r="DC3" i="6"/>
  <c r="A2" i="4"/>
  <c r="B2" i="4" s="1"/>
  <c r="C7" i="4"/>
  <c r="B7" i="4"/>
  <c r="C6" i="4"/>
  <c r="B6" i="4"/>
  <c r="C5" i="4"/>
  <c r="B5" i="4"/>
  <c r="C4" i="4"/>
  <c r="B4" i="4"/>
  <c r="C3" i="4"/>
  <c r="J1" i="7"/>
  <c r="G1" i="7"/>
  <c r="C11" i="8"/>
  <c r="C9" i="8" s="1"/>
  <c r="E11" i="8"/>
  <c r="E9" i="8" s="1"/>
  <c r="D11" i="8"/>
  <c r="F43" i="8"/>
  <c r="F59" i="8"/>
  <c r="F29" i="8"/>
  <c r="F64" i="8"/>
  <c r="F15" i="8"/>
  <c r="AA3" i="7"/>
  <c r="AA1" i="7" s="1"/>
  <c r="F17" i="8"/>
  <c r="F45" i="8"/>
  <c r="F62" i="8"/>
  <c r="F54" i="8"/>
  <c r="F22" i="8"/>
  <c r="F61" i="8"/>
  <c r="F24" i="8"/>
  <c r="F52" i="8"/>
  <c r="F49" i="8"/>
  <c r="F36" i="8"/>
  <c r="F57" i="8"/>
  <c r="F46" i="8"/>
  <c r="F48" i="8"/>
  <c r="F28" i="8"/>
  <c r="F40" i="8"/>
  <c r="C7" i="8"/>
  <c r="F35" i="8"/>
  <c r="F56" i="8"/>
  <c r="F31" i="8"/>
  <c r="F38" i="8"/>
  <c r="F50" i="8"/>
  <c r="F47" i="8"/>
  <c r="F42" i="8"/>
  <c r="F60" i="8"/>
  <c r="F63" i="8"/>
  <c r="F16" i="8"/>
  <c r="F23" i="8"/>
  <c r="F18" i="8"/>
  <c r="F30" i="8"/>
  <c r="F13" i="8"/>
  <c r="F25" i="8"/>
  <c r="F37" i="8"/>
  <c r="F20" i="8"/>
  <c r="F32" i="8"/>
  <c r="F12" i="8"/>
  <c r="F44" i="8"/>
  <c r="F27" i="8"/>
  <c r="F39" i="8"/>
  <c r="F19" i="8"/>
  <c r="F51" i="8"/>
  <c r="F55" i="8"/>
  <c r="F34" i="8"/>
  <c r="F14" i="8"/>
  <c r="F26" i="8"/>
  <c r="F58" i="8"/>
  <c r="F41" i="8"/>
  <c r="F21" i="8"/>
  <c r="F53" i="8"/>
  <c r="F33" i="8"/>
  <c r="DB3" i="6"/>
  <c r="DD3" i="6" s="1"/>
  <c r="D5" i="12" l="1"/>
  <c r="C5" i="12"/>
  <c r="I5" i="12"/>
  <c r="G5" i="12"/>
  <c r="K5" i="12"/>
  <c r="L5" i="12"/>
  <c r="E5" i="12"/>
  <c r="J5" i="12"/>
  <c r="A5" i="12"/>
  <c r="H5" i="12"/>
  <c r="H4" i="12"/>
  <c r="I4" i="12"/>
  <c r="G4" i="12"/>
  <c r="L4" i="12"/>
  <c r="K4" i="12"/>
  <c r="A4" i="12"/>
  <c r="C4" i="12"/>
  <c r="D4" i="12"/>
  <c r="E4" i="12"/>
  <c r="J4" i="12"/>
  <c r="I3" i="13"/>
  <c r="K3" i="13"/>
  <c r="E3" i="13"/>
  <c r="L3" i="13"/>
  <c r="H3" i="13"/>
  <c r="C3" i="13"/>
  <c r="F3" i="13"/>
  <c r="A3" i="13"/>
  <c r="M3" i="13"/>
  <c r="J3" i="13"/>
  <c r="H3" i="12"/>
  <c r="J3" i="12"/>
  <c r="C3" i="12"/>
  <c r="G3" i="12"/>
  <c r="E3" i="12"/>
  <c r="D3" i="12"/>
  <c r="I3" i="12"/>
  <c r="L3" i="12"/>
  <c r="K3" i="12"/>
  <c r="A3" i="12"/>
  <c r="C2" i="4"/>
  <c r="K3" i="7"/>
  <c r="K1" i="7" s="1"/>
  <c r="Z1" i="7"/>
  <c r="D9" i="8"/>
  <c r="A4" i="8" s="1"/>
  <c r="F11" i="8"/>
  <c r="F9" i="8" s="1"/>
  <c r="EA1" i="2" l="1"/>
  <c r="DR1" i="2" l="1"/>
  <c r="DQ1" i="2" l="1"/>
  <c r="B3" i="10" l="1" a="1"/>
  <c r="G17" i="10" l="1"/>
  <c r="E17" i="10"/>
  <c r="H17" i="10"/>
  <c r="A17" i="10"/>
  <c r="K17" i="10"/>
  <c r="C17" i="10"/>
  <c r="I17" i="10"/>
  <c r="D17" i="10"/>
  <c r="J17" i="10"/>
  <c r="L17" i="10"/>
  <c r="B3" i="11" a="1"/>
  <c r="D14" i="10"/>
  <c r="D15" i="10"/>
  <c r="A4" i="10"/>
  <c r="A5" i="10"/>
  <c r="A6" i="10"/>
  <c r="A7" i="10"/>
  <c r="A8" i="10"/>
  <c r="A10" i="10"/>
  <c r="A11" i="10"/>
  <c r="A13" i="10"/>
  <c r="A9" i="10"/>
  <c r="A12" i="10"/>
  <c r="A15" i="10"/>
  <c r="A16" i="10"/>
  <c r="A14" i="10"/>
  <c r="C8" i="10"/>
  <c r="I9" i="10"/>
  <c r="D11" i="10"/>
  <c r="J12" i="10"/>
  <c r="E14" i="10"/>
  <c r="K15" i="10"/>
  <c r="D8" i="10"/>
  <c r="J9" i="10"/>
  <c r="E11" i="10"/>
  <c r="K12" i="10"/>
  <c r="G14" i="10"/>
  <c r="L15" i="10"/>
  <c r="E8" i="10"/>
  <c r="K9" i="10"/>
  <c r="G11" i="10"/>
  <c r="L12" i="10"/>
  <c r="H14" i="10"/>
  <c r="G8" i="10"/>
  <c r="L9" i="10"/>
  <c r="H11" i="10"/>
  <c r="C13" i="10"/>
  <c r="I14" i="10"/>
  <c r="D16" i="10"/>
  <c r="H8" i="10"/>
  <c r="C10" i="10"/>
  <c r="I11" i="10"/>
  <c r="D13" i="10"/>
  <c r="J14" i="10"/>
  <c r="E16" i="10"/>
  <c r="I8" i="10"/>
  <c r="D10" i="10"/>
  <c r="E13" i="10"/>
  <c r="G16" i="10"/>
  <c r="E10" i="10"/>
  <c r="K11" i="10"/>
  <c r="L14" i="10"/>
  <c r="G10" i="10"/>
  <c r="H13" i="10"/>
  <c r="L8" i="10"/>
  <c r="C12" i="10"/>
  <c r="C9" i="10"/>
  <c r="E15" i="10"/>
  <c r="J10" i="10"/>
  <c r="L16" i="10"/>
  <c r="G12" i="10"/>
  <c r="H12" i="10"/>
  <c r="I12" i="10"/>
  <c r="C16" i="10"/>
  <c r="K14" i="10"/>
  <c r="J8" i="10"/>
  <c r="G13" i="10"/>
  <c r="H16" i="10"/>
  <c r="L11" i="10"/>
  <c r="C15" i="10"/>
  <c r="I16" i="10"/>
  <c r="H10" i="10"/>
  <c r="I13" i="10"/>
  <c r="J16" i="10"/>
  <c r="I10" i="10"/>
  <c r="J13" i="10"/>
  <c r="D9" i="10"/>
  <c r="K13" i="10"/>
  <c r="E9" i="10"/>
  <c r="L13" i="10"/>
  <c r="G9" i="10"/>
  <c r="I15" i="10"/>
  <c r="H9" i="10"/>
  <c r="J15" i="10"/>
  <c r="J11" i="10"/>
  <c r="D12" i="10"/>
  <c r="K16" i="10"/>
  <c r="E12" i="10"/>
  <c r="G15" i="10"/>
  <c r="K10" i="10"/>
  <c r="H15" i="10"/>
  <c r="L10" i="10"/>
  <c r="C14" i="10"/>
  <c r="C11" i="10"/>
  <c r="K8" i="10"/>
  <c r="B3" i="10"/>
  <c r="A3" i="10" s="1"/>
  <c r="G5" i="10"/>
  <c r="L6" i="10"/>
  <c r="C7" i="10"/>
  <c r="K4" i="10"/>
  <c r="E5" i="10"/>
  <c r="H5" i="10"/>
  <c r="C4" i="10"/>
  <c r="I5" i="10"/>
  <c r="D7" i="10"/>
  <c r="J5" i="10"/>
  <c r="E7" i="10"/>
  <c r="E4" i="10"/>
  <c r="K5" i="10"/>
  <c r="G7" i="10"/>
  <c r="L5" i="10"/>
  <c r="H4" i="10"/>
  <c r="C6" i="10"/>
  <c r="I4" i="10"/>
  <c r="E6" i="10"/>
  <c r="K7" i="10"/>
  <c r="L7" i="10"/>
  <c r="D4" i="10"/>
  <c r="D6" i="10"/>
  <c r="G4" i="10"/>
  <c r="H7" i="10"/>
  <c r="I7" i="10"/>
  <c r="J7" i="10"/>
  <c r="J4" i="10"/>
  <c r="G6" i="10"/>
  <c r="H6" i="10"/>
  <c r="C5" i="10"/>
  <c r="I6" i="10"/>
  <c r="J6" i="10"/>
  <c r="K6" i="10"/>
  <c r="L4" i="10"/>
  <c r="D5" i="10"/>
  <c r="A35" i="11" l="1"/>
  <c r="C29" i="11"/>
  <c r="I30" i="11"/>
  <c r="D32" i="11"/>
  <c r="J33" i="11"/>
  <c r="E35" i="11"/>
  <c r="K36" i="11"/>
  <c r="G38" i="11"/>
  <c r="L39" i="11"/>
  <c r="E29" i="11"/>
  <c r="K30" i="11"/>
  <c r="G32" i="11"/>
  <c r="H35" i="11"/>
  <c r="I38" i="11"/>
  <c r="A38" i="11"/>
  <c r="L30" i="11"/>
  <c r="H32" i="11"/>
  <c r="I35" i="11"/>
  <c r="D37" i="11"/>
  <c r="A31" i="11"/>
  <c r="H29" i="11"/>
  <c r="D34" i="11"/>
  <c r="J35" i="11"/>
  <c r="K38" i="11"/>
  <c r="C28" i="11"/>
  <c r="J32" i="11"/>
  <c r="G37" i="11"/>
  <c r="A33" i="11"/>
  <c r="J29" i="11"/>
  <c r="K32" i="11"/>
  <c r="G34" i="11"/>
  <c r="H37" i="11"/>
  <c r="A34" i="11"/>
  <c r="K29" i="11"/>
  <c r="H34" i="11"/>
  <c r="C36" i="11"/>
  <c r="D39" i="11"/>
  <c r="L29" i="11"/>
  <c r="C33" i="11"/>
  <c r="D36" i="11"/>
  <c r="E39" i="11"/>
  <c r="C30" i="11"/>
  <c r="I31" i="11"/>
  <c r="E36" i="11"/>
  <c r="G39" i="11"/>
  <c r="J28" i="11"/>
  <c r="E30" i="11"/>
  <c r="K31" i="11"/>
  <c r="G33" i="11"/>
  <c r="L34" i="11"/>
  <c r="H36" i="11"/>
  <c r="I39" i="11"/>
  <c r="A36" i="11"/>
  <c r="D29" i="11"/>
  <c r="J30" i="11"/>
  <c r="E32" i="11"/>
  <c r="K33" i="11"/>
  <c r="G35" i="11"/>
  <c r="L36" i="11"/>
  <c r="H38" i="11"/>
  <c r="A29" i="11"/>
  <c r="A37" i="11"/>
  <c r="L33" i="11"/>
  <c r="C37" i="11"/>
  <c r="A30" i="11"/>
  <c r="G29" i="11"/>
  <c r="C34" i="11"/>
  <c r="J38" i="11"/>
  <c r="A39" i="11"/>
  <c r="C31" i="11"/>
  <c r="I32" i="11"/>
  <c r="E37" i="11"/>
  <c r="A32" i="11"/>
  <c r="I29" i="11"/>
  <c r="D31" i="11"/>
  <c r="E34" i="11"/>
  <c r="K35" i="11"/>
  <c r="L38" i="11"/>
  <c r="D28" i="11"/>
  <c r="E31" i="11"/>
  <c r="L35" i="11"/>
  <c r="C39" i="11"/>
  <c r="E28" i="11"/>
  <c r="L32" i="11"/>
  <c r="I37" i="11"/>
  <c r="G28" i="11"/>
  <c r="H31" i="11"/>
  <c r="I34" i="11"/>
  <c r="J37" i="11"/>
  <c r="H28" i="11"/>
  <c r="D33" i="11"/>
  <c r="J34" i="11"/>
  <c r="K37" i="11"/>
  <c r="D38" i="11"/>
  <c r="L28" i="11"/>
  <c r="C32" i="11"/>
  <c r="I33" i="11"/>
  <c r="D35" i="11"/>
  <c r="E38" i="11"/>
  <c r="K39" i="11"/>
  <c r="G31" i="11"/>
  <c r="C38" i="11"/>
  <c r="K28" i="11"/>
  <c r="G30" i="11"/>
  <c r="L31" i="11"/>
  <c r="H33" i="11"/>
  <c r="C35" i="11"/>
  <c r="I36" i="11"/>
  <c r="J39" i="11"/>
  <c r="I28" i="11"/>
  <c r="D30" i="11"/>
  <c r="J31" i="11"/>
  <c r="E33" i="11"/>
  <c r="K34" i="11"/>
  <c r="G36" i="11"/>
  <c r="L37" i="11"/>
  <c r="H39" i="11"/>
  <c r="H30" i="11"/>
  <c r="J36" i="11"/>
  <c r="B3" i="11"/>
  <c r="C17" i="11"/>
  <c r="I18" i="11"/>
  <c r="D20" i="11"/>
  <c r="J21" i="11"/>
  <c r="E23" i="11"/>
  <c r="K24" i="11"/>
  <c r="G26" i="11"/>
  <c r="L27" i="11"/>
  <c r="A21" i="11"/>
  <c r="L18" i="11"/>
  <c r="I23" i="11"/>
  <c r="H17" i="11"/>
  <c r="J23" i="11"/>
  <c r="I17" i="11"/>
  <c r="K23" i="11"/>
  <c r="K20" i="11"/>
  <c r="H25" i="11"/>
  <c r="A27" i="11"/>
  <c r="D21" i="11"/>
  <c r="E24" i="11"/>
  <c r="E21" i="11"/>
  <c r="G24" i="11"/>
  <c r="H27" i="11"/>
  <c r="K19" i="11"/>
  <c r="G21" i="11"/>
  <c r="H24" i="11"/>
  <c r="I27" i="11"/>
  <c r="G18" i="11"/>
  <c r="H21" i="11"/>
  <c r="D26" i="11"/>
  <c r="A19" i="11"/>
  <c r="I21" i="11"/>
  <c r="J24" i="11"/>
  <c r="K27" i="11"/>
  <c r="D17" i="11"/>
  <c r="J18" i="11"/>
  <c r="E20" i="11"/>
  <c r="K21" i="11"/>
  <c r="G23" i="11"/>
  <c r="L24" i="11"/>
  <c r="H26" i="11"/>
  <c r="A22" i="11"/>
  <c r="H20" i="11"/>
  <c r="C22" i="11"/>
  <c r="D25" i="11"/>
  <c r="A24" i="11"/>
  <c r="I20" i="11"/>
  <c r="D22" i="11"/>
  <c r="A25" i="11"/>
  <c r="J20" i="11"/>
  <c r="G25" i="11"/>
  <c r="J17" i="11"/>
  <c r="L23" i="11"/>
  <c r="C18" i="11"/>
  <c r="J22" i="11"/>
  <c r="G27" i="11"/>
  <c r="L16" i="11"/>
  <c r="A17" i="11"/>
  <c r="E18" i="11"/>
  <c r="L22" i="11"/>
  <c r="C26" i="11"/>
  <c r="A18" i="11"/>
  <c r="L19" i="11"/>
  <c r="C23" i="11"/>
  <c r="I24" i="11"/>
  <c r="J27" i="11"/>
  <c r="C20" i="11"/>
  <c r="D23" i="11"/>
  <c r="E26" i="11"/>
  <c r="E17" i="11"/>
  <c r="K18" i="11"/>
  <c r="G20" i="11"/>
  <c r="L21" i="11"/>
  <c r="H23" i="11"/>
  <c r="C25" i="11"/>
  <c r="I26" i="11"/>
  <c r="A23" i="11"/>
  <c r="G17" i="11"/>
  <c r="J26" i="11"/>
  <c r="C19" i="11"/>
  <c r="E25" i="11"/>
  <c r="K26" i="11"/>
  <c r="D19" i="11"/>
  <c r="E22" i="11"/>
  <c r="L26" i="11"/>
  <c r="A26" i="11"/>
  <c r="E19" i="11"/>
  <c r="G22" i="11"/>
  <c r="C27" i="11"/>
  <c r="I19" i="11"/>
  <c r="K25" i="11"/>
  <c r="J19" i="11"/>
  <c r="K22" i="11"/>
  <c r="L25" i="11"/>
  <c r="H18" i="11"/>
  <c r="A20" i="11"/>
  <c r="K17" i="11"/>
  <c r="G19" i="11"/>
  <c r="L20" i="11"/>
  <c r="H22" i="11"/>
  <c r="C24" i="11"/>
  <c r="I25" i="11"/>
  <c r="D27" i="11"/>
  <c r="A28" i="11"/>
  <c r="L17" i="11"/>
  <c r="H19" i="11"/>
  <c r="C21" i="11"/>
  <c r="I22" i="11"/>
  <c r="D24" i="11"/>
  <c r="J25" i="11"/>
  <c r="E27" i="11"/>
  <c r="D18" i="11"/>
  <c r="I8" i="11"/>
  <c r="H11" i="11"/>
  <c r="J6" i="11"/>
  <c r="L11" i="11"/>
  <c r="K13" i="11"/>
  <c r="J7" i="11"/>
  <c r="J9" i="11"/>
  <c r="K4" i="11"/>
  <c r="A7" i="11"/>
  <c r="J12" i="11"/>
  <c r="I16" i="11"/>
  <c r="I14" i="11"/>
  <c r="H15" i="11"/>
  <c r="J14" i="11"/>
  <c r="J15" i="11"/>
  <c r="E9" i="11"/>
  <c r="D7" i="11"/>
  <c r="D9" i="11"/>
  <c r="K15" i="11"/>
  <c r="K7" i="11"/>
  <c r="H16" i="11"/>
  <c r="A6" i="11"/>
  <c r="C12" i="11"/>
  <c r="G13" i="11"/>
  <c r="H7" i="11"/>
  <c r="K12" i="11"/>
  <c r="G9" i="11"/>
  <c r="J8" i="11"/>
  <c r="L7" i="11"/>
  <c r="E4" i="11"/>
  <c r="H6" i="11"/>
  <c r="L8" i="11"/>
  <c r="E16" i="11"/>
  <c r="L9" i="11"/>
  <c r="E5" i="11"/>
  <c r="E8" i="11"/>
  <c r="I5" i="11"/>
  <c r="H10" i="11"/>
  <c r="G7" i="11"/>
  <c r="C8" i="11"/>
  <c r="A5" i="11"/>
  <c r="D15" i="11"/>
  <c r="C16" i="11"/>
  <c r="C11" i="11"/>
  <c r="A9" i="11"/>
  <c r="G8" i="11"/>
  <c r="C14" i="11"/>
  <c r="D12" i="11"/>
  <c r="K16" i="11"/>
  <c r="D10" i="11"/>
  <c r="I13" i="11"/>
  <c r="E11" i="11"/>
  <c r="G4" i="11"/>
  <c r="I11" i="11"/>
  <c r="H9" i="11"/>
  <c r="I10" i="11"/>
  <c r="G6" i="11"/>
  <c r="H12" i="11"/>
  <c r="K9" i="11"/>
  <c r="C15" i="11"/>
  <c r="I15" i="11"/>
  <c r="K14" i="11"/>
  <c r="C10" i="11"/>
  <c r="A16" i="11"/>
  <c r="A10" i="11"/>
  <c r="H14" i="11"/>
  <c r="L10" i="11"/>
  <c r="J10" i="11"/>
  <c r="K5" i="11"/>
  <c r="A12" i="11"/>
  <c r="L13" i="11"/>
  <c r="E6" i="11"/>
  <c r="D11" i="11"/>
  <c r="H4" i="11"/>
  <c r="I7" i="11"/>
  <c r="E12" i="11"/>
  <c r="L14" i="11"/>
  <c r="D14" i="11"/>
  <c r="D16" i="11"/>
  <c r="E15" i="11"/>
  <c r="C9" i="11"/>
  <c r="I12" i="11"/>
  <c r="L12" i="11"/>
  <c r="L4" i="11"/>
  <c r="J13" i="11"/>
  <c r="I6" i="11"/>
  <c r="L5" i="11"/>
  <c r="C5" i="11"/>
  <c r="J16" i="11"/>
  <c r="E13" i="11"/>
  <c r="A14" i="11"/>
  <c r="I4" i="11"/>
  <c r="G15" i="11"/>
  <c r="A4" i="11"/>
  <c r="G5" i="11"/>
  <c r="L15" i="11"/>
  <c r="K6" i="11"/>
  <c r="A15" i="11"/>
  <c r="E14" i="11"/>
  <c r="J5" i="11"/>
  <c r="E10" i="11"/>
  <c r="A11" i="11"/>
  <c r="K11" i="11"/>
  <c r="L6" i="11"/>
  <c r="C6" i="11"/>
  <c r="D4" i="11"/>
  <c r="E7" i="11"/>
  <c r="G12" i="11"/>
  <c r="J11" i="11"/>
  <c r="G10" i="11"/>
  <c r="H13" i="11"/>
  <c r="A13" i="11"/>
  <c r="D8" i="11"/>
  <c r="C13" i="11"/>
  <c r="C4" i="11"/>
  <c r="K8" i="11"/>
  <c r="A8" i="11"/>
  <c r="C7" i="11"/>
  <c r="G16" i="11"/>
  <c r="D5" i="11"/>
  <c r="J4" i="11"/>
  <c r="I9" i="11"/>
  <c r="D6" i="11"/>
  <c r="H5" i="11"/>
  <c r="G14" i="11"/>
  <c r="K10" i="11"/>
  <c r="H8" i="11"/>
  <c r="G11" i="11"/>
  <c r="D13" i="11"/>
  <c r="L3" i="10"/>
  <c r="D3" i="10"/>
  <c r="E3" i="10"/>
  <c r="C3" i="10"/>
  <c r="G3" i="10"/>
  <c r="J3" i="10"/>
  <c r="K3" i="10"/>
  <c r="I3" i="10"/>
  <c r="H3" i="10"/>
  <c r="A3" i="11" l="1"/>
  <c r="I3" i="11"/>
  <c r="K3" i="11"/>
  <c r="E3" i="11"/>
  <c r="J3" i="11"/>
  <c r="H3" i="11"/>
  <c r="G3" i="11"/>
  <c r="D3" i="11"/>
  <c r="C3" i="11"/>
  <c r="L3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<sst xmlns="http://schemas.openxmlformats.org/spreadsheetml/2006/main" count="6642" uniqueCount="1268">
  <si>
    <t>QUALITY</t>
  </si>
  <si>
    <t>KEY TRADE DETAILS</t>
  </si>
  <si>
    <t xml:space="preserve"> </t>
  </si>
  <si>
    <t>ISSUES OF THE DAY</t>
  </si>
  <si>
    <t>SALES DETAILS</t>
  </si>
  <si>
    <t>L/C or ADVANCE DETAILS</t>
  </si>
  <si>
    <t>SI, CERT, BAG MARKING INSTRUCTION &amp; BUYER BANK DETAILS</t>
  </si>
  <si>
    <t>SHIPMENT DETAILS</t>
  </si>
  <si>
    <t>SALES INVOICING DETAILS</t>
  </si>
  <si>
    <t>OBL TRACKING</t>
  </si>
  <si>
    <t>CERT TRACKING</t>
  </si>
  <si>
    <t>NEGO BANKING</t>
  </si>
  <si>
    <t>FINAL PAYMENT DETAILS</t>
  </si>
  <si>
    <t>FNF STAGE</t>
  </si>
  <si>
    <t>TRADE</t>
  </si>
  <si>
    <t>POD QUALITY REPORT</t>
  </si>
  <si>
    <t>PURCHASE DETAILS</t>
  </si>
  <si>
    <t>PAYEMENT TO OTHER VENDORS</t>
  </si>
  <si>
    <t>CYCLE TIME ( Need to Improve)</t>
  </si>
  <si>
    <t>SAP ENTRIES</t>
  </si>
  <si>
    <t>TRADER STATUS</t>
  </si>
  <si>
    <t>KOR (Planned)</t>
  </si>
  <si>
    <t>NC</t>
  </si>
  <si>
    <t>Comm</t>
  </si>
  <si>
    <t>POSITION</t>
  </si>
  <si>
    <t xml:space="preserve"> SAP SO ref</t>
  </si>
  <si>
    <t>Check</t>
  </si>
  <si>
    <t xml:space="preserve">BUYER NAME </t>
  </si>
  <si>
    <t xml:space="preserve"> Origin</t>
  </si>
  <si>
    <t>Destination</t>
  </si>
  <si>
    <t>POD</t>
  </si>
  <si>
    <t xml:space="preserve"> BL NO. </t>
  </si>
  <si>
    <t>BL/Stuffed Qty(MT)</t>
  </si>
  <si>
    <t>ETD/SOB</t>
  </si>
  <si>
    <t>ETA</t>
  </si>
  <si>
    <t>OBL Location</t>
  </si>
  <si>
    <t xml:space="preserve">Crop / HBL </t>
  </si>
  <si>
    <t>CERT Location</t>
  </si>
  <si>
    <t>Nego Banking</t>
  </si>
  <si>
    <t>Origin Issue/Remarks</t>
  </si>
  <si>
    <t>Updates</t>
  </si>
  <si>
    <t>Addendums ( If Any) - 
With counterparty sign remark</t>
  </si>
  <si>
    <t>Deal Ticket 
Rcvd Date</t>
  </si>
  <si>
    <t>SAP Deal Tkt No.</t>
  </si>
  <si>
    <t>Sales Contract  Dt.</t>
  </si>
  <si>
    <t>SAP SO No.</t>
  </si>
  <si>
    <t>Buyer Name</t>
  </si>
  <si>
    <t>Shipment period</t>
  </si>
  <si>
    <t>LDS</t>
  </si>
  <si>
    <t>Toler%</t>
  </si>
  <si>
    <t xml:space="preserve">Qty </t>
  </si>
  <si>
    <t>Min Qty</t>
  </si>
  <si>
    <t>UOM</t>
  </si>
  <si>
    <t>Sales Price/ UOM</t>
  </si>
  <si>
    <t>Sales Contract value</t>
  </si>
  <si>
    <t>Sales INCO</t>
  </si>
  <si>
    <t>Sales - PMT Type</t>
  </si>
  <si>
    <t>Adv % (TT)</t>
  </si>
  <si>
    <t>2nd Pmt % (DP/TT)</t>
  </si>
  <si>
    <t>FNF % (TT)</t>
  </si>
  <si>
    <t>PT DAYS</t>
  </si>
  <si>
    <t>Valency POC</t>
  </si>
  <si>
    <t>Broker</t>
  </si>
  <si>
    <t>Brokarage</t>
  </si>
  <si>
    <t>LC No.</t>
  </si>
  <si>
    <t xml:space="preserve">LC Issue date </t>
  </si>
  <si>
    <t>Expiry Date</t>
  </si>
  <si>
    <t>LDS as per LC</t>
  </si>
  <si>
    <t>Bank</t>
  </si>
  <si>
    <t>Adv Dates as per Contract</t>
  </si>
  <si>
    <t>Adv Amt</t>
  </si>
  <si>
    <t>Adv Date</t>
  </si>
  <si>
    <t>SI, CERT, BAG MARKING INSTRUCTION shared Date</t>
  </si>
  <si>
    <t>Lot No:</t>
  </si>
  <si>
    <t>IMPORTER Address on Certs</t>
  </si>
  <si>
    <t>BUYER BANK DETAILS</t>
  </si>
  <si>
    <t>BL Number</t>
  </si>
  <si>
    <t>BL Net Wt./ Stuffed Qty</t>
  </si>
  <si>
    <t>Conts Type</t>
  </si>
  <si>
    <t>Conts Qty</t>
  </si>
  <si>
    <t>SOB/ETD</t>
  </si>
  <si>
    <t>Transhipment ETA</t>
  </si>
  <si>
    <t>Final ETA</t>
  </si>
  <si>
    <t>POL</t>
  </si>
  <si>
    <t>Shipping
 Line</t>
  </si>
  <si>
    <t>FREE DAYS AS PER BOOKING</t>
  </si>
  <si>
    <t>VESSEL NAME</t>
  </si>
  <si>
    <t>VOYAGE NO</t>
  </si>
  <si>
    <t>Sales Invoice # -SAP</t>
  </si>
  <si>
    <t>SAP Inv Date</t>
  </si>
  <si>
    <t>SAP Sales Inv Amt</t>
  </si>
  <si>
    <t>BL draft Recd/Sent</t>
  </si>
  <si>
    <t>OBL Final recd dt</t>
  </si>
  <si>
    <t>OBL DHL
 Origin to SG</t>
  </si>
  <si>
    <t>OBL Rcvd Date in SIG</t>
  </si>
  <si>
    <t>OBL DHL SIG TO VIETNAM OR INDIA</t>
  </si>
  <si>
    <t>OBL RCVD DATE AT DEST</t>
  </si>
  <si>
    <t>OBL LOCATION</t>
  </si>
  <si>
    <t>DHL -BL From SIG to Vietnam (Spcl case)</t>
  </si>
  <si>
    <t>OBL Rcvd in Vietnam</t>
  </si>
  <si>
    <t>Final Certs scan rcvd dt</t>
  </si>
  <si>
    <t>Cert DHL no from Origin</t>
  </si>
  <si>
    <t>Cert Rcvd Date in Destination</t>
  </si>
  <si>
    <t>CERTS Status</t>
  </si>
  <si>
    <t>Nego Bank name</t>
  </si>
  <si>
    <t>Nego Date</t>
  </si>
  <si>
    <t>Bank to bank AWB details</t>
  </si>
  <si>
    <t>Nego Docs in Buyer Bank Rcvd Date</t>
  </si>
  <si>
    <t>Nego Status</t>
  </si>
  <si>
    <t>98%/Final payment Amt</t>
  </si>
  <si>
    <t>98%/ Final Pmt Rcevd Date</t>
  </si>
  <si>
    <t>VINA/RBS REPORT</t>
  </si>
  <si>
    <t>LANDED QTY</t>
  </si>
  <si>
    <t>QTY DIFFERENCE</t>
  </si>
  <si>
    <t>% CHANGE</t>
  </si>
  <si>
    <t>TOTAL AMOUNT RECEIVED TILL NOW ( ADV + MID )</t>
  </si>
  <si>
    <t>2 % VALUE OF LANDED QTY</t>
  </si>
  <si>
    <t>USD / LBS</t>
  </si>
  <si>
    <t>LANDED KOR</t>
  </si>
  <si>
    <t>VARIANCE KOR</t>
  </si>
  <si>
    <t>LANDED NC</t>
  </si>
  <si>
    <t>VARIANCE NC</t>
  </si>
  <si>
    <t>LANDED MOS%</t>
  </si>
  <si>
    <t>VARIANCE MOS</t>
  </si>
  <si>
    <t>QTY CLAIM</t>
  </si>
  <si>
    <t>KOR CLAIM (FOR 1:1)</t>
  </si>
  <si>
    <t>KOR CLAIM (FOR 1:2)</t>
  </si>
  <si>
    <t>NC CLAIM</t>
  </si>
  <si>
    <t>MOS CLAIM</t>
  </si>
  <si>
    <t>Total Qty &amp; Qlty CLAIM</t>
  </si>
  <si>
    <t>OTHER CLAIMS (IF ANY)</t>
  </si>
  <si>
    <t>OTHER CLAIMS REMARKS</t>
  </si>
  <si>
    <t>TOTAL F &amp; F CLAIM</t>
  </si>
  <si>
    <t>NET BILL VALUE</t>
  </si>
  <si>
    <t>AMOUNT RECEIVED TILL NOW ( ADV + MID )2</t>
  </si>
  <si>
    <t>NET PAYABLES</t>
  </si>
  <si>
    <t>NET RECIVABLES</t>
  </si>
  <si>
    <t>PAYABLE BY</t>
  </si>
  <si>
    <t>CN/DN - REMARKS</t>
  </si>
  <si>
    <t>SAP CN/DN No</t>
  </si>
  <si>
    <t>SAP CN/DN INV No:</t>
  </si>
  <si>
    <t>SAP Entries Completed Date</t>
  </si>
  <si>
    <t>FNF INTERACTION WITH BUYER</t>
  </si>
  <si>
    <t>F&amp;F SAP STATUS</t>
  </si>
  <si>
    <t>CLOSE/OPEN</t>
  </si>
  <si>
    <t>LOST PREMUIM CLAIM</t>
  </si>
  <si>
    <t>Stuffed KOR</t>
  </si>
  <si>
    <t>Stuffed NC</t>
  </si>
  <si>
    <t>Stuffed MOIST</t>
  </si>
  <si>
    <t xml:space="preserve">SAP PO No  </t>
  </si>
  <si>
    <t>PO Date</t>
  </si>
  <si>
    <t>PI No.</t>
  </si>
  <si>
    <t>Supplier</t>
  </si>
  <si>
    <t>Valency /FOB</t>
  </si>
  <si>
    <t>Pur Qty (MT)</t>
  </si>
  <si>
    <t>Pur Rate USD</t>
  </si>
  <si>
    <t>Advance Amt.</t>
  </si>
  <si>
    <t>Advance PMT Date</t>
  </si>
  <si>
    <t xml:space="preserve">Order Value USD </t>
  </si>
  <si>
    <t>Purchase INCO</t>
  </si>
  <si>
    <t>Pur pmt Type</t>
  </si>
  <si>
    <t>Pur pmt Term</t>
  </si>
  <si>
    <t>Bal Paid</t>
  </si>
  <si>
    <t>Supplier Pmt Date</t>
  </si>
  <si>
    <t>Delivery terms</t>
  </si>
  <si>
    <t>Remarks (if Any)</t>
  </si>
  <si>
    <t>Status for Cashflow</t>
  </si>
  <si>
    <t>Freight Amt</t>
  </si>
  <si>
    <t>Frt/Mt</t>
  </si>
  <si>
    <t>Freight Inv recd dt</t>
  </si>
  <si>
    <t>Freight pmt date</t>
  </si>
  <si>
    <t>Insurance no.</t>
  </si>
  <si>
    <t>Insurance Dt</t>
  </si>
  <si>
    <t>Comm $</t>
  </si>
  <si>
    <t>Total Comm Value (USD)</t>
  </si>
  <si>
    <t>Comm - Sales Payment 1</t>
  </si>
  <si>
    <t>Comm - Sales Payment 2</t>
  </si>
  <si>
    <t>SAP Comm - Purch 3rd party</t>
  </si>
  <si>
    <t>Deal Ticket Vs Contract</t>
  </si>
  <si>
    <t>Contract Vs Advance</t>
  </si>
  <si>
    <t>Freight Pmt VS Darft BL</t>
  </si>
  <si>
    <t>Insurance Vs SOB)</t>
  </si>
  <si>
    <t>OBL Copy Vs SOB)</t>
  </si>
  <si>
    <t>Bank Nego Vs SOB</t>
  </si>
  <si>
    <t>Certs Copy Vs SOB)</t>
  </si>
  <si>
    <t>ETD VS ETA</t>
  </si>
  <si>
    <t>ETA Vs FNF Entries</t>
  </si>
  <si>
    <t>Deal Ticket</t>
  </si>
  <si>
    <t>SO</t>
  </si>
  <si>
    <t>PO</t>
  </si>
  <si>
    <t>MIGO</t>
  </si>
  <si>
    <t>BATCH NO</t>
  </si>
  <si>
    <t>MIR7 {Vendor}</t>
  </si>
  <si>
    <t>MIR7 {Comm}</t>
  </si>
  <si>
    <t>MIR7 {freight}</t>
  </si>
  <si>
    <t>MIR7 
{Ins}</t>
  </si>
  <si>
    <t>OD</t>
  </si>
  <si>
    <t>INVOICE</t>
  </si>
  <si>
    <t>PI</t>
  </si>
  <si>
    <t>Status</t>
  </si>
  <si>
    <t>Remarks</t>
  </si>
  <si>
    <t>Sale Retun
VA01</t>
  </si>
  <si>
    <t>Sale Return
VL01N</t>
  </si>
  <si>
    <t>Sale Return
VF01</t>
  </si>
  <si>
    <t>Sale Debit/Credit Note
VA01</t>
  </si>
  <si>
    <t>Sale Debit/Credit Inv
VF01</t>
  </si>
  <si>
    <t>Pur Debit/Credit Note
MIR7</t>
  </si>
  <si>
    <t>BL MIRROR COPY</t>
  </si>
  <si>
    <t>RCN</t>
  </si>
  <si>
    <t>NIGERIA(OGB)</t>
  </si>
  <si>
    <t>INDIA</t>
  </si>
  <si>
    <t>Payment by Valency Agro will be done, 90 days after BL date- CARGO CLEARED.</t>
  </si>
  <si>
    <t>ADDENDUM 11/02-COUNTER SIGNED RCVD</t>
  </si>
  <si>
    <t>VALENCY AGRO // HSS // ORGANIC FOODS INDIA EXIM</t>
  </si>
  <si>
    <t>BY 15TH MARCH</t>
  </si>
  <si>
    <t>MT</t>
  </si>
  <si>
    <t>CFR</t>
  </si>
  <si>
    <t>90 DAYS FROM BL DATE</t>
  </si>
  <si>
    <t xml:space="preserve">180 DAYS </t>
  </si>
  <si>
    <t>Mr.Chirag</t>
  </si>
  <si>
    <t>-</t>
  </si>
  <si>
    <t>MEDULG618084</t>
  </si>
  <si>
    <t>40'</t>
  </si>
  <si>
    <t>Hambantota, LK 26-04</t>
  </si>
  <si>
    <t>Ogbomosho</t>
  </si>
  <si>
    <t xml:space="preserve">TUTICORIN, INDIA </t>
  </si>
  <si>
    <t>MSC</t>
  </si>
  <si>
    <t xml:space="preserve">MSC NISHA V - </t>
  </si>
  <si>
    <t>FN608B</t>
  </si>
  <si>
    <t>ICICI BANK</t>
  </si>
  <si>
    <t>NO VINA/RBS REPORT</t>
  </si>
  <si>
    <t>Valency Nigeria</t>
  </si>
  <si>
    <t>FOB</t>
  </si>
  <si>
    <t>Freight paid by origin</t>
  </si>
  <si>
    <t>0000093574</t>
  </si>
  <si>
    <t>done</t>
  </si>
  <si>
    <t>PAYMENT RCVD 14/5</t>
  </si>
  <si>
    <t>ST. PAULS CASHEW FACTORY</t>
  </si>
  <si>
    <t>DP SIGHT</t>
  </si>
  <si>
    <t>Mr. George</t>
  </si>
  <si>
    <t>MEDULG619041</t>
  </si>
  <si>
    <t xml:space="preserve">
Colombo, LK 28-04, IN MSDU6442397</t>
  </si>
  <si>
    <t>MSC TASMANIA</t>
  </si>
  <si>
    <t>WP609R</t>
  </si>
  <si>
    <t>HABIB BANK</t>
  </si>
  <si>
    <t>GHANA</t>
  </si>
  <si>
    <t>32015281-1</t>
  </si>
  <si>
    <t>Valency Agro (Processing)</t>
  </si>
  <si>
    <t>March - 26</t>
  </si>
  <si>
    <t>CIF</t>
  </si>
  <si>
    <t>Mr. Naveen</t>
  </si>
  <si>
    <t>Direct</t>
  </si>
  <si>
    <t>TMA0158642</t>
  </si>
  <si>
    <t>MUNDRA, INDIA</t>
  </si>
  <si>
    <t>CMA CGM</t>
  </si>
  <si>
    <t>MAERSK HANGZHOU</t>
  </si>
  <si>
    <t>0WWQ0E1MA</t>
  </si>
  <si>
    <t>Valora Exim</t>
  </si>
  <si>
    <t xml:space="preserve">FOB </t>
  </si>
  <si>
    <t>IVC</t>
  </si>
  <si>
    <t>CLARIFICATION ON LATEST SOB</t>
  </si>
  <si>
    <t xml:space="preserve">267489694
</t>
  </si>
  <si>
    <t>AMITH CASHEWS PVT LTD</t>
  </si>
  <si>
    <t>April - 26</t>
  </si>
  <si>
    <t>Mr. Rao</t>
  </si>
  <si>
    <t>MANGALORE, INDIA</t>
  </si>
  <si>
    <t xml:space="preserve">VALENCY IVC </t>
  </si>
  <si>
    <t xml:space="preserve">ADVANCE RCVD 10/03- 267489852
</t>
  </si>
  <si>
    <t>FAVOURITE CASHEWS</t>
  </si>
  <si>
    <t>NIGERIA(SAKI)</t>
  </si>
  <si>
    <t>OBL Expected on 25/5</t>
  </si>
  <si>
    <t>OBL RCVD 25/5- CERT PENDING</t>
  </si>
  <si>
    <t>ADDENDUM 01-EXTENSION TILL 15TH MAY</t>
  </si>
  <si>
    <t>OBL COURRIER PENDING</t>
  </si>
  <si>
    <t>32015806-1</t>
  </si>
  <si>
    <t>INDIA ENTERPRISES</t>
  </si>
  <si>
    <t>MEDULG632861</t>
  </si>
  <si>
    <t>DFSU6311600</t>
  </si>
  <si>
    <t>NIGERIA</t>
  </si>
  <si>
    <t>PENDING OBL &amp; CERTS-OBL EXPETCED 25/5</t>
  </si>
  <si>
    <t>OBL EXPECTED 25/5</t>
  </si>
  <si>
    <t>32015806-2</t>
  </si>
  <si>
    <t>MEDULG632812</t>
  </si>
  <si>
    <t>BMOU4009029</t>
  </si>
  <si>
    <t>Payment by Valency Agro will be done, 120 days after BL date- CARGO CLEARED.</t>
  </si>
  <si>
    <t>32015281-4</t>
  </si>
  <si>
    <t>120 DAYS FROM BL DATE</t>
  </si>
  <si>
    <t>ONEYTEMG00306400</t>
  </si>
  <si>
    <t>ONE LINE</t>
  </si>
  <si>
    <t xml:space="preserve">GIALOVA </t>
  </si>
  <si>
    <t>2607E</t>
  </si>
  <si>
    <t>BURKINA FASO</t>
  </si>
  <si>
    <t>PAYMENT RCVD 27/05</t>
  </si>
  <si>
    <t>PAYMENT PENDING-CERTS WILL REACH 2ND JUNE</t>
  </si>
  <si>
    <t>MOI COMMODITIES INDIA PVT LTD</t>
  </si>
  <si>
    <t>March /15th April</t>
  </si>
  <si>
    <t>10% ADVANCE 90%DP AT SIGHT</t>
  </si>
  <si>
    <t>ONEYTEMG00307500</t>
  </si>
  <si>
    <t>TEMA, GHANA</t>
  </si>
  <si>
    <t xml:space="preserve">SPIL KARTIKA </t>
  </si>
  <si>
    <t>2609E</t>
  </si>
  <si>
    <t>6696514112 FUMI / 1377954734 LDC/PHYTO</t>
  </si>
  <si>
    <t>VALORA BURKINA EXIM SARL</t>
  </si>
  <si>
    <t>32014448-3</t>
  </si>
  <si>
    <t>MEDULG626012</t>
  </si>
  <si>
    <t>Vizhinjam international 10-05</t>
  </si>
  <si>
    <t>LASTBORN</t>
  </si>
  <si>
    <t>LASTBORN GENERAL MERCHANT LTD</t>
  </si>
  <si>
    <t xml:space="preserve">RCVD COUNTERSIGNED-267489781
267489781-1
</t>
  </si>
  <si>
    <t>MADHAVARAYA PRABHU</t>
  </si>
  <si>
    <t>32014448-5</t>
  </si>
  <si>
    <t>MEDULG625659</t>
  </si>
  <si>
    <t>Vizhinjam internation 04-05</t>
  </si>
  <si>
    <t>MEDULG628059</t>
  </si>
  <si>
    <t>CERT YET TO REACH DESTINATION, PAYMENT RCVD 14/5</t>
  </si>
  <si>
    <t>Hambantota, LK</t>
  </si>
  <si>
    <t>KOWLOON / FN610R</t>
  </si>
  <si>
    <t>47 0504 1283</t>
  </si>
  <si>
    <t>VALENCY NIGERIA</t>
  </si>
  <si>
    <t>PAYMENT RCVD 21/5</t>
  </si>
  <si>
    <t>PAYMENT PENDING-EXPECTED THIS WEEK - NEED TO TALK WITH TRADER</t>
  </si>
  <si>
    <t>SRI VIJAYALAXMI CASHEW INDUSTRIES</t>
  </si>
  <si>
    <t>MEDULG626988</t>
  </si>
  <si>
    <t xml:space="preserve">
Vizhinjam international  10-05,FCIU7360800</t>
  </si>
  <si>
    <t>MSC KERRY VII</t>
  </si>
  <si>
    <t>FN611R</t>
  </si>
  <si>
    <t>WAKMAN HERITAGE</t>
  </si>
  <si>
    <t>ORIGINAL CERTS COURIERED TO BUYER CHA DHL: 4288510505-NEGO BANK DONE 8TH APRIL- PAYMENT PENDING</t>
  </si>
  <si>
    <t>20009016-1</t>
  </si>
  <si>
    <t>32013750-1</t>
  </si>
  <si>
    <t>MAA TARA TARINI CASHEW INDUSTRIES</t>
  </si>
  <si>
    <t>Mr. Chirag</t>
  </si>
  <si>
    <t>MEDULG617839</t>
  </si>
  <si>
    <t>Colombo, LK 29-04</t>
  </si>
  <si>
    <t>GANGAVARAM, INDIA</t>
  </si>
  <si>
    <t xml:space="preserve">MSC TASMANIA - </t>
  </si>
  <si>
    <t>0000093683</t>
  </si>
  <si>
    <t>OBL SENT SG OFC:6876239156(SHORTSHIPPED 2FCL)-CERTS COURIERED TO BUYER ADDRESS;7144679555-PAYMENT PENDING</t>
  </si>
  <si>
    <t>20009016-2</t>
  </si>
  <si>
    <t>32013750-2</t>
  </si>
  <si>
    <t>MEDULG618159</t>
  </si>
  <si>
    <t>Colombo, LK 22-04</t>
  </si>
  <si>
    <t>Payment by Valency Agro will be done, 90 days after BL date- HSS Formalities are done</t>
  </si>
  <si>
    <t>CARGO YET TO CLEAR-HSS PAYMENT PENDING</t>
  </si>
  <si>
    <t>VALENCY AGRO //HSS//SABAH ENTERPRISES</t>
  </si>
  <si>
    <t>ONEYLOSG01235800</t>
  </si>
  <si>
    <t>TUTICORIN, INDIA</t>
  </si>
  <si>
    <t>VIETNAM</t>
  </si>
  <si>
    <t>TPSCR26010450</t>
  </si>
  <si>
    <t>PENDING OBL-SAILED 17/5</t>
  </si>
  <si>
    <t>DRAFT HBL CONFIRMED 20/5- OBL PENDING</t>
  </si>
  <si>
    <t>NTT - OBL PRINTING ISSUE IN SIG, ETA ERROR</t>
  </si>
  <si>
    <t xml:space="preserve">THAO NGUYEN COMPANY LIMITED  </t>
  </si>
  <si>
    <t>April/May - 26</t>
  </si>
  <si>
    <t>Mr. Prashant</t>
  </si>
  <si>
    <t xml:space="preserve">THUAN THIEN AGENCY </t>
  </si>
  <si>
    <t>ONEYABJG00281500</t>
  </si>
  <si>
    <t>CAT LAI HCMC, Vietnam</t>
  </si>
  <si>
    <t xml:space="preserve">RCVD COUNTERSIGNED-267489886
</t>
  </si>
  <si>
    <t>MAHALASA EXPORTS</t>
  </si>
  <si>
    <t>32014448-6</t>
  </si>
  <si>
    <t>MEDULG622805</t>
  </si>
  <si>
    <t>Vizhinjam internation 06-05</t>
  </si>
  <si>
    <t>MANGALORE INDIA</t>
  </si>
  <si>
    <t xml:space="preserve">ADVANCE RCVD 27/02-267490071
</t>
  </si>
  <si>
    <t>MALNAD CASHEWS</t>
  </si>
  <si>
    <t>TPSCR26010549</t>
  </si>
  <si>
    <t>ETD: 22/5: MSC ANTONIA - CONFIRMATION AWAITED</t>
  </si>
  <si>
    <t>SOB EXPECTED 21/5-OBL PENDING-VESSEL IS UNDER OPERTAION</t>
  </si>
  <si>
    <t>QUOC DUY IMPORT EXPORT TRADING PRODUCTION CO., LTD</t>
  </si>
  <si>
    <t>Ms. Tuyet</t>
  </si>
  <si>
    <t>MEDULG637035</t>
  </si>
  <si>
    <t>MSNU9022124</t>
  </si>
  <si>
    <t xml:space="preserve"> CAT LAI PORT HCMC, VIETNAM</t>
  </si>
  <si>
    <t>MSC BARBARA - FN617R</t>
  </si>
  <si>
    <t>GAMBIA</t>
  </si>
  <si>
    <t xml:space="preserve">Loaded, Update is due from supplier(LS EXIM) due to EID Holiday, </t>
  </si>
  <si>
    <t>BOOKING NO: 269388817, ETD 5/6</t>
  </si>
  <si>
    <t>PENDING SIGNED ADDENDUM</t>
  </si>
  <si>
    <t>NTT - NEED TO TAKE ADDENDUM, LDS IS DELAYED</t>
  </si>
  <si>
    <t>RED RIVER FOODS</t>
  </si>
  <si>
    <t>Qui Nhon, Vietnam</t>
  </si>
  <si>
    <t xml:space="preserve">LS EXIM ENTERPRISE </t>
  </si>
  <si>
    <t>Payment by Valency Agro will be done, 90 days after BL date- HSS Formalities are done(HSS SETTLED)</t>
  </si>
  <si>
    <t xml:space="preserve">VALENCY AGRO //HSS//Jain Cashew Nuts  </t>
  </si>
  <si>
    <t>March /April</t>
  </si>
  <si>
    <t>MEDUTM434741</t>
  </si>
  <si>
    <t>TEMU8261109</t>
  </si>
  <si>
    <t>MSC MIRJAM -</t>
  </si>
  <si>
    <t>FY613R</t>
  </si>
  <si>
    <t>Payment by Valency Agro will be done, 90 days after BL date- Clearance under process</t>
  </si>
  <si>
    <t>CARGO CLEARANCE UNDER PROCESS</t>
  </si>
  <si>
    <t>MEDUTM435789</t>
  </si>
  <si>
    <t>FFAU3886533</t>
  </si>
  <si>
    <t>MSC MIRJAM</t>
  </si>
  <si>
    <t>TPSCR26010451</t>
  </si>
  <si>
    <t>ONEYABJG00282600</t>
  </si>
  <si>
    <t xml:space="preserve">Gated IN, SOB Awaited( ETD 1 / 2 WEEK OF JUNE) - </t>
  </si>
  <si>
    <t>ADVANCE RECVD 16/4-EBKG16643471- STUFFING THIS WEEK</t>
  </si>
  <si>
    <t>ADDENDUM TO TAKE</t>
  </si>
  <si>
    <t>LOME, TOGO</t>
  </si>
  <si>
    <t>TPSCR26010490</t>
  </si>
  <si>
    <t>PAYMENT RCVD 26/05</t>
  </si>
  <si>
    <t xml:space="preserve">LIEN VIET TRADING </t>
  </si>
  <si>
    <t>10% ADVANCE 88% DP AT SIGHT 2% after vina</t>
  </si>
  <si>
    <t>PRASHANT</t>
  </si>
  <si>
    <t>Global Link</t>
  </si>
  <si>
    <t>MEDULG618936</t>
  </si>
  <si>
    <t>Nansha, CN 05-05</t>
  </si>
  <si>
    <t>HCMC, VIETNAM</t>
  </si>
  <si>
    <t>25 2898 9820</t>
  </si>
  <si>
    <t>Habib Bank</t>
  </si>
  <si>
    <t xml:space="preserve">RCVD COUNTERSIGNED + ADVANCE RCVD 26/02-267489943
</t>
  </si>
  <si>
    <t>SHANKARNARAYANA CASHEWS</t>
  </si>
  <si>
    <t>PAYMENT RCVD 14/05</t>
  </si>
  <si>
    <t>32015281-2</t>
  </si>
  <si>
    <t>MAERSK LINE</t>
  </si>
  <si>
    <t>RDO GRACE</t>
  </si>
  <si>
    <t>611E</t>
  </si>
  <si>
    <t xml:space="preserve">4-25
</t>
  </si>
  <si>
    <t xml:space="preserve">ADVANCE RCVD 02/03-267490043
</t>
  </si>
  <si>
    <t>SHREE KRISHNAKRUPA CASHEWS PVT LTD</t>
  </si>
  <si>
    <t>MEARSK CUANZA, ETD: 30/5</t>
  </si>
  <si>
    <t xml:space="preserve">RCVD COUNTERSIGNED-BUYER WANTS TO DELAY THE SHIPMENT-267489622
&amp; 267489622-1
</t>
  </si>
  <si>
    <t>SREE DEVI CASHEW INDUSTRIES</t>
  </si>
  <si>
    <t xml:space="preserve">ADVANCE RCVD 18/03-267489832
</t>
  </si>
  <si>
    <t>SRI MAHAGANAPATHI CASHEW INDUSTRIES</t>
  </si>
  <si>
    <t>TPSCR26010661</t>
  </si>
  <si>
    <t>DRAFT BL RCVD 20/5</t>
  </si>
  <si>
    <t>DRAFT BL RCVD 20/5,DRAFT HBL SENT TO BUYER 20/5</t>
  </si>
  <si>
    <t>NTT - OBL PRINTING ISSUE IN SIG , ETA 5/7</t>
  </si>
  <si>
    <t>32016289-1</t>
  </si>
  <si>
    <t xml:space="preserve">VIET PHI AGRICULTURE JOINT 
STOCK COMPANY </t>
  </si>
  <si>
    <t>HLCUAB1260401247</t>
  </si>
  <si>
    <t>HAPAG LLOYD</t>
  </si>
  <si>
    <t>ACHELOOS</t>
  </si>
  <si>
    <t xml:space="preserve"> TPSCR26010664</t>
  </si>
  <si>
    <t>DRAFT BL RCVD 20/5,DRAFT HBL REQUEST SENT 21/5</t>
  </si>
  <si>
    <t>32016289-2</t>
  </si>
  <si>
    <t>HLCUAB1260401258</t>
  </si>
  <si>
    <t>TPSCR26010654</t>
  </si>
  <si>
    <t>DRAFT BL RCVD 20/5,HBL DRAFT SENT TO BUYER 20/5</t>
  </si>
  <si>
    <t>NTT - OBL PRINTING ISSUE IN SIG, ETA 12/7</t>
  </si>
  <si>
    <t>32016289-3</t>
  </si>
  <si>
    <t>HLCUAB1260400752</t>
  </si>
  <si>
    <t>32015281-3</t>
  </si>
  <si>
    <t>MAERSK ARAS</t>
  </si>
  <si>
    <t>612E</t>
  </si>
  <si>
    <t>TPSCR26010505</t>
  </si>
  <si>
    <t>MEDULG619470</t>
  </si>
  <si>
    <t>TRHU7216691 
Nansha, CN 05-05</t>
  </si>
  <si>
    <t xml:space="preserve">RCVD COUNTERSIGNED-267490003
</t>
  </si>
  <si>
    <t>SRI VIJAYALAXMI CASHEW INDUSTRIES</t>
  </si>
  <si>
    <t xml:space="preserve">RCVD COUNTERSIGNED-267489736-1
267489736-2
</t>
  </si>
  <si>
    <t>DRAFT BL RCVD 23/5</t>
  </si>
  <si>
    <t>ST. GREGORIOUS CASHEW</t>
  </si>
  <si>
    <t>March/April - 26</t>
  </si>
  <si>
    <t xml:space="preserve">RCVD COUNTERSIGNED-267465107-1
</t>
  </si>
  <si>
    <t>COCHIN, INDIA</t>
  </si>
  <si>
    <t>DRAFT BL APPROVED 25/5</t>
  </si>
  <si>
    <t>MAERSK CUANZA</t>
  </si>
  <si>
    <t>617E</t>
  </si>
  <si>
    <t>15 FEB/15 MAR 2026</t>
  </si>
  <si>
    <t>MEDULG623316</t>
  </si>
  <si>
    <t>Vizhinjam international sea port, IN 06-05</t>
  </si>
  <si>
    <t>AZEEZCO INTERNATIONAL LTD</t>
  </si>
  <si>
    <t>Payment by Valency Agro will be done, 90 days after BL date- DOCS RELEASED</t>
  </si>
  <si>
    <t>CLEARING UNDER PROCESS</t>
  </si>
  <si>
    <t>32014448-2</t>
  </si>
  <si>
    <t>MEDULG620841</t>
  </si>
  <si>
    <t xml:space="preserve">
Colombo, LK 24 -04</t>
  </si>
  <si>
    <t xml:space="preserve">RCVD COUNTERSIGNED(POD CHNAGED TO TUTICORIN)-268715910 
</t>
  </si>
  <si>
    <t>32014539-2</t>
  </si>
  <si>
    <t>OBL SENT TO SG OFC: 6876239156- ORIGINAL CERTS COURIERED TO BUYER CHA DHL: 4288510505-NEGO BANK DONE 8TH APRIL-PAYMENT PENDING- SWIFT RCVD 11/5</t>
  </si>
  <si>
    <t>SSS INTERNATIONAL AGRO</t>
  </si>
  <si>
    <t>MEDULG618167</t>
  </si>
  <si>
    <t>Hambantota, 26-04</t>
  </si>
  <si>
    <t>RBS/TTN/63523</t>
  </si>
  <si>
    <t>KINDLY CHECK PAYBAL AMOUNT NOT MATCHINH</t>
  </si>
  <si>
    <t>32014448-4</t>
  </si>
  <si>
    <t>MEDULG628075</t>
  </si>
  <si>
    <t>Hambantota, LK30-04</t>
  </si>
  <si>
    <t xml:space="preserve">Gated IN, SOB Awaited( ETD 1/2 WEEK OF JUNE) </t>
  </si>
  <si>
    <t>RCVD ADVANCE 22/4-LFW600037500-STUFFING UNDER PROCESS</t>
  </si>
  <si>
    <t>NTT - NEED TO TAKE ADDENDUM, LDS IS DELAYED, PACKING LIST IS SHARED WITH BUYER</t>
  </si>
  <si>
    <t>VIET AGRO PTE LTD</t>
  </si>
  <si>
    <t>TPSCR26010665</t>
  </si>
  <si>
    <t>32016289-4</t>
  </si>
  <si>
    <t>HLCUAB1260400774</t>
  </si>
  <si>
    <t xml:space="preserve">ETD: 30/5, MEARSK CUANZA, </t>
  </si>
  <si>
    <t>RCVD COUNTERSIGNED</t>
  </si>
  <si>
    <t>ETD: 24/5: MSC CHANNE</t>
  </si>
  <si>
    <t>SOB EXPECTED 26/5</t>
  </si>
  <si>
    <t>32016309-1</t>
  </si>
  <si>
    <t>TEMP</t>
  </si>
  <si>
    <t>MEDULG640948</t>
  </si>
  <si>
    <t>MSMU5866144</t>
  </si>
  <si>
    <t>STANDARD FOCUS ROYALLERE</t>
  </si>
  <si>
    <t>UNSOLD VIETNAM</t>
  </si>
  <si>
    <t>NTT - UNSOLD VIETNAM ETA: 5/7</t>
  </si>
  <si>
    <t>TBA 18</t>
  </si>
  <si>
    <t>VALENCY VIETNAM UNSOLD</t>
  </si>
  <si>
    <t>MAY</t>
  </si>
  <si>
    <t xml:space="preserve">HLCUAB1260401269 </t>
  </si>
  <si>
    <t>NEGO WILL BE DONE 25/5, DHL PENDING</t>
  </si>
  <si>
    <t>DHL PENDING</t>
  </si>
  <si>
    <t>32014539-1</t>
  </si>
  <si>
    <t>21-5</t>
  </si>
  <si>
    <t>25/5</t>
  </si>
  <si>
    <t>22143640 </t>
  </si>
  <si>
    <t>32016309-2</t>
  </si>
  <si>
    <t>MEDULG640963</t>
  </si>
  <si>
    <t>MSDU6122222</t>
  </si>
  <si>
    <t>MEDULG620791</t>
  </si>
  <si>
    <t>Colombo, LK 23-04</t>
  </si>
  <si>
    <t>PAYMENT RCVD 28/05</t>
  </si>
  <si>
    <t>AGGARWAL AND COMPANY</t>
  </si>
  <si>
    <t>FEB/ MAR 2026</t>
  </si>
  <si>
    <t>Gosh products and Resources Mr.Sudheesh</t>
  </si>
  <si>
    <t>MEDULG623779</t>
  </si>
  <si>
    <t xml:space="preserve">
Hambantota, LK 05-05</t>
  </si>
  <si>
    <t>ONEYLOSG01116600</t>
  </si>
  <si>
    <t xml:space="preserve">HABIB </t>
  </si>
  <si>
    <t xml:space="preserve">RCVD COUNTERSIGNED-267466662
</t>
  </si>
  <si>
    <t xml:space="preserve">VALENCY AGRO // HSS // Orissa Cashew Industries </t>
  </si>
  <si>
    <t>Vishakhapatnam, INDIA</t>
  </si>
  <si>
    <t>0000095948</t>
  </si>
  <si>
    <t>TBA 19</t>
  </si>
  <si>
    <t>HLCUAB1260401236</t>
  </si>
  <si>
    <t>TBA 20</t>
  </si>
  <si>
    <t xml:space="preserve"> HLCUAB1260400763</t>
  </si>
  <si>
    <t>CARGO UNDER CLEARNCE</t>
  </si>
  <si>
    <t>32014448-1</t>
  </si>
  <si>
    <t>ONEYLOSG01116601</t>
  </si>
  <si>
    <t>PAYMENT PENDING, FREE DAYS ISSUE</t>
  </si>
  <si>
    <t xml:space="preserve">NTT - PAYMENT PENDING, FREE DAYS ISSUE </t>
  </si>
  <si>
    <t>Jagannath Cashew Processing</t>
  </si>
  <si>
    <t>MEDULG628414</t>
  </si>
  <si>
    <t>MSDU8834972</t>
  </si>
  <si>
    <t>VIZAG, INDIA</t>
  </si>
  <si>
    <t>TPSCR26010428</t>
  </si>
  <si>
    <t>NEGO DONE 28/4- AMENDED CERTS COURIERED</t>
  </si>
  <si>
    <t>ONEYTEMG00369600</t>
  </si>
  <si>
    <t>SPARROW</t>
  </si>
  <si>
    <t>34 0179 6473</t>
  </si>
  <si>
    <t>MEDULG626996</t>
  </si>
  <si>
    <t xml:space="preserve">
Pasir gudang, JOHOR 20-05</t>
  </si>
  <si>
    <t>YOKOHAMA STAR</t>
  </si>
  <si>
    <t>PAYMENT RCVD 20/5</t>
  </si>
  <si>
    <t>32015280-1</t>
  </si>
  <si>
    <t>TMA0158631B</t>
  </si>
  <si>
    <t>MAERSK HALIFAX</t>
  </si>
  <si>
    <t>0WWPYE1MA</t>
  </si>
  <si>
    <t>7012315251 </t>
  </si>
  <si>
    <t>32015280-2</t>
  </si>
  <si>
    <t>TMA0158845A</t>
  </si>
  <si>
    <t>0000093056</t>
  </si>
  <si>
    <t>32015280-3</t>
  </si>
  <si>
    <t>TMA0158845B</t>
  </si>
  <si>
    <t>0000093059</t>
  </si>
  <si>
    <t>32014566-1</t>
  </si>
  <si>
    <t>ONEYLOSG01115500</t>
  </si>
  <si>
    <t>Payment by Valency Agro will be done, 90 days after BL date- (HSS DOCS DONE)</t>
  </si>
  <si>
    <t>VALENCY AGRO //HSS//Saffron Home LLP</t>
  </si>
  <si>
    <t>MEDULG628422</t>
  </si>
  <si>
    <t>CAAU7905582</t>
  </si>
  <si>
    <t>TPSCR26010418</t>
  </si>
  <si>
    <t>PAYMENT PENDING-26/5</t>
  </si>
  <si>
    <t xml:space="preserve">NTT - PAYMENT PENDING
</t>
  </si>
  <si>
    <t xml:space="preserve">KIEU LOAN COMPANY LIMITED </t>
  </si>
  <si>
    <t>TEM600018300</t>
  </si>
  <si>
    <t>Cat Lai/ SPCT in HCM City, VIETNAM</t>
  </si>
  <si>
    <t>PIL</t>
  </si>
  <si>
    <t>KOTA SYDNEY</t>
  </si>
  <si>
    <t>0112E</t>
  </si>
  <si>
    <t>TPSCR26010619</t>
  </si>
  <si>
    <t>PAYMENT PENDING-29/5</t>
  </si>
  <si>
    <t>TERRA NUTS GROUP JOINT STOCK COMPANY</t>
  </si>
  <si>
    <t>TMA0159447</t>
  </si>
  <si>
    <t>57 2686 4511</t>
  </si>
  <si>
    <t>PAYMENT PENDING</t>
  </si>
  <si>
    <t xml:space="preserve">VALENCY AGRO //HSS//THE NUT COMPPANY   </t>
  </si>
  <si>
    <t>MAERSK GAIRLOCH</t>
  </si>
  <si>
    <t>613E</t>
  </si>
  <si>
    <t>0000095949</t>
  </si>
  <si>
    <t xml:space="preserve">VALENCY AGRO // HSS // Jaya Cashews
</t>
  </si>
  <si>
    <t>ONEYLOSG01231400</t>
  </si>
  <si>
    <t>TPSCR26010489</t>
  </si>
  <si>
    <t>PAYMENT PENDING-2/6</t>
  </si>
  <si>
    <t>ONEYABJG00392800</t>
  </si>
  <si>
    <t xml:space="preserve">GLEN CANYON </t>
  </si>
  <si>
    <t>002E</t>
  </si>
  <si>
    <t>13 9323 3166</t>
  </si>
  <si>
    <t>LDC&amp;PHYTO PENDING</t>
  </si>
  <si>
    <t>LDC&amp;PHYTO PENDING FROM BURKINA-FUMI COURIERED:1474986240-NEGO DHL PENDING</t>
  </si>
  <si>
    <t>NTT - LDC&amp;PHYTO PENDING FROM BURKINA</t>
  </si>
  <si>
    <t xml:space="preserve">VALENCY AGRO //GST//Himani Cashew   </t>
  </si>
  <si>
    <t>MEDUTM440722</t>
  </si>
  <si>
    <t>TPSCR26010551</t>
  </si>
  <si>
    <t>CERT PENDING</t>
  </si>
  <si>
    <t>NEGO DONE 20/5-DHL RCVD. FUMIGATION RCVD 20/5,  COO&amp;PHYTO PENDING - FUMI COURIERED:1474972601-NEGO DHL RCVD</t>
  </si>
  <si>
    <t>NTT - NEGO DONE 20/5-DHL PENDING. FUMIGATION RCVD 20/5,  COO&amp;PHYTO PENDING - FUMI COURIERED:1474972601</t>
  </si>
  <si>
    <t>NGOC KHANG</t>
  </si>
  <si>
    <t>88%%</t>
  </si>
  <si>
    <t>TMA0159516</t>
  </si>
  <si>
    <t>MAERSK CAMDEN</t>
  </si>
  <si>
    <t>0WWQCE1MA</t>
  </si>
  <si>
    <t xml:space="preserve">RCVD COUNTERSIGNED-269062811
</t>
  </si>
  <si>
    <t>VALENCY AGRO //HSS//Anjali Cashew Traders</t>
  </si>
  <si>
    <t>KOLKATA, INDIA</t>
  </si>
  <si>
    <t>ETA 30/5 ; MEARSK CUANAZA</t>
  </si>
  <si>
    <t xml:space="preserve"> 269636234 
</t>
  </si>
  <si>
    <t>32014540-2</t>
  </si>
  <si>
    <t xml:space="preserve">SHREE KRISHNAPRASAD CASHEWS </t>
  </si>
  <si>
    <t xml:space="preserve">RCVD COUNTERSIGNED-269062694
</t>
  </si>
  <si>
    <t xml:space="preserve">VALENCY AGRO //HSS//Jaheer Cashew </t>
  </si>
  <si>
    <t xml:space="preserve">RCVD COUNTERSIGNED-269062523
</t>
  </si>
  <si>
    <t xml:space="preserve">VALENCY AGRO //HSS//Moonstar Cashew </t>
  </si>
  <si>
    <t>TPSCR26010606</t>
  </si>
  <si>
    <t>PENDING ORIGINAL CERTS</t>
  </si>
  <si>
    <t>FINAL CERTS APPROVED 25/5- NEGO DHL RCVD</t>
  </si>
  <si>
    <t>NEGO DONE 20/5-DHL RCVD. FINAL AMENDED CERTS PENDING</t>
  </si>
  <si>
    <t>APRIL-MAY</t>
  </si>
  <si>
    <t>ONEYTEMG00400600</t>
  </si>
  <si>
    <t>RENA P 014E</t>
  </si>
  <si>
    <t>TBA4511</t>
  </si>
  <si>
    <t xml:space="preserve">Payment by Valency Agro will be done, 90 days after BL date- </t>
  </si>
  <si>
    <t>32014566-2</t>
  </si>
  <si>
    <t>MEDULG631418</t>
  </si>
  <si>
    <t>UETU6078672</t>
  </si>
  <si>
    <t>ICICI</t>
  </si>
  <si>
    <t>TPSCR26010611</t>
  </si>
  <si>
    <t>NEGO DHL PENDING</t>
  </si>
  <si>
    <t>32015968-1</t>
  </si>
  <si>
    <t>MEDUEY230918</t>
  </si>
  <si>
    <t>22143667 </t>
  </si>
  <si>
    <t xml:space="preserve">RCVD COUNTERSIGNED-269062760
</t>
  </si>
  <si>
    <t xml:space="preserve">VALENCY AGRO //HSS//Sahena Cashew </t>
  </si>
  <si>
    <t>TPSCR26010612</t>
  </si>
  <si>
    <t>32015968-2</t>
  </si>
  <si>
    <t>MEDUEY230876</t>
  </si>
  <si>
    <t>22143670 </t>
  </si>
  <si>
    <t xml:space="preserve">RCVD COUNTERSIGNED-269062882
</t>
  </si>
  <si>
    <t xml:space="preserve">VALENCY AGRO //HSS//Samridhi Cashew </t>
  </si>
  <si>
    <t>GUINEA CONAKRY-BOKE</t>
  </si>
  <si>
    <t>SAILED- SOB: 08/5</t>
  </si>
  <si>
    <t>OBL PENDING FROM FOB SUPPLIER, FINAL CERT PENDING</t>
  </si>
  <si>
    <t>NTT - NEED TO TAKE ADDENDUM, LDS IS DELAYED
OBL PENDING FROM FOB SUPPLIER, FINAL CERT PENDING (ALKEMAL)</t>
  </si>
  <si>
    <t>32015124-1</t>
  </si>
  <si>
    <t>VALENCY AGRO //HSS//Ashik Traders</t>
  </si>
  <si>
    <t>MEDUCN099865</t>
  </si>
  <si>
    <t>Guinea Conakry</t>
  </si>
  <si>
    <t>ALKEMAL SINGAPORE PTE LTD</t>
  </si>
  <si>
    <t>SAILED - SOB: 24/5</t>
  </si>
  <si>
    <t>DRAFT BL APPROVED 14/5- CERT PENDING(ETD:24/5)</t>
  </si>
  <si>
    <t>32015124-2</t>
  </si>
  <si>
    <t>MEDUCN101273</t>
  </si>
  <si>
    <t>PENDING OBL-OBL EXPECTED 25/5</t>
  </si>
  <si>
    <t>VALENCY AGRO //HSS//Balaji Cashew</t>
  </si>
  <si>
    <t>MEDULG637951</t>
  </si>
  <si>
    <t xml:space="preserve">MSC DESIREE - </t>
  </si>
  <si>
    <t>FN616R</t>
  </si>
  <si>
    <t>ETD: 22/5 : MSC ANTONIA - CONFIRMATION AWAITED</t>
  </si>
  <si>
    <t>SOB EXPECTED 17/5-PENDING OBL &amp; CERTS</t>
  </si>
  <si>
    <t>TBA 11</t>
  </si>
  <si>
    <t>VALENCY AGRO UNSOLD</t>
  </si>
  <si>
    <t>APRIL</t>
  </si>
  <si>
    <t>MEDULG632572</t>
  </si>
  <si>
    <t>MSNU9679377</t>
  </si>
  <si>
    <t>TPSCR26010613</t>
  </si>
  <si>
    <t>32015968-3</t>
  </si>
  <si>
    <t>MEDUEY230793</t>
  </si>
  <si>
    <t>22143672 </t>
  </si>
  <si>
    <t>PAYMENT RECVD ON 17.04.2026</t>
  </si>
  <si>
    <t>VALENCY AGRO //HSS//JR TRADERS , TN</t>
  </si>
  <si>
    <t>Feb - 26</t>
  </si>
  <si>
    <t>MAERSK IYO</t>
  </si>
  <si>
    <t>608E</t>
  </si>
  <si>
    <t>DONE</t>
  </si>
  <si>
    <t>SOB EXPECTED 17/5-PENDING OBL &amp; CERTS-NEED TO ISSE CONTRACT TO FACTORY @1483</t>
  </si>
  <si>
    <t>MEDULG638603</t>
  </si>
  <si>
    <t>PAYMENT RECVD ON 24.03.2026</t>
  </si>
  <si>
    <t>MEDUTM427521</t>
  </si>
  <si>
    <t>MSNU7302698 
Colombo, LK- 27/03</t>
  </si>
  <si>
    <t>MSC LEANNE</t>
  </si>
  <si>
    <t>FY608R</t>
  </si>
  <si>
    <t>0000090249</t>
  </si>
  <si>
    <t>MEDULG628042</t>
  </si>
  <si>
    <t>PAYMENT PENDING, NEET INTIMATE BUYER</t>
  </si>
  <si>
    <t>32013750-3</t>
  </si>
  <si>
    <t>MSMU5438022
Colombo, LK 22-05</t>
  </si>
  <si>
    <t>HABIB</t>
  </si>
  <si>
    <t>MEDULG629693</t>
  </si>
  <si>
    <t>Colombo, LK- 08-06 ,MSNU9273557</t>
  </si>
  <si>
    <t>SOB UPDATE DUE</t>
  </si>
  <si>
    <t>32015968-8</t>
  </si>
  <si>
    <t>32015968-10</t>
  </si>
  <si>
    <t>Purchase Docs Pending</t>
  </si>
  <si>
    <t>MEDULG629446</t>
  </si>
  <si>
    <t>MSMU6140393</t>
  </si>
  <si>
    <t>Gated IN, SOB Awaited( ETD 1 WEEK OF JUNE)</t>
  </si>
  <si>
    <t>EBKG16638573-DRAFT BL RCVD 22/5</t>
  </si>
  <si>
    <t>VALENCY AGRO/GST/REHAN CASHEW PROCESSING</t>
  </si>
  <si>
    <t>MEDULO441793</t>
  </si>
  <si>
    <t>SLSU8011276</t>
  </si>
  <si>
    <t>MSC APOLLINE V. FY621R</t>
  </si>
  <si>
    <t>SOB: 16/5-PENDING OBL (UNSOLD)-OBL EXPECTED 25/5</t>
  </si>
  <si>
    <t>NTT -VIETNAM UNSOLD, ETA:18/6</t>
  </si>
  <si>
    <t>TBA 01</t>
  </si>
  <si>
    <t>MEDULG630568</t>
  </si>
  <si>
    <t>TRHU7216691 
Vung tau, VN 11-06</t>
  </si>
  <si>
    <t>Unsold so OBL and Cert are in hold</t>
  </si>
  <si>
    <t>NTT - VIETNAM UNSOLD CARGO ; ETA 17/6</t>
  </si>
  <si>
    <t>OBL RCVD-CERTS PENDING -ALLOCATED HUONG CUY</t>
  </si>
  <si>
    <t>TBA 02</t>
  </si>
  <si>
    <t>MEDULG628505</t>
  </si>
  <si>
    <t>DHL RCVD</t>
  </si>
  <si>
    <t>MEDULG631442</t>
  </si>
  <si>
    <t>22143645 </t>
  </si>
  <si>
    <t>ETD: 24/5 : ATHENS BRIDGE</t>
  </si>
  <si>
    <t>SOB EXPECTED 23/5-DRAFT BL CONFIRMED 13/5</t>
  </si>
  <si>
    <t>NTT -VIETNAM UNSOLD, ETA:26/6</t>
  </si>
  <si>
    <t>TBA 04</t>
  </si>
  <si>
    <t>ONEYLOSG02030900</t>
  </si>
  <si>
    <t>ETD: 24/5 : ATHENS BRIDGE,</t>
  </si>
  <si>
    <t>UNSOLD VIETNAM-LOSG02033500-WAKMAN 250MTS FOB-DRAFT BL CONFIRMED 21/5</t>
  </si>
  <si>
    <t>TBA 05</t>
  </si>
  <si>
    <t>ONEYLOSG02033500</t>
  </si>
  <si>
    <t>UNSOLD -DRAFT BL is on hold due to unsold cargo</t>
  </si>
  <si>
    <t>NTT - UNSOLD CARGO ETA:10/7</t>
  </si>
  <si>
    <t>TBA 06</t>
  </si>
  <si>
    <t>TMA0159717B</t>
  </si>
  <si>
    <t>TEOMAN A</t>
  </si>
  <si>
    <t>TBA 07</t>
  </si>
  <si>
    <t>TMA0159717A</t>
  </si>
  <si>
    <t xml:space="preserve">100MT cargo of Alkemal Supplier ( not responding properly)
100MT cargo yet to buy </t>
  </si>
  <si>
    <t>RCVD COUNTER SIGNED &amp; RCVD ADVANCE 22/4( 100MT SI SENT TO ALKEMAL &amp; 100MT SI PENDING)</t>
  </si>
  <si>
    <t>APRIL- 15TH MAY</t>
  </si>
  <si>
    <t>TPSCR26010653</t>
  </si>
  <si>
    <t>DRAFT MBL RCVD-DRAFT HBL CONFIRMED 21/5</t>
  </si>
  <si>
    <t>DRAFT MBL RCVD-DRAFT HBL SENT TO BUYER 20/5</t>
  </si>
  <si>
    <t xml:space="preserve">KIEU LOAN CO., LTD  </t>
  </si>
  <si>
    <t>Bna Internation / Co broker</t>
  </si>
  <si>
    <t>5 dlr for Bna Internation / 5 dlr for Co broker</t>
  </si>
  <si>
    <t>HLCUAB1260400785</t>
  </si>
  <si>
    <t>HAPAG-LLOYD</t>
  </si>
  <si>
    <t>DRAFT BL SENT TO BUYER-23/5</t>
  </si>
  <si>
    <t>ETD: 08/06 - Vessel-Northen Mejestic</t>
  </si>
  <si>
    <t xml:space="preserve">RCVD COUNTERSIGNED +ADVANCE RCVD 23/4. (DUE DATE: 21 APRIL) </t>
  </si>
  <si>
    <t>ADDENDUM TO TAKE-SHIPMENT WILL DONE IN JUNE</t>
  </si>
  <si>
    <t>ETD:7/6 - 150 mt departure Vessel: MATILDE A,
100MT Updates Pending from LS EXIM</t>
  </si>
  <si>
    <t>ETD:7/6 - 150 mt departure Vessel: MATILDE A</t>
  </si>
  <si>
    <t>QUI NHON, VIETNAM</t>
  </si>
  <si>
    <t>VALENCY AGRO - PROCESSING</t>
  </si>
  <si>
    <t>BISSAU</t>
  </si>
  <si>
    <t>PAYMENT RCVD 24/4</t>
  </si>
  <si>
    <t>MEDUEO002897</t>
  </si>
  <si>
    <t>MSC TIANA F</t>
  </si>
  <si>
    <t xml:space="preserve">V.K TRADING SARL </t>
  </si>
  <si>
    <t>VK Trading</t>
  </si>
  <si>
    <t>0000087635</t>
  </si>
  <si>
    <t>LATEST SOB UPDATE, 2ND WEEK OF JUNE</t>
  </si>
  <si>
    <t>UNSOLD BURKINA TO TUTICORIN-EBKG16677211-STUFFING THIS WEEK</t>
  </si>
  <si>
    <t>UNSOLD BURKINA TO TUTICORIN-EBKG16677211</t>
  </si>
  <si>
    <t>TBA 08</t>
  </si>
  <si>
    <t>ETD: 29/5 ; ATHENS BRIDGE</t>
  </si>
  <si>
    <t>NTT - VIETNAM UNSOLD ETA:</t>
  </si>
  <si>
    <t>UNSOLD BURKINA TO VIETNAM</t>
  </si>
  <si>
    <t>TBA 17</t>
  </si>
  <si>
    <t>ETD: 27/05 -  RIO</t>
  </si>
  <si>
    <t>UNSOLD 100MT TO TUTICORIN-LOSG02185600 -DRAFT BL APPROVED 20/5</t>
  </si>
  <si>
    <t xml:space="preserve">UNSOLD 100MT TO TUTICORIN-LOSG02185600 -DRAFT BL APPROVED 20/5
</t>
  </si>
  <si>
    <t>TBA 13</t>
  </si>
  <si>
    <t>ONEYLOSG02180800</t>
  </si>
  <si>
    <t>TBA 14</t>
  </si>
  <si>
    <t>ONEYLOSG02181900</t>
  </si>
  <si>
    <t>TBA 15</t>
  </si>
  <si>
    <t>ONEYLOSG02185600</t>
  </si>
  <si>
    <t>ADVANCE RCVD 28/05</t>
  </si>
  <si>
    <t>COMPANY LIMITED LIABILITY DIEU DAI THANH</t>
  </si>
  <si>
    <t>10/88/2</t>
  </si>
  <si>
    <t>TUONG DUY INTERNATIONAL TRADING CO., LTD</t>
  </si>
  <si>
    <t>UPDATES PENDING FROM ORIGIN</t>
  </si>
  <si>
    <t>MAY-15TH JUNE</t>
  </si>
  <si>
    <t>ADVANCE RCVD 18/5</t>
  </si>
  <si>
    <t>SI PENDING</t>
  </si>
  <si>
    <t>CAT LAI PORT, HCMC, VIETNAM</t>
  </si>
  <si>
    <t>Update Awaited from Origin</t>
  </si>
  <si>
    <t>ADVANCE RCVD 22/5</t>
  </si>
  <si>
    <t>100MT International Agro Supplier, WE CAN SELL IT AGAINST 51 KOR</t>
  </si>
  <si>
    <t>NTT - VIETNAM UNSOLD CARGO ; ETA 24/6</t>
  </si>
  <si>
    <t>LONG POSITION</t>
  </si>
  <si>
    <t>NTT-KOR IS 51</t>
  </si>
  <si>
    <t>MEDUCN100499</t>
  </si>
  <si>
    <t>MSMU7668209</t>
  </si>
  <si>
    <t>MSC LIPISA</t>
  </si>
  <si>
    <t>INTERNATIONAL AGRO-INDUSTRIES</t>
  </si>
  <si>
    <t>MAY/JUNE 2026</t>
  </si>
  <si>
    <t>THI VAI- CAI MEP PORT, BA RIA VUNG TAU</t>
  </si>
  <si>
    <t>NIGERIA(OGB)/SAKI</t>
  </si>
  <si>
    <t>MEDULG628380</t>
  </si>
  <si>
    <t>Vizhinjam international  15-06  MSDU8133870</t>
  </si>
  <si>
    <t>MEDULG628398</t>
  </si>
  <si>
    <t>Vizhinjam international  27-5 ,MSDU6734233</t>
  </si>
  <si>
    <t>MEDULG628372</t>
  </si>
  <si>
    <t xml:space="preserve"> CAAU8331180</t>
  </si>
  <si>
    <t>TPSCR26010610</t>
  </si>
  <si>
    <t>32015968-4</t>
  </si>
  <si>
    <t>268599953</t>
  </si>
  <si>
    <t>22143638 </t>
  </si>
  <si>
    <t>100MT International Agro Supplier</t>
  </si>
  <si>
    <t>NEW SC TO BE ISSUED VIPL TO VAPL</t>
  </si>
  <si>
    <t>VALENCY AGRO //HSS//Shree Electromelts Foods</t>
  </si>
  <si>
    <t>MAY/15TH JUNE</t>
  </si>
  <si>
    <t>ETD:05/06 - MSC KRITHIKA (100 MT GATE IN , 
100 MT Gate in Pending)</t>
  </si>
  <si>
    <t>HOANG SON I JOINT STOCK COMPANY</t>
  </si>
  <si>
    <t>MAY-JUNE</t>
  </si>
  <si>
    <t>DHARA INTERNATIONAL TRADING</t>
  </si>
  <si>
    <t>HOANG SON I JOINT STOCK COMPANY LIMITED</t>
  </si>
  <si>
    <t>100MT Will be allocated from Internation Agro Supplier</t>
  </si>
  <si>
    <t>CONVERTED TO HSS SALE-NEW SC VAPL TO VIPL TO BE ISSUED</t>
  </si>
  <si>
    <t xml:space="preserve">VALENCY AGRO/HSS/MAGOKORO FOODS </t>
  </si>
  <si>
    <t>VITTORIA</t>
  </si>
  <si>
    <t>'0.5%</t>
  </si>
  <si>
    <t>ETD: 22/5 ; MEARSK CAIRO</t>
  </si>
  <si>
    <t>NTT - AGRO UNSOLD ETA:26/6</t>
  </si>
  <si>
    <t>TBA 16</t>
  </si>
  <si>
    <t>MAERSK CAIRO</t>
  </si>
  <si>
    <t>ETD: 30/05 ( 200MT) -
200MT UNDER PROCESS - supplier DHARA INTERNATIONAL</t>
  </si>
  <si>
    <t xml:space="preserve">ADVANCE RCVD 26/05
</t>
  </si>
  <si>
    <t>PENDING ADVANCE</t>
  </si>
  <si>
    <t>ETD:30/05 - VESSEL: ORAM iii</t>
  </si>
  <si>
    <t>STUFF KOR: 50.4</t>
  </si>
  <si>
    <t>2 BL,S WILL BE COMBINED</t>
  </si>
  <si>
    <t>BACH HY ONE MEMBER COMPANY LTD</t>
  </si>
  <si>
    <t>MS. TUYET</t>
  </si>
  <si>
    <t>MEDUCN102743</t>
  </si>
  <si>
    <t>RDR ENTERPRISES &amp; ELANGO CASHEWS</t>
  </si>
  <si>
    <t>MANUAL CONTRACT ISSUED-KYC PENDING, ADV RCVD 26/05</t>
  </si>
  <si>
    <t>MANUAL CONTRACT ISSUED-KYC PENDING</t>
  </si>
  <si>
    <t>RCN/2026/1003</t>
  </si>
  <si>
    <t>INTERSNACK CASHEW COMPANY PTE LTD</t>
  </si>
  <si>
    <t>BY 15TH JULY</t>
  </si>
  <si>
    <t>Mr. ANANT</t>
  </si>
  <si>
    <t>SPI-TC, TERMINAL, HCMC, VIETNAM</t>
  </si>
  <si>
    <t>PHUOC THINH TRADING</t>
  </si>
  <si>
    <t>JUNE/15TH JULY 2026</t>
  </si>
  <si>
    <t>JUNE/JULY 2026</t>
  </si>
  <si>
    <t>THUAN THIEN AGENCY</t>
  </si>
  <si>
    <t>JUNE-JULY</t>
  </si>
  <si>
    <t>MR.RAO</t>
  </si>
  <si>
    <t>ST.MARY CASHEW FACTORY</t>
  </si>
  <si>
    <t>SIGNED CONTRACT RECVD</t>
  </si>
  <si>
    <t>PENDING ADVANCE (19/5)</t>
  </si>
  <si>
    <t>SHREE KRISHNAANUGRAHA AGRO PRIVATE LIMITED</t>
  </si>
  <si>
    <t>PENDING ADVANCE (18/5)</t>
  </si>
  <si>
    <t>ADVC RCVD 21/5</t>
  </si>
  <si>
    <t>SIDDHI VINAYAKA CASHEW INDUSTRIES</t>
  </si>
  <si>
    <t>SRI NIVAS INDUSTRIES</t>
  </si>
  <si>
    <t>Rugharam Sharma</t>
  </si>
  <si>
    <t>ADVANCE RCVD 18/5-KYC IN PROCESS</t>
  </si>
  <si>
    <t>RCN/2026/1002</t>
  </si>
  <si>
    <t>Xuan Teo Co</t>
  </si>
  <si>
    <t>MAY/JUNE/JULY 2026</t>
  </si>
  <si>
    <t>ADVC RCVD 20/5-KYC IN PROCESS</t>
  </si>
  <si>
    <t>RCN/2026/1001</t>
  </si>
  <si>
    <t xml:space="preserve">Xuan Teo Co </t>
  </si>
  <si>
    <t>PENDING ADVANCE(20/5)-SWIFT RCVD 23/5</t>
  </si>
  <si>
    <t>KAMAKSHI EXPORTS</t>
  </si>
  <si>
    <t>10% ADV AND 90% CAD</t>
  </si>
  <si>
    <t>DRAFT BL RCVD 26/5 SENT TO INDIA TEAM</t>
  </si>
  <si>
    <t>32015969-4</t>
  </si>
  <si>
    <t>DRAFT BL RCVD 21/5 SENT TO INDIA TEAM</t>
  </si>
  <si>
    <t>32015969-1</t>
  </si>
  <si>
    <t>32015969-2</t>
  </si>
  <si>
    <t>NGOC KHANG COMPANY</t>
  </si>
  <si>
    <t>RADIANT WORLD</t>
  </si>
  <si>
    <t>CAT LAI, VIETNAM</t>
  </si>
  <si>
    <t>ADV RCVD 26/05</t>
  </si>
  <si>
    <t>Cat Lai/ SPCT in HCM City</t>
  </si>
  <si>
    <t>32015969-3</t>
  </si>
  <si>
    <t>32015969-5</t>
  </si>
  <si>
    <t>32015969-6</t>
  </si>
  <si>
    <t>DRAFT BL APPROVED 23/5</t>
  </si>
  <si>
    <t>32015968-5</t>
  </si>
  <si>
    <t>32015968-6</t>
  </si>
  <si>
    <t>32015968-7</t>
  </si>
  <si>
    <t>32015968-9</t>
  </si>
  <si>
    <t xml:space="preserve">ADVANCE RCVD 26/2-267514904
</t>
  </si>
  <si>
    <t xml:space="preserve">Maa Tarini Traders and Processing </t>
  </si>
  <si>
    <t>BL CHANGED TO VALENCY AGRO AS UNSOLD-DRAFT BL RCVD 25/5</t>
  </si>
  <si>
    <t>NTT - BL CHANGED TO VALENCY AGRO AS UNSOLD-DRAFT BL RCVD 25/5</t>
  </si>
  <si>
    <t>Mr. Anzar Kollam</t>
  </si>
  <si>
    <t>DRAFT BL APPROVED 22/5</t>
  </si>
  <si>
    <t>32014540-1</t>
  </si>
  <si>
    <t>PENDING TO SHARE WITH BUYER-ONCE WE GET THE ADVANCE FOR PREVIOUS CONTRACT</t>
  </si>
  <si>
    <t>KYC IN PROCESS</t>
  </si>
  <si>
    <t>Hoang Cuong</t>
  </si>
  <si>
    <t>PENDING COUNTERSIGNED + ADVANCE(30/5)</t>
  </si>
  <si>
    <t xml:space="preserve">KHAI HUNG COMPANY LIMITED </t>
  </si>
  <si>
    <t>JUNE</t>
  </si>
  <si>
    <t>RCVD COUNTERSIGNED + ADVANCE PENDING(30/5)</t>
  </si>
  <si>
    <t>INTIMEX GROUP JOINT STOCK COMPANY</t>
  </si>
  <si>
    <t>ADV RCVD 26/5</t>
  </si>
  <si>
    <t xml:space="preserve">THAO NGUYEN COMPANY LIMITED </t>
  </si>
  <si>
    <t>AS PER TUYET CONTRACT CANCELLED</t>
  </si>
  <si>
    <t>HOANG KIM CASHEW ONE MEMBER COMPANY LIMITED</t>
  </si>
  <si>
    <t xml:space="preserve"> Mr Hualap</t>
  </si>
  <si>
    <t>SENEGAL</t>
  </si>
  <si>
    <t>NEW SC TO BE ISSUED-VIPL TO VAPL</t>
  </si>
  <si>
    <t>VALENCY AGRO //HSS//The Nut company</t>
  </si>
  <si>
    <t>MR. George</t>
  </si>
  <si>
    <t>JUNE-15th JULY</t>
  </si>
  <si>
    <t>Trade Status</t>
  </si>
  <si>
    <t>Contract</t>
  </si>
  <si>
    <t>BUYER NAME</t>
  </si>
  <si>
    <t>BL</t>
  </si>
  <si>
    <t>ETD</t>
  </si>
  <si>
    <t>ORIGIN</t>
  </si>
  <si>
    <t>BL LOCATION</t>
  </si>
  <si>
    <t>CERT LOCATION</t>
  </si>
  <si>
    <t>NEGO STATUS</t>
  </si>
  <si>
    <t>Commodity details</t>
  </si>
  <si>
    <t>Purchase details</t>
  </si>
  <si>
    <t>ADV PAYMENT DETAILS</t>
  </si>
  <si>
    <t>OBL PAYMENT</t>
  </si>
  <si>
    <t>FRIEGHT AND INSURANCE</t>
  </si>
  <si>
    <t>POST LANDING</t>
  </si>
  <si>
    <t>OT</t>
  </si>
  <si>
    <t>Commodity</t>
  </si>
  <si>
    <t xml:space="preserve">SAP Purchase Contract No  </t>
  </si>
  <si>
    <t>Purchase Date</t>
  </si>
  <si>
    <t>Suppl/Purchase - Invoice No.</t>
  </si>
  <si>
    <t>REMARKS</t>
  </si>
  <si>
    <t>Supplier/Purchase party</t>
  </si>
  <si>
    <t>Purchase Qty (MT)</t>
  </si>
  <si>
    <t>Purchase payment Type</t>
  </si>
  <si>
    <t>Purchase Payment Terms</t>
  </si>
  <si>
    <t>Shipment Period</t>
  </si>
  <si>
    <t>SHIPMENT BY</t>
  </si>
  <si>
    <t>Advance %</t>
  </si>
  <si>
    <t>OBL(S)</t>
  </si>
  <si>
    <t>SOB DATE</t>
  </si>
  <si>
    <t xml:space="preserve">DRAFT OBL RECEIVED DATE </t>
  </si>
  <si>
    <t>BL WT</t>
  </si>
  <si>
    <t>BL value before claim</t>
  </si>
  <si>
    <t>BL KOR</t>
  </si>
  <si>
    <t>BL NC</t>
  </si>
  <si>
    <t>BL MOIST</t>
  </si>
  <si>
    <t>Delta KOR</t>
  </si>
  <si>
    <t>Delta NC</t>
  </si>
  <si>
    <t>Delta Moist</t>
  </si>
  <si>
    <t>Quality Claim</t>
  </si>
  <si>
    <t>BL VALUE</t>
  </si>
  <si>
    <t>Post OBL Payment %</t>
  </si>
  <si>
    <t>Payable after SOB</t>
  </si>
  <si>
    <t>Non Performace Qty (Cont QTY - BL QTY - Tolerance QTY)</t>
  </si>
  <si>
    <t>Non Performance Amount</t>
  </si>
  <si>
    <t>Post OBL Payment Amount</t>
  </si>
  <si>
    <t>Post OBL Payment Date</t>
  </si>
  <si>
    <t>DRAFT CERT</t>
  </si>
  <si>
    <t>OBL DHL</t>
  </si>
  <si>
    <t>CERT DHL</t>
  </si>
  <si>
    <t>FRIEGHT PAYMENT STATUS (N/Y)</t>
  </si>
  <si>
    <t>INSURANCE PAYMENT STATUS (N/Y)</t>
  </si>
  <si>
    <t>VINA/ RBS REPORT RECEIVED (N/Y)</t>
  </si>
  <si>
    <t>LANDED MOIST</t>
  </si>
  <si>
    <t>QUALITY CLAIM</t>
  </si>
  <si>
    <t>Post RBS/ VINA Report Payment %</t>
  </si>
  <si>
    <t xml:space="preserve">Post RBS/ VINA Report Payment </t>
  </si>
  <si>
    <t>Post RBS/ VINA Report Payment Dt</t>
  </si>
  <si>
    <t>TT</t>
  </si>
  <si>
    <t>Payment 98% against signed BL copy and 2% after quality report of destination</t>
  </si>
  <si>
    <t>CONTAINER</t>
  </si>
  <si>
    <t>Payment 95% after stuffing and 5% after landed weight &amp; quality</t>
  </si>
  <si>
    <t>FEB 2026/7 MAR 2026</t>
  </si>
  <si>
    <t>Payment 95% after receiving copy documents and 5% after landed weight &amp; quality</t>
  </si>
  <si>
    <t>4900008912 - 1</t>
  </si>
  <si>
    <t>90 % on OBL and 10% on Landed wt and quality</t>
  </si>
  <si>
    <t>INDIA / VIETNAM</t>
  </si>
  <si>
    <t>4900008912 - 2</t>
  </si>
  <si>
    <t>APRIL 2026</t>
  </si>
  <si>
    <t>HCMC</t>
  </si>
  <si>
    <t>98 % on draft BL and balance on Landed weight and quality (Issued addendum for qty changed from 200MT to 500MT)</t>
  </si>
  <si>
    <t>BY 15TH MARCH 2026</t>
  </si>
  <si>
    <t>GUINEA CONAKRY</t>
  </si>
  <si>
    <t>Naveen's Trade</t>
  </si>
  <si>
    <t>98% BY TT ON COPY DOCS, AND BALANCE 2% IS AFTER VESSEL ARRIVAL AT POD</t>
  </si>
  <si>
    <t>180-190</t>
  </si>
  <si>
    <t>Cancelled</t>
  </si>
  <si>
    <t>IMEX CORPORATE SA</t>
  </si>
  <si>
    <t>40% AFTER STUFFING, 58% AGAISNT SCANNED ORIGINAL COPY DOCS AND 2% AFTER QUALITY</t>
  </si>
  <si>
    <t>98% PAYMENT AGAINST SCAN COPY OF OBL, 2% PAYMENT AFTER VINA CONTROL REPORT</t>
  </si>
  <si>
    <t>98% BY TT ON COPY DOCS, AND BALANCE 2% AGAINST LANDED WEIGHT AND LANDED QUALITY</t>
  </si>
  <si>
    <t>INDIA/VIETNAM</t>
  </si>
  <si>
    <t>500 MT secured</t>
  </si>
  <si>
    <t>100% PAYMENT AGAINST OBL COPIES- (IVC PAYMENTS BY CHEQUE)</t>
  </si>
  <si>
    <t>98% PAYMENT AGAINST SCAN COPY OF OBL, 2% PAYMENT AFTER VINA CONTROL REPORT (RCVD COUNTERSIGNED)</t>
  </si>
  <si>
    <t>APRIL-EARLY MAY</t>
  </si>
  <si>
    <t>LOTUS EXIM</t>
  </si>
  <si>
    <t>98% PAYMENT AGAINST SCAN COPY OF OBL, 2% PAYMENT AFTER VINA CONTROL REPORT (MANUAL CONTRACT ISSUED AND RCVD COUNTER SIGNED) KYC IN PROCESS</t>
  </si>
  <si>
    <t>PROMPT SHIPMENT</t>
  </si>
  <si>
    <t>TBA(KYC PENDING)-MANULA SENT</t>
  </si>
  <si>
    <t>400 MT secured</t>
  </si>
  <si>
    <t>100% PAYMENT AGAINST OBL COPY</t>
  </si>
  <si>
    <t>TBA-1001(KYC PENDING)-MANULA SENT</t>
  </si>
  <si>
    <t xml:space="preserve">50MT SECURED </t>
  </si>
  <si>
    <t>ELANGO CASHEWS</t>
  </si>
  <si>
    <t>50% payment against stuffed and sealed containers
And remaining 50% against the draft BL</t>
  </si>
  <si>
    <t>TBA-1002(KYC PENDING)-MANULA SENT</t>
  </si>
  <si>
    <t xml:space="preserve">100MT SECURED </t>
  </si>
  <si>
    <t>RDR ENTERPRISES</t>
  </si>
  <si>
    <t>TBA-1003(KYC PENDING)-MANULA SENT</t>
  </si>
  <si>
    <t>UNDER PROCESS( 27 MT SECURED SO FAR)</t>
  </si>
  <si>
    <t>EASTERN TRADE NETWORK</t>
  </si>
  <si>
    <t xml:space="preserve">50% PAYMENT AGAINST STUFFED AND SEALED CONTAINERS AND REMAINING 50% AGAINST THE OBL </t>
  </si>
  <si>
    <t>SOCOBIS SOCIEDADE COMERCIAL</t>
  </si>
  <si>
    <t xml:space="preserve">60% PAYMENT AGAINST CARGO INSPECTION AND 40% AGAINST OBL COPY. </t>
  </si>
  <si>
    <t>JUNE/JULY</t>
  </si>
  <si>
    <t>GUINEA BISSAU</t>
  </si>
  <si>
    <t>CANCELLED</t>
  </si>
  <si>
    <t>HORIZON SUD BUSINESS SARL</t>
  </si>
  <si>
    <t xml:space="preserve">Payment 50% against stuffing 
50% against singed BL copy </t>
  </si>
  <si>
    <t>ANY INDIA PORT</t>
  </si>
  <si>
    <t>Product</t>
  </si>
  <si>
    <t>STATUS</t>
  </si>
  <si>
    <t>Contracts</t>
  </si>
  <si>
    <t>Supplier Name</t>
  </si>
  <si>
    <t>Price</t>
  </si>
  <si>
    <t>Invoice  Amt</t>
  </si>
  <si>
    <t>Adv payable</t>
  </si>
  <si>
    <t>Adv Paid</t>
  </si>
  <si>
    <t>Bal Payable</t>
  </si>
  <si>
    <t>Frt Amt</t>
  </si>
  <si>
    <t>Frt Paid</t>
  </si>
  <si>
    <t>Origin</t>
  </si>
  <si>
    <t>Buyer name</t>
  </si>
  <si>
    <t>Sales Price</t>
  </si>
  <si>
    <t>Pod</t>
  </si>
  <si>
    <t>PAYMENT TERM</t>
  </si>
  <si>
    <t>Terms</t>
  </si>
  <si>
    <t>Advance</t>
  </si>
  <si>
    <t>BL Qty</t>
  </si>
  <si>
    <t>SOB</t>
  </si>
  <si>
    <t>Inv Amt</t>
  </si>
  <si>
    <t>Bal Recd</t>
  </si>
  <si>
    <t>Bal Receivable</t>
  </si>
  <si>
    <t>MIS REMARK</t>
  </si>
  <si>
    <t>BL DHL</t>
  </si>
  <si>
    <t>Nego Exp</t>
  </si>
  <si>
    <t xml:space="preserve">Invoice No. </t>
  </si>
  <si>
    <t>SO No.</t>
  </si>
  <si>
    <t>Nego TAT</t>
  </si>
  <si>
    <t>Treasury Remark</t>
  </si>
  <si>
    <t>NIGERIA ISSUES/REMARKS</t>
  </si>
  <si>
    <t>Central Desk Status</t>
  </si>
  <si>
    <t>Contract No</t>
  </si>
  <si>
    <t>Origin Issue</t>
  </si>
  <si>
    <t>Post Call Remark</t>
  </si>
  <si>
    <t>21/5</t>
  </si>
  <si>
    <t>IVC ISSUES/REMARKS</t>
  </si>
  <si>
    <t>GHANA ISSUES/REMARKS</t>
  </si>
  <si>
    <t>Cert will be corrried today 18/5</t>
  </si>
  <si>
    <t>Draft Approval pending</t>
  </si>
  <si>
    <t>Cert Draft confirmation pending, Purchase Docs Pending</t>
  </si>
  <si>
    <t xml:space="preserve">Cert Issue, </t>
  </si>
  <si>
    <t xml:space="preserve">Cert confirmation pending, </t>
  </si>
  <si>
    <t xml:space="preserve">SOB on 20/5, Draft </t>
  </si>
  <si>
    <t>Stuffing starts on 23/5, ETD 31/5</t>
  </si>
  <si>
    <t>/</t>
  </si>
  <si>
    <t>QUALITY AT POD</t>
  </si>
  <si>
    <t>TRADE STATUS</t>
  </si>
  <si>
    <t>KOR</t>
  </si>
  <si>
    <t>Origin Updates</t>
  </si>
  <si>
    <t>SOB Dt / DOS</t>
  </si>
  <si>
    <t>Stuffed Net Wt.</t>
  </si>
  <si>
    <t>BL Net Wt.</t>
  </si>
  <si>
    <t>ETD POL</t>
  </si>
  <si>
    <t>QUALITY REPORTS RCVD Date</t>
  </si>
  <si>
    <t>LOADED QTY</t>
  </si>
  <si>
    <t>MOIST</t>
  </si>
  <si>
    <t>VALENCY AGRO // HSS  // BISMILLAH AGRI</t>
  </si>
  <si>
    <t>TANZANIA</t>
  </si>
  <si>
    <t>SI GIVEN ( RV BREAK BULK)</t>
  </si>
  <si>
    <t>DEC 25/ 15 TH JAN 26</t>
  </si>
  <si>
    <t>CANCELLED BECAUSE BUYER WANTS TO CHANGE THE PARTY ADDRESS</t>
  </si>
  <si>
    <t>NEED TO ISSUE NEW CONTRACT IN INDIA ENTERPROSES NAME-KYC DONE</t>
  </si>
  <si>
    <t>STALLION COMMODITIES (INDIA ENTERPRISES)</t>
  </si>
  <si>
    <t>CONTRACT CANCELLED-ALLOCATED TO VALENCY AGRO</t>
  </si>
  <si>
    <t>AFRI VENTURES (INDIA)PVT LTD</t>
  </si>
  <si>
    <t>MAERSK</t>
  </si>
  <si>
    <t>CANCELLED BY TRADER PRASHANT</t>
  </si>
  <si>
    <t>CONTRACT CANCELLATION EMAIL SENT BY PRASHANT 13TH APRIL</t>
  </si>
  <si>
    <t>Radiant World</t>
  </si>
  <si>
    <t>UNSOLD GHANA VIETNAM</t>
  </si>
  <si>
    <t>VALECNY VIETNAM UNSOLD</t>
  </si>
  <si>
    <t>KYC PENDING FROM BUYER-TRADE CANCELLED</t>
  </si>
  <si>
    <t>KYC PENDING FROM BUYER-TRADE CANCELLED-NEED TO TALK TRADER</t>
  </si>
  <si>
    <t>HOANG CUONG BP TRADING COMPANY LIMITED</t>
  </si>
  <si>
    <t>NS CASHEW COMPANY</t>
  </si>
  <si>
    <t>GENERAL DETAILS</t>
  </si>
  <si>
    <t>LOGISTICS</t>
  </si>
  <si>
    <t>DOCUMENTAION</t>
  </si>
  <si>
    <t>CERTIFICATES</t>
  </si>
  <si>
    <t>CYCLE TIME</t>
  </si>
  <si>
    <t>RISK METER</t>
  </si>
  <si>
    <t>PCH REMARK</t>
  </si>
  <si>
    <t>HBL STATUS</t>
  </si>
  <si>
    <t>CERT STATUS</t>
  </si>
  <si>
    <t>Nut count</t>
  </si>
  <si>
    <t xml:space="preserve"> Contract Qty.</t>
  </si>
  <si>
    <t xml:space="preserve">LDS </t>
  </si>
  <si>
    <t>LDS AS PER CONTRACT</t>
  </si>
  <si>
    <t>Supp Name</t>
  </si>
  <si>
    <t xml:space="preserve">Client Name </t>
  </si>
  <si>
    <t>Shipment Type</t>
  </si>
  <si>
    <t xml:space="preserve">Booking  Number </t>
  </si>
  <si>
    <t xml:space="preserve">BL Number </t>
  </si>
  <si>
    <t xml:space="preserve">HBL Number </t>
  </si>
  <si>
    <t>DESTINATION COUNTRY</t>
  </si>
  <si>
    <t>Vessel Name</t>
  </si>
  <si>
    <t>Placement Date</t>
  </si>
  <si>
    <t xml:space="preserve">Stuff strt </t>
  </si>
  <si>
    <t>Stuff End</t>
  </si>
  <si>
    <t>Gate in</t>
  </si>
  <si>
    <t>Eta Dest</t>
  </si>
  <si>
    <t>Actual ETA</t>
  </si>
  <si>
    <t>Vsl ETD</t>
  </si>
  <si>
    <t xml:space="preserve">Dt Sail </t>
  </si>
  <si>
    <t>Qty Planned</t>
  </si>
  <si>
    <t>Net wt.</t>
  </si>
  <si>
    <t>W/H</t>
  </si>
  <si>
    <t>CONTS COUNT</t>
  </si>
  <si>
    <t xml:space="preserve">BOOKING AGENT </t>
  </si>
  <si>
    <t>FORWARDER</t>
  </si>
  <si>
    <t>SHIPPING LINE</t>
  </si>
  <si>
    <t>CONTR TYPE</t>
  </si>
  <si>
    <t>Tol (+/-)</t>
  </si>
  <si>
    <t>BL Size</t>
  </si>
  <si>
    <t>Max Qty to Ship</t>
  </si>
  <si>
    <t>Diff Qty</t>
  </si>
  <si>
    <t>Type Of BL</t>
  </si>
  <si>
    <t>Final Draft Buyer DT</t>
  </si>
  <si>
    <t>Draft Confirmation DT Origin</t>
  </si>
  <si>
    <t>BL Coll Dt</t>
  </si>
  <si>
    <t xml:space="preserve">DHL Cour Date </t>
  </si>
  <si>
    <t xml:space="preserve">DHL Num Cert </t>
  </si>
  <si>
    <t xml:space="preserve"> Courrier Adress OBL</t>
  </si>
  <si>
    <t xml:space="preserve">DHL OBL Date </t>
  </si>
  <si>
    <t>DHL Num OBL</t>
  </si>
  <si>
    <t>Phyto</t>
  </si>
  <si>
    <t>Fum</t>
  </si>
  <si>
    <t>COO</t>
  </si>
  <si>
    <t xml:space="preserve"> Courrier Adress Cert</t>
  </si>
  <si>
    <t>Cert Courrier Date</t>
  </si>
  <si>
    <t>Cert DHL No</t>
  </si>
  <si>
    <t>Booking Party Name</t>
  </si>
  <si>
    <t>Invoice Num</t>
  </si>
  <si>
    <t>Dt rcvd Invoice</t>
  </si>
  <si>
    <t>Amount</t>
  </si>
  <si>
    <t>status paid/unpaid</t>
  </si>
  <si>
    <t>Dt. paid</t>
  </si>
  <si>
    <t>Transiter Name</t>
  </si>
  <si>
    <t>Sales invoice Date</t>
  </si>
  <si>
    <t>Sales invoice Num</t>
  </si>
  <si>
    <t xml:space="preserve">Bank Name </t>
  </si>
  <si>
    <t>BL surrender Date</t>
  </si>
  <si>
    <t>CFR PRICE</t>
  </si>
  <si>
    <t>FNE Invoice No.</t>
  </si>
  <si>
    <t>FNE Invoice Date.</t>
  </si>
  <si>
    <t xml:space="preserve">N° CCA </t>
  </si>
  <si>
    <t>CCA Docs Date</t>
  </si>
  <si>
    <t>N° ACE</t>
  </si>
  <si>
    <t>ACE Docs Date</t>
  </si>
  <si>
    <t xml:space="preserve">BANQUE </t>
  </si>
  <si>
    <t xml:space="preserve">CCA N° CHEQUE </t>
  </si>
  <si>
    <t>BMC Completetion</t>
  </si>
  <si>
    <t xml:space="preserve">D6 Date </t>
  </si>
  <si>
    <t>D6</t>
  </si>
  <si>
    <t>EC Num</t>
  </si>
  <si>
    <t>Liner submission date</t>
  </si>
  <si>
    <t>Final Dox</t>
  </si>
  <si>
    <t>Quality Inspector</t>
  </si>
  <si>
    <t>Stuffed Moist</t>
  </si>
  <si>
    <t>Cntr Placement Vs Stuffing start</t>
  </si>
  <si>
    <t>Stuffing time ( Start Vs End)</t>
  </si>
  <si>
    <t>Stuffing vs Gate in</t>
  </si>
  <si>
    <t>Stuffing vs sailing</t>
  </si>
  <si>
    <t>SOB Vs HBL Surrender</t>
  </si>
  <si>
    <t>BL Coll vs SOB</t>
  </si>
  <si>
    <t xml:space="preserve">BL Coll vs courier </t>
  </si>
  <si>
    <t>LDS &gt; SOB</t>
  </si>
  <si>
    <t>Quality Risk</t>
  </si>
  <si>
    <t xml:space="preserve">Set of certificates couried </t>
  </si>
  <si>
    <t>VIETNAM - SALES</t>
  </si>
  <si>
    <t>Ongoing Draft BL amendments/approval/Vessel delayed further ETA 30th May</t>
  </si>
  <si>
    <t>INDIA FACTORY - KARNATAKA</t>
  </si>
  <si>
    <t>INDIA FACTORY -GUJARAT</t>
  </si>
  <si>
    <t>INDIA - SALES</t>
  </si>
  <si>
    <t>MAERSK CABO VERDE/Vessel ETD 14th June/declared and waiting for gate opening</t>
  </si>
  <si>
    <t>Waiting for Original certificates/Detention charges to settle</t>
  </si>
  <si>
    <t>Documens couriered</t>
  </si>
  <si>
    <t>certificates under correction</t>
  </si>
  <si>
    <t>VIETNAM - LONG POSITION</t>
  </si>
  <si>
    <t>Stuffed-Declared</t>
  </si>
  <si>
    <t>container placement for stuffing on progress</t>
  </si>
  <si>
    <t>On hold - Reason - No Availability of KOR Quality</t>
  </si>
  <si>
    <t>G. SAILED, OBL AWAITED</t>
  </si>
  <si>
    <t>CLOSED POSITION</t>
  </si>
  <si>
    <t>HBL RECEIVED, SURRENDER IS DUE</t>
  </si>
  <si>
    <t/>
  </si>
  <si>
    <t>May - 26</t>
  </si>
  <si>
    <t>VALENCY CI</t>
  </si>
  <si>
    <t>VIET PHI AGRICULTURE</t>
  </si>
  <si>
    <t>TPSCR26010672</t>
  </si>
  <si>
    <t>ABJ</t>
  </si>
  <si>
    <t>Ex-Olam</t>
  </si>
  <si>
    <t xml:space="preserve">GRAVIR LOGISTIQUE SARL </t>
  </si>
  <si>
    <t xml:space="preserve">MANTRA IVOIRE </t>
  </si>
  <si>
    <t>Hapag</t>
  </si>
  <si>
    <t>40FT</t>
  </si>
  <si>
    <t>(01x250MTS)</t>
  </si>
  <si>
    <t>IVC-RCN2026-CI0016</t>
  </si>
  <si>
    <t>BOA/KTD</t>
  </si>
  <si>
    <t>182610-15083</t>
  </si>
  <si>
    <t>E14589</t>
  </si>
  <si>
    <t>Sugmaran</t>
  </si>
  <si>
    <t>TPSCR26010673</t>
  </si>
  <si>
    <t>IVC-RCN2026-CI0013</t>
  </si>
  <si>
    <t>E. STUFFED, GATE IN AWAITED</t>
  </si>
  <si>
    <t>May/June - 26</t>
  </si>
  <si>
    <t>NAVIOS NERINE</t>
  </si>
  <si>
    <t>VALENCY INTERNATIONAL CI</t>
  </si>
  <si>
    <t>AFIC</t>
  </si>
  <si>
    <t>OOCL</t>
  </si>
  <si>
    <t>182610-15262</t>
  </si>
  <si>
    <t>2026-0552</t>
  </si>
  <si>
    <t>E16060</t>
  </si>
  <si>
    <t>Addendums - With counterparty sign remark</t>
  </si>
  <si>
    <t xml:space="preserve">YEAR 2022-23 </t>
  </si>
  <si>
    <t>Overall Figures - Originwise</t>
  </si>
  <si>
    <t>TOTAL Qty</t>
  </si>
  <si>
    <t>Nigeria</t>
  </si>
  <si>
    <t>Ghana</t>
  </si>
  <si>
    <t>Burkina Faso</t>
  </si>
  <si>
    <t>Bissau</t>
  </si>
  <si>
    <t>Benin</t>
  </si>
  <si>
    <t>Togo</t>
  </si>
  <si>
    <t>SO Raised (Min. Qty)</t>
  </si>
  <si>
    <t>Sailed</t>
  </si>
  <si>
    <t>Stuffed</t>
  </si>
  <si>
    <t>Balance</t>
  </si>
  <si>
    <t>Sailed Qty - Buyerwise</t>
  </si>
  <si>
    <t>Total Qty.</t>
  </si>
  <si>
    <t>Contract Qty</t>
  </si>
  <si>
    <t>Min. Contrt Qty</t>
  </si>
  <si>
    <t>Sailed Qty</t>
  </si>
  <si>
    <t>Balance - Sail</t>
  </si>
  <si>
    <t>SOP REF</t>
  </si>
  <si>
    <t>BUYER</t>
  </si>
  <si>
    <t>QTY</t>
  </si>
  <si>
    <t>PRICE</t>
  </si>
  <si>
    <t>WAR CLASUE INCLUDED</t>
  </si>
  <si>
    <t>YES</t>
  </si>
  <si>
    <t>NO</t>
  </si>
  <si>
    <t>TBA</t>
  </si>
  <si>
    <t>VIET PHI</t>
  </si>
  <si>
    <t>CONAKRY-BOKE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</si>
</sst>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409]d\-mmm;@"/>
    <numFmt numFmtId="166" formatCode="d\.m\.yy;@"/>
    <numFmt numFmtId="167" formatCode="_(* #,##0_);_(* \(#,##0\);_(* &quot;-&quot;??_);_(@_)"/>
    <numFmt numFmtId="168" formatCode="_-[$$-409]* #,##0.00_ ;_-[$$-409]* \-#,##0.00\ ;_-[$$-409]* &quot;-&quot;??_ ;_-@_ "/>
    <numFmt numFmtId="169" formatCode="\ \ \ d\Ayys"/>
    <numFmt numFmtId="170" formatCode="0_);[Red]\(0\)"/>
    <numFmt numFmtId="171" formatCode="_(* #,##0.000_);_(* \(#,##0.000\);_(* &quot;-&quot;??_);_(@_)"/>
    <numFmt numFmtId="172" formatCode="[$-409]d/mmm;@"/>
    <numFmt numFmtId="173" formatCode="0.00_);[Red]\(0.00\)"/>
    <numFmt numFmtId="174" formatCode="yyyy\-mm\-dd;@"/>
    <numFmt numFmtId="175" formatCode="[$-409]dd\-mmm\-yy;@"/>
    <numFmt numFmtId="176" formatCode="_-* #,##0_-;\-* #,##0_-;_-* &quot;-&quot;??_-;_-@_-"/>
    <numFmt numFmtId="177" formatCode="0.000"/>
    <numFmt numFmtId="178" formatCode="[$-409]d\-mmm\-yy;@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1"/>
      <name val="Calibri"/>
      <family val="2"/>
    </font>
    <font>
      <sz val="13"/>
      <color theme="1"/>
      <name val="Arial MT"/>
      <charset val="1"/>
    </font>
    <font>
      <sz val="13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theme="0"/>
      <name val="Calibri"/>
      <family val="2"/>
    </font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sz val="18"/>
      <color theme="0"/>
      <name val="Aptos Narrow"/>
      <family val="2"/>
      <scheme val="minor"/>
    </font>
    <font>
      <sz val="14"/>
      <color rgb="FF222221"/>
      <name val="Arial"/>
      <family val="2"/>
    </font>
    <font>
      <sz val="8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strike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  <font>
      <sz val="10"/>
      <color theme="1"/>
      <name val="Cambria"/>
      <family val="1"/>
    </font>
    <font>
      <sz val="13.5"/>
      <color rgb="FF000080"/>
      <name val="Arial"/>
      <family val="2"/>
    </font>
    <font>
      <sz val="13"/>
      <color rgb="FF000000"/>
      <name val="Calibri"/>
      <family val="2"/>
    </font>
    <font>
      <sz val="13"/>
      <color rgb="FFFF0000"/>
      <name val="Aptos Narrow"/>
      <family val="2"/>
      <scheme val="minor"/>
    </font>
    <font>
      <sz val="11"/>
      <color theme="1"/>
      <name val="Aptos"/>
      <family val="2"/>
    </font>
    <font>
      <sz val="10"/>
      <color rgb="FF000000"/>
      <name val="Aptos Narrow"/>
      <family val="2"/>
    </font>
    <font>
      <b/>
      <sz val="13"/>
      <color rgb="FF000000"/>
      <name val="Aptos Narrow"/>
      <family val="2"/>
      <scheme val="minor"/>
    </font>
    <font>
      <sz val="18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3"/>
      <color rgb="FF002060"/>
      <name val="Aptos Narrow"/>
      <family val="2"/>
      <scheme val="minor"/>
    </font>
    <font>
      <sz val="13"/>
      <color rgb="FF000000"/>
      <name val="Aptos Narrow"/>
      <family val="2"/>
    </font>
    <font>
      <sz val="10"/>
      <color theme="0"/>
      <name val="Calibri"/>
      <family val="2"/>
    </font>
    <font>
      <sz val="14"/>
      <color rgb="FF000000"/>
      <name val="Aptos Narrow"/>
      <family val="2"/>
      <scheme val="minor"/>
    </font>
    <font>
      <b/>
      <sz val="13"/>
      <color theme="1"/>
      <name val="Calibri"/>
      <family val="2"/>
    </font>
    <font>
      <b/>
      <sz val="13"/>
      <color rgb="FF000000"/>
      <name val="Calibri"/>
      <family val="2"/>
    </font>
    <font>
      <sz val="10"/>
      <color rgb="FFFF0000"/>
      <name val="Calibri"/>
      <family val="2"/>
    </font>
    <font>
      <sz val="13"/>
      <color theme="1"/>
      <name val="Calibri"/>
    </font>
    <font>
      <b/>
      <sz val="13"/>
      <color rgb="FF000000"/>
      <name val="Calibri"/>
    </font>
    <font>
      <sz val="10"/>
      <color theme="1"/>
      <name val="Calibri"/>
    </font>
    <font>
      <b/>
      <sz val="13"/>
      <color rgb="FFFF0000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rgb="FF000000"/>
      <name val="Aptos"/>
      <family val="2"/>
    </font>
    <font>
      <u/>
      <sz val="9"/>
      <color theme="10"/>
      <name val="Aptos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10"/>
      <color theme="1"/>
      <name val="Aptos"/>
    </font>
    <font>
      <u/>
      <sz val="9"/>
      <color theme="10"/>
      <name val="Aptos"/>
    </font>
  </fonts>
  <fills count="3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AD3D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FAFE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CD89D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79646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709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43" fontId="6" fillId="0" borderId="1" xfId="3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2" applyFont="1" applyFill="1" applyBorder="1" applyAlignment="1">
      <alignment horizontal="left" vertical="center" wrapText="1"/>
    </xf>
    <xf numFmtId="15" fontId="6" fillId="0" borderId="1" xfId="0" applyNumberFormat="1" applyFont="1" applyBorder="1" applyAlignment="1">
      <alignment horizontal="left" vertical="center" wrapText="1"/>
    </xf>
    <xf numFmtId="8" fontId="6" fillId="0" borderId="1" xfId="3" applyNumberFormat="1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43" fontId="6" fillId="0" borderId="1" xfId="3" applyFont="1" applyBorder="1" applyAlignment="1">
      <alignment horizontal="left"/>
    </xf>
    <xf numFmtId="167" fontId="6" fillId="0" borderId="1" xfId="3" applyNumberFormat="1" applyFont="1" applyBorder="1" applyAlignment="1">
      <alignment horizontal="left" vertical="center" wrapText="1"/>
    </xf>
    <xf numFmtId="43" fontId="6" fillId="0" borderId="1" xfId="3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6" fontId="6" fillId="0" borderId="1" xfId="0" applyNumberFormat="1" applyFont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left" vertical="center" wrapText="1"/>
    </xf>
    <xf numFmtId="170" fontId="6" fillId="0" borderId="1" xfId="0" applyNumberFormat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16" fontId="6" fillId="0" borderId="1" xfId="0" applyNumberFormat="1" applyFont="1" applyBorder="1" applyAlignment="1">
      <alignment horizontal="left" vertical="center"/>
    </xf>
    <xf numFmtId="16" fontId="6" fillId="0" borderId="1" xfId="0" applyNumberFormat="1" applyFont="1" applyBorder="1" applyAlignment="1">
      <alignment horizontal="left" wrapText="1"/>
    </xf>
    <xf numFmtId="165" fontId="6" fillId="0" borderId="1" xfId="0" applyNumberFormat="1" applyFont="1" applyBorder="1" applyAlignment="1">
      <alignment horizontal="left" vertical="center"/>
    </xf>
    <xf numFmtId="171" fontId="6" fillId="0" borderId="1" xfId="3" applyNumberFormat="1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wrapText="1"/>
    </xf>
    <xf numFmtId="168" fontId="6" fillId="0" borderId="1" xfId="0" applyNumberFormat="1" applyFont="1" applyBorder="1" applyAlignment="1">
      <alignment horizontal="left" vertical="center"/>
    </xf>
    <xf numFmtId="169" fontId="6" fillId="0" borderId="1" xfId="0" applyNumberFormat="1" applyFont="1" applyBorder="1" applyAlignment="1">
      <alignment horizontal="left" vertical="center" wrapText="1"/>
    </xf>
    <xf numFmtId="43" fontId="7" fillId="0" borderId="1" xfId="3" applyFont="1" applyBorder="1" applyAlignment="1">
      <alignment horizontal="left"/>
    </xf>
    <xf numFmtId="9" fontId="6" fillId="0" borderId="1" xfId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 wrapText="1"/>
    </xf>
    <xf numFmtId="43" fontId="6" fillId="0" borderId="1" xfId="3" applyFont="1" applyFill="1" applyBorder="1" applyAlignment="1">
      <alignment horizontal="left" vertical="center" wrapText="1"/>
    </xf>
    <xf numFmtId="167" fontId="6" fillId="0" borderId="1" xfId="3" applyNumberFormat="1" applyFont="1" applyFill="1" applyBorder="1" applyAlignment="1">
      <alignment horizontal="left" vertical="center" wrapText="1"/>
    </xf>
    <xf numFmtId="172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left" vertical="center"/>
    </xf>
    <xf numFmtId="9" fontId="6" fillId="0" borderId="1" xfId="0" applyNumberFormat="1" applyFont="1" applyBorder="1" applyAlignment="1">
      <alignment horizontal="left" vertical="center"/>
    </xf>
    <xf numFmtId="43" fontId="6" fillId="0" borderId="1" xfId="0" applyNumberFormat="1" applyFont="1" applyBorder="1" applyAlignment="1">
      <alignment horizontal="left" vertical="center"/>
    </xf>
    <xf numFmtId="10" fontId="6" fillId="0" borderId="1" xfId="1" applyNumberFormat="1" applyFont="1" applyFill="1" applyBorder="1" applyAlignment="1">
      <alignment horizontal="left" vertical="center"/>
    </xf>
    <xf numFmtId="171" fontId="6" fillId="0" borderId="1" xfId="3" applyNumberFormat="1" applyFont="1" applyFill="1" applyBorder="1" applyAlignment="1">
      <alignment horizontal="left" vertical="center"/>
    </xf>
    <xf numFmtId="9" fontId="6" fillId="0" borderId="1" xfId="1" applyFont="1" applyFill="1" applyBorder="1" applyAlignment="1">
      <alignment horizontal="left" vertical="center" wrapText="1"/>
    </xf>
    <xf numFmtId="167" fontId="6" fillId="0" borderId="1" xfId="3" applyNumberFormat="1" applyFont="1" applyFill="1" applyBorder="1" applyAlignment="1">
      <alignment horizontal="center" vertical="center" wrapText="1"/>
    </xf>
    <xf numFmtId="43" fontId="6" fillId="0" borderId="1" xfId="3" applyFont="1" applyFill="1" applyBorder="1" applyAlignment="1">
      <alignment horizontal="left" vertical="center"/>
    </xf>
    <xf numFmtId="16" fontId="9" fillId="0" borderId="1" xfId="0" applyNumberFormat="1" applyFont="1" applyBorder="1" applyAlignment="1">
      <alignment horizontal="left" vertical="center" wrapText="1"/>
    </xf>
    <xf numFmtId="173" fontId="6" fillId="0" borderId="1" xfId="0" applyNumberFormat="1" applyFont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/>
    </xf>
    <xf numFmtId="43" fontId="6" fillId="0" borderId="1" xfId="3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wrapText="1"/>
    </xf>
    <xf numFmtId="15" fontId="6" fillId="0" borderId="1" xfId="0" applyNumberFormat="1" applyFont="1" applyBorder="1" applyAlignment="1">
      <alignment horizontal="left" vertical="center"/>
    </xf>
    <xf numFmtId="8" fontId="6" fillId="0" borderId="1" xfId="3" applyNumberFormat="1" applyFont="1" applyFill="1" applyBorder="1" applyAlignment="1">
      <alignment horizontal="left" vertical="center"/>
    </xf>
    <xf numFmtId="16" fontId="6" fillId="0" borderId="1" xfId="0" applyNumberFormat="1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left" vertical="center"/>
    </xf>
    <xf numFmtId="0" fontId="14" fillId="9" borderId="3" xfId="0" applyFont="1" applyFill="1" applyBorder="1" applyAlignment="1">
      <alignment horizontal="left" vertical="center"/>
    </xf>
    <xf numFmtId="43" fontId="14" fillId="4" borderId="1" xfId="3" applyFont="1" applyFill="1" applyBorder="1" applyAlignment="1">
      <alignment horizontal="left" vertical="center"/>
    </xf>
    <xf numFmtId="0" fontId="14" fillId="15" borderId="0" xfId="0" applyFont="1" applyFill="1" applyAlignment="1">
      <alignment horizontal="left" vertical="center"/>
    </xf>
    <xf numFmtId="2" fontId="14" fillId="4" borderId="1" xfId="3" applyNumberFormat="1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1" fontId="14" fillId="9" borderId="0" xfId="0" applyNumberFormat="1" applyFont="1" applyFill="1" applyAlignment="1">
      <alignment horizontal="left" vertical="center"/>
    </xf>
    <xf numFmtId="0" fontId="14" fillId="19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7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11" fillId="21" borderId="0" xfId="0" applyFont="1" applyFill="1" applyAlignment="1">
      <alignment horizontal="center"/>
    </xf>
    <xf numFmtId="171" fontId="15" fillId="0" borderId="1" xfId="3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167" fontId="15" fillId="0" borderId="1" xfId="3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9" fontId="15" fillId="0" borderId="1" xfId="1" applyFont="1" applyBorder="1" applyAlignment="1">
      <alignment horizontal="center" vertical="center"/>
    </xf>
    <xf numFmtId="9" fontId="11" fillId="0" borderId="1" xfId="1" applyFont="1" applyBorder="1" applyAlignment="1">
      <alignment horizont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3" fontId="15" fillId="0" borderId="1" xfId="3" applyFont="1" applyBorder="1" applyAlignment="1">
      <alignment horizontal="center" vertical="center"/>
    </xf>
    <xf numFmtId="15" fontId="15" fillId="0" borderId="1" xfId="0" quotePrefix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3" fontId="11" fillId="0" borderId="1" xfId="3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72" fontId="11" fillId="0" borderId="1" xfId="0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43" fontId="11" fillId="0" borderId="1" xfId="3" applyFont="1" applyBorder="1" applyAlignment="1">
      <alignment horizontal="right"/>
    </xf>
    <xf numFmtId="0" fontId="15" fillId="0" borderId="1" xfId="0" quotePrefix="1" applyFont="1" applyBorder="1" applyAlignment="1">
      <alignment horizontal="left" vertical="center"/>
    </xf>
    <xf numFmtId="167" fontId="15" fillId="0" borderId="1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8" fillId="0" borderId="0" xfId="0" applyFont="1"/>
    <xf numFmtId="0" fontId="13" fillId="15" borderId="0" xfId="0" applyFont="1" applyFill="1"/>
    <xf numFmtId="165" fontId="13" fillId="15" borderId="0" xfId="0" applyNumberFormat="1" applyFont="1" applyFill="1"/>
    <xf numFmtId="0" fontId="13" fillId="12" borderId="0" xfId="0" applyFont="1" applyFill="1"/>
    <xf numFmtId="9" fontId="13" fillId="12" borderId="0" xfId="1" applyFont="1" applyFill="1" applyBorder="1"/>
    <xf numFmtId="0" fontId="13" fillId="19" borderId="0" xfId="0" applyFont="1" applyFill="1"/>
    <xf numFmtId="0" fontId="13" fillId="23" borderId="0" xfId="0" applyFont="1" applyFill="1"/>
    <xf numFmtId="0" fontId="13" fillId="23" borderId="0" xfId="0" applyFont="1" applyFill="1" applyAlignment="1">
      <alignment horizontal="center"/>
    </xf>
    <xf numFmtId="0" fontId="13" fillId="23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43" fontId="6" fillId="0" borderId="1" xfId="3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8" fontId="6" fillId="0" borderId="1" xfId="3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43" fontId="6" fillId="0" borderId="1" xfId="3" applyFont="1" applyFill="1" applyBorder="1" applyAlignment="1">
      <alignment horizontal="center"/>
    </xf>
    <xf numFmtId="43" fontId="6" fillId="0" borderId="1" xfId="3" applyFont="1" applyFill="1" applyBorder="1" applyAlignment="1">
      <alignment horizontal="center" wrapText="1"/>
    </xf>
    <xf numFmtId="172" fontId="6" fillId="0" borderId="1" xfId="0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 applyProtection="1">
      <alignment horizontal="center" vertical="center" wrapText="1"/>
      <protection locked="0"/>
    </xf>
    <xf numFmtId="43" fontId="6" fillId="0" borderId="1" xfId="3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6" fontId="6" fillId="0" borderId="1" xfId="0" applyNumberFormat="1" applyFont="1" applyBorder="1" applyAlignment="1">
      <alignment horizontal="center" vertical="center" wrapText="1"/>
    </xf>
    <xf numFmtId="173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wrapText="1"/>
    </xf>
    <xf numFmtId="165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1" fontId="6" fillId="0" borderId="1" xfId="3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wrapText="1"/>
    </xf>
    <xf numFmtId="169" fontId="6" fillId="0" borderId="1" xfId="0" applyNumberFormat="1" applyFont="1" applyBorder="1" applyAlignment="1">
      <alignment horizontal="center" vertical="center" wrapText="1"/>
    </xf>
    <xf numFmtId="43" fontId="7" fillId="0" borderId="1" xfId="3" applyFont="1" applyFill="1" applyBorder="1"/>
    <xf numFmtId="9" fontId="6" fillId="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3" fontId="19" fillId="0" borderId="1" xfId="0" applyNumberFormat="1" applyFont="1" applyBorder="1" applyAlignment="1">
      <alignment horizontal="center"/>
    </xf>
    <xf numFmtId="43" fontId="19" fillId="0" borderId="1" xfId="3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7" fillId="6" borderId="1" xfId="0" applyFont="1" applyFill="1" applyBorder="1" applyAlignment="1">
      <alignment horizontal="center" vertical="center"/>
    </xf>
    <xf numFmtId="0" fontId="0" fillId="0" borderId="0" xfId="0" applyProtection="1">
      <protection hidden="1"/>
    </xf>
    <xf numFmtId="164" fontId="0" fillId="0" borderId="1" xfId="0" applyNumberFormat="1" applyBorder="1" applyProtection="1">
      <protection hidden="1"/>
    </xf>
    <xf numFmtId="171" fontId="0" fillId="0" borderId="1" xfId="3" applyNumberFormat="1" applyFont="1" applyBorder="1" applyAlignment="1" applyProtection="1">
      <alignment vertical="center"/>
      <protection hidden="1"/>
    </xf>
    <xf numFmtId="43" fontId="0" fillId="0" borderId="1" xfId="3" applyFont="1" applyBorder="1" applyAlignment="1" applyProtection="1">
      <alignment vertical="center"/>
      <protection hidden="1"/>
    </xf>
    <xf numFmtId="167" fontId="0" fillId="0" borderId="1" xfId="3" applyNumberFormat="1" applyFont="1" applyBorder="1" applyAlignment="1" applyProtection="1">
      <alignment vertical="center"/>
      <protection hidden="1"/>
    </xf>
    <xf numFmtId="0" fontId="3" fillId="0" borderId="1" xfId="0" applyFont="1" applyBorder="1" applyProtection="1">
      <protection hidden="1"/>
    </xf>
    <xf numFmtId="0" fontId="3" fillId="0" borderId="1" xfId="0" applyFont="1" applyBorder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center"/>
      <protection hidden="1"/>
    </xf>
    <xf numFmtId="167" fontId="3" fillId="0" borderId="1" xfId="0" applyNumberFormat="1" applyFont="1" applyBorder="1" applyAlignment="1" applyProtection="1">
      <alignment horizontal="center"/>
      <protection hidden="1"/>
    </xf>
    <xf numFmtId="171" fontId="3" fillId="0" borderId="7" xfId="3" applyNumberFormat="1" applyFont="1" applyBorder="1" applyAlignment="1" applyProtection="1">
      <alignment vertical="center"/>
      <protection hidden="1"/>
    </xf>
    <xf numFmtId="167" fontId="3" fillId="0" borderId="7" xfId="3" applyNumberFormat="1" applyFont="1" applyBorder="1" applyAlignment="1" applyProtection="1">
      <alignment vertical="center"/>
      <protection hidden="1"/>
    </xf>
    <xf numFmtId="0" fontId="13" fillId="19" borderId="0" xfId="0" applyFont="1" applyFill="1" applyProtection="1">
      <protection hidden="1"/>
    </xf>
    <xf numFmtId="0" fontId="3" fillId="0" borderId="0" xfId="0" applyFont="1" applyProtection="1">
      <protection hidden="1"/>
    </xf>
    <xf numFmtId="171" fontId="3" fillId="0" borderId="1" xfId="3" applyNumberFormat="1" applyFont="1" applyBorder="1" applyProtection="1">
      <protection hidden="1"/>
    </xf>
    <xf numFmtId="171" fontId="1" fillId="0" borderId="1" xfId="3" applyNumberFormat="1" applyFont="1" applyBorder="1" applyAlignment="1" applyProtection="1">
      <alignment horizontal="center"/>
      <protection hidden="1"/>
    </xf>
    <xf numFmtId="171" fontId="3" fillId="4" borderId="1" xfId="3" applyNumberFormat="1" applyFont="1" applyFill="1" applyBorder="1" applyProtection="1">
      <protection hidden="1"/>
    </xf>
    <xf numFmtId="0" fontId="3" fillId="4" borderId="1" xfId="0" applyFont="1" applyFill="1" applyBorder="1" applyProtection="1">
      <protection hidden="1"/>
    </xf>
    <xf numFmtId="171" fontId="3" fillId="10" borderId="1" xfId="3" applyNumberFormat="1" applyFont="1" applyFill="1" applyBorder="1" applyProtection="1">
      <protection hidden="1"/>
    </xf>
    <xf numFmtId="0" fontId="3" fillId="10" borderId="1" xfId="0" applyFont="1" applyFill="1" applyBorder="1" applyProtection="1">
      <protection hidden="1"/>
    </xf>
    <xf numFmtId="171" fontId="3" fillId="19" borderId="1" xfId="3" applyNumberFormat="1" applyFont="1" applyFill="1" applyBorder="1" applyProtection="1">
      <protection hidden="1"/>
    </xf>
    <xf numFmtId="0" fontId="3" fillId="19" borderId="1" xfId="0" applyFont="1" applyFill="1" applyBorder="1" applyProtection="1">
      <protection hidden="1"/>
    </xf>
    <xf numFmtId="0" fontId="3" fillId="19" borderId="0" xfId="0" applyFont="1" applyFill="1" applyProtection="1">
      <protection hidden="1"/>
    </xf>
    <xf numFmtId="0" fontId="3" fillId="24" borderId="1" xfId="0" applyFon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left"/>
    </xf>
    <xf numFmtId="0" fontId="14" fillId="4" borderId="0" xfId="0" applyFont="1" applyFill="1" applyAlignment="1">
      <alignment horizontal="left" vertical="center"/>
    </xf>
    <xf numFmtId="0" fontId="20" fillId="27" borderId="0" xfId="0" applyFont="1" applyFill="1" applyAlignment="1">
      <alignment horizontal="left" vertical="center"/>
    </xf>
    <xf numFmtId="2" fontId="6" fillId="0" borderId="1" xfId="2" applyNumberFormat="1" applyFont="1" applyFill="1" applyBorder="1" applyAlignment="1">
      <alignment horizontal="left" vertical="center"/>
    </xf>
    <xf numFmtId="16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1" fontId="5" fillId="0" borderId="1" xfId="0" applyNumberFormat="1" applyFont="1" applyBorder="1" applyAlignment="1">
      <alignment horizontal="left"/>
    </xf>
    <xf numFmtId="167" fontId="5" fillId="0" borderId="1" xfId="3" applyNumberFormat="1" applyFont="1" applyBorder="1" applyAlignment="1">
      <alignment horizontal="center"/>
    </xf>
    <xf numFmtId="167" fontId="6" fillId="0" borderId="1" xfId="3" applyNumberFormat="1" applyFont="1" applyBorder="1" applyAlignment="1">
      <alignment horizontal="left"/>
    </xf>
    <xf numFmtId="43" fontId="6" fillId="0" borderId="1" xfId="3" applyFont="1" applyBorder="1" applyAlignment="1">
      <alignment horizontal="left" vertical="center"/>
    </xf>
    <xf numFmtId="43" fontId="6" fillId="0" borderId="1" xfId="3" applyFont="1" applyBorder="1" applyAlignment="1" applyProtection="1">
      <alignment horizontal="left" vertical="center"/>
      <protection locked="0"/>
    </xf>
    <xf numFmtId="10" fontId="6" fillId="0" borderId="1" xfId="1" applyNumberFormat="1" applyFont="1" applyBorder="1" applyAlignment="1">
      <alignment horizontal="left" vertical="center"/>
    </xf>
    <xf numFmtId="167" fontId="6" fillId="0" borderId="1" xfId="1" applyNumberFormat="1" applyFont="1" applyBorder="1" applyAlignment="1">
      <alignment horizontal="left" vertical="center"/>
    </xf>
    <xf numFmtId="8" fontId="6" fillId="0" borderId="1" xfId="3" applyNumberFormat="1" applyFont="1" applyBorder="1" applyAlignment="1">
      <alignment horizontal="left" vertical="center"/>
    </xf>
    <xf numFmtId="43" fontId="19" fillId="0" borderId="1" xfId="6" applyFont="1" applyBorder="1" applyAlignment="1">
      <alignment horizontal="right"/>
    </xf>
    <xf numFmtId="43" fontId="19" fillId="0" borderId="1" xfId="6" applyFont="1" applyBorder="1" applyAlignment="1">
      <alignment horizontal="center"/>
    </xf>
    <xf numFmtId="172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15" fontId="15" fillId="0" borderId="1" xfId="0" applyNumberFormat="1" applyFont="1" applyBorder="1" applyAlignment="1">
      <alignment horizontal="center" vertical="center" wrapText="1"/>
    </xf>
    <xf numFmtId="9" fontId="19" fillId="0" borderId="1" xfId="1" applyFont="1" applyBorder="1" applyAlignment="1">
      <alignment horizontal="center"/>
    </xf>
    <xf numFmtId="167" fontId="15" fillId="0" borderId="1" xfId="6" applyNumberFormat="1" applyFont="1" applyBorder="1" applyAlignment="1">
      <alignment horizontal="center" vertical="center"/>
    </xf>
    <xf numFmtId="171" fontId="15" fillId="0" borderId="1" xfId="6" applyNumberFormat="1" applyFont="1" applyBorder="1" applyAlignment="1">
      <alignment horizontal="center" vertical="center"/>
    </xf>
    <xf numFmtId="0" fontId="19" fillId="0" borderId="0" xfId="0" applyFont="1"/>
    <xf numFmtId="17" fontId="5" fillId="0" borderId="1" xfId="0" applyNumberFormat="1" applyFont="1" applyBorder="1" applyAlignment="1">
      <alignment horizontal="left" vertical="center"/>
    </xf>
    <xf numFmtId="0" fontId="24" fillId="29" borderId="1" xfId="0" applyFont="1" applyFill="1" applyBorder="1"/>
    <xf numFmtId="0" fontId="24" fillId="29" borderId="2" xfId="0" applyFont="1" applyFill="1" applyBorder="1"/>
    <xf numFmtId="0" fontId="22" fillId="0" borderId="5" xfId="0" applyFont="1" applyBorder="1"/>
    <xf numFmtId="0" fontId="22" fillId="0" borderId="6" xfId="0" applyFont="1" applyBorder="1"/>
    <xf numFmtId="16" fontId="22" fillId="0" borderId="6" xfId="0" applyNumberFormat="1" applyFont="1" applyBorder="1"/>
    <xf numFmtId="0" fontId="22" fillId="0" borderId="6" xfId="0" applyFont="1" applyBorder="1" applyAlignment="1">
      <alignment wrapText="1"/>
    </xf>
    <xf numFmtId="4" fontId="22" fillId="0" borderId="6" xfId="0" applyNumberFormat="1" applyFont="1" applyBorder="1" applyAlignment="1">
      <alignment wrapText="1"/>
    </xf>
    <xf numFmtId="0" fontId="25" fillId="0" borderId="6" xfId="0" applyFont="1" applyBorder="1"/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43" fontId="28" fillId="0" borderId="1" xfId="3" applyFont="1" applyBorder="1" applyAlignment="1">
      <alignment horizontal="left"/>
    </xf>
    <xf numFmtId="43" fontId="27" fillId="0" borderId="1" xfId="3" applyFont="1" applyBorder="1" applyAlignment="1">
      <alignment horizontal="left" vertical="center" wrapText="1"/>
    </xf>
    <xf numFmtId="43" fontId="27" fillId="0" borderId="1" xfId="3" applyFont="1" applyBorder="1" applyAlignment="1">
      <alignment horizontal="left" wrapText="1"/>
    </xf>
    <xf numFmtId="0" fontId="27" fillId="0" borderId="1" xfId="0" applyFont="1" applyBorder="1" applyAlignment="1">
      <alignment horizontal="right"/>
    </xf>
    <xf numFmtId="0" fontId="22" fillId="0" borderId="5" xfId="0" applyFont="1" applyBorder="1" applyAlignment="1">
      <alignment horizontal="right"/>
    </xf>
    <xf numFmtId="171" fontId="15" fillId="0" borderId="1" xfId="6" applyNumberFormat="1" applyFont="1" applyFill="1" applyBorder="1" applyAlignment="1">
      <alignment horizontal="center" vertical="center"/>
    </xf>
    <xf numFmtId="43" fontId="11" fillId="0" borderId="1" xfId="6" applyFont="1" applyBorder="1" applyAlignment="1">
      <alignment horizontal="right"/>
    </xf>
    <xf numFmtId="43" fontId="11" fillId="0" borderId="1" xfId="6" applyFont="1" applyBorder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1" applyNumberFormat="1" applyFont="1" applyBorder="1"/>
    <xf numFmtId="43" fontId="19" fillId="0" borderId="3" xfId="6" applyFont="1" applyBorder="1" applyAlignment="1">
      <alignment horizontal="right"/>
    </xf>
    <xf numFmtId="0" fontId="19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 wrapText="1"/>
    </xf>
    <xf numFmtId="43" fontId="19" fillId="0" borderId="3" xfId="6" applyFont="1" applyBorder="1" applyAlignment="1">
      <alignment horizontal="center"/>
    </xf>
    <xf numFmtId="43" fontId="15" fillId="0" borderId="3" xfId="3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5" fontId="15" fillId="0" borderId="3" xfId="0" applyNumberFormat="1" applyFont="1" applyBorder="1" applyAlignment="1">
      <alignment horizontal="center" vertical="center" wrapText="1"/>
    </xf>
    <xf numFmtId="0" fontId="15" fillId="0" borderId="3" xfId="0" quotePrefix="1" applyFont="1" applyBorder="1" applyAlignment="1">
      <alignment horizontal="center" vertical="center"/>
    </xf>
    <xf numFmtId="9" fontId="19" fillId="0" borderId="3" xfId="1" applyFont="1" applyBorder="1" applyAlignment="1">
      <alignment horizontal="center"/>
    </xf>
    <xf numFmtId="167" fontId="15" fillId="0" borderId="3" xfId="6" applyNumberFormat="1" applyFont="1" applyBorder="1" applyAlignment="1">
      <alignment horizontal="center" vertical="center"/>
    </xf>
    <xf numFmtId="15" fontId="15" fillId="0" borderId="3" xfId="0" applyNumberFormat="1" applyFont="1" applyBorder="1" applyAlignment="1">
      <alignment horizontal="center" vertical="center"/>
    </xf>
    <xf numFmtId="171" fontId="15" fillId="0" borderId="3" xfId="6" applyNumberFormat="1" applyFont="1" applyBorder="1" applyAlignment="1">
      <alignment horizontal="center" vertical="center"/>
    </xf>
    <xf numFmtId="9" fontId="15" fillId="0" borderId="3" xfId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0" xfId="3" applyNumberFormat="1" applyFont="1" applyFill="1" applyBorder="1" applyAlignment="1">
      <alignment horizontal="center" vertical="center"/>
    </xf>
    <xf numFmtId="164" fontId="29" fillId="0" borderId="1" xfId="0" applyNumberFormat="1" applyFont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 wrapText="1"/>
    </xf>
    <xf numFmtId="172" fontId="11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5" fontId="15" fillId="0" borderId="2" xfId="0" applyNumberFormat="1" applyFont="1" applyBorder="1" applyAlignment="1">
      <alignment horizontal="center" vertical="center"/>
    </xf>
    <xf numFmtId="0" fontId="13" fillId="13" borderId="9" xfId="0" applyFont="1" applyFill="1" applyBorder="1"/>
    <xf numFmtId="9" fontId="13" fillId="13" borderId="9" xfId="1" applyFont="1" applyFill="1" applyBorder="1"/>
    <xf numFmtId="2" fontId="13" fillId="13" borderId="9" xfId="0" applyNumberFormat="1" applyFont="1" applyFill="1" applyBorder="1"/>
    <xf numFmtId="0" fontId="13" fillId="13" borderId="10" xfId="0" applyFont="1" applyFill="1" applyBorder="1"/>
    <xf numFmtId="0" fontId="13" fillId="10" borderId="11" xfId="0" applyFont="1" applyFill="1" applyBorder="1"/>
    <xf numFmtId="0" fontId="13" fillId="10" borderId="3" xfId="0" applyFont="1" applyFill="1" applyBorder="1"/>
    <xf numFmtId="0" fontId="13" fillId="22" borderId="3" xfId="0" applyFont="1" applyFill="1" applyBorder="1"/>
    <xf numFmtId="0" fontId="13" fillId="22" borderId="12" xfId="0" applyFont="1" applyFill="1" applyBorder="1"/>
    <xf numFmtId="43" fontId="11" fillId="0" borderId="3" xfId="3" applyFont="1" applyBorder="1" applyAlignment="1">
      <alignment horizontal="right"/>
    </xf>
    <xf numFmtId="43" fontId="11" fillId="0" borderId="3" xfId="3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15" fontId="15" fillId="0" borderId="3" xfId="0" quotePrefix="1" applyNumberFormat="1" applyFont="1" applyBorder="1" applyAlignment="1">
      <alignment horizontal="center" vertical="center" wrapText="1"/>
    </xf>
    <xf numFmtId="9" fontId="11" fillId="0" borderId="3" xfId="1" applyFont="1" applyBorder="1" applyAlignment="1">
      <alignment horizontal="center"/>
    </xf>
    <xf numFmtId="167" fontId="15" fillId="0" borderId="3" xfId="3" applyNumberFormat="1" applyFont="1" applyBorder="1" applyAlignment="1">
      <alignment horizontal="center" vertical="center"/>
    </xf>
    <xf numFmtId="171" fontId="15" fillId="0" borderId="3" xfId="3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10" fontId="11" fillId="0" borderId="1" xfId="1" applyNumberFormat="1" applyFont="1" applyBorder="1" applyAlignment="1">
      <alignment vertical="center"/>
    </xf>
    <xf numFmtId="164" fontId="11" fillId="0" borderId="1" xfId="0" applyNumberFormat="1" applyFont="1" applyBorder="1"/>
    <xf numFmtId="2" fontId="11" fillId="0" borderId="1" xfId="0" applyNumberFormat="1" applyFont="1" applyBorder="1" applyAlignment="1">
      <alignment vertical="center"/>
    </xf>
    <xf numFmtId="1" fontId="11" fillId="0" borderId="1" xfId="0" applyNumberFormat="1" applyFont="1" applyBorder="1" applyAlignment="1">
      <alignment vertical="center"/>
    </xf>
    <xf numFmtId="171" fontId="15" fillId="0" borderId="1" xfId="3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/>
    </xf>
    <xf numFmtId="168" fontId="6" fillId="0" borderId="1" xfId="0" applyNumberFormat="1" applyFont="1" applyBorder="1" applyAlignment="1">
      <alignment horizontal="left" vertical="center" wrapText="1"/>
    </xf>
    <xf numFmtId="167" fontId="6" fillId="0" borderId="1" xfId="3" applyNumberFormat="1" applyFont="1" applyFill="1" applyBorder="1" applyAlignment="1">
      <alignment horizontal="left" vertical="center"/>
    </xf>
    <xf numFmtId="43" fontId="7" fillId="0" borderId="1" xfId="3" applyFont="1" applyFill="1" applyBorder="1" applyAlignment="1">
      <alignment horizontal="left" vertical="center"/>
    </xf>
    <xf numFmtId="43" fontId="7" fillId="0" borderId="1" xfId="3" applyFont="1" applyBorder="1" applyAlignment="1">
      <alignment horizontal="left" vertical="center"/>
    </xf>
    <xf numFmtId="167" fontId="6" fillId="0" borderId="1" xfId="3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43" fontId="5" fillId="0" borderId="0" xfId="3" applyFont="1" applyFill="1" applyBorder="1" applyAlignment="1">
      <alignment horizontal="left" vertical="center"/>
    </xf>
    <xf numFmtId="167" fontId="5" fillId="0" borderId="1" xfId="3" applyNumberFormat="1" applyFont="1" applyFill="1" applyBorder="1" applyAlignment="1">
      <alignment horizontal="left" vertical="center"/>
    </xf>
    <xf numFmtId="167" fontId="5" fillId="0" borderId="1" xfId="3" applyNumberFormat="1" applyFont="1" applyBorder="1" applyAlignment="1">
      <alignment horizontal="left" vertical="center"/>
    </xf>
    <xf numFmtId="172" fontId="19" fillId="0" borderId="2" xfId="0" applyNumberFormat="1" applyFont="1" applyBorder="1" applyAlignment="1">
      <alignment horizontal="center" vertical="center"/>
    </xf>
    <xf numFmtId="12" fontId="6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16" fontId="10" fillId="0" borderId="1" xfId="0" applyNumberFormat="1" applyFont="1" applyBorder="1" applyAlignment="1">
      <alignment horizontal="left" vertical="center"/>
    </xf>
    <xf numFmtId="0" fontId="34" fillId="0" borderId="1" xfId="0" applyFont="1" applyBorder="1"/>
    <xf numFmtId="0" fontId="6" fillId="0" borderId="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43" fontId="6" fillId="0" borderId="0" xfId="3" applyFont="1" applyBorder="1" applyAlignment="1">
      <alignment horizontal="left" vertical="center" wrapText="1"/>
    </xf>
    <xf numFmtId="0" fontId="33" fillId="0" borderId="1" xfId="0" applyFont="1" applyBorder="1"/>
    <xf numFmtId="16" fontId="6" fillId="0" borderId="0" xfId="0" applyNumberFormat="1" applyFont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1" fillId="21" borderId="5" xfId="0" applyFont="1" applyFill="1" applyBorder="1" applyAlignment="1">
      <alignment wrapText="1"/>
    </xf>
    <xf numFmtId="0" fontId="7" fillId="0" borderId="1" xfId="0" applyFont="1" applyBorder="1" applyAlignment="1">
      <alignment horizontal="left" vertical="center"/>
    </xf>
    <xf numFmtId="167" fontId="7" fillId="0" borderId="1" xfId="6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2" applyFont="1" applyFill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15" fontId="7" fillId="0" borderId="1" xfId="0" applyNumberFormat="1" applyFont="1" applyBorder="1" applyAlignment="1">
      <alignment horizontal="left" vertical="center" wrapText="1"/>
    </xf>
    <xf numFmtId="9" fontId="7" fillId="0" borderId="1" xfId="1" applyFont="1" applyBorder="1" applyAlignment="1">
      <alignment horizontal="left" vertical="center" wrapText="1"/>
    </xf>
    <xf numFmtId="43" fontId="7" fillId="0" borderId="1" xfId="6" applyFont="1" applyBorder="1" applyAlignment="1">
      <alignment horizontal="left" vertical="center" wrapText="1"/>
    </xf>
    <xf numFmtId="43" fontId="7" fillId="0" borderId="1" xfId="6" applyFont="1" applyBorder="1" applyAlignment="1">
      <alignment horizontal="left" wrapText="1"/>
    </xf>
    <xf numFmtId="165" fontId="7" fillId="0" borderId="1" xfId="0" applyNumberFormat="1" applyFont="1" applyBorder="1" applyAlignment="1">
      <alignment horizontal="left" wrapText="1"/>
    </xf>
    <xf numFmtId="43" fontId="7" fillId="0" borderId="1" xfId="6" applyFont="1" applyBorder="1" applyAlignment="1">
      <alignment horizontal="left"/>
    </xf>
    <xf numFmtId="16" fontId="7" fillId="0" borderId="1" xfId="0" applyNumberFormat="1" applyFont="1" applyBorder="1" applyAlignment="1">
      <alignment horizontal="left" vertical="center" wrapText="1"/>
    </xf>
    <xf numFmtId="16" fontId="7" fillId="0" borderId="1" xfId="0" applyNumberFormat="1" applyFont="1" applyBorder="1" applyAlignment="1">
      <alignment horizontal="left" vertical="center"/>
    </xf>
    <xf numFmtId="171" fontId="7" fillId="0" borderId="1" xfId="6" applyNumberFormat="1" applyFont="1" applyBorder="1" applyAlignment="1">
      <alignment horizontal="left" vertical="center"/>
    </xf>
    <xf numFmtId="43" fontId="7" fillId="0" borderId="1" xfId="3" applyFont="1" applyBorder="1" applyAlignment="1">
      <alignment horizontal="left" vertical="center" wrapText="1"/>
    </xf>
    <xf numFmtId="170" fontId="7" fillId="0" borderId="1" xfId="0" applyNumberFormat="1" applyFont="1" applyBorder="1" applyAlignment="1">
      <alignment horizontal="left" vertical="center" wrapText="1"/>
    </xf>
    <xf numFmtId="166" fontId="7" fillId="0" borderId="1" xfId="0" applyNumberFormat="1" applyFont="1" applyBorder="1" applyAlignment="1">
      <alignment horizontal="left" vertical="center" wrapText="1"/>
    </xf>
    <xf numFmtId="173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43" fontId="7" fillId="0" borderId="1" xfId="6" applyFont="1" applyBorder="1" applyAlignment="1" applyProtection="1">
      <alignment horizontal="left" vertical="center" wrapText="1"/>
      <protection locked="0"/>
    </xf>
    <xf numFmtId="16" fontId="7" fillId="0" borderId="1" xfId="0" applyNumberFormat="1" applyFont="1" applyBorder="1" applyAlignment="1" applyProtection="1">
      <alignment horizontal="left" vertical="center" wrapText="1"/>
      <protection locked="0"/>
    </xf>
    <xf numFmtId="164" fontId="7" fillId="0" borderId="1" xfId="0" applyNumberFormat="1" applyFont="1" applyBorder="1" applyAlignment="1">
      <alignment horizontal="left" vertical="center"/>
    </xf>
    <xf numFmtId="10" fontId="7" fillId="0" borderId="1" xfId="1" applyNumberFormat="1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167" fontId="7" fillId="0" borderId="1" xfId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72" fontId="7" fillId="0" borderId="1" xfId="0" applyNumberFormat="1" applyFont="1" applyBorder="1" applyAlignment="1">
      <alignment horizontal="left" vertical="center" wrapText="1"/>
    </xf>
    <xf numFmtId="8" fontId="7" fillId="0" borderId="1" xfId="6" applyNumberFormat="1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167" fontId="23" fillId="0" borderId="1" xfId="3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16" fontId="10" fillId="0" borderId="1" xfId="0" applyNumberFormat="1" applyFont="1" applyBorder="1" applyAlignment="1">
      <alignment horizontal="left" vertical="center" wrapText="1"/>
    </xf>
    <xf numFmtId="43" fontId="10" fillId="0" borderId="1" xfId="3" applyFont="1" applyBorder="1" applyAlignment="1">
      <alignment horizontal="left" vertical="center"/>
    </xf>
    <xf numFmtId="165" fontId="10" fillId="0" borderId="1" xfId="0" applyNumberFormat="1" applyFont="1" applyBorder="1" applyAlignment="1">
      <alignment horizontal="left" vertical="center"/>
    </xf>
    <xf numFmtId="43" fontId="10" fillId="0" borderId="1" xfId="3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170" fontId="10" fillId="0" borderId="1" xfId="0" applyNumberFormat="1" applyFont="1" applyBorder="1" applyAlignment="1">
      <alignment horizontal="left" vertical="center" wrapText="1"/>
    </xf>
    <xf numFmtId="166" fontId="10" fillId="0" borderId="1" xfId="0" applyNumberFormat="1" applyFont="1" applyBorder="1" applyAlignment="1">
      <alignment horizontal="left" vertical="center" wrapText="1"/>
    </xf>
    <xf numFmtId="173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16" fontId="10" fillId="0" borderId="1" xfId="0" applyNumberFormat="1" applyFont="1" applyBorder="1" applyAlignment="1" applyProtection="1">
      <alignment horizontal="left" vertical="center"/>
      <protection locked="0"/>
    </xf>
    <xf numFmtId="164" fontId="10" fillId="0" borderId="1" xfId="0" applyNumberFormat="1" applyFont="1" applyBorder="1" applyAlignment="1">
      <alignment horizontal="left" vertical="center"/>
    </xf>
    <xf numFmtId="2" fontId="10" fillId="0" borderId="1" xfId="0" applyNumberFormat="1" applyFont="1" applyBorder="1" applyAlignment="1">
      <alignment horizontal="left" vertical="center"/>
    </xf>
    <xf numFmtId="43" fontId="10" fillId="0" borderId="1" xfId="0" applyNumberFormat="1" applyFont="1" applyBorder="1" applyAlignment="1">
      <alignment horizontal="left" vertical="center"/>
    </xf>
    <xf numFmtId="9" fontId="10" fillId="0" borderId="1" xfId="0" applyNumberFormat="1" applyFont="1" applyBorder="1" applyAlignment="1">
      <alignment horizontal="left" vertical="center"/>
    </xf>
    <xf numFmtId="10" fontId="10" fillId="0" borderId="1" xfId="0" applyNumberFormat="1" applyFont="1" applyBorder="1" applyAlignment="1">
      <alignment horizontal="left" vertical="center"/>
    </xf>
    <xf numFmtId="15" fontId="10" fillId="0" borderId="1" xfId="0" applyNumberFormat="1" applyFont="1" applyBorder="1" applyAlignment="1">
      <alignment horizontal="left" vertical="center" wrapText="1"/>
    </xf>
    <xf numFmtId="165" fontId="10" fillId="0" borderId="1" xfId="0" applyNumberFormat="1" applyFont="1" applyBorder="1" applyAlignment="1">
      <alignment horizontal="left" vertical="center" wrapText="1"/>
    </xf>
    <xf numFmtId="0" fontId="10" fillId="0" borderId="1" xfId="2" applyFont="1" applyFill="1" applyBorder="1" applyAlignment="1">
      <alignment horizontal="left" vertical="center" wrapText="1"/>
    </xf>
    <xf numFmtId="15" fontId="10" fillId="0" borderId="1" xfId="0" applyNumberFormat="1" applyFont="1" applyBorder="1" applyAlignment="1">
      <alignment horizontal="left" vertical="center"/>
    </xf>
    <xf numFmtId="0" fontId="10" fillId="0" borderId="1" xfId="2" applyFont="1" applyFill="1" applyBorder="1" applyAlignment="1">
      <alignment horizontal="left" vertical="center"/>
    </xf>
    <xf numFmtId="2" fontId="10" fillId="0" borderId="1" xfId="2" applyNumberFormat="1" applyFont="1" applyFill="1" applyBorder="1" applyAlignment="1">
      <alignment horizontal="left" vertical="center"/>
    </xf>
    <xf numFmtId="1" fontId="23" fillId="0" borderId="1" xfId="0" applyNumberFormat="1" applyFont="1" applyBorder="1" applyAlignment="1">
      <alignment horizontal="left" vertical="center"/>
    </xf>
    <xf numFmtId="9" fontId="10" fillId="0" borderId="1" xfId="0" applyNumberFormat="1" applyFont="1" applyBorder="1" applyAlignment="1">
      <alignment horizontal="left" vertical="center" wrapText="1"/>
    </xf>
    <xf numFmtId="169" fontId="10" fillId="0" borderId="1" xfId="0" applyNumberFormat="1" applyFont="1" applyBorder="1" applyAlignment="1">
      <alignment horizontal="left" vertical="center" wrapText="1"/>
    </xf>
    <xf numFmtId="168" fontId="10" fillId="0" borderId="1" xfId="0" applyNumberFormat="1" applyFont="1" applyBorder="1" applyAlignment="1">
      <alignment horizontal="left" vertical="center"/>
    </xf>
    <xf numFmtId="16" fontId="35" fillId="0" borderId="1" xfId="0" applyNumberFormat="1" applyFont="1" applyBorder="1" applyAlignment="1">
      <alignment horizontal="left" vertical="center" wrapText="1"/>
    </xf>
    <xf numFmtId="171" fontId="10" fillId="0" borderId="1" xfId="3" applyNumberFormat="1" applyFont="1" applyFill="1" applyBorder="1" applyAlignment="1">
      <alignment horizontal="left" vertical="center"/>
    </xf>
    <xf numFmtId="43" fontId="10" fillId="0" borderId="1" xfId="3" applyFont="1" applyFill="1" applyBorder="1" applyAlignment="1">
      <alignment horizontal="left" vertical="center"/>
    </xf>
    <xf numFmtId="43" fontId="10" fillId="0" borderId="1" xfId="3" applyFont="1" applyFill="1" applyBorder="1" applyAlignment="1">
      <alignment horizontal="left" vertical="center" wrapText="1"/>
    </xf>
    <xf numFmtId="168" fontId="6" fillId="0" borderId="1" xfId="0" quotePrefix="1" applyNumberFormat="1" applyFont="1" applyBorder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167" fontId="14" fillId="20" borderId="0" xfId="3" applyNumberFormat="1" applyFont="1" applyFill="1" applyBorder="1" applyAlignment="1">
      <alignment horizontal="left" vertical="center"/>
    </xf>
    <xf numFmtId="0" fontId="14" fillId="20" borderId="0" xfId="0" applyFont="1" applyFill="1" applyAlignment="1">
      <alignment horizontal="left" vertical="center"/>
    </xf>
    <xf numFmtId="0" fontId="14" fillId="19" borderId="0" xfId="0" applyFont="1" applyFill="1" applyAlignment="1" applyProtection="1">
      <alignment horizontal="left" vertical="center"/>
      <protection locked="0"/>
    </xf>
    <xf numFmtId="0" fontId="6" fillId="19" borderId="0" xfId="0" applyFont="1" applyFill="1" applyAlignment="1">
      <alignment horizontal="left" vertical="center" wrapText="1"/>
    </xf>
    <xf numFmtId="0" fontId="14" fillId="19" borderId="0" xfId="0" applyFont="1" applyFill="1" applyAlignment="1">
      <alignment horizontal="left" vertical="center" wrapText="1"/>
    </xf>
    <xf numFmtId="0" fontId="14" fillId="16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left" vertical="center"/>
    </xf>
    <xf numFmtId="165" fontId="14" fillId="10" borderId="0" xfId="0" applyNumberFormat="1" applyFont="1" applyFill="1" applyAlignment="1">
      <alignment horizontal="left" vertical="center"/>
    </xf>
    <xf numFmtId="9" fontId="14" fillId="10" borderId="0" xfId="1" applyFont="1" applyFill="1" applyBorder="1" applyAlignment="1">
      <alignment horizontal="left" vertical="center"/>
    </xf>
    <xf numFmtId="168" fontId="14" fillId="10" borderId="0" xfId="0" applyNumberFormat="1" applyFont="1" applyFill="1" applyAlignment="1">
      <alignment horizontal="left" vertical="center"/>
    </xf>
    <xf numFmtId="0" fontId="14" fillId="18" borderId="0" xfId="0" applyFont="1" applyFill="1" applyAlignment="1">
      <alignment horizontal="left" vertical="center"/>
    </xf>
    <xf numFmtId="165" fontId="14" fillId="9" borderId="0" xfId="0" applyNumberFormat="1" applyFont="1" applyFill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14" fillId="26" borderId="0" xfId="0" applyFont="1" applyFill="1" applyAlignment="1">
      <alignment horizontal="left" vertical="center"/>
    </xf>
    <xf numFmtId="0" fontId="14" fillId="16" borderId="0" xfId="0" applyFont="1" applyFill="1" applyAlignment="1">
      <alignment horizontal="left" vertical="center"/>
    </xf>
    <xf numFmtId="0" fontId="14" fillId="25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14" fillId="12" borderId="3" xfId="0" applyFont="1" applyFill="1" applyBorder="1" applyAlignment="1">
      <alignment horizontal="left" vertical="center"/>
    </xf>
    <xf numFmtId="0" fontId="14" fillId="11" borderId="3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left" vertical="center"/>
    </xf>
    <xf numFmtId="0" fontId="36" fillId="9" borderId="3" xfId="2" applyFont="1" applyFill="1" applyBorder="1" applyAlignment="1">
      <alignment horizontal="left" vertical="center"/>
    </xf>
    <xf numFmtId="173" fontId="37" fillId="8" borderId="1" xfId="0" applyNumberFormat="1" applyFont="1" applyFill="1" applyBorder="1" applyAlignment="1" applyProtection="1">
      <alignment horizontal="left" vertical="center" wrapText="1"/>
      <protection locked="0"/>
    </xf>
    <xf numFmtId="167" fontId="37" fillId="5" borderId="1" xfId="3" applyNumberFormat="1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left" vertical="center" wrapText="1"/>
    </xf>
    <xf numFmtId="20" fontId="37" fillId="5" borderId="1" xfId="0" applyNumberFormat="1" applyFont="1" applyFill="1" applyBorder="1" applyAlignment="1">
      <alignment horizontal="left" vertical="center" wrapText="1"/>
    </xf>
    <xf numFmtId="173" fontId="37" fillId="5" borderId="1" xfId="0" applyNumberFormat="1" applyFont="1" applyFill="1" applyBorder="1" applyAlignment="1">
      <alignment horizontal="left" vertical="center" wrapText="1"/>
    </xf>
    <xf numFmtId="165" fontId="38" fillId="7" borderId="1" xfId="0" applyNumberFormat="1" applyFont="1" applyFill="1" applyBorder="1" applyAlignment="1">
      <alignment horizontal="left" vertical="center" wrapText="1"/>
    </xf>
    <xf numFmtId="165" fontId="37" fillId="5" borderId="1" xfId="0" applyNumberFormat="1" applyFont="1" applyFill="1" applyBorder="1" applyAlignment="1">
      <alignment horizontal="left" vertical="center" wrapText="1"/>
    </xf>
    <xf numFmtId="9" fontId="37" fillId="5" borderId="1" xfId="1" applyFont="1" applyFill="1" applyBorder="1" applyAlignment="1">
      <alignment horizontal="left" vertical="center" wrapText="1"/>
    </xf>
    <xf numFmtId="43" fontId="37" fillId="5" borderId="1" xfId="3" applyFont="1" applyFill="1" applyBorder="1" applyAlignment="1">
      <alignment horizontal="left" vertical="center" wrapText="1"/>
    </xf>
    <xf numFmtId="168" fontId="37" fillId="5" borderId="1" xfId="3" applyNumberFormat="1" applyFont="1" applyFill="1" applyBorder="1" applyAlignment="1">
      <alignment horizontal="left" vertical="center" wrapText="1"/>
    </xf>
    <xf numFmtId="169" fontId="37" fillId="5" borderId="1" xfId="0" applyNumberFormat="1" applyFont="1" applyFill="1" applyBorder="1" applyAlignment="1">
      <alignment horizontal="left" vertical="center" wrapText="1"/>
    </xf>
    <xf numFmtId="168" fontId="37" fillId="5" borderId="1" xfId="0" applyNumberFormat="1" applyFont="1" applyFill="1" applyBorder="1" applyAlignment="1">
      <alignment horizontal="left" vertical="center" wrapText="1"/>
    </xf>
    <xf numFmtId="173" fontId="37" fillId="5" borderId="1" xfId="0" applyNumberFormat="1" applyFont="1" applyFill="1" applyBorder="1" applyAlignment="1">
      <alignment horizontal="left" vertical="center"/>
    </xf>
    <xf numFmtId="43" fontId="37" fillId="5" borderId="1" xfId="3" applyFont="1" applyFill="1" applyBorder="1" applyAlignment="1">
      <alignment horizontal="left" vertical="center"/>
    </xf>
    <xf numFmtId="165" fontId="37" fillId="5" borderId="1" xfId="3" applyNumberFormat="1" applyFont="1" applyFill="1" applyBorder="1" applyAlignment="1">
      <alignment horizontal="left" vertical="center"/>
    </xf>
    <xf numFmtId="1" fontId="37" fillId="5" borderId="1" xfId="3" applyNumberFormat="1" applyFont="1" applyFill="1" applyBorder="1" applyAlignment="1">
      <alignment horizontal="left" vertical="center"/>
    </xf>
    <xf numFmtId="165" fontId="37" fillId="5" borderId="1" xfId="0" applyNumberFormat="1" applyFont="1" applyFill="1" applyBorder="1" applyAlignment="1">
      <alignment horizontal="left" vertical="center"/>
    </xf>
    <xf numFmtId="0" fontId="37" fillId="5" borderId="1" xfId="0" applyFont="1" applyFill="1" applyBorder="1" applyAlignment="1">
      <alignment horizontal="left" vertical="center"/>
    </xf>
    <xf numFmtId="0" fontId="37" fillId="5" borderId="1" xfId="0" quotePrefix="1" applyFont="1" applyFill="1" applyBorder="1" applyAlignment="1">
      <alignment horizontal="left" vertical="center"/>
    </xf>
    <xf numFmtId="173" fontId="37" fillId="28" borderId="1" xfId="0" applyNumberFormat="1" applyFont="1" applyFill="1" applyBorder="1" applyAlignment="1">
      <alignment horizontal="left" vertical="center" wrapText="1"/>
    </xf>
    <xf numFmtId="173" fontId="37" fillId="5" borderId="1" xfId="0" applyNumberFormat="1" applyFont="1" applyFill="1" applyBorder="1" applyAlignment="1" applyProtection="1">
      <alignment horizontal="left" vertical="center" wrapText="1"/>
      <protection locked="0"/>
    </xf>
    <xf numFmtId="173" fontId="37" fillId="5" borderId="1" xfId="0" applyNumberFormat="1" applyFont="1" applyFill="1" applyBorder="1" applyAlignment="1" applyProtection="1">
      <alignment horizontal="left" vertical="center"/>
      <protection locked="0"/>
    </xf>
    <xf numFmtId="1" fontId="37" fillId="5" borderId="1" xfId="0" applyNumberFormat="1" applyFont="1" applyFill="1" applyBorder="1" applyAlignment="1">
      <alignment horizontal="left" vertical="center" wrapText="1"/>
    </xf>
    <xf numFmtId="2" fontId="37" fillId="5" borderId="1" xfId="0" applyNumberFormat="1" applyFont="1" applyFill="1" applyBorder="1" applyAlignment="1">
      <alignment horizontal="left" vertical="center" wrapText="1"/>
    </xf>
    <xf numFmtId="10" fontId="37" fillId="5" borderId="1" xfId="0" applyNumberFormat="1" applyFont="1" applyFill="1" applyBorder="1" applyAlignment="1">
      <alignment horizontal="left" vertical="center" wrapText="1"/>
    </xf>
    <xf numFmtId="1" fontId="37" fillId="6" borderId="1" xfId="0" applyNumberFormat="1" applyFont="1" applyFill="1" applyBorder="1" applyAlignment="1">
      <alignment horizontal="left" vertical="center" wrapText="1"/>
    </xf>
    <xf numFmtId="167" fontId="37" fillId="5" borderId="1" xfId="3" applyNumberFormat="1" applyFont="1" applyFill="1" applyBorder="1" applyAlignment="1" applyProtection="1">
      <alignment horizontal="left" vertical="center" wrapText="1"/>
      <protection locked="0"/>
    </xf>
    <xf numFmtId="8" fontId="37" fillId="5" borderId="1" xfId="0" applyNumberFormat="1" applyFont="1" applyFill="1" applyBorder="1" applyAlignment="1">
      <alignment horizontal="left" vertical="center" wrapText="1"/>
    </xf>
    <xf numFmtId="0" fontId="37" fillId="5" borderId="1" xfId="0" applyFont="1" applyFill="1" applyBorder="1" applyAlignment="1" applyProtection="1">
      <alignment horizontal="left" vertical="center" wrapText="1"/>
      <protection locked="0"/>
    </xf>
    <xf numFmtId="0" fontId="37" fillId="5" borderId="1" xfId="2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31" fillId="21" borderId="1" xfId="0" applyFont="1" applyFill="1" applyBorder="1" applyAlignment="1">
      <alignment wrapText="1"/>
    </xf>
    <xf numFmtId="0" fontId="40" fillId="0" borderId="0" xfId="0" applyFont="1"/>
    <xf numFmtId="172" fontId="10" fillId="0" borderId="1" xfId="0" applyNumberFormat="1" applyFont="1" applyBorder="1" applyAlignment="1">
      <alignment horizontal="left" vertical="center" wrapText="1"/>
    </xf>
    <xf numFmtId="167" fontId="23" fillId="0" borderId="1" xfId="3" applyNumberFormat="1" applyFont="1" applyFill="1" applyBorder="1" applyAlignment="1">
      <alignment horizontal="left" vertical="center"/>
    </xf>
    <xf numFmtId="9" fontId="10" fillId="0" borderId="1" xfId="1" applyFont="1" applyFill="1" applyBorder="1" applyAlignment="1">
      <alignment horizontal="left" vertical="center" wrapText="1"/>
    </xf>
    <xf numFmtId="167" fontId="10" fillId="0" borderId="1" xfId="3" applyNumberFormat="1" applyFont="1" applyFill="1" applyBorder="1" applyAlignment="1">
      <alignment horizontal="left" vertical="center"/>
    </xf>
    <xf numFmtId="43" fontId="10" fillId="0" borderId="1" xfId="3" applyFont="1" applyFill="1" applyBorder="1" applyAlignment="1" applyProtection="1">
      <alignment horizontal="left" vertical="center"/>
      <protection locked="0"/>
    </xf>
    <xf numFmtId="10" fontId="10" fillId="0" borderId="1" xfId="1" applyNumberFormat="1" applyFont="1" applyFill="1" applyBorder="1" applyAlignment="1">
      <alignment horizontal="left" vertical="center"/>
    </xf>
    <xf numFmtId="167" fontId="10" fillId="0" borderId="1" xfId="1" applyNumberFormat="1" applyFont="1" applyFill="1" applyBorder="1" applyAlignment="1">
      <alignment horizontal="left" vertical="center"/>
    </xf>
    <xf numFmtId="8" fontId="10" fillId="0" borderId="1" xfId="3" applyNumberFormat="1" applyFont="1" applyFill="1" applyBorder="1" applyAlignment="1">
      <alignment horizontal="left" vertical="center"/>
    </xf>
    <xf numFmtId="1" fontId="6" fillId="0" borderId="4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17" fontId="6" fillId="0" borderId="1" xfId="0" applyNumberFormat="1" applyFont="1" applyBorder="1" applyAlignment="1" applyProtection="1">
      <alignment horizontal="left" vertical="center"/>
      <protection locked="0"/>
    </xf>
    <xf numFmtId="16" fontId="6" fillId="0" borderId="0" xfId="0" applyNumberFormat="1" applyFont="1" applyAlignment="1" applyProtection="1">
      <alignment horizontal="left" vertical="center"/>
      <protection locked="0"/>
    </xf>
    <xf numFmtId="0" fontId="6" fillId="4" borderId="1" xfId="0" applyFont="1" applyFill="1" applyBorder="1" applyAlignment="1">
      <alignment horizontal="left" vertical="center" wrapText="1"/>
    </xf>
    <xf numFmtId="1" fontId="6" fillId="0" borderId="0" xfId="0" applyNumberFormat="1" applyFont="1" applyAlignment="1">
      <alignment horizontal="left" vertical="center"/>
    </xf>
    <xf numFmtId="9" fontId="14" fillId="10" borderId="0" xfId="1" applyFont="1" applyFill="1" applyAlignment="1">
      <alignment horizontal="left" vertical="center"/>
    </xf>
    <xf numFmtId="167" fontId="14" fillId="20" borderId="0" xfId="3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" fillId="5" borderId="1" xfId="0" applyFont="1" applyFill="1" applyBorder="1"/>
    <xf numFmtId="0" fontId="4" fillId="28" borderId="1" xfId="0" applyFont="1" applyFill="1" applyBorder="1"/>
    <xf numFmtId="165" fontId="4" fillId="14" borderId="1" xfId="0" applyNumberFormat="1" applyFont="1" applyFill="1" applyBorder="1" applyAlignment="1">
      <alignment horizontal="center"/>
    </xf>
    <xf numFmtId="165" fontId="0" fillId="0" borderId="1" xfId="0" applyNumberFormat="1" applyBorder="1"/>
    <xf numFmtId="0" fontId="38" fillId="28" borderId="1" xfId="0" applyFont="1" applyFill="1" applyBorder="1" applyAlignment="1">
      <alignment horizontal="left" vertical="center" wrapText="1"/>
    </xf>
    <xf numFmtId="8" fontId="6" fillId="0" borderId="1" xfId="3" applyNumberFormat="1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17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65" fontId="0" fillId="0" borderId="5" xfId="0" applyNumberFormat="1" applyBorder="1" applyAlignment="1">
      <alignment horizontal="left"/>
    </xf>
    <xf numFmtId="0" fontId="0" fillId="0" borderId="13" xfId="0" applyBorder="1"/>
    <xf numFmtId="0" fontId="4" fillId="5" borderId="13" xfId="0" applyFont="1" applyFill="1" applyBorder="1" applyAlignment="1">
      <alignment horizontal="left"/>
    </xf>
    <xf numFmtId="0" fontId="4" fillId="5" borderId="13" xfId="0" applyFont="1" applyFill="1" applyBorder="1"/>
    <xf numFmtId="165" fontId="4" fillId="14" borderId="13" xfId="0" applyNumberFormat="1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174" fontId="0" fillId="0" borderId="13" xfId="0" applyNumberFormat="1" applyBorder="1" applyAlignment="1">
      <alignment horizontal="left"/>
    </xf>
    <xf numFmtId="165" fontId="0" fillId="0" borderId="13" xfId="0" applyNumberFormat="1" applyBorder="1" applyAlignment="1">
      <alignment horizontal="left"/>
    </xf>
    <xf numFmtId="1" fontId="19" fillId="0" borderId="0" xfId="0" applyNumberFormat="1" applyFont="1" applyAlignment="1">
      <alignment horizontal="center"/>
    </xf>
    <xf numFmtId="14" fontId="6" fillId="0" borderId="1" xfId="0" applyNumberFormat="1" applyFont="1" applyBorder="1" applyAlignment="1" applyProtection="1">
      <alignment horizontal="left" vertical="center"/>
      <protection locked="0"/>
    </xf>
    <xf numFmtId="1" fontId="19" fillId="0" borderId="13" xfId="0" applyNumberFormat="1" applyFont="1" applyBorder="1" applyAlignment="1">
      <alignment horizontal="center"/>
    </xf>
    <xf numFmtId="0" fontId="17" fillId="6" borderId="4" xfId="0" applyFont="1" applyFill="1" applyBorder="1" applyAlignment="1">
      <alignment horizontal="center" vertical="center"/>
    </xf>
    <xf numFmtId="43" fontId="19" fillId="0" borderId="3" xfId="3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7" fillId="6" borderId="13" xfId="0" applyFont="1" applyFill="1" applyBorder="1" applyAlignment="1">
      <alignment horizontal="center" vertical="center"/>
    </xf>
    <xf numFmtId="0" fontId="17" fillId="6" borderId="13" xfId="0" quotePrefix="1" applyFont="1" applyFill="1" applyBorder="1" applyAlignment="1">
      <alignment horizontal="center" vertical="center"/>
    </xf>
    <xf numFmtId="43" fontId="17" fillId="6" borderId="13" xfId="5" applyFont="1" applyFill="1" applyBorder="1" applyAlignment="1">
      <alignment horizontal="center" vertical="center"/>
    </xf>
    <xf numFmtId="173" fontId="17" fillId="6" borderId="13" xfId="0" applyNumberFormat="1" applyFont="1" applyFill="1" applyBorder="1" applyAlignment="1">
      <alignment horizontal="center" vertical="center"/>
    </xf>
    <xf numFmtId="175" fontId="17" fillId="6" borderId="13" xfId="0" applyNumberFormat="1" applyFont="1" applyFill="1" applyBorder="1" applyAlignment="1">
      <alignment horizontal="center" vertical="center"/>
    </xf>
    <xf numFmtId="0" fontId="17" fillId="6" borderId="13" xfId="5" applyNumberFormat="1" applyFont="1" applyFill="1" applyBorder="1" applyAlignment="1">
      <alignment horizontal="center" vertical="center"/>
    </xf>
    <xf numFmtId="43" fontId="19" fillId="0" borderId="13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43" fontId="19" fillId="0" borderId="13" xfId="3" applyFont="1" applyBorder="1" applyAlignment="1">
      <alignment horizontal="center"/>
    </xf>
    <xf numFmtId="16" fontId="19" fillId="0" borderId="13" xfId="0" applyNumberFormat="1" applyFont="1" applyBorder="1" applyAlignment="1">
      <alignment horizontal="center"/>
    </xf>
    <xf numFmtId="43" fontId="17" fillId="6" borderId="14" xfId="5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1" fontId="41" fillId="5" borderId="13" xfId="0" applyNumberFormat="1" applyFont="1" applyFill="1" applyBorder="1" applyAlignment="1">
      <alignment horizontal="center"/>
    </xf>
    <xf numFmtId="0" fontId="41" fillId="5" borderId="13" xfId="0" applyFont="1" applyFill="1" applyBorder="1" applyAlignment="1">
      <alignment horizontal="center"/>
    </xf>
    <xf numFmtId="174" fontId="0" fillId="4" borderId="13" xfId="0" applyNumberFormat="1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165" fontId="0" fillId="4" borderId="13" xfId="0" applyNumberFormat="1" applyFill="1" applyBorder="1" applyAlignment="1">
      <alignment horizontal="left"/>
    </xf>
    <xf numFmtId="16" fontId="23" fillId="0" borderId="1" xfId="0" applyNumberFormat="1" applyFont="1" applyBorder="1" applyAlignment="1">
      <alignment horizontal="left" vertical="center"/>
    </xf>
    <xf numFmtId="9" fontId="10" fillId="0" borderId="1" xfId="1" applyFont="1" applyBorder="1" applyAlignment="1">
      <alignment horizontal="left" vertical="center" wrapText="1"/>
    </xf>
    <xf numFmtId="167" fontId="10" fillId="0" borderId="1" xfId="3" applyNumberFormat="1" applyFont="1" applyBorder="1" applyAlignment="1">
      <alignment horizontal="left" vertical="center"/>
    </xf>
    <xf numFmtId="171" fontId="10" fillId="0" borderId="1" xfId="3" applyNumberFormat="1" applyFont="1" applyBorder="1" applyAlignment="1">
      <alignment horizontal="left" vertical="center"/>
    </xf>
    <xf numFmtId="43" fontId="10" fillId="0" borderId="1" xfId="3" applyFont="1" applyBorder="1" applyAlignment="1" applyProtection="1">
      <alignment horizontal="left" vertical="center"/>
      <protection locked="0"/>
    </xf>
    <xf numFmtId="10" fontId="10" fillId="0" borderId="1" xfId="1" applyNumberFormat="1" applyFont="1" applyBorder="1" applyAlignment="1">
      <alignment horizontal="left" vertical="center"/>
    </xf>
    <xf numFmtId="167" fontId="10" fillId="0" borderId="1" xfId="1" applyNumberFormat="1" applyFont="1" applyBorder="1" applyAlignment="1">
      <alignment horizontal="left" vertical="center"/>
    </xf>
    <xf numFmtId="167" fontId="10" fillId="0" borderId="1" xfId="3" applyNumberFormat="1" applyFont="1" applyBorder="1" applyAlignment="1">
      <alignment horizontal="left" vertical="center" wrapText="1"/>
    </xf>
    <xf numFmtId="8" fontId="10" fillId="0" borderId="1" xfId="3" applyNumberFormat="1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left" vertical="center" wrapText="1"/>
    </xf>
    <xf numFmtId="15" fontId="6" fillId="0" borderId="0" xfId="0" applyNumberFormat="1" applyFont="1" applyAlignment="1" applyProtection="1">
      <alignment horizontal="left" vertical="center"/>
      <protection locked="0"/>
    </xf>
    <xf numFmtId="15" fontId="6" fillId="0" borderId="1" xfId="0" applyNumberFormat="1" applyFont="1" applyBorder="1" applyAlignment="1" applyProtection="1">
      <alignment horizontal="left" vertical="center"/>
      <protection locked="0"/>
    </xf>
    <xf numFmtId="0" fontId="37" fillId="6" borderId="1" xfId="0" applyFont="1" applyFill="1" applyBorder="1" applyAlignment="1">
      <alignment horizontal="left" vertical="center" wrapText="1"/>
    </xf>
    <xf numFmtId="1" fontId="6" fillId="0" borderId="1" xfId="3" applyNumberFormat="1" applyFont="1" applyBorder="1" applyAlignment="1">
      <alignment horizontal="left" vertical="center" wrapText="1"/>
    </xf>
    <xf numFmtId="1" fontId="6" fillId="0" borderId="1" xfId="3" applyNumberFormat="1" applyFont="1" applyFill="1" applyBorder="1" applyAlignment="1">
      <alignment horizontal="left" vertical="center" wrapText="1"/>
    </xf>
    <xf numFmtId="1" fontId="10" fillId="0" borderId="1" xfId="3" applyNumberFormat="1" applyFont="1" applyFill="1" applyBorder="1" applyAlignment="1">
      <alignment horizontal="left" vertical="center" wrapText="1"/>
    </xf>
    <xf numFmtId="1" fontId="7" fillId="0" borderId="1" xfId="6" applyNumberFormat="1" applyFont="1" applyBorder="1" applyAlignment="1">
      <alignment horizontal="left" wrapText="1"/>
    </xf>
    <xf numFmtId="1" fontId="10" fillId="0" borderId="1" xfId="3" applyNumberFormat="1" applyFont="1" applyBorder="1" applyAlignment="1">
      <alignment horizontal="left" vertical="center" wrapText="1"/>
    </xf>
    <xf numFmtId="0" fontId="42" fillId="0" borderId="1" xfId="0" applyFont="1" applyBorder="1" applyAlignment="1">
      <alignment wrapText="1"/>
    </xf>
    <xf numFmtId="0" fontId="6" fillId="6" borderId="1" xfId="2" applyFont="1" applyFill="1" applyBorder="1" applyAlignment="1">
      <alignment horizontal="left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71" fontId="19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left" vertical="center" wrapText="1"/>
    </xf>
    <xf numFmtId="171" fontId="7" fillId="0" borderId="1" xfId="3" applyNumberFormat="1" applyFont="1" applyBorder="1" applyAlignment="1">
      <alignment horizontal="left" vertical="center"/>
    </xf>
    <xf numFmtId="0" fontId="19" fillId="0" borderId="13" xfId="0" applyFont="1" applyBorder="1" applyAlignment="1">
      <alignment horizontal="left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43" fontId="43" fillId="0" borderId="1" xfId="3" applyFont="1" applyBorder="1" applyAlignment="1">
      <alignment horizontal="left" vertical="center"/>
    </xf>
    <xf numFmtId="8" fontId="10" fillId="0" borderId="1" xfId="3" applyNumberFormat="1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12" fontId="6" fillId="0" borderId="0" xfId="0" applyNumberFormat="1" applyFont="1" applyAlignment="1">
      <alignment horizontal="left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16" fontId="5" fillId="0" borderId="1" xfId="0" applyNumberFormat="1" applyFont="1" applyBorder="1" applyAlignment="1" applyProtection="1">
      <alignment horizontal="left" vertical="center"/>
      <protection locked="0"/>
    </xf>
    <xf numFmtId="165" fontId="5" fillId="0" borderId="1" xfId="0" applyNumberFormat="1" applyFont="1" applyBorder="1" applyAlignment="1">
      <alignment horizontal="left" vertical="center"/>
    </xf>
    <xf numFmtId="43" fontId="5" fillId="0" borderId="1" xfId="3" applyFont="1" applyFill="1" applyBorder="1" applyAlignment="1">
      <alignment horizontal="left" vertical="center"/>
    </xf>
    <xf numFmtId="169" fontId="5" fillId="0" borderId="1" xfId="0" applyNumberFormat="1" applyFont="1" applyBorder="1" applyAlignment="1">
      <alignment horizontal="left" vertical="center"/>
    </xf>
    <xf numFmtId="168" fontId="5" fillId="0" borderId="1" xfId="0" applyNumberFormat="1" applyFont="1" applyBorder="1" applyAlignment="1">
      <alignment horizontal="left" vertical="center"/>
    </xf>
    <xf numFmtId="1" fontId="5" fillId="0" borderId="1" xfId="3" applyNumberFormat="1" applyFont="1" applyFill="1" applyBorder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8" fontId="5" fillId="0" borderId="1" xfId="1" applyNumberFormat="1" applyFont="1" applyFill="1" applyBorder="1" applyAlignment="1">
      <alignment horizontal="left" vertical="center"/>
    </xf>
    <xf numFmtId="167" fontId="5" fillId="0" borderId="3" xfId="3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" fontId="6" fillId="0" borderId="3" xfId="0" applyNumberFormat="1" applyFont="1" applyBorder="1" applyAlignment="1">
      <alignment horizontal="left" vertical="center"/>
    </xf>
    <xf numFmtId="16" fontId="6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/>
    </xf>
    <xf numFmtId="1" fontId="5" fillId="0" borderId="3" xfId="0" applyNumberFormat="1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left" vertical="center"/>
    </xf>
    <xf numFmtId="9" fontId="6" fillId="0" borderId="3" xfId="1" applyFont="1" applyBorder="1" applyAlignment="1">
      <alignment horizontal="left" vertical="center" wrapText="1"/>
    </xf>
    <xf numFmtId="43" fontId="7" fillId="0" borderId="3" xfId="3" applyFont="1" applyBorder="1" applyAlignment="1">
      <alignment horizontal="left" vertical="center"/>
    </xf>
    <xf numFmtId="43" fontId="6" fillId="0" borderId="3" xfId="3" applyFont="1" applyBorder="1" applyAlignment="1">
      <alignment horizontal="left" vertical="center" wrapText="1"/>
    </xf>
    <xf numFmtId="9" fontId="6" fillId="0" borderId="3" xfId="0" applyNumberFormat="1" applyFont="1" applyBorder="1" applyAlignment="1">
      <alignment horizontal="left" vertical="center" wrapText="1"/>
    </xf>
    <xf numFmtId="169" fontId="6" fillId="0" borderId="3" xfId="0" applyNumberFormat="1" applyFont="1" applyBorder="1" applyAlignment="1">
      <alignment horizontal="left" vertical="center" wrapText="1"/>
    </xf>
    <xf numFmtId="16" fontId="6" fillId="0" borderId="3" xfId="0" applyNumberFormat="1" applyFont="1" applyBorder="1" applyAlignment="1">
      <alignment horizontal="left" vertical="center" wrapText="1"/>
    </xf>
    <xf numFmtId="168" fontId="10" fillId="0" borderId="3" xfId="0" applyNumberFormat="1" applyFont="1" applyBorder="1" applyAlignment="1">
      <alignment horizontal="left" vertical="center"/>
    </xf>
    <xf numFmtId="165" fontId="6" fillId="0" borderId="3" xfId="0" applyNumberFormat="1" applyFont="1" applyBorder="1" applyAlignment="1">
      <alignment horizontal="left" vertical="center" wrapText="1"/>
    </xf>
    <xf numFmtId="16" fontId="9" fillId="0" borderId="3" xfId="0" applyNumberFormat="1" applyFont="1" applyBorder="1" applyAlignment="1">
      <alignment horizontal="left" vertical="center" wrapText="1"/>
    </xf>
    <xf numFmtId="167" fontId="6" fillId="0" borderId="3" xfId="3" applyNumberFormat="1" applyFont="1" applyBorder="1" applyAlignment="1">
      <alignment horizontal="left" vertical="center"/>
    </xf>
    <xf numFmtId="171" fontId="6" fillId="0" borderId="3" xfId="3" applyNumberFormat="1" applyFont="1" applyBorder="1" applyAlignment="1">
      <alignment horizontal="left" vertical="center"/>
    </xf>
    <xf numFmtId="170" fontId="6" fillId="0" borderId="3" xfId="0" applyNumberFormat="1" applyFont="1" applyBorder="1" applyAlignment="1">
      <alignment horizontal="left" vertical="center" wrapText="1"/>
    </xf>
    <xf numFmtId="0" fontId="6" fillId="0" borderId="3" xfId="0" quotePrefix="1" applyFont="1" applyBorder="1" applyAlignment="1">
      <alignment horizontal="left" vertical="center" wrapText="1"/>
    </xf>
    <xf numFmtId="43" fontId="6" fillId="0" borderId="3" xfId="3" applyFont="1" applyBorder="1" applyAlignment="1">
      <alignment horizontal="left" vertical="center"/>
    </xf>
    <xf numFmtId="173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16" fontId="6" fillId="0" borderId="3" xfId="0" applyNumberFormat="1" applyFont="1" applyBorder="1" applyAlignment="1" applyProtection="1">
      <alignment horizontal="left" vertical="center"/>
      <protection locked="0"/>
    </xf>
    <xf numFmtId="164" fontId="6" fillId="0" borderId="3" xfId="0" applyNumberFormat="1" applyFont="1" applyBorder="1" applyAlignment="1">
      <alignment horizontal="left" vertical="center"/>
    </xf>
    <xf numFmtId="10" fontId="6" fillId="0" borderId="3" xfId="1" applyNumberFormat="1" applyFont="1" applyBorder="1" applyAlignment="1">
      <alignment horizontal="left" vertical="center"/>
    </xf>
    <xf numFmtId="43" fontId="6" fillId="0" borderId="3" xfId="3" applyFont="1" applyBorder="1" applyAlignment="1" applyProtection="1">
      <alignment horizontal="left" vertical="center"/>
      <protection locked="0"/>
    </xf>
    <xf numFmtId="2" fontId="6" fillId="0" borderId="3" xfId="0" applyNumberFormat="1" applyFont="1" applyBorder="1" applyAlignment="1">
      <alignment horizontal="left" vertical="center"/>
    </xf>
    <xf numFmtId="43" fontId="6" fillId="0" borderId="3" xfId="0" applyNumberFormat="1" applyFont="1" applyBorder="1" applyAlignment="1">
      <alignment horizontal="left" vertical="center"/>
    </xf>
    <xf numFmtId="167" fontId="6" fillId="0" borderId="3" xfId="1" applyNumberFormat="1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8" fontId="6" fillId="0" borderId="3" xfId="3" applyNumberFormat="1" applyFont="1" applyBorder="1" applyAlignment="1">
      <alignment horizontal="left" vertical="center" wrapText="1"/>
    </xf>
    <xf numFmtId="15" fontId="6" fillId="0" borderId="3" xfId="0" applyNumberFormat="1" applyFont="1" applyBorder="1" applyAlignment="1">
      <alignment horizontal="left" vertical="center" wrapText="1"/>
    </xf>
    <xf numFmtId="0" fontId="6" fillId="0" borderId="3" xfId="2" applyFont="1" applyFill="1" applyBorder="1" applyAlignment="1">
      <alignment horizontal="left" vertical="center" wrapText="1"/>
    </xf>
    <xf numFmtId="8" fontId="6" fillId="0" borderId="3" xfId="3" applyNumberFormat="1" applyFont="1" applyBorder="1" applyAlignment="1">
      <alignment horizontal="left" vertical="center"/>
    </xf>
    <xf numFmtId="15" fontId="6" fillId="0" borderId="3" xfId="0" applyNumberFormat="1" applyFont="1" applyBorder="1" applyAlignment="1">
      <alignment horizontal="left" vertical="center"/>
    </xf>
    <xf numFmtId="0" fontId="6" fillId="0" borderId="3" xfId="2" applyFont="1" applyFill="1" applyBorder="1" applyAlignment="1">
      <alignment horizontal="left" vertical="center"/>
    </xf>
    <xf numFmtId="2" fontId="6" fillId="0" borderId="3" xfId="2" applyNumberFormat="1" applyFont="1" applyFill="1" applyBorder="1" applyAlignment="1">
      <alignment horizontal="left" vertical="center"/>
    </xf>
    <xf numFmtId="1" fontId="6" fillId="0" borderId="3" xfId="0" applyNumberFormat="1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left" vertical="center"/>
    </xf>
    <xf numFmtId="1" fontId="5" fillId="0" borderId="1" xfId="3" applyNumberFormat="1" applyFont="1" applyBorder="1" applyAlignment="1">
      <alignment horizontal="left" vertical="center"/>
    </xf>
    <xf numFmtId="17" fontId="5" fillId="0" borderId="0" xfId="0" applyNumberFormat="1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44" fillId="21" borderId="1" xfId="0" applyFont="1" applyFill="1" applyBorder="1" applyAlignment="1">
      <alignment wrapText="1"/>
    </xf>
    <xf numFmtId="165" fontId="10" fillId="0" borderId="3" xfId="0" applyNumberFormat="1" applyFont="1" applyBorder="1" applyAlignment="1">
      <alignment horizontal="left" vertical="center"/>
    </xf>
    <xf numFmtId="9" fontId="10" fillId="0" borderId="3" xfId="1" applyFont="1" applyBorder="1" applyAlignment="1">
      <alignment horizontal="left" vertical="center" wrapText="1"/>
    </xf>
    <xf numFmtId="167" fontId="10" fillId="0" borderId="3" xfId="3" applyNumberFormat="1" applyFont="1" applyBorder="1" applyAlignment="1">
      <alignment horizontal="left" vertical="center"/>
    </xf>
    <xf numFmtId="167" fontId="23" fillId="0" borderId="3" xfId="3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1" fontId="10" fillId="0" borderId="3" xfId="0" applyNumberFormat="1" applyFont="1" applyBorder="1" applyAlignment="1">
      <alignment horizontal="left" vertical="center"/>
    </xf>
    <xf numFmtId="16" fontId="10" fillId="0" borderId="3" xfId="0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 wrapText="1"/>
    </xf>
    <xf numFmtId="1" fontId="23" fillId="0" borderId="3" xfId="0" applyNumberFormat="1" applyFont="1" applyBorder="1" applyAlignment="1">
      <alignment horizontal="left" vertical="center"/>
    </xf>
    <xf numFmtId="16" fontId="23" fillId="0" borderId="3" xfId="0" applyNumberFormat="1" applyFont="1" applyBorder="1" applyAlignment="1">
      <alignment horizontal="left" vertical="center"/>
    </xf>
    <xf numFmtId="43" fontId="10" fillId="0" borderId="3" xfId="3" applyFont="1" applyBorder="1" applyAlignment="1">
      <alignment horizontal="left" vertical="center" wrapText="1"/>
    </xf>
    <xf numFmtId="9" fontId="10" fillId="0" borderId="3" xfId="0" applyNumberFormat="1" applyFont="1" applyBorder="1" applyAlignment="1">
      <alignment horizontal="left" vertical="center" wrapText="1"/>
    </xf>
    <xf numFmtId="169" fontId="10" fillId="0" borderId="3" xfId="0" applyNumberFormat="1" applyFont="1" applyBorder="1" applyAlignment="1">
      <alignment horizontal="left" vertical="center" wrapText="1"/>
    </xf>
    <xf numFmtId="16" fontId="10" fillId="0" borderId="3" xfId="0" applyNumberFormat="1" applyFont="1" applyBorder="1" applyAlignment="1">
      <alignment horizontal="left" vertical="center" wrapText="1"/>
    </xf>
    <xf numFmtId="165" fontId="10" fillId="0" borderId="3" xfId="0" applyNumberFormat="1" applyFont="1" applyBorder="1" applyAlignment="1">
      <alignment horizontal="left" vertical="center" wrapText="1"/>
    </xf>
    <xf numFmtId="16" fontId="35" fillId="0" borderId="3" xfId="0" applyNumberFormat="1" applyFont="1" applyBorder="1" applyAlignment="1">
      <alignment horizontal="left" vertical="center" wrapText="1"/>
    </xf>
    <xf numFmtId="171" fontId="10" fillId="0" borderId="3" xfId="3" applyNumberFormat="1" applyFont="1" applyBorder="1" applyAlignment="1">
      <alignment horizontal="left" vertical="center"/>
    </xf>
    <xf numFmtId="170" fontId="10" fillId="0" borderId="3" xfId="0" applyNumberFormat="1" applyFont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 wrapText="1"/>
    </xf>
    <xf numFmtId="43" fontId="10" fillId="0" borderId="3" xfId="3" applyFont="1" applyBorder="1" applyAlignment="1">
      <alignment horizontal="left" vertical="center"/>
    </xf>
    <xf numFmtId="173" fontId="10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 applyProtection="1">
      <alignment horizontal="left" vertical="center"/>
      <protection locked="0"/>
    </xf>
    <xf numFmtId="16" fontId="10" fillId="0" borderId="3" xfId="0" applyNumberFormat="1" applyFont="1" applyBorder="1" applyAlignment="1" applyProtection="1">
      <alignment horizontal="left" vertical="center"/>
      <protection locked="0"/>
    </xf>
    <xf numFmtId="164" fontId="10" fillId="0" borderId="3" xfId="0" applyNumberFormat="1" applyFont="1" applyBorder="1" applyAlignment="1">
      <alignment horizontal="left" vertical="center"/>
    </xf>
    <xf numFmtId="10" fontId="10" fillId="0" borderId="3" xfId="1" applyNumberFormat="1" applyFont="1" applyBorder="1" applyAlignment="1">
      <alignment horizontal="left" vertical="center"/>
    </xf>
    <xf numFmtId="43" fontId="10" fillId="0" borderId="3" xfId="3" applyFont="1" applyBorder="1" applyAlignment="1" applyProtection="1">
      <alignment horizontal="left" vertical="center"/>
      <protection locked="0"/>
    </xf>
    <xf numFmtId="2" fontId="10" fillId="0" borderId="3" xfId="0" applyNumberFormat="1" applyFont="1" applyBorder="1" applyAlignment="1">
      <alignment horizontal="left" vertical="center"/>
    </xf>
    <xf numFmtId="43" fontId="10" fillId="0" borderId="3" xfId="0" applyNumberFormat="1" applyFont="1" applyBorder="1" applyAlignment="1">
      <alignment horizontal="left" vertical="center"/>
    </xf>
    <xf numFmtId="167" fontId="10" fillId="0" borderId="3" xfId="1" applyNumberFormat="1" applyFont="1" applyBorder="1" applyAlignment="1">
      <alignment horizontal="left" vertical="center"/>
    </xf>
    <xf numFmtId="9" fontId="10" fillId="0" borderId="3" xfId="0" applyNumberFormat="1" applyFont="1" applyBorder="1" applyAlignment="1">
      <alignment horizontal="left" vertical="center"/>
    </xf>
    <xf numFmtId="10" fontId="10" fillId="0" borderId="3" xfId="0" applyNumberFormat="1" applyFont="1" applyBorder="1" applyAlignment="1">
      <alignment horizontal="left" vertical="center"/>
    </xf>
    <xf numFmtId="8" fontId="10" fillId="0" borderId="3" xfId="3" applyNumberFormat="1" applyFont="1" applyBorder="1" applyAlignment="1">
      <alignment horizontal="left" vertical="center" wrapText="1"/>
    </xf>
    <xf numFmtId="15" fontId="10" fillId="0" borderId="3" xfId="0" applyNumberFormat="1" applyFont="1" applyBorder="1" applyAlignment="1">
      <alignment horizontal="left" vertical="center" wrapText="1"/>
    </xf>
    <xf numFmtId="0" fontId="10" fillId="0" borderId="3" xfId="2" applyFont="1" applyFill="1" applyBorder="1" applyAlignment="1">
      <alignment horizontal="left" vertical="center" wrapText="1"/>
    </xf>
    <xf numFmtId="8" fontId="10" fillId="0" borderId="3" xfId="3" applyNumberFormat="1" applyFont="1" applyBorder="1" applyAlignment="1">
      <alignment horizontal="left" vertical="center"/>
    </xf>
    <xf numFmtId="15" fontId="10" fillId="0" borderId="3" xfId="0" applyNumberFormat="1" applyFont="1" applyBorder="1" applyAlignment="1">
      <alignment horizontal="left" vertical="center"/>
    </xf>
    <xf numFmtId="0" fontId="10" fillId="0" borderId="3" xfId="2" applyFont="1" applyFill="1" applyBorder="1" applyAlignment="1">
      <alignment horizontal="left" vertical="center"/>
    </xf>
    <xf numFmtId="2" fontId="10" fillId="0" borderId="3" xfId="2" applyNumberFormat="1" applyFont="1" applyFill="1" applyBorder="1" applyAlignment="1">
      <alignment horizontal="left" vertical="center"/>
    </xf>
    <xf numFmtId="1" fontId="10" fillId="0" borderId="3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171" fontId="6" fillId="0" borderId="1" xfId="3" applyNumberFormat="1" applyFont="1" applyBorder="1" applyAlignment="1">
      <alignment horizontal="center" vertical="center"/>
    </xf>
    <xf numFmtId="0" fontId="45" fillId="0" borderId="3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wrapText="1"/>
    </xf>
    <xf numFmtId="0" fontId="19" fillId="4" borderId="3" xfId="0" applyFont="1" applyFill="1" applyBorder="1" applyAlignment="1">
      <alignment horizontal="center" wrapText="1"/>
    </xf>
    <xf numFmtId="1" fontId="6" fillId="0" borderId="5" xfId="0" applyNumberFormat="1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43" fontId="46" fillId="0" borderId="1" xfId="3" applyFont="1" applyBorder="1" applyAlignment="1">
      <alignment horizontal="left" vertical="center"/>
    </xf>
    <xf numFmtId="0" fontId="47" fillId="21" borderId="1" xfId="0" applyFont="1" applyFill="1" applyBorder="1" applyAlignment="1">
      <alignment wrapText="1"/>
    </xf>
    <xf numFmtId="0" fontId="48" fillId="0" borderId="1" xfId="0" applyFont="1" applyBorder="1" applyAlignment="1">
      <alignment horizontal="center"/>
    </xf>
    <xf numFmtId="1" fontId="48" fillId="0" borderId="1" xfId="0" applyNumberFormat="1" applyFont="1" applyBorder="1" applyAlignment="1">
      <alignment horizontal="center"/>
    </xf>
    <xf numFmtId="43" fontId="48" fillId="0" borderId="1" xfId="3" applyFont="1" applyBorder="1" applyAlignment="1">
      <alignment horizontal="center"/>
    </xf>
    <xf numFmtId="43" fontId="48" fillId="0" borderId="1" xfId="0" applyNumberFormat="1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43" fontId="48" fillId="0" borderId="13" xfId="0" applyNumberFormat="1" applyFont="1" applyBorder="1" applyAlignment="1">
      <alignment horizontal="center"/>
    </xf>
    <xf numFmtId="0" fontId="48" fillId="0" borderId="13" xfId="0" applyFont="1" applyBorder="1" applyAlignment="1">
      <alignment horizontal="center"/>
    </xf>
    <xf numFmtId="43" fontId="48" fillId="0" borderId="13" xfId="3" applyFont="1" applyBorder="1" applyAlignment="1">
      <alignment horizontal="center"/>
    </xf>
    <xf numFmtId="16" fontId="48" fillId="0" borderId="13" xfId="0" applyNumberFormat="1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1" fontId="48" fillId="0" borderId="13" xfId="0" applyNumberFormat="1" applyFont="1" applyBorder="1" applyAlignment="1">
      <alignment horizontal="center"/>
    </xf>
    <xf numFmtId="0" fontId="49" fillId="4" borderId="1" xfId="0" applyFont="1" applyFill="1" applyBorder="1" applyAlignment="1">
      <alignment horizontal="left" vertical="center"/>
    </xf>
    <xf numFmtId="168" fontId="10" fillId="0" borderId="1" xfId="0" applyNumberFormat="1" applyFont="1" applyBorder="1" applyAlignment="1">
      <alignment horizontal="left" vertical="center" wrapText="1"/>
    </xf>
    <xf numFmtId="12" fontId="10" fillId="0" borderId="1" xfId="0" applyNumberFormat="1" applyFont="1" applyBorder="1" applyAlignment="1">
      <alignment horizontal="left" vertical="center"/>
    </xf>
    <xf numFmtId="15" fontId="10" fillId="0" borderId="1" xfId="0" applyNumberFormat="1" applyFont="1" applyBorder="1" applyAlignment="1" applyProtection="1">
      <alignment horizontal="left" vertical="center"/>
      <protection locked="0"/>
    </xf>
    <xf numFmtId="2" fontId="49" fillId="4" borderId="1" xfId="0" applyNumberFormat="1" applyFont="1" applyFill="1" applyBorder="1" applyAlignment="1">
      <alignment horizontal="left" vertical="center"/>
    </xf>
    <xf numFmtId="0" fontId="6" fillId="30" borderId="1" xfId="0" applyFont="1" applyFill="1" applyBorder="1" applyAlignment="1">
      <alignment horizontal="left" vertical="center"/>
    </xf>
    <xf numFmtId="167" fontId="5" fillId="0" borderId="5" xfId="3" applyNumberFormat="1" applyFont="1" applyBorder="1" applyAlignment="1">
      <alignment horizontal="left" vertical="center"/>
    </xf>
    <xf numFmtId="167" fontId="5" fillId="0" borderId="6" xfId="3" applyNumberFormat="1" applyFont="1" applyBorder="1" applyAlignment="1">
      <alignment horizontal="left" vertical="center"/>
    </xf>
    <xf numFmtId="167" fontId="5" fillId="0" borderId="2" xfId="3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71" fontId="6" fillId="0" borderId="0" xfId="3" applyNumberFormat="1" applyFont="1" applyBorder="1" applyAlignment="1">
      <alignment horizontal="left" vertical="center"/>
    </xf>
    <xf numFmtId="43" fontId="6" fillId="0" borderId="0" xfId="3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" fontId="6" fillId="4" borderId="1" xfId="0" applyNumberFormat="1" applyFont="1" applyFill="1" applyBorder="1" applyAlignment="1">
      <alignment horizontal="left" vertical="center"/>
    </xf>
    <xf numFmtId="1" fontId="50" fillId="21" borderId="1" xfId="0" applyNumberFormat="1" applyFont="1" applyFill="1" applyBorder="1" applyAlignment="1" applyProtection="1">
      <alignment horizontal="left" vertical="center"/>
      <protection locked="0"/>
    </xf>
    <xf numFmtId="167" fontId="0" fillId="0" borderId="0" xfId="6" applyNumberFormat="1" applyFont="1"/>
    <xf numFmtId="0" fontId="51" fillId="21" borderId="5" xfId="7" applyFill="1" applyBorder="1" applyAlignment="1" applyProtection="1">
      <alignment horizontal="center" vertical="center"/>
      <protection locked="0"/>
    </xf>
    <xf numFmtId="1" fontId="0" fillId="0" borderId="0" xfId="0" applyNumberFormat="1"/>
    <xf numFmtId="0" fontId="0" fillId="17" borderId="0" xfId="0" applyFill="1"/>
    <xf numFmtId="167" fontId="0" fillId="17" borderId="0" xfId="0" applyNumberFormat="1" applyFill="1"/>
    <xf numFmtId="0" fontId="0" fillId="11" borderId="0" xfId="0" applyFill="1"/>
    <xf numFmtId="0" fontId="0" fillId="31" borderId="0" xfId="0" applyFill="1"/>
    <xf numFmtId="0" fontId="0" fillId="32" borderId="0" xfId="0" applyFill="1"/>
    <xf numFmtId="167" fontId="52" fillId="33" borderId="1" xfId="0" applyNumberFormat="1" applyFont="1" applyFill="1" applyBorder="1" applyAlignment="1" applyProtection="1">
      <alignment horizontal="left" vertical="center" wrapText="1"/>
      <protection locked="0"/>
    </xf>
    <xf numFmtId="172" fontId="52" fillId="34" borderId="3" xfId="0" applyNumberFormat="1" applyFont="1" applyFill="1" applyBorder="1" applyAlignment="1" applyProtection="1">
      <alignment horizontal="left" vertical="center" wrapText="1"/>
      <protection locked="0"/>
    </xf>
    <xf numFmtId="167" fontId="52" fillId="33" borderId="1" xfId="0" applyNumberFormat="1" applyFont="1" applyFill="1" applyBorder="1" applyAlignment="1" applyProtection="1">
      <alignment vertical="center" wrapText="1"/>
      <protection locked="0"/>
    </xf>
    <xf numFmtId="172" fontId="52" fillId="33" borderId="1" xfId="0" applyNumberFormat="1" applyFont="1" applyFill="1" applyBorder="1" applyAlignment="1" applyProtection="1">
      <alignment horizontal="center" vertical="center" wrapText="1"/>
      <protection locked="0"/>
    </xf>
    <xf numFmtId="175" fontId="52" fillId="33" borderId="1" xfId="0" applyNumberFormat="1" applyFont="1" applyFill="1" applyBorder="1" applyAlignment="1" applyProtection="1">
      <alignment horizontal="left" vertical="center" wrapText="1"/>
      <protection locked="0"/>
    </xf>
    <xf numFmtId="172" fontId="52" fillId="33" borderId="1" xfId="0" applyNumberFormat="1" applyFont="1" applyFill="1" applyBorder="1" applyAlignment="1" applyProtection="1">
      <alignment horizontal="left" vertical="center" wrapText="1"/>
      <protection locked="0"/>
    </xf>
    <xf numFmtId="0" fontId="52" fillId="33" borderId="1" xfId="0" applyFont="1" applyFill="1" applyBorder="1" applyAlignment="1" applyProtection="1">
      <alignment horizontal="left" vertical="center"/>
      <protection locked="0"/>
    </xf>
    <xf numFmtId="172" fontId="52" fillId="33" borderId="1" xfId="0" applyNumberFormat="1" applyFont="1" applyFill="1" applyBorder="1" applyAlignment="1" applyProtection="1">
      <alignment horizontal="left" vertical="center"/>
      <protection locked="0"/>
    </xf>
    <xf numFmtId="178" fontId="52" fillId="33" borderId="1" xfId="0" applyNumberFormat="1" applyFont="1" applyFill="1" applyBorder="1" applyAlignment="1" applyProtection="1">
      <alignment horizontal="left" vertical="center"/>
      <protection locked="0"/>
    </xf>
    <xf numFmtId="178" fontId="52" fillId="33" borderId="1" xfId="0" applyNumberFormat="1" applyFont="1" applyFill="1" applyBorder="1" applyAlignment="1" applyProtection="1">
      <alignment horizontal="left" vertical="center" wrapText="1"/>
      <protection locked="0"/>
    </xf>
    <xf numFmtId="171" fontId="52" fillId="33" borderId="1" xfId="6" applyNumberFormat="1" applyFont="1" applyFill="1" applyBorder="1" applyAlignment="1" applyProtection="1">
      <alignment horizontal="left" vertical="center" wrapText="1"/>
      <protection locked="0"/>
    </xf>
    <xf numFmtId="165" fontId="52" fillId="33" borderId="1" xfId="6" applyNumberFormat="1" applyFont="1" applyFill="1" applyBorder="1" applyAlignment="1" applyProtection="1">
      <alignment horizontal="left" vertical="center" wrapText="1"/>
      <protection locked="0"/>
    </xf>
    <xf numFmtId="0" fontId="52" fillId="33" borderId="1" xfId="0" applyFont="1" applyFill="1" applyBorder="1" applyAlignment="1" applyProtection="1">
      <alignment horizontal="center" wrapText="1"/>
      <protection locked="0"/>
    </xf>
    <xf numFmtId="43" fontId="52" fillId="33" borderId="1" xfId="6" applyFont="1" applyFill="1" applyBorder="1" applyAlignment="1" applyProtection="1">
      <alignment horizontal="left" vertical="center" wrapText="1"/>
      <protection locked="0"/>
    </xf>
    <xf numFmtId="172" fontId="52" fillId="33" borderId="1" xfId="0" applyNumberFormat="1" applyFont="1" applyFill="1" applyBorder="1" applyAlignment="1" applyProtection="1">
      <alignment horizontal="center" vertical="center"/>
      <protection locked="0"/>
    </xf>
    <xf numFmtId="165" fontId="52" fillId="33" borderId="1" xfId="0" applyNumberFormat="1" applyFont="1" applyFill="1" applyBorder="1" applyAlignment="1" applyProtection="1">
      <alignment horizontal="center" vertical="center"/>
      <protection locked="0"/>
    </xf>
    <xf numFmtId="0" fontId="52" fillId="33" borderId="1" xfId="0" applyFont="1" applyFill="1" applyBorder="1" applyAlignment="1" applyProtection="1">
      <alignment horizontal="center" vertical="center"/>
      <protection locked="0"/>
    </xf>
    <xf numFmtId="15" fontId="52" fillId="33" borderId="1" xfId="0" applyNumberFormat="1" applyFont="1" applyFill="1" applyBorder="1" applyAlignment="1" applyProtection="1">
      <alignment horizontal="center" vertical="center"/>
      <protection locked="0"/>
    </xf>
    <xf numFmtId="172" fontId="52" fillId="33" borderId="1" xfId="0" applyNumberFormat="1" applyFont="1" applyFill="1" applyBorder="1" applyAlignment="1" applyProtection="1">
      <alignment horizontal="center" vertical="center"/>
      <protection locked="0" hidden="1"/>
    </xf>
    <xf numFmtId="0" fontId="52" fillId="33" borderId="1" xfId="0" applyFont="1" applyFill="1" applyBorder="1" applyAlignment="1" applyProtection="1">
      <alignment horizontal="center"/>
      <protection locked="0"/>
    </xf>
    <xf numFmtId="0" fontId="52" fillId="35" borderId="1" xfId="0" applyFont="1" applyFill="1" applyBorder="1" applyAlignment="1" applyProtection="1">
      <alignment horizontal="center" wrapText="1"/>
      <protection locked="0"/>
    </xf>
    <xf numFmtId="172" fontId="52" fillId="35" borderId="1" xfId="0" applyNumberFormat="1" applyFont="1" applyFill="1" applyBorder="1" applyAlignment="1" applyProtection="1">
      <alignment horizontal="center" vertical="center" wrapText="1"/>
      <protection locked="0"/>
    </xf>
    <xf numFmtId="172" fontId="52" fillId="36" borderId="1" xfId="0" applyNumberFormat="1" applyFont="1" applyFill="1" applyBorder="1" applyAlignment="1" applyProtection="1">
      <alignment horizontal="center" vertical="center"/>
      <protection locked="0" hidden="1"/>
    </xf>
    <xf numFmtId="0" fontId="50" fillId="36" borderId="1" xfId="0" applyFont="1" applyFill="1" applyBorder="1" applyAlignment="1" applyProtection="1">
      <alignment horizontal="left" vertical="center"/>
      <protection locked="0"/>
    </xf>
    <xf numFmtId="0" fontId="50" fillId="37" borderId="1" xfId="0" applyFont="1" applyFill="1" applyBorder="1" applyAlignment="1" applyProtection="1">
      <alignment horizontal="left" vertical="center"/>
      <protection locked="0"/>
    </xf>
    <xf numFmtId="0" fontId="53" fillId="38" borderId="1" xfId="0" applyFont="1" applyFill="1" applyBorder="1"/>
    <xf numFmtId="0" fontId="0" fillId="0" borderId="4" xfId="0" applyBorder="1" applyAlignment="1">
      <alignment horizontal="center" vertical="center"/>
    </xf>
    <xf numFmtId="41" fontId="50" fillId="0" borderId="15" xfId="0" applyNumberFormat="1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50" fillId="21" borderId="1" xfId="0" applyNumberFormat="1" applyFont="1" applyFill="1" applyBorder="1" applyAlignment="1" applyProtection="1">
      <alignment horizontal="center" vertical="center"/>
      <protection locked="0"/>
    </xf>
    <xf numFmtId="167" fontId="0" fillId="0" borderId="1" xfId="0" applyNumberFormat="1" applyBorder="1" applyAlignment="1">
      <alignment horizontal="center" vertical="center"/>
    </xf>
    <xf numFmtId="0" fontId="51" fillId="21" borderId="1" xfId="7" applyFill="1" applyBorder="1" applyAlignment="1" applyProtection="1">
      <alignment horizontal="center" vertical="center"/>
      <protection locked="0"/>
    </xf>
    <xf numFmtId="0" fontId="54" fillId="21" borderId="1" xfId="7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55" fillId="0" borderId="0" xfId="0" applyFont="1"/>
    <xf numFmtId="41" fontId="50" fillId="0" borderId="1" xfId="0" applyNumberFormat="1" applyFont="1" applyBorder="1" applyAlignment="1" applyProtection="1">
      <alignment horizontal="center" vertical="center"/>
      <protection locked="0"/>
    </xf>
    <xf numFmtId="0" fontId="56" fillId="0" borderId="13" xfId="0" applyFont="1" applyBorder="1" applyAlignment="1">
      <alignment horizontal="center"/>
    </xf>
    <xf numFmtId="41" fontId="50" fillId="0" borderId="1" xfId="0" applyNumberFormat="1" applyFont="1" applyBorder="1" applyAlignment="1" applyProtection="1">
      <alignment horizontal="left" vertical="center"/>
      <protection locked="0"/>
    </xf>
    <xf numFmtId="41" fontId="50" fillId="0" borderId="3" xfId="0" applyNumberFormat="1" applyFont="1" applyBorder="1" applyAlignment="1" applyProtection="1">
      <alignment horizontal="left" vertical="center"/>
      <protection locked="0"/>
    </xf>
    <xf numFmtId="0" fontId="54" fillId="21" borderId="1" xfId="7" applyFont="1" applyFill="1" applyBorder="1" applyAlignment="1" applyProtection="1">
      <alignment horizontal="center" vertical="center"/>
      <protection locked="0"/>
    </xf>
    <xf numFmtId="0" fontId="13" fillId="13" borderId="8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41" fontId="57" fillId="0" borderId="1" xfId="0" applyNumberFormat="1" applyFont="1" applyBorder="1" applyAlignment="1" applyProtection="1">
      <alignment horizontal="left" vertical="center"/>
      <protection locked="0"/>
    </xf>
    <xf numFmtId="1" fontId="57" fillId="21" borderId="1" xfId="0" applyNumberFormat="1" applyFont="1" applyFill="1" applyBorder="1" applyAlignment="1" applyProtection="1">
      <alignment horizontal="center" vertical="center"/>
      <protection locked="0"/>
    </xf>
    <xf numFmtId="0" fontId="51" fillId="21" borderId="1" xfId="0" applyFont="1" applyFill="1" applyBorder="1" applyAlignment="1" applyProtection="1">
      <alignment horizontal="center" vertical="center"/>
      <protection locked="0"/>
    </xf>
    <xf numFmtId="0" fontId="58" fillId="21" borderId="1" xfId="0" applyFont="1" applyFill="1" applyBorder="1" applyAlignment="1" applyProtection="1">
      <alignment horizontal="center" vertical="center"/>
      <protection locked="0"/>
    </xf>
    <xf numFmtId="43" fontId="43" fillId="0" borderId="3" xfId="3" applyFont="1" applyBorder="1" applyAlignment="1">
      <alignment horizontal="left" vertical="center"/>
    </xf>
  </cellXfs>
  <cellStyles count="8">
    <cellStyle name="20% - Accent4" xfId="2" builtinId="42"/>
    <cellStyle name="Comma" xfId="6" builtinId="3"/>
    <cellStyle name="Comma 2" xfId="3" xr:uid="{9DB2ED80-526A-434C-84B3-4D8F2697BC94}"/>
    <cellStyle name="Comma 2 2" xfId="5" xr:uid="{BF84E946-199A-4F1B-9FC5-D0794577E7E1}"/>
    <cellStyle name="Comma 3 2" xfId="4" xr:uid="{3EC305C3-B741-4A4B-A207-18E7B5BFC092}"/>
    <cellStyle name="Hyperlink" xfId="7" builtinId="8"/>
    <cellStyle name="Normal" xfId="0" builtinId="0"/>
    <cellStyle name="Per cent" xfId="1" builtinId="5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b/>
        <i/>
      </font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7CD89D"/>
      <color rgb="FFAAE3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Originwise</a:t>
            </a:r>
            <a:r>
              <a:rPr lang="en-GB" b="1" baseline="0">
                <a:solidFill>
                  <a:schemeClr val="tx1"/>
                </a:solidFill>
              </a:rPr>
              <a:t> Cargo Sailed %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BE-4C1A-8028-DC960D2ADB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BE-4C1A-8028-DC960D2ADB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BE-4C1A-8028-DC960D2ADB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BE-4C1A-8028-DC960D2ADB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BE-4C1A-8028-DC960D2ADB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BE-4C1A-8028-DC960D2ADB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BE-4C1A-8028-DC960D2ADB3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BE-4C1A-8028-DC960D2ADB3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BE-4C1A-8028-DC960D2ADB3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DBE-4C1A-8028-DC960D2ADB39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DBE-4C1A-8028-DC960D2ADB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Dashboard'!$D$2:$M$2</c:f>
              <c:strCache>
                <c:ptCount val="8"/>
                <c:pt idx="0">
                  <c:v>Nigeria</c:v>
                </c:pt>
                <c:pt idx="1">
                  <c:v>Ogbomosho</c:v>
                </c:pt>
                <c:pt idx="2">
                  <c:v>Ghana</c:v>
                </c:pt>
                <c:pt idx="3">
                  <c:v>IVC</c:v>
                </c:pt>
                <c:pt idx="4">
                  <c:v>Burkina Faso</c:v>
                </c:pt>
                <c:pt idx="5">
                  <c:v>Bissau</c:v>
                </c:pt>
                <c:pt idx="6">
                  <c:v>Benin</c:v>
                </c:pt>
                <c:pt idx="7">
                  <c:v>Togo</c:v>
                </c:pt>
              </c:strCache>
            </c:strRef>
          </c:cat>
          <c:val>
            <c:numRef>
              <c:f>'Sales Dashboard'!$D$3:$M$3</c:f>
              <c:numCache>
                <c:formatCode>_(* #,##0.000_);_(* \(#,##0.000\);_(* "-"??_);_(@_)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2400.1080000000002</c:v>
                </c:pt>
                <c:pt idx="3">
                  <c:v>7095.3550000000005</c:v>
                </c:pt>
                <c:pt idx="4">
                  <c:v>708.71699999999998</c:v>
                </c:pt>
                <c:pt idx="5">
                  <c:v>28.2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DBE-4C1A-8028-DC960D2AD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119</xdr:col>
          <xdr:colOff>1778000</xdr:colOff>
          <xdr:row>197</xdr:row>
          <xdr:rowOff>19050</xdr:rowOff>
        </xdr:from>
        <xdr:to>
          <xdr:col>120</xdr:col>
          <xdr:colOff>0</xdr:colOff>
          <xdr:row>197</xdr:row>
          <xdr:rowOff>203200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590550</xdr:colOff>
          <xdr:row>19</xdr:row>
          <xdr:rowOff>323850</xdr:rowOff>
        </xdr:from>
        <xdr:to>
          <xdr:col>61</xdr:col>
          <xdr:colOff>768350</xdr:colOff>
          <xdr:row>23</xdr:row>
          <xdr:rowOff>12700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870044</xdr:colOff>
      <xdr:row>7</xdr:row>
      <xdr:rowOff>20659</xdr:rowOff>
    </xdr:from>
    <xdr:to>
      <xdr:col>14</xdr:col>
      <xdr:colOff>290013</xdr:colOff>
      <xdr:row>31</xdr:row>
      <xdr:rowOff>58489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D399E-0EE0-447B-8195-BFA048D8B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pl365-my.sharepoint.com/personal/yogesh_upreti_valencyafrica_com/Documents/Desktop/IVC%20Shipment%20tracking%20sheets/RCN%20-%20Charly/RCN%20Shipment%20tracking%20sheet%202026--.xlsx" TargetMode="External"/><Relationship Id="rId1" Type="http://schemas.openxmlformats.org/officeDocument/2006/relationships/externalLinkPath" Target="https://vipl365-my.sharepoint.com/personal/yogesh_upreti_valencyafrica_com/Documents/Desktop/IVC%20Shipment%20tracking%20sheets/RCN%20-%20Charly/RCN%20Shipment%20tracking%20sheet%202026--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ALENCY\IVC\IVC%20Shipm%202026.xlsx" TargetMode="External"/><Relationship Id="rId1" Type="http://schemas.openxmlformats.org/officeDocument/2006/relationships/externalLinkPath" Target="file:///C:\VALENCY\IVC\IVC%20Shipm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ASHEW%202025-26/RCN-VIPL_TRADE%20TRACKER%202025%20-%20V01.xlsx" TargetMode="External"/><Relationship Id="rId2" Type="http://schemas.openxmlformats.org/officeDocument/2006/relationships/externalLinkPath" Target="https://vipl365.sharepoint.com/sites/VI-RCN/OPERATIONS/CASHEW%202025-26/RCN-VIPL_TRADE%20TRACKER%202025%20-%20V01.xlsx" TargetMode="External"/><Relationship Id="rId1" Type="http://schemas.openxmlformats.org/officeDocument/2006/relationships/externalLinkPath" Target="/sites/VI-RCN/OPERATIONS/CASHEW%202025-26/RCN-VIPL_TRADE%20TRACKER%202025%20-%20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Bxmt9OpIxU2zZSRBE6bWdV9aGpqOpflAnlgf7sFt4-44CGKLWgg7TK3j0oL74jCf" itemId="01PE6BJIQ7YIPVJM3JYJEZCOFXKEIBBEC2">
      <xxl21:absoluteUrl r:id="rId2"/>
    </xxl21:alternateUrls>
    <sheetNames>
      <sheetName val="Shipment"/>
      <sheetName val="Stock rcvd"/>
      <sheetName val="Dashboard"/>
      <sheetName val="SALES SHEET"/>
      <sheetName val="SUMMARY"/>
      <sheetName val="Sheet9"/>
      <sheetName val="Data 2026"/>
      <sheetName val="SINGAPORE TRACKER REQUEST"/>
      <sheetName val="PCH Sheet"/>
      <sheetName val="IN CERTS &amp; BAG MARKING INSTRUCT"/>
      <sheetName val="DATA CLIENT VISE "/>
      <sheetName val="SI VIETNAM"/>
      <sheetName val="SHIPPING INSTRUCTION INDIA"/>
      <sheetName val="4055159330"/>
      <sheetName val="4055159280"/>
      <sheetName val="4055159320"/>
      <sheetName val="4055159310"/>
      <sheetName val="4055146960"/>
      <sheetName val="4055147052"/>
      <sheetName val="4055147051"/>
      <sheetName val="4055147050"/>
      <sheetName val="4055147053"/>
      <sheetName val="90264240"/>
      <sheetName val="32715843"/>
      <sheetName val="10051322"/>
      <sheetName val="269062523"/>
      <sheetName val="269062760"/>
      <sheetName val="92429068"/>
      <sheetName val="26500030"/>
      <sheetName val="92767861"/>
      <sheetName val="21151774"/>
      <sheetName val="19131503"/>
      <sheetName val="268593044"/>
      <sheetName val="269062694"/>
      <sheetName val="269062882"/>
      <sheetName val="EBKG16338118"/>
      <sheetName val="EBKG16338124"/>
      <sheetName val="EBKG16338129"/>
      <sheetName val="267490071"/>
      <sheetName val="268606982"/>
      <sheetName val="268607083"/>
      <sheetName val="268599953"/>
      <sheetName val="268607193"/>
      <sheetName val="268715714"/>
      <sheetName val="268715910"/>
      <sheetName val="268716048"/>
      <sheetName val="267777396-"/>
      <sheetName val="268590042"/>
      <sheetName val="268589748"/>
      <sheetName val="268586303"/>
      <sheetName val="268585803"/>
      <sheetName val="268584744"/>
      <sheetName val="267778372"/>
      <sheetName val="267778302"/>
      <sheetName val="267778211"/>
      <sheetName val="267778211-1"/>
      <sheetName val="NEW 2+2+2"/>
      <sheetName val="267778042"/>
      <sheetName val="267777926"/>
      <sheetName val="267777926-1"/>
      <sheetName val="267777686"/>
      <sheetName val="267777396"/>
      <sheetName val="267777396-1"/>
      <sheetName val="267514904"/>
      <sheetName val="268716278"/>
      <sheetName val="268715092"/>
      <sheetName val="268715415"/>
      <sheetName val="267490088"/>
      <sheetName val="267455386"/>
      <sheetName val="269636234"/>
      <sheetName val="269062811"/>
      <sheetName val="267489622"/>
      <sheetName val="267465107-1"/>
      <sheetName val="267465107-2"/>
      <sheetName val="267465107"/>
      <sheetName val=" ABJG00392800"/>
      <sheetName val="267466662"/>
      <sheetName val="267489622-1"/>
      <sheetName val="267489694"/>
      <sheetName val="267489736-1"/>
      <sheetName val="269658785"/>
      <sheetName val="267489781"/>
      <sheetName val="267489781-1"/>
      <sheetName val="267490003"/>
      <sheetName val="ABJG00282600"/>
      <sheetName val="ABJG00281500"/>
      <sheetName val="267489832"/>
      <sheetName val="267489852"/>
      <sheetName val="267489886"/>
      <sheetName val="267489943"/>
      <sheetName val="267490043"/>
      <sheetName val="SI INDIA "/>
    </sheetNames>
    <sheetDataSet>
      <sheetData sheetId="0"/>
      <sheetData sheetId="1"/>
      <sheetData sheetId="2"/>
      <sheetData sheetId="3"/>
      <sheetData sheetId="4"/>
      <sheetData sheetId="5"/>
      <sheetData sheetId="6">
        <row r="12">
          <cell r="D12">
            <v>48</v>
          </cell>
          <cell r="E12">
            <v>200</v>
          </cell>
          <cell r="H12">
            <v>32014996</v>
          </cell>
          <cell r="K12" t="str">
            <v>APRIL</v>
          </cell>
          <cell r="L12" t="str">
            <v>VALENCY CI</v>
          </cell>
          <cell r="M12" t="str">
            <v>RED RIVER FOODS</v>
          </cell>
          <cell r="N12" t="str">
            <v xml:space="preserve"> ABJG00392800</v>
          </cell>
          <cell r="O12" t="str">
            <v>ONEYABJG00392800</v>
          </cell>
          <cell r="P12" t="str">
            <v>TPSCR26010622</v>
          </cell>
          <cell r="Q12" t="str">
            <v>ABJ</v>
          </cell>
          <cell r="R12" t="str">
            <v>Qui Nhon, Vietnam</v>
          </cell>
          <cell r="S12" t="str">
            <v xml:space="preserve">GLEN CANYON </v>
          </cell>
          <cell r="T12">
            <v>46105</v>
          </cell>
          <cell r="U12">
            <v>46121</v>
          </cell>
          <cell r="V12">
            <v>46122</v>
          </cell>
          <cell r="W12">
            <v>46133</v>
          </cell>
          <cell r="X12">
            <v>46171</v>
          </cell>
          <cell r="Y12">
            <v>46137</v>
          </cell>
          <cell r="Z12">
            <v>46137</v>
          </cell>
          <cell r="AA12">
            <v>300</v>
          </cell>
          <cell r="AB12">
            <v>288.39</v>
          </cell>
          <cell r="AC12">
            <v>45777</v>
          </cell>
          <cell r="AD12" t="str">
            <v>Ex-Olam</v>
          </cell>
          <cell r="AE12">
            <v>12</v>
          </cell>
          <cell r="AG12" t="str">
            <v>MONTER GLOBAL</v>
          </cell>
          <cell r="AH12" t="str">
            <v>DUNAMIS/SITRACOM</v>
          </cell>
          <cell r="AI12" t="str">
            <v>ONE</v>
          </cell>
          <cell r="AJ12" t="str">
            <v>40FT</v>
          </cell>
          <cell r="AK12">
            <v>0.1</v>
          </cell>
          <cell r="AL12" t="str">
            <v xml:space="preserve"> ( 1 x 300 MTS ) </v>
          </cell>
          <cell r="AM12">
            <v>330</v>
          </cell>
          <cell r="AO12"/>
          <cell r="AP12">
            <v>46140</v>
          </cell>
          <cell r="AQ12">
            <v>46140</v>
          </cell>
          <cell r="AR12">
            <v>46149</v>
          </cell>
          <cell r="AS12">
            <v>46150</v>
          </cell>
          <cell r="AT12">
            <v>46150</v>
          </cell>
          <cell r="AU12">
            <v>46150</v>
          </cell>
          <cell r="AV12" t="str">
            <v xml:space="preserve">Ms. Than 
VALENCY INTERNATIONAL TRADING VIETNAM CO., LTD </v>
          </cell>
          <cell r="AW12">
            <v>46153</v>
          </cell>
          <cell r="AX12">
            <v>4780215742</v>
          </cell>
          <cell r="AY12" t="str">
            <v xml:space="preserve">BL printing Singapore </v>
          </cell>
          <cell r="AZ12">
            <v>46149</v>
          </cell>
          <cell r="BA12"/>
          <cell r="BF12" t="str">
            <v>MONTER GLOBAL</v>
          </cell>
          <cell r="BG12"/>
          <cell r="BH12"/>
          <cell r="BI12"/>
          <cell r="BJ12"/>
          <cell r="BK12"/>
          <cell r="BL12" t="str">
            <v>DUNAMIS/SITRACOM</v>
          </cell>
          <cell r="BM12"/>
          <cell r="BN12"/>
          <cell r="BO12"/>
          <cell r="BP12"/>
          <cell r="BQ12"/>
          <cell r="BR12">
            <v>46137</v>
          </cell>
          <cell r="BS12" t="str">
            <v>IVC-RCN2026-CI0001</v>
          </cell>
          <cell r="BV12" t="str">
            <v>BOA/KTD</v>
          </cell>
          <cell r="BX12"/>
          <cell r="BY12" t="str">
            <v>1347386H26000000532</v>
          </cell>
          <cell r="BZ12">
            <v>46161</v>
          </cell>
          <cell r="CA12" t="str">
            <v>182610-14836</v>
          </cell>
          <cell r="CB12">
            <v>46129</v>
          </cell>
          <cell r="CC12" t="str">
            <v>2026-0121</v>
          </cell>
          <cell r="CD12">
            <v>46129</v>
          </cell>
          <cell r="CE12"/>
          <cell r="CF12"/>
          <cell r="CG12">
            <v>46105</v>
          </cell>
          <cell r="CH12">
            <v>46127</v>
          </cell>
          <cell r="CI12" t="str">
            <v>E11675</v>
          </cell>
          <cell r="CJ12"/>
          <cell r="CK12">
            <v>46132</v>
          </cell>
          <cell r="CM12"/>
          <cell r="CN12" t="str">
            <v>Sugmaran</v>
          </cell>
          <cell r="CP12"/>
        </row>
        <row r="13">
          <cell r="D13">
            <v>49</v>
          </cell>
          <cell r="E13">
            <v>200</v>
          </cell>
          <cell r="H13">
            <v>32014455</v>
          </cell>
          <cell r="K13" t="str">
            <v>APRIL</v>
          </cell>
          <cell r="L13" t="str">
            <v>VALENCY CI</v>
          </cell>
          <cell r="M13" t="str">
            <v>SREE DEVI CASHEW INDUSTRIES</v>
          </cell>
          <cell r="N13">
            <v>267777396</v>
          </cell>
          <cell r="O13">
            <v>267777396</v>
          </cell>
          <cell r="P13"/>
          <cell r="Q13" t="str">
            <v>ABJ</v>
          </cell>
          <cell r="R13" t="str">
            <v>MANGALORE, INDIA</v>
          </cell>
          <cell r="S13" t="str">
            <v>MAERSK CUANZA</v>
          </cell>
          <cell r="T13">
            <v>46112</v>
          </cell>
          <cell r="U13">
            <v>46123</v>
          </cell>
          <cell r="V13">
            <v>46124</v>
          </cell>
          <cell r="W13">
            <v>46159</v>
          </cell>
          <cell r="X13">
            <v>46202</v>
          </cell>
          <cell r="Y13">
            <v>46172</v>
          </cell>
          <cell r="Z13"/>
          <cell r="AA13">
            <v>100</v>
          </cell>
          <cell r="AB13">
            <v>100</v>
          </cell>
          <cell r="AC13">
            <v>45777</v>
          </cell>
          <cell r="AD13" t="str">
            <v>Ex-Olam</v>
          </cell>
          <cell r="AE13">
            <v>4</v>
          </cell>
          <cell r="AG13" t="str">
            <v xml:space="preserve">VALENCY SINGAPORE </v>
          </cell>
          <cell r="AH13" t="str">
            <v>AFIC</v>
          </cell>
          <cell r="AI13" t="str">
            <v>MSK</v>
          </cell>
          <cell r="AJ13" t="str">
            <v>40FT</v>
          </cell>
          <cell r="AK13">
            <v>0.1</v>
          </cell>
          <cell r="AL13" t="str">
            <v>(01x250MTS)</v>
          </cell>
          <cell r="AM13">
            <v>110</v>
          </cell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F13" t="str">
            <v xml:space="preserve">VALENCY SINGAPORE </v>
          </cell>
          <cell r="BG13"/>
          <cell r="BH13"/>
          <cell r="BI13"/>
          <cell r="BJ13"/>
          <cell r="BK13"/>
          <cell r="BL13" t="str">
            <v>AFIC</v>
          </cell>
          <cell r="BM13"/>
          <cell r="BN13"/>
          <cell r="BO13"/>
          <cell r="BP13"/>
          <cell r="BQ13"/>
          <cell r="BR13"/>
          <cell r="BS13"/>
          <cell r="BV13" t="str">
            <v>BOA/KTD</v>
          </cell>
          <cell r="BW13"/>
          <cell r="BX13"/>
          <cell r="BY13"/>
          <cell r="BZ13"/>
          <cell r="CA13" t="str">
            <v>182610-14867</v>
          </cell>
          <cell r="CB13">
            <v>46129</v>
          </cell>
          <cell r="CC13" t="str">
            <v>2026-0182</v>
          </cell>
          <cell r="CD13">
            <v>46129</v>
          </cell>
          <cell r="CE13"/>
          <cell r="CF13"/>
          <cell r="CG13">
            <v>46112</v>
          </cell>
          <cell r="CH13">
            <v>46126</v>
          </cell>
          <cell r="CI13" t="str">
            <v>E11346</v>
          </cell>
          <cell r="CJ13"/>
          <cell r="CK13"/>
          <cell r="CM13"/>
          <cell r="CN13" t="str">
            <v>Sugmaran</v>
          </cell>
          <cell r="CP13"/>
        </row>
        <row r="14">
          <cell r="D14">
            <v>47</v>
          </cell>
          <cell r="E14">
            <v>200</v>
          </cell>
          <cell r="H14">
            <v>32015968</v>
          </cell>
          <cell r="K14" t="str">
            <v>APRIL</v>
          </cell>
          <cell r="L14" t="str">
            <v>VALENCY CI</v>
          </cell>
          <cell r="M14" t="str">
            <v>VALENCY AGRO INDIA UDUPI</v>
          </cell>
          <cell r="N14">
            <v>267777686</v>
          </cell>
          <cell r="O14"/>
          <cell r="P14"/>
          <cell r="Q14" t="str">
            <v>ABJ</v>
          </cell>
          <cell r="R14" t="str">
            <v>MANGALORE, INDIA</v>
          </cell>
          <cell r="S14" t="str">
            <v>MAERSK CUANZA</v>
          </cell>
          <cell r="T14">
            <v>46112</v>
          </cell>
          <cell r="U14">
            <v>46123</v>
          </cell>
          <cell r="V14">
            <v>46124</v>
          </cell>
          <cell r="W14">
            <v>46159</v>
          </cell>
          <cell r="X14">
            <v>46202</v>
          </cell>
          <cell r="Y14">
            <v>46172</v>
          </cell>
          <cell r="Z14"/>
          <cell r="AA14">
            <v>250</v>
          </cell>
          <cell r="AB14">
            <v>250</v>
          </cell>
          <cell r="AC14">
            <v>45777</v>
          </cell>
          <cell r="AD14" t="str">
            <v>Ex-Olam</v>
          </cell>
          <cell r="AE14">
            <v>10</v>
          </cell>
          <cell r="AG14" t="str">
            <v xml:space="preserve">VALENCY SINGAPORE </v>
          </cell>
          <cell r="AH14" t="str">
            <v>AFIC</v>
          </cell>
          <cell r="AI14" t="str">
            <v>MSK</v>
          </cell>
          <cell r="AJ14" t="str">
            <v>40FT</v>
          </cell>
          <cell r="AK14">
            <v>0.1</v>
          </cell>
          <cell r="AL14" t="str">
            <v>(01x250MTS)</v>
          </cell>
          <cell r="AM14">
            <v>275</v>
          </cell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F14" t="str">
            <v xml:space="preserve">VALENCY SINGAPORE </v>
          </cell>
          <cell r="BG14"/>
          <cell r="BH14"/>
          <cell r="BI14"/>
          <cell r="BJ14"/>
          <cell r="BK14"/>
          <cell r="BL14" t="str">
            <v>AFIC</v>
          </cell>
          <cell r="BM14"/>
          <cell r="BN14"/>
          <cell r="BO14"/>
          <cell r="BP14"/>
          <cell r="BQ14"/>
          <cell r="BR14"/>
          <cell r="BS14"/>
          <cell r="BV14" t="str">
            <v>BOA/KTD</v>
          </cell>
          <cell r="BW14"/>
          <cell r="BX14"/>
          <cell r="BY14"/>
          <cell r="BZ14"/>
          <cell r="CA14" t="str">
            <v>182610-14862</v>
          </cell>
          <cell r="CB14">
            <v>46129</v>
          </cell>
          <cell r="CC14" t="str">
            <v>2026-0178</v>
          </cell>
          <cell r="CD14">
            <v>46129</v>
          </cell>
          <cell r="CE14"/>
          <cell r="CF14"/>
          <cell r="CG14">
            <v>46112</v>
          </cell>
          <cell r="CH14">
            <v>46126</v>
          </cell>
          <cell r="CI14" t="str">
            <v>E11346</v>
          </cell>
          <cell r="CJ14"/>
          <cell r="CK14"/>
          <cell r="CM14"/>
          <cell r="CN14" t="str">
            <v>Sugmaran</v>
          </cell>
          <cell r="CP14"/>
        </row>
        <row r="16">
          <cell r="D16">
            <v>49</v>
          </cell>
          <cell r="E16">
            <v>200</v>
          </cell>
          <cell r="H16">
            <v>32014483</v>
          </cell>
          <cell r="K16" t="str">
            <v>APRIL</v>
          </cell>
          <cell r="L16" t="str">
            <v>VALENCY CI</v>
          </cell>
          <cell r="M16" t="str">
            <v>SRI VIJAYALAXMI CASHEW INDUSTRIES</v>
          </cell>
          <cell r="N16">
            <v>267777926</v>
          </cell>
          <cell r="O16">
            <v>267777926</v>
          </cell>
          <cell r="P16"/>
          <cell r="Q16" t="str">
            <v>ABJ</v>
          </cell>
          <cell r="R16" t="str">
            <v>MANGALORE, INDIA</v>
          </cell>
          <cell r="S16" t="str">
            <v>MAERSK CUANZA</v>
          </cell>
          <cell r="T16">
            <v>46112</v>
          </cell>
          <cell r="U16">
            <v>46123</v>
          </cell>
          <cell r="V16">
            <v>46124</v>
          </cell>
          <cell r="W16">
            <v>46159</v>
          </cell>
          <cell r="X16">
            <v>46202</v>
          </cell>
          <cell r="Y16">
            <v>46172</v>
          </cell>
          <cell r="Z16"/>
          <cell r="AA16">
            <v>100</v>
          </cell>
          <cell r="AB16">
            <v>100</v>
          </cell>
          <cell r="AC16">
            <v>45777</v>
          </cell>
          <cell r="AD16" t="str">
            <v>Ex-Olam</v>
          </cell>
          <cell r="AE16">
            <v>4</v>
          </cell>
          <cell r="AG16" t="str">
            <v xml:space="preserve">VALENCY SINGAPORE </v>
          </cell>
          <cell r="AH16" t="str">
            <v>AFIC</v>
          </cell>
          <cell r="AI16" t="str">
            <v>MSK</v>
          </cell>
          <cell r="AJ16" t="str">
            <v>40FT</v>
          </cell>
          <cell r="AK16">
            <v>0.1</v>
          </cell>
          <cell r="AL16" t="str">
            <v>(01x250MTS)</v>
          </cell>
          <cell r="AM16">
            <v>110</v>
          </cell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F16" t="str">
            <v xml:space="preserve">VALENCY SINGAPORE </v>
          </cell>
          <cell r="BG16"/>
          <cell r="BH16"/>
          <cell r="BI16"/>
          <cell r="BJ16"/>
          <cell r="BK16"/>
          <cell r="BL16" t="str">
            <v>AFIC</v>
          </cell>
          <cell r="BM16"/>
          <cell r="BN16"/>
          <cell r="BO16"/>
          <cell r="BP16"/>
          <cell r="BQ16"/>
          <cell r="BR16"/>
          <cell r="BS16"/>
          <cell r="BV16" t="str">
            <v>BOA/KTD</v>
          </cell>
          <cell r="BW16"/>
          <cell r="BX16"/>
          <cell r="BY16"/>
          <cell r="BZ16"/>
          <cell r="CA16" t="str">
            <v>182610-14862</v>
          </cell>
          <cell r="CB16">
            <v>46129</v>
          </cell>
          <cell r="CC16" t="str">
            <v>2026-0178</v>
          </cell>
          <cell r="CD16">
            <v>46129</v>
          </cell>
          <cell r="CE16"/>
          <cell r="CF16"/>
          <cell r="CG16">
            <v>46112</v>
          </cell>
          <cell r="CH16">
            <v>46126</v>
          </cell>
          <cell r="CI16" t="str">
            <v>E11346</v>
          </cell>
          <cell r="CJ16"/>
          <cell r="CK16"/>
          <cell r="CM16"/>
          <cell r="CN16" t="str">
            <v>Sugmaran</v>
          </cell>
          <cell r="CP16"/>
        </row>
        <row r="17">
          <cell r="D17">
            <v>47</v>
          </cell>
          <cell r="E17">
            <v>200</v>
          </cell>
          <cell r="H17">
            <v>32015968</v>
          </cell>
          <cell r="K17" t="str">
            <v>APRIL</v>
          </cell>
          <cell r="L17" t="str">
            <v>VALENCY CI</v>
          </cell>
          <cell r="M17" t="str">
            <v>VALENCY AGRO INDIA UDUPI</v>
          </cell>
          <cell r="N17">
            <v>267778042</v>
          </cell>
          <cell r="O17">
            <v>267778042</v>
          </cell>
          <cell r="P17"/>
          <cell r="Q17" t="str">
            <v>ABJ</v>
          </cell>
          <cell r="R17" t="str">
            <v>MANGALORE, INDIA</v>
          </cell>
          <cell r="S17" t="str">
            <v>MAERSK CUANZA</v>
          </cell>
          <cell r="T17">
            <v>46112</v>
          </cell>
          <cell r="U17">
            <v>46123</v>
          </cell>
          <cell r="V17">
            <v>46124</v>
          </cell>
          <cell r="W17">
            <v>46160</v>
          </cell>
          <cell r="X17">
            <v>46202</v>
          </cell>
          <cell r="Y17">
            <v>46172</v>
          </cell>
          <cell r="Z17"/>
          <cell r="AA17">
            <v>250</v>
          </cell>
          <cell r="AB17">
            <v>250</v>
          </cell>
          <cell r="AC17">
            <v>45777</v>
          </cell>
          <cell r="AD17" t="str">
            <v>Ex-Olam</v>
          </cell>
          <cell r="AE17">
            <v>10</v>
          </cell>
          <cell r="AG17" t="str">
            <v xml:space="preserve">VALENCY SINGAPORE </v>
          </cell>
          <cell r="AH17" t="str">
            <v>AFIC</v>
          </cell>
          <cell r="AI17" t="str">
            <v>MSK</v>
          </cell>
          <cell r="AJ17" t="str">
            <v>40FT</v>
          </cell>
          <cell r="AK17">
            <v>0.1</v>
          </cell>
          <cell r="AL17" t="str">
            <v>(01x250MTS)</v>
          </cell>
          <cell r="AM17">
            <v>275</v>
          </cell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F17" t="str">
            <v xml:space="preserve">VALENCY SINGAPORE </v>
          </cell>
          <cell r="BG17"/>
          <cell r="BH17"/>
          <cell r="BI17"/>
          <cell r="BJ17"/>
          <cell r="BK17"/>
          <cell r="BL17" t="str">
            <v>AFIC</v>
          </cell>
          <cell r="BM17"/>
          <cell r="BN17"/>
          <cell r="BO17"/>
          <cell r="BP17"/>
          <cell r="BQ17"/>
          <cell r="BR17"/>
          <cell r="BS17"/>
          <cell r="BV17" t="str">
            <v>BOA/KTD</v>
          </cell>
          <cell r="BW17"/>
          <cell r="BX17"/>
          <cell r="BY17"/>
          <cell r="BZ17"/>
          <cell r="CA17" t="str">
            <v>182610-14867</v>
          </cell>
          <cell r="CB17">
            <v>46129</v>
          </cell>
          <cell r="CC17" t="str">
            <v>2026-0182</v>
          </cell>
          <cell r="CD17">
            <v>46129</v>
          </cell>
          <cell r="CE17"/>
          <cell r="CF17"/>
          <cell r="CG17">
            <v>46112</v>
          </cell>
          <cell r="CH17">
            <v>46126</v>
          </cell>
          <cell r="CI17" t="str">
            <v>E11346</v>
          </cell>
          <cell r="CJ17"/>
          <cell r="CK17"/>
          <cell r="CM17"/>
          <cell r="CN17" t="str">
            <v>Sugmaran</v>
          </cell>
          <cell r="CP17"/>
        </row>
        <row r="19">
          <cell r="D19">
            <v>49</v>
          </cell>
          <cell r="E19">
            <v>200</v>
          </cell>
          <cell r="H19">
            <v>32014480</v>
          </cell>
          <cell r="K19" t="str">
            <v>APRIL</v>
          </cell>
          <cell r="L19" t="str">
            <v>VALENCY CI</v>
          </cell>
          <cell r="M19" t="str">
            <v>AMITH CASHEWS PVT LTD</v>
          </cell>
          <cell r="N19" t="str">
            <v>267778211-1</v>
          </cell>
          <cell r="O19">
            <v>271475651</v>
          </cell>
          <cell r="P19"/>
          <cell r="Q19" t="str">
            <v>ABJ</v>
          </cell>
          <cell r="R19" t="str">
            <v>MANGALORE, INDIA</v>
          </cell>
          <cell r="S19" t="str">
            <v>MAERSK CUANZA</v>
          </cell>
          <cell r="T19">
            <v>46112</v>
          </cell>
          <cell r="U19">
            <v>46123</v>
          </cell>
          <cell r="V19">
            <v>46124</v>
          </cell>
          <cell r="W19">
            <v>46160</v>
          </cell>
          <cell r="X19">
            <v>46202</v>
          </cell>
          <cell r="Y19">
            <v>46172</v>
          </cell>
          <cell r="Z19"/>
          <cell r="AA19">
            <v>100</v>
          </cell>
          <cell r="AB19">
            <v>100</v>
          </cell>
          <cell r="AC19">
            <v>45777</v>
          </cell>
          <cell r="AD19" t="str">
            <v>Ex-Olam</v>
          </cell>
          <cell r="AE19">
            <v>4</v>
          </cell>
          <cell r="AG19" t="str">
            <v xml:space="preserve">VALENCY SINGAPORE </v>
          </cell>
          <cell r="AH19" t="str">
            <v>AFIC</v>
          </cell>
          <cell r="AI19" t="str">
            <v>MSK</v>
          </cell>
          <cell r="AJ19" t="str">
            <v>40FT</v>
          </cell>
          <cell r="AK19">
            <v>0.1</v>
          </cell>
          <cell r="AL19" t="str">
            <v>(01x250MTS)</v>
          </cell>
          <cell r="AM19">
            <v>110</v>
          </cell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F19" t="str">
            <v xml:space="preserve">VALENCY SINGAPORE </v>
          </cell>
          <cell r="BG19"/>
          <cell r="BH19"/>
          <cell r="BI19"/>
          <cell r="BJ19"/>
          <cell r="BK19"/>
          <cell r="BL19" t="str">
            <v>AFIC</v>
          </cell>
          <cell r="BM19"/>
          <cell r="BN19"/>
          <cell r="BO19"/>
          <cell r="BP19"/>
          <cell r="BQ19"/>
          <cell r="BR19"/>
          <cell r="BS19"/>
          <cell r="BV19" t="str">
            <v>BOA/KTD</v>
          </cell>
          <cell r="BW19"/>
          <cell r="BX19"/>
          <cell r="BY19"/>
          <cell r="BZ19"/>
          <cell r="CA19" t="str">
            <v>182610-14864</v>
          </cell>
          <cell r="CB19">
            <v>46129</v>
          </cell>
          <cell r="CC19" t="str">
            <v>2026-0179</v>
          </cell>
          <cell r="CD19">
            <v>46129</v>
          </cell>
          <cell r="CE19"/>
          <cell r="CF19"/>
          <cell r="CG19">
            <v>46112</v>
          </cell>
          <cell r="CH19">
            <v>46126</v>
          </cell>
          <cell r="CI19" t="str">
            <v>E11346</v>
          </cell>
          <cell r="CJ19"/>
          <cell r="CK19"/>
          <cell r="CM19"/>
          <cell r="CN19" t="str">
            <v>Sugmaran</v>
          </cell>
          <cell r="CP19"/>
        </row>
        <row r="20">
          <cell r="D20">
            <v>47</v>
          </cell>
          <cell r="E20">
            <v>200</v>
          </cell>
          <cell r="H20" t="str">
            <v>32015968-6</v>
          </cell>
          <cell r="K20" t="str">
            <v>APRIL</v>
          </cell>
          <cell r="L20" t="str">
            <v>VALENCY CI</v>
          </cell>
          <cell r="M20" t="str">
            <v>VALENCY AGRO INDIA UDUPI</v>
          </cell>
          <cell r="N20">
            <v>267778302</v>
          </cell>
          <cell r="O20"/>
          <cell r="P20"/>
          <cell r="Q20" t="str">
            <v>ABJ</v>
          </cell>
          <cell r="R20" t="str">
            <v>MANGALORE, INDIA</v>
          </cell>
          <cell r="S20" t="str">
            <v>MAERSK CUANZA</v>
          </cell>
          <cell r="T20">
            <v>46112</v>
          </cell>
          <cell r="U20">
            <v>46125</v>
          </cell>
          <cell r="V20">
            <v>46130</v>
          </cell>
          <cell r="W20">
            <v>46159</v>
          </cell>
          <cell r="X20">
            <v>46202</v>
          </cell>
          <cell r="Y20">
            <v>46172</v>
          </cell>
          <cell r="Z20"/>
          <cell r="AA20">
            <v>250</v>
          </cell>
          <cell r="AB20">
            <v>250</v>
          </cell>
          <cell r="AC20">
            <v>45777</v>
          </cell>
          <cell r="AD20" t="str">
            <v>WH-C</v>
          </cell>
          <cell r="AE20">
            <v>10</v>
          </cell>
          <cell r="AG20" t="str">
            <v xml:space="preserve">VALENCY SINGAPORE </v>
          </cell>
          <cell r="AH20" t="str">
            <v>AFIC</v>
          </cell>
          <cell r="AI20" t="str">
            <v>MSK</v>
          </cell>
          <cell r="AJ20" t="str">
            <v>40FT</v>
          </cell>
          <cell r="AK20">
            <v>0.1</v>
          </cell>
          <cell r="AL20" t="str">
            <v>(01x250MTS)</v>
          </cell>
          <cell r="AM20">
            <v>275</v>
          </cell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F20" t="str">
            <v xml:space="preserve">VALENCY SINGAPORE </v>
          </cell>
          <cell r="BG20"/>
          <cell r="BH20"/>
          <cell r="BI20"/>
          <cell r="BJ20"/>
          <cell r="BK20"/>
          <cell r="BL20" t="str">
            <v>AFIC</v>
          </cell>
          <cell r="BM20"/>
          <cell r="BN20"/>
          <cell r="BO20"/>
          <cell r="BP20"/>
          <cell r="BQ20"/>
          <cell r="BR20"/>
          <cell r="BS20"/>
          <cell r="BV20" t="str">
            <v>ABSA/CMI</v>
          </cell>
          <cell r="BW20"/>
          <cell r="BX20"/>
          <cell r="BY20"/>
          <cell r="BZ20"/>
          <cell r="CA20" t="str">
            <v>182610-14866</v>
          </cell>
          <cell r="CB20">
            <v>46129</v>
          </cell>
          <cell r="CC20" t="str">
            <v>2026-0183</v>
          </cell>
          <cell r="CD20">
            <v>46129</v>
          </cell>
          <cell r="CE20"/>
          <cell r="CF20"/>
          <cell r="CG20">
            <v>46112</v>
          </cell>
          <cell r="CH20">
            <v>46129</v>
          </cell>
          <cell r="CI20" t="str">
            <v>E12092</v>
          </cell>
          <cell r="CJ20"/>
          <cell r="CK20"/>
          <cell r="CM20"/>
          <cell r="CN20" t="str">
            <v>Ajit</v>
          </cell>
          <cell r="CP20"/>
        </row>
        <row r="21">
          <cell r="D21">
            <v>47</v>
          </cell>
          <cell r="E21">
            <v>200</v>
          </cell>
          <cell r="H21" t="str">
            <v>32015968-7</v>
          </cell>
          <cell r="K21" t="str">
            <v>APRIL</v>
          </cell>
          <cell r="L21" t="str">
            <v>VALENCY CI</v>
          </cell>
          <cell r="M21" t="str">
            <v>VALENCY AGRO INDIA UDUPI</v>
          </cell>
          <cell r="N21">
            <v>267778372</v>
          </cell>
          <cell r="O21">
            <v>267778372</v>
          </cell>
          <cell r="P21"/>
          <cell r="Q21" t="str">
            <v>ABJ</v>
          </cell>
          <cell r="R21" t="str">
            <v>MANGALORE, INDIA</v>
          </cell>
          <cell r="S21" t="str">
            <v>MAERSK CUANZA</v>
          </cell>
          <cell r="T21">
            <v>46112</v>
          </cell>
          <cell r="U21">
            <v>46125</v>
          </cell>
          <cell r="V21">
            <v>46130</v>
          </cell>
          <cell r="W21">
            <v>46159</v>
          </cell>
          <cell r="X21">
            <v>46202</v>
          </cell>
          <cell r="Y21">
            <v>46172</v>
          </cell>
          <cell r="Z21"/>
          <cell r="AA21">
            <v>250</v>
          </cell>
          <cell r="AB21">
            <v>250</v>
          </cell>
          <cell r="AC21">
            <v>45777</v>
          </cell>
          <cell r="AD21" t="str">
            <v>WH-C</v>
          </cell>
          <cell r="AE21">
            <v>10</v>
          </cell>
          <cell r="AG21" t="str">
            <v xml:space="preserve">VALENCY SINGAPORE </v>
          </cell>
          <cell r="AH21" t="str">
            <v>AFIC</v>
          </cell>
          <cell r="AI21" t="str">
            <v>MSK</v>
          </cell>
          <cell r="AJ21" t="str">
            <v>40FT</v>
          </cell>
          <cell r="AK21">
            <v>0.1</v>
          </cell>
          <cell r="AL21" t="str">
            <v>(01x250MTS)</v>
          </cell>
          <cell r="AM21">
            <v>275</v>
          </cell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F21" t="str">
            <v xml:space="preserve">VALENCY SINGAPORE </v>
          </cell>
          <cell r="BG21"/>
          <cell r="BH21"/>
          <cell r="BI21"/>
          <cell r="BJ21"/>
          <cell r="BK21"/>
          <cell r="BL21" t="str">
            <v>AFIC</v>
          </cell>
          <cell r="BM21"/>
          <cell r="BN21"/>
          <cell r="BO21"/>
          <cell r="BP21"/>
          <cell r="BQ21"/>
          <cell r="BR21"/>
          <cell r="BS21"/>
          <cell r="BV21" t="str">
            <v>ABSA/CMI</v>
          </cell>
          <cell r="BW21"/>
          <cell r="BX21"/>
          <cell r="BY21"/>
          <cell r="BZ21"/>
          <cell r="CA21" t="str">
            <v>182610-14847</v>
          </cell>
          <cell r="CB21">
            <v>46129</v>
          </cell>
          <cell r="CC21" t="str">
            <v>2026-0163</v>
          </cell>
          <cell r="CD21">
            <v>46129</v>
          </cell>
          <cell r="CE21"/>
          <cell r="CF21"/>
          <cell r="CG21">
            <v>46112</v>
          </cell>
          <cell r="CH21">
            <v>46129</v>
          </cell>
          <cell r="CI21" t="str">
            <v>E12092</v>
          </cell>
          <cell r="CJ21"/>
          <cell r="CK21"/>
          <cell r="CM21"/>
          <cell r="CN21" t="str">
            <v>Ajit</v>
          </cell>
          <cell r="CP21"/>
        </row>
        <row r="22">
          <cell r="D22">
            <v>47</v>
          </cell>
          <cell r="E22">
            <v>200</v>
          </cell>
          <cell r="H22" t="str">
            <v>32015969-4</v>
          </cell>
          <cell r="K22" t="str">
            <v>APRIL</v>
          </cell>
          <cell r="L22" t="str">
            <v>VALENCY CI</v>
          </cell>
          <cell r="M22" t="str">
            <v>VALENCY AGRO INDIA GUJRAT</v>
          </cell>
          <cell r="N22">
            <v>268584744</v>
          </cell>
          <cell r="O22">
            <v>268584744</v>
          </cell>
          <cell r="P22"/>
          <cell r="Q22" t="str">
            <v>ABJ</v>
          </cell>
          <cell r="R22" t="str">
            <v>MUNDRA, INDIA</v>
          </cell>
          <cell r="S22" t="str">
            <v>MAERSK CUANZA</v>
          </cell>
          <cell r="T22">
            <v>46112</v>
          </cell>
          <cell r="U22">
            <v>46125</v>
          </cell>
          <cell r="V22">
            <v>46130</v>
          </cell>
          <cell r="W22">
            <v>46159</v>
          </cell>
          <cell r="X22">
            <v>46193</v>
          </cell>
          <cell r="Y22">
            <v>46172</v>
          </cell>
          <cell r="Z22"/>
          <cell r="AA22">
            <v>250</v>
          </cell>
          <cell r="AB22">
            <v>250</v>
          </cell>
          <cell r="AC22">
            <v>45777</v>
          </cell>
          <cell r="AD22" t="str">
            <v>WH-C</v>
          </cell>
          <cell r="AE22">
            <v>10</v>
          </cell>
          <cell r="AG22" t="str">
            <v xml:space="preserve">VALENCY SINGAPORE </v>
          </cell>
          <cell r="AH22" t="str">
            <v>AFIC</v>
          </cell>
          <cell r="AI22" t="str">
            <v>MSK</v>
          </cell>
          <cell r="AJ22" t="str">
            <v>40FT</v>
          </cell>
          <cell r="AK22">
            <v>0.1</v>
          </cell>
          <cell r="AL22" t="str">
            <v>(01x250MTS)</v>
          </cell>
          <cell r="AM22">
            <v>275</v>
          </cell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F22" t="str">
            <v xml:space="preserve">VALENCY SINGAPORE </v>
          </cell>
          <cell r="BG22"/>
          <cell r="BH22"/>
          <cell r="BI22"/>
          <cell r="BJ22"/>
          <cell r="BK22"/>
          <cell r="BL22" t="str">
            <v>AFIC</v>
          </cell>
          <cell r="BM22"/>
          <cell r="BN22"/>
          <cell r="BO22"/>
          <cell r="BP22"/>
          <cell r="BQ22"/>
          <cell r="BR22"/>
          <cell r="BS22"/>
          <cell r="BV22" t="str">
            <v>ABSA/CMI</v>
          </cell>
          <cell r="BW22"/>
          <cell r="BX22"/>
          <cell r="BY22"/>
          <cell r="BZ22"/>
          <cell r="CA22" t="str">
            <v>182610-14929</v>
          </cell>
          <cell r="CB22">
            <v>46134</v>
          </cell>
          <cell r="CC22" t="str">
            <v>2026-0160</v>
          </cell>
          <cell r="CD22">
            <v>46134</v>
          </cell>
          <cell r="CE22"/>
          <cell r="CF22"/>
          <cell r="CG22">
            <v>46112</v>
          </cell>
          <cell r="CH22">
            <v>46129</v>
          </cell>
          <cell r="CI22" t="str">
            <v>E11994</v>
          </cell>
          <cell r="CJ22"/>
          <cell r="CK22"/>
          <cell r="CM22"/>
          <cell r="CN22" t="str">
            <v>Ajit</v>
          </cell>
          <cell r="CP22"/>
        </row>
        <row r="23">
          <cell r="D23">
            <v>47</v>
          </cell>
          <cell r="E23">
            <v>200</v>
          </cell>
          <cell r="H23" t="str">
            <v>32015969-5</v>
          </cell>
          <cell r="K23" t="str">
            <v>APRIL</v>
          </cell>
          <cell r="L23" t="str">
            <v>VALENCY CI</v>
          </cell>
          <cell r="M23" t="str">
            <v>VALENCY AGRO INDIA GUJRAT</v>
          </cell>
          <cell r="N23">
            <v>268585803</v>
          </cell>
          <cell r="O23">
            <v>268585803</v>
          </cell>
          <cell r="P23"/>
          <cell r="Q23" t="str">
            <v>ABJ</v>
          </cell>
          <cell r="R23" t="str">
            <v>MUNDRA, INDIA</v>
          </cell>
          <cell r="S23" t="str">
            <v>MAERSK CUANZA</v>
          </cell>
          <cell r="T23">
            <v>46112</v>
          </cell>
          <cell r="U23">
            <v>46125</v>
          </cell>
          <cell r="V23">
            <v>46130</v>
          </cell>
          <cell r="W23">
            <v>46159</v>
          </cell>
          <cell r="X23">
            <v>46193</v>
          </cell>
          <cell r="Y23">
            <v>46172</v>
          </cell>
          <cell r="Z23"/>
          <cell r="AA23">
            <v>250</v>
          </cell>
          <cell r="AB23">
            <v>250</v>
          </cell>
          <cell r="AC23">
            <v>45777</v>
          </cell>
          <cell r="AD23" t="str">
            <v>WH-C</v>
          </cell>
          <cell r="AE23">
            <v>10</v>
          </cell>
          <cell r="AG23" t="str">
            <v xml:space="preserve">VALENCY SINGAPORE </v>
          </cell>
          <cell r="AH23" t="str">
            <v>AFIC</v>
          </cell>
          <cell r="AI23" t="str">
            <v>MSK</v>
          </cell>
          <cell r="AJ23" t="str">
            <v>40FT</v>
          </cell>
          <cell r="AK23">
            <v>0.1</v>
          </cell>
          <cell r="AL23" t="str">
            <v>(01x250MTS)</v>
          </cell>
          <cell r="AM23">
            <v>275</v>
          </cell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F23" t="str">
            <v xml:space="preserve">VALENCY SINGAPORE </v>
          </cell>
          <cell r="BG23"/>
          <cell r="BH23"/>
          <cell r="BI23"/>
          <cell r="BJ23"/>
          <cell r="BK23"/>
          <cell r="BL23" t="str">
            <v>AFIC</v>
          </cell>
          <cell r="BM23"/>
          <cell r="BN23"/>
          <cell r="BO23"/>
          <cell r="BP23"/>
          <cell r="BQ23"/>
          <cell r="BR23"/>
          <cell r="BS23"/>
          <cell r="BV23" t="str">
            <v>ABSA/CMI</v>
          </cell>
          <cell r="BW23"/>
          <cell r="BX23"/>
          <cell r="BY23"/>
          <cell r="BZ23"/>
          <cell r="CA23" t="str">
            <v>182610-14849</v>
          </cell>
          <cell r="CB23">
            <v>46129</v>
          </cell>
          <cell r="CC23" t="str">
            <v>2026-0159</v>
          </cell>
          <cell r="CD23">
            <v>46129</v>
          </cell>
          <cell r="CE23"/>
          <cell r="CF23"/>
          <cell r="CG23">
            <v>46112</v>
          </cell>
          <cell r="CH23">
            <v>46129</v>
          </cell>
          <cell r="CI23" t="str">
            <v>E11994</v>
          </cell>
          <cell r="CJ23"/>
          <cell r="CK23"/>
          <cell r="CM23"/>
          <cell r="CN23" t="str">
            <v>Ajit</v>
          </cell>
          <cell r="CP23"/>
        </row>
        <row r="24">
          <cell r="D24">
            <v>47</v>
          </cell>
          <cell r="E24">
            <v>200</v>
          </cell>
          <cell r="H24" t="str">
            <v>32015969-1</v>
          </cell>
          <cell r="K24" t="str">
            <v>APRIL</v>
          </cell>
          <cell r="L24" t="str">
            <v>VALENCY CI</v>
          </cell>
          <cell r="M24" t="str">
            <v>VALENCY AGRO INDIA GUJRAT</v>
          </cell>
          <cell r="N24">
            <v>268586303</v>
          </cell>
          <cell r="O24"/>
          <cell r="P24"/>
          <cell r="Q24" t="str">
            <v>ABJ</v>
          </cell>
          <cell r="R24" t="str">
            <v>MUNDRA, INDIA</v>
          </cell>
          <cell r="S24" t="str">
            <v>MAERSK CUANZA</v>
          </cell>
          <cell r="T24">
            <v>46112</v>
          </cell>
          <cell r="U24">
            <v>46125</v>
          </cell>
          <cell r="V24">
            <v>46130</v>
          </cell>
          <cell r="W24">
            <v>46158</v>
          </cell>
          <cell r="X24">
            <v>46193</v>
          </cell>
          <cell r="Y24">
            <v>46172</v>
          </cell>
          <cell r="Z24"/>
          <cell r="AA24">
            <v>250</v>
          </cell>
          <cell r="AB24">
            <v>250</v>
          </cell>
          <cell r="AC24">
            <v>45777</v>
          </cell>
          <cell r="AD24" t="str">
            <v>WH-C</v>
          </cell>
          <cell r="AE24">
            <v>10</v>
          </cell>
          <cell r="AG24" t="str">
            <v xml:space="preserve">VALENCY SINGAPORE </v>
          </cell>
          <cell r="AH24" t="str">
            <v>AFIC</v>
          </cell>
          <cell r="AI24" t="str">
            <v>MSK</v>
          </cell>
          <cell r="AJ24" t="str">
            <v>40FT</v>
          </cell>
          <cell r="AK24">
            <v>0.1</v>
          </cell>
          <cell r="AL24" t="str">
            <v>(01x250MTS)</v>
          </cell>
          <cell r="AM24">
            <v>275</v>
          </cell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F24" t="str">
            <v xml:space="preserve">VALENCY SINGAPORE </v>
          </cell>
          <cell r="BG24"/>
          <cell r="BH24"/>
          <cell r="BI24"/>
          <cell r="BJ24"/>
          <cell r="BK24"/>
          <cell r="BL24" t="str">
            <v>AFIC</v>
          </cell>
          <cell r="BM24"/>
          <cell r="BN24"/>
          <cell r="BO24"/>
          <cell r="BP24"/>
          <cell r="BQ24"/>
          <cell r="BR24"/>
          <cell r="BS24"/>
          <cell r="BV24" t="str">
            <v>ABSA/CMI</v>
          </cell>
          <cell r="BW24"/>
          <cell r="BX24"/>
          <cell r="BY24"/>
          <cell r="BZ24"/>
          <cell r="CA24" t="str">
            <v>182610-14927</v>
          </cell>
          <cell r="CB24">
            <v>46134</v>
          </cell>
          <cell r="CC24" t="str">
            <v>2026-0161</v>
          </cell>
          <cell r="CD24">
            <v>46134</v>
          </cell>
          <cell r="CE24"/>
          <cell r="CF24"/>
          <cell r="CG24">
            <v>46112</v>
          </cell>
          <cell r="CH24">
            <v>46129</v>
          </cell>
          <cell r="CI24" t="str">
            <v>E11994</v>
          </cell>
          <cell r="CJ24"/>
          <cell r="CK24"/>
          <cell r="CM24"/>
          <cell r="CN24" t="str">
            <v>Ajit</v>
          </cell>
          <cell r="CP24"/>
        </row>
        <row r="25">
          <cell r="D25">
            <v>47</v>
          </cell>
          <cell r="E25">
            <v>200</v>
          </cell>
          <cell r="H25" t="str">
            <v>32015969-2</v>
          </cell>
          <cell r="K25" t="str">
            <v>APRIL</v>
          </cell>
          <cell r="L25" t="str">
            <v>VALENCY CI</v>
          </cell>
          <cell r="M25" t="str">
            <v>VALENCY AGRO INDIA GUJRAT</v>
          </cell>
          <cell r="N25">
            <v>268589748</v>
          </cell>
          <cell r="O25">
            <v>268589748</v>
          </cell>
          <cell r="P25"/>
          <cell r="Q25" t="str">
            <v>ABJ</v>
          </cell>
          <cell r="R25" t="str">
            <v>MUNDRA, INDIA</v>
          </cell>
          <cell r="S25" t="str">
            <v>MAERSK CUANZA</v>
          </cell>
          <cell r="T25">
            <v>46112</v>
          </cell>
          <cell r="U25">
            <v>46125</v>
          </cell>
          <cell r="V25">
            <v>46130</v>
          </cell>
          <cell r="W25">
            <v>46158</v>
          </cell>
          <cell r="X25">
            <v>46193</v>
          </cell>
          <cell r="Y25">
            <v>46172</v>
          </cell>
          <cell r="Z25"/>
          <cell r="AA25">
            <v>250</v>
          </cell>
          <cell r="AB25">
            <v>250</v>
          </cell>
          <cell r="AC25">
            <v>45777</v>
          </cell>
          <cell r="AD25" t="str">
            <v>WH-C</v>
          </cell>
          <cell r="AE25">
            <v>10</v>
          </cell>
          <cell r="AG25" t="str">
            <v xml:space="preserve">VALENCY SINGAPORE </v>
          </cell>
          <cell r="AH25" t="str">
            <v>AFIC</v>
          </cell>
          <cell r="AI25" t="str">
            <v>MSK</v>
          </cell>
          <cell r="AJ25" t="str">
            <v>40FT</v>
          </cell>
          <cell r="AK25">
            <v>0.1</v>
          </cell>
          <cell r="AL25" t="str">
            <v>(01x250MTS)</v>
          </cell>
          <cell r="AM25">
            <v>275</v>
          </cell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F25" t="str">
            <v xml:space="preserve">VALENCY SINGAPORE </v>
          </cell>
          <cell r="BG25"/>
          <cell r="BH25"/>
          <cell r="BI25"/>
          <cell r="BJ25"/>
          <cell r="BK25"/>
          <cell r="BL25" t="str">
            <v>AFIC</v>
          </cell>
          <cell r="BM25"/>
          <cell r="BN25"/>
          <cell r="BO25"/>
          <cell r="BP25"/>
          <cell r="BQ25"/>
          <cell r="BR25"/>
          <cell r="BS25"/>
          <cell r="BV25" t="str">
            <v>ABSA/CMI</v>
          </cell>
          <cell r="BW25"/>
          <cell r="BX25"/>
          <cell r="BY25"/>
          <cell r="BZ25"/>
          <cell r="CA25" t="str">
            <v>182610-14846</v>
          </cell>
          <cell r="CB25">
            <v>46129</v>
          </cell>
          <cell r="CC25" t="str">
            <v>2026-0162</v>
          </cell>
          <cell r="CD25">
            <v>46129</v>
          </cell>
          <cell r="CE25"/>
          <cell r="CF25"/>
          <cell r="CG25">
            <v>46112</v>
          </cell>
          <cell r="CH25">
            <v>46129</v>
          </cell>
          <cell r="CI25" t="str">
            <v>E11994</v>
          </cell>
          <cell r="CJ25"/>
          <cell r="CK25"/>
          <cell r="CM25"/>
          <cell r="CN25" t="str">
            <v>Ajit</v>
          </cell>
          <cell r="CP25"/>
        </row>
        <row r="26">
          <cell r="D26">
            <v>47</v>
          </cell>
          <cell r="E26">
            <v>200</v>
          </cell>
          <cell r="H26" t="str">
            <v>32015969-3</v>
          </cell>
          <cell r="K26" t="str">
            <v>APRIL</v>
          </cell>
          <cell r="L26" t="str">
            <v>VALENCY CI</v>
          </cell>
          <cell r="M26" t="str">
            <v>VALENCY AGRO INDIA GUJRAT</v>
          </cell>
          <cell r="N26">
            <v>268590042</v>
          </cell>
          <cell r="O26">
            <v>268590042</v>
          </cell>
          <cell r="P26"/>
          <cell r="Q26" t="str">
            <v>ABJ</v>
          </cell>
          <cell r="R26" t="str">
            <v>MUNDRA, INDIA</v>
          </cell>
          <cell r="S26" t="str">
            <v>MAERSK CUANZA</v>
          </cell>
          <cell r="T26">
            <v>46112</v>
          </cell>
          <cell r="U26">
            <v>46125</v>
          </cell>
          <cell r="V26">
            <v>46130</v>
          </cell>
          <cell r="W26">
            <v>46158</v>
          </cell>
          <cell r="X26">
            <v>46193</v>
          </cell>
          <cell r="Y26">
            <v>46172</v>
          </cell>
          <cell r="Z26"/>
          <cell r="AA26">
            <v>250</v>
          </cell>
          <cell r="AB26">
            <v>250</v>
          </cell>
          <cell r="AC26">
            <v>45777</v>
          </cell>
          <cell r="AD26" t="str">
            <v>WH-C</v>
          </cell>
          <cell r="AE26">
            <v>10</v>
          </cell>
          <cell r="AG26" t="str">
            <v xml:space="preserve">VALENCY SINGAPORE </v>
          </cell>
          <cell r="AH26" t="str">
            <v>AFIC</v>
          </cell>
          <cell r="AI26" t="str">
            <v>MSK</v>
          </cell>
          <cell r="AJ26" t="str">
            <v>40FT</v>
          </cell>
          <cell r="AK26">
            <v>0.1</v>
          </cell>
          <cell r="AL26" t="str">
            <v>(01x250MTS)</v>
          </cell>
          <cell r="AM26">
            <v>275</v>
          </cell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F26" t="str">
            <v xml:space="preserve">VALENCY SINGAPORE </v>
          </cell>
          <cell r="BG26"/>
          <cell r="BH26"/>
          <cell r="BI26"/>
          <cell r="BJ26"/>
          <cell r="BK26"/>
          <cell r="BL26" t="str">
            <v>AFIC</v>
          </cell>
          <cell r="BM26"/>
          <cell r="BN26"/>
          <cell r="BO26"/>
          <cell r="BP26"/>
          <cell r="BQ26"/>
          <cell r="BR26"/>
          <cell r="BS26"/>
          <cell r="BV26" t="str">
            <v>ABSA/CMI</v>
          </cell>
          <cell r="BW26"/>
          <cell r="BX26"/>
          <cell r="BY26"/>
          <cell r="BZ26"/>
          <cell r="CA26" t="str">
            <v>182610-14848</v>
          </cell>
          <cell r="CB26">
            <v>46129</v>
          </cell>
          <cell r="CC26" t="str">
            <v>2026-0165</v>
          </cell>
          <cell r="CD26">
            <v>46129</v>
          </cell>
          <cell r="CE26"/>
          <cell r="CF26"/>
          <cell r="CG26">
            <v>46112</v>
          </cell>
          <cell r="CH26">
            <v>46129</v>
          </cell>
          <cell r="CI26" t="str">
            <v>E11994</v>
          </cell>
          <cell r="CJ26"/>
          <cell r="CK26"/>
          <cell r="CM26"/>
          <cell r="CN26" t="str">
            <v>Ajit</v>
          </cell>
          <cell r="CP26"/>
        </row>
        <row r="27">
          <cell r="D27">
            <v>47</v>
          </cell>
          <cell r="E27">
            <v>200</v>
          </cell>
          <cell r="H27" t="str">
            <v>32015969-6</v>
          </cell>
          <cell r="K27" t="str">
            <v>APRIL</v>
          </cell>
          <cell r="L27" t="str">
            <v>VALENCY CI</v>
          </cell>
          <cell r="M27" t="str">
            <v>VALENCY AGRO INDIA GUJRAT</v>
          </cell>
          <cell r="N27">
            <v>268593044</v>
          </cell>
          <cell r="O27"/>
          <cell r="P27"/>
          <cell r="Q27" t="str">
            <v>ABJ</v>
          </cell>
          <cell r="R27" t="str">
            <v>MUNDRA, INDIA</v>
          </cell>
          <cell r="S27" t="str">
            <v>MAERSK CUANZA</v>
          </cell>
          <cell r="T27">
            <v>46112</v>
          </cell>
          <cell r="U27">
            <v>46125</v>
          </cell>
          <cell r="V27">
            <v>46130</v>
          </cell>
          <cell r="W27">
            <v>46158</v>
          </cell>
          <cell r="X27">
            <v>46193</v>
          </cell>
          <cell r="Y27">
            <v>46172</v>
          </cell>
          <cell r="Z27"/>
          <cell r="AA27">
            <v>250</v>
          </cell>
          <cell r="AB27">
            <v>250</v>
          </cell>
          <cell r="AC27">
            <v>45777</v>
          </cell>
          <cell r="AD27" t="str">
            <v>WH-C</v>
          </cell>
          <cell r="AE27">
            <v>10</v>
          </cell>
          <cell r="AG27" t="str">
            <v xml:space="preserve">VALENCY SINGAPORE </v>
          </cell>
          <cell r="AH27" t="str">
            <v>AFIC</v>
          </cell>
          <cell r="AI27" t="str">
            <v>MSK</v>
          </cell>
          <cell r="AJ27" t="str">
            <v>40FT</v>
          </cell>
          <cell r="AK27">
            <v>0.1</v>
          </cell>
          <cell r="AL27" t="str">
            <v>(01x250MTS)</v>
          </cell>
          <cell r="AM27">
            <v>275</v>
          </cell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F27" t="str">
            <v xml:space="preserve">VALENCY SINGAPORE </v>
          </cell>
          <cell r="BG27"/>
          <cell r="BH27"/>
          <cell r="BI27"/>
          <cell r="BJ27"/>
          <cell r="BK27"/>
          <cell r="BL27" t="str">
            <v>AFIC</v>
          </cell>
          <cell r="BM27"/>
          <cell r="BN27"/>
          <cell r="BO27"/>
          <cell r="BP27"/>
          <cell r="BQ27"/>
          <cell r="BR27"/>
          <cell r="BS27"/>
          <cell r="BV27" t="str">
            <v>ABSA/CMI</v>
          </cell>
          <cell r="BW27"/>
          <cell r="BX27"/>
          <cell r="BY27"/>
          <cell r="BZ27"/>
          <cell r="CA27" t="str">
            <v>182610-14853</v>
          </cell>
          <cell r="CB27">
            <v>46129</v>
          </cell>
          <cell r="CC27" t="str">
            <v>2016-00176</v>
          </cell>
          <cell r="CD27">
            <v>46129</v>
          </cell>
          <cell r="CE27"/>
          <cell r="CF27"/>
          <cell r="CG27">
            <v>46112</v>
          </cell>
          <cell r="CH27">
            <v>46129</v>
          </cell>
          <cell r="CI27" t="str">
            <v>E11994</v>
          </cell>
          <cell r="CJ27"/>
          <cell r="CK27"/>
          <cell r="CM27"/>
          <cell r="CN27" t="str">
            <v>Ajit</v>
          </cell>
          <cell r="CP27"/>
        </row>
        <row r="28">
          <cell r="D28">
            <v>49</v>
          </cell>
          <cell r="E28">
            <v>200</v>
          </cell>
          <cell r="H28">
            <v>32014470</v>
          </cell>
          <cell r="K28" t="str">
            <v>APRIL</v>
          </cell>
          <cell r="L28" t="str">
            <v>VALENCY CI</v>
          </cell>
          <cell r="M28" t="str">
            <v>VALENCY AGRO INDIA UDUPI</v>
          </cell>
          <cell r="N28">
            <v>267466662</v>
          </cell>
          <cell r="O28">
            <v>267466662</v>
          </cell>
          <cell r="P28"/>
          <cell r="Q28" t="str">
            <v>ABJ</v>
          </cell>
          <cell r="R28" t="str">
            <v>VISHAKPATNAM, INDIA</v>
          </cell>
          <cell r="S28" t="str">
            <v>MAERSK CUANZA</v>
          </cell>
          <cell r="T28">
            <v>46107</v>
          </cell>
          <cell r="U28">
            <v>46115</v>
          </cell>
          <cell r="V28">
            <v>46115</v>
          </cell>
          <cell r="W28">
            <v>46160</v>
          </cell>
          <cell r="X28"/>
          <cell r="Y28">
            <v>46172</v>
          </cell>
          <cell r="Z28"/>
          <cell r="AA28">
            <v>100</v>
          </cell>
          <cell r="AB28">
            <v>100</v>
          </cell>
          <cell r="AC28">
            <v>45777</v>
          </cell>
          <cell r="AD28" t="str">
            <v>Ex-Olam</v>
          </cell>
          <cell r="AE28">
            <v>4</v>
          </cell>
          <cell r="AG28" t="str">
            <v xml:space="preserve">VALENCY SINGAPORE </v>
          </cell>
          <cell r="AH28" t="str">
            <v>DUNAMIS/SITRACOM</v>
          </cell>
          <cell r="AI28" t="str">
            <v>MSK</v>
          </cell>
          <cell r="AJ28" t="str">
            <v>40FT</v>
          </cell>
          <cell r="AK28">
            <v>0.05</v>
          </cell>
          <cell r="AL28" t="str">
            <v xml:space="preserve"> ( 1 x 100 MTS ) </v>
          </cell>
          <cell r="AM28">
            <v>105</v>
          </cell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F28" t="str">
            <v xml:space="preserve">VALENCY SINGAPORE </v>
          </cell>
          <cell r="BG28"/>
          <cell r="BH28"/>
          <cell r="BI28"/>
          <cell r="BJ28"/>
          <cell r="BK28"/>
          <cell r="BL28" t="str">
            <v>DUNAMIS/SITRACOM</v>
          </cell>
          <cell r="BM28"/>
          <cell r="BN28"/>
          <cell r="BO28"/>
          <cell r="BP28"/>
          <cell r="BQ28"/>
          <cell r="BR28"/>
          <cell r="BS28"/>
          <cell r="BV28" t="str">
            <v>BOA/KTD</v>
          </cell>
          <cell r="BW28"/>
          <cell r="BX28"/>
          <cell r="BY28"/>
          <cell r="BZ28"/>
          <cell r="CA28" t="str">
            <v>182610-14810</v>
          </cell>
          <cell r="CB28">
            <v>46128</v>
          </cell>
          <cell r="CC28" t="str">
            <v>2026-0112</v>
          </cell>
          <cell r="CD28">
            <v>46128</v>
          </cell>
          <cell r="CE28"/>
          <cell r="CF28"/>
          <cell r="CG28">
            <v>46107</v>
          </cell>
          <cell r="CH28">
            <v>46127</v>
          </cell>
          <cell r="CI28" t="str">
            <v>E11685</v>
          </cell>
          <cell r="CJ28"/>
          <cell r="CK28">
            <v>46140</v>
          </cell>
          <cell r="CM28"/>
          <cell r="CN28" t="str">
            <v>Sugmaran</v>
          </cell>
          <cell r="CP28"/>
        </row>
        <row r="29">
          <cell r="D29">
            <v>49</v>
          </cell>
          <cell r="E29">
            <v>200</v>
          </cell>
          <cell r="H29">
            <v>32014450</v>
          </cell>
          <cell r="K29" t="str">
            <v>APRIL</v>
          </cell>
          <cell r="L29" t="str">
            <v>VALENCY CI</v>
          </cell>
          <cell r="M29" t="str">
            <v>ST. PAULS CASHEW FACTORY</v>
          </cell>
          <cell r="N29">
            <v>268715415</v>
          </cell>
          <cell r="O29">
            <v>268715415</v>
          </cell>
          <cell r="P29"/>
          <cell r="Q29" t="str">
            <v>ABJ</v>
          </cell>
          <cell r="R29" t="str">
            <v>TUTICORIN, INDIA</v>
          </cell>
          <cell r="S29" t="str">
            <v>MAERSK CUANZA</v>
          </cell>
          <cell r="T29">
            <v>46109</v>
          </cell>
          <cell r="U29">
            <v>46123</v>
          </cell>
          <cell r="V29">
            <v>46126</v>
          </cell>
          <cell r="W29">
            <v>46160</v>
          </cell>
          <cell r="X29">
            <v>46179</v>
          </cell>
          <cell r="Y29">
            <v>46172</v>
          </cell>
          <cell r="Z29"/>
          <cell r="AA29">
            <v>200</v>
          </cell>
          <cell r="AB29">
            <v>200</v>
          </cell>
          <cell r="AC29">
            <v>45777</v>
          </cell>
          <cell r="AD29" t="str">
            <v>Ex-Olam</v>
          </cell>
          <cell r="AE29">
            <v>8</v>
          </cell>
          <cell r="AG29" t="str">
            <v xml:space="preserve">REUDAN INTERNATIONAL CI </v>
          </cell>
          <cell r="AH29" t="str">
            <v>DUNAMIS/SITRACOM</v>
          </cell>
          <cell r="AI29" t="str">
            <v>MSK</v>
          </cell>
          <cell r="AJ29" t="str">
            <v>40FT</v>
          </cell>
          <cell r="AK29">
            <v>0.1</v>
          </cell>
          <cell r="AL29" t="str">
            <v xml:space="preserve"> ( 1 x 200 MTS ) </v>
          </cell>
          <cell r="AM29">
            <v>220</v>
          </cell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F29" t="str">
            <v xml:space="preserve">REUDAN INTERNATIONAL CI </v>
          </cell>
          <cell r="BG29"/>
          <cell r="BH29"/>
          <cell r="BI29"/>
          <cell r="BJ29"/>
          <cell r="BK29"/>
          <cell r="BL29" t="str">
            <v>DUNAMIS/SITRACOM</v>
          </cell>
          <cell r="BM29"/>
          <cell r="BN29"/>
          <cell r="BO29"/>
          <cell r="BP29"/>
          <cell r="BQ29"/>
          <cell r="BR29"/>
          <cell r="BS29"/>
          <cell r="BV29" t="str">
            <v>BOA/KTD</v>
          </cell>
          <cell r="BW29"/>
          <cell r="BX29"/>
          <cell r="BY29"/>
          <cell r="BZ29"/>
          <cell r="CA29" t="str">
            <v>182610-14840</v>
          </cell>
          <cell r="CB29">
            <v>46129</v>
          </cell>
          <cell r="CC29" t="str">
            <v>2026-0120</v>
          </cell>
          <cell r="CD29">
            <v>46129</v>
          </cell>
          <cell r="CE29"/>
          <cell r="CF29"/>
          <cell r="CG29">
            <v>46109</v>
          </cell>
          <cell r="CH29">
            <v>46129</v>
          </cell>
          <cell r="CI29" t="str">
            <v>E11961</v>
          </cell>
          <cell r="CJ29"/>
          <cell r="CK29">
            <v>46140</v>
          </cell>
          <cell r="CM29"/>
          <cell r="CN29" t="str">
            <v>Sugmaran</v>
          </cell>
          <cell r="CP29"/>
        </row>
        <row r="30">
          <cell r="D30">
            <v>49</v>
          </cell>
          <cell r="E30">
            <v>200</v>
          </cell>
          <cell r="H30">
            <v>32014461</v>
          </cell>
          <cell r="K30" t="str">
            <v>APRIL</v>
          </cell>
          <cell r="L30" t="str">
            <v>VALENCY CI</v>
          </cell>
          <cell r="M30" t="str">
            <v>ST. GREGORIOUS CASHEW</v>
          </cell>
          <cell r="N30">
            <v>268716278</v>
          </cell>
          <cell r="O30">
            <v>268716278</v>
          </cell>
          <cell r="P30"/>
          <cell r="Q30" t="str">
            <v>ABJ</v>
          </cell>
          <cell r="R30" t="str">
            <v>TUTICORIN, INDIA</v>
          </cell>
          <cell r="S30" t="str">
            <v>MAERSK CUANZA</v>
          </cell>
          <cell r="T30">
            <v>46109</v>
          </cell>
          <cell r="U30">
            <v>46123</v>
          </cell>
          <cell r="V30">
            <v>46126</v>
          </cell>
          <cell r="W30">
            <v>46161</v>
          </cell>
          <cell r="X30">
            <v>46179</v>
          </cell>
          <cell r="Y30">
            <v>46172</v>
          </cell>
          <cell r="Z30"/>
          <cell r="AA30">
            <v>100</v>
          </cell>
          <cell r="AB30">
            <v>100</v>
          </cell>
          <cell r="AC30">
            <v>45777</v>
          </cell>
          <cell r="AD30" t="str">
            <v>Ex-Olam</v>
          </cell>
          <cell r="AE30">
            <v>4</v>
          </cell>
          <cell r="AG30" t="str">
            <v xml:space="preserve">REUDAN INTERNATIONAL CI </v>
          </cell>
          <cell r="AH30" t="str">
            <v>DUNAMIS/SITRACOM</v>
          </cell>
          <cell r="AI30" t="str">
            <v>MSK</v>
          </cell>
          <cell r="AJ30" t="str">
            <v>40FT</v>
          </cell>
          <cell r="AK30">
            <v>0.1</v>
          </cell>
          <cell r="AL30" t="str">
            <v xml:space="preserve"> ( 1 x 100 MTS ) </v>
          </cell>
          <cell r="AM30">
            <v>110</v>
          </cell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F30" t="str">
            <v xml:space="preserve">REUDAN INTERNATIONAL CI </v>
          </cell>
          <cell r="BG30"/>
          <cell r="BH30"/>
          <cell r="BI30"/>
          <cell r="BJ30"/>
          <cell r="BK30"/>
          <cell r="BL30" t="str">
            <v>DUNAMIS/SITRACOM</v>
          </cell>
          <cell r="BM30"/>
          <cell r="BN30"/>
          <cell r="BO30"/>
          <cell r="BP30"/>
          <cell r="BQ30"/>
          <cell r="BR30"/>
          <cell r="BS30"/>
          <cell r="BV30" t="str">
            <v>BOA/KTD</v>
          </cell>
          <cell r="BW30"/>
          <cell r="BX30"/>
          <cell r="BY30"/>
          <cell r="BZ30"/>
          <cell r="CA30" t="str">
            <v>182610-14840</v>
          </cell>
          <cell r="CB30">
            <v>46129</v>
          </cell>
          <cell r="CC30" t="str">
            <v>2026-0120</v>
          </cell>
          <cell r="CD30">
            <v>46129</v>
          </cell>
          <cell r="CE30"/>
          <cell r="CF30"/>
          <cell r="CG30">
            <v>46109</v>
          </cell>
          <cell r="CH30">
            <v>46129</v>
          </cell>
          <cell r="CI30" t="str">
            <v>E11961</v>
          </cell>
          <cell r="CJ30"/>
          <cell r="CK30">
            <v>46140</v>
          </cell>
          <cell r="CM30"/>
          <cell r="CN30" t="str">
            <v>Sugmaran</v>
          </cell>
          <cell r="CP30"/>
        </row>
        <row r="31">
          <cell r="D31">
            <v>49</v>
          </cell>
          <cell r="E31">
            <v>200</v>
          </cell>
          <cell r="H31">
            <v>32014454</v>
          </cell>
          <cell r="K31" t="str">
            <v>APRIL</v>
          </cell>
          <cell r="L31" t="str">
            <v>VALENCY CI</v>
          </cell>
          <cell r="M31" t="str">
            <v>NS CASHEW COMPANY</v>
          </cell>
          <cell r="N31">
            <v>268715092</v>
          </cell>
          <cell r="O31">
            <v>268715092</v>
          </cell>
          <cell r="P31"/>
          <cell r="Q31" t="str">
            <v>ABJ</v>
          </cell>
          <cell r="R31" t="str">
            <v>TUTICORIN, INDIA</v>
          </cell>
          <cell r="S31" t="str">
            <v>MAERSK CUANZA</v>
          </cell>
          <cell r="T31">
            <v>46109</v>
          </cell>
          <cell r="U31">
            <v>46131</v>
          </cell>
          <cell r="V31">
            <v>46132</v>
          </cell>
          <cell r="W31">
            <v>46159</v>
          </cell>
          <cell r="X31">
            <v>46179</v>
          </cell>
          <cell r="Y31">
            <v>46172</v>
          </cell>
          <cell r="Z31"/>
          <cell r="AA31">
            <v>200</v>
          </cell>
          <cell r="AB31">
            <v>200</v>
          </cell>
          <cell r="AC31">
            <v>45777</v>
          </cell>
          <cell r="AD31" t="str">
            <v>WH-I</v>
          </cell>
          <cell r="AE31">
            <v>8</v>
          </cell>
          <cell r="AG31" t="str">
            <v xml:space="preserve">REUDAN INTERNATIONAL CI </v>
          </cell>
          <cell r="AH31" t="str">
            <v>DUNAMIS/SITRACOM</v>
          </cell>
          <cell r="AI31" t="str">
            <v>MSK</v>
          </cell>
          <cell r="AJ31" t="str">
            <v>40FT</v>
          </cell>
          <cell r="AK31">
            <v>0.1</v>
          </cell>
          <cell r="AL31" t="str">
            <v xml:space="preserve"> ( 1 x 200 MTS ) </v>
          </cell>
          <cell r="AM31">
            <v>220</v>
          </cell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F31" t="str">
            <v xml:space="preserve">REUDAN INTERNATIONAL CI </v>
          </cell>
          <cell r="BG31"/>
          <cell r="BH31"/>
          <cell r="BI31"/>
          <cell r="BJ31"/>
          <cell r="BK31"/>
          <cell r="BL31" t="str">
            <v>DUNAMIS/SITRACOM</v>
          </cell>
          <cell r="BM31"/>
          <cell r="BN31"/>
          <cell r="BO31"/>
          <cell r="BP31"/>
          <cell r="BQ31"/>
          <cell r="BR31"/>
          <cell r="BS31"/>
          <cell r="BV31" t="str">
            <v>ABSA/CMI</v>
          </cell>
          <cell r="BW31"/>
          <cell r="BX31"/>
          <cell r="BY31"/>
          <cell r="BZ31"/>
          <cell r="CA31" t="str">
            <v>182610-14859</v>
          </cell>
          <cell r="CB31">
            <v>46129</v>
          </cell>
          <cell r="CC31" t="str">
            <v>2026-0177</v>
          </cell>
          <cell r="CD31">
            <v>46129</v>
          </cell>
          <cell r="CE31"/>
          <cell r="CF31"/>
          <cell r="CG31">
            <v>46109</v>
          </cell>
          <cell r="CH31">
            <v>46129</v>
          </cell>
          <cell r="CI31" t="str">
            <v>E12038</v>
          </cell>
          <cell r="CJ31"/>
          <cell r="CK31">
            <v>46140</v>
          </cell>
          <cell r="CM31"/>
          <cell r="CN31" t="str">
            <v>Ajeesh</v>
          </cell>
          <cell r="CP31"/>
        </row>
        <row r="34">
          <cell r="D34">
            <v>47</v>
          </cell>
          <cell r="E34">
            <v>200</v>
          </cell>
          <cell r="H34" t="str">
            <v>32015968-1</v>
          </cell>
          <cell r="K34" t="str">
            <v>APRIL</v>
          </cell>
          <cell r="L34" t="str">
            <v>VALENCY CI</v>
          </cell>
          <cell r="M34" t="str">
            <v>VALENCY AGRO INDIA UDUPI</v>
          </cell>
          <cell r="N34">
            <v>267489622</v>
          </cell>
          <cell r="O34">
            <v>270437687</v>
          </cell>
          <cell r="P34"/>
          <cell r="Q34" t="str">
            <v>ABJ</v>
          </cell>
          <cell r="R34" t="str">
            <v>MANGALORE, INDIA</v>
          </cell>
          <cell r="S34" t="str">
            <v>MAERSK CUANZA</v>
          </cell>
          <cell r="T34">
            <v>46107</v>
          </cell>
          <cell r="U34">
            <v>46115</v>
          </cell>
          <cell r="V34">
            <v>46115</v>
          </cell>
          <cell r="W34">
            <v>46161</v>
          </cell>
          <cell r="X34">
            <v>46202</v>
          </cell>
          <cell r="Y34">
            <v>46172</v>
          </cell>
          <cell r="Z34"/>
          <cell r="AA34">
            <v>100</v>
          </cell>
          <cell r="AB34">
            <v>100</v>
          </cell>
          <cell r="AC34">
            <v>45777</v>
          </cell>
          <cell r="AD34" t="str">
            <v>Ex-Olam</v>
          </cell>
          <cell r="AE34">
            <v>4</v>
          </cell>
          <cell r="AG34" t="str">
            <v xml:space="preserve">VALENCY SINGAPORE </v>
          </cell>
          <cell r="AH34" t="str">
            <v>DUNAMIS/SITRACOM</v>
          </cell>
          <cell r="AI34" t="str">
            <v>MSK</v>
          </cell>
          <cell r="AJ34" t="str">
            <v>40FT</v>
          </cell>
          <cell r="AK34">
            <v>0.1</v>
          </cell>
          <cell r="AL34" t="str">
            <v xml:space="preserve"> ( 1 x 100 MTS ) </v>
          </cell>
          <cell r="AM34">
            <v>110</v>
          </cell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F34" t="str">
            <v xml:space="preserve">VALENCY SINGAPORE </v>
          </cell>
          <cell r="BG34"/>
          <cell r="BH34"/>
          <cell r="BI34"/>
          <cell r="BJ34"/>
          <cell r="BK34"/>
          <cell r="BL34" t="str">
            <v>DUNAMIS/SITRACOM</v>
          </cell>
          <cell r="BM34"/>
          <cell r="BN34"/>
          <cell r="BO34"/>
          <cell r="BP34"/>
          <cell r="BQ34"/>
          <cell r="BR34"/>
          <cell r="BS34"/>
          <cell r="BV34" t="str">
            <v>BOA/KTD</v>
          </cell>
          <cell r="BW34"/>
          <cell r="BX34"/>
          <cell r="BY34"/>
          <cell r="BZ34"/>
          <cell r="CA34" t="str">
            <v>182610-14811</v>
          </cell>
          <cell r="CB34">
            <v>46128</v>
          </cell>
          <cell r="CC34" t="str">
            <v>2026-0100</v>
          </cell>
          <cell r="CD34">
            <v>46128</v>
          </cell>
          <cell r="CE34"/>
          <cell r="CF34"/>
          <cell r="CG34">
            <v>46107</v>
          </cell>
          <cell r="CH34">
            <v>46128</v>
          </cell>
          <cell r="CI34" t="str">
            <v>E11853</v>
          </cell>
          <cell r="CJ34"/>
          <cell r="CK34">
            <v>46140</v>
          </cell>
          <cell r="CM34"/>
          <cell r="CN34" t="str">
            <v>Sugmaran</v>
          </cell>
          <cell r="CP34"/>
        </row>
        <row r="35">
          <cell r="D35">
            <v>47</v>
          </cell>
          <cell r="E35">
            <v>200</v>
          </cell>
          <cell r="H35" t="str">
            <v>32015968-3</v>
          </cell>
          <cell r="K35" t="str">
            <v>APRIL</v>
          </cell>
          <cell r="L35" t="str">
            <v>VALENCY CI</v>
          </cell>
          <cell r="M35" t="str">
            <v>VALENCY AGRO INDIA UDUPI</v>
          </cell>
          <cell r="N35" t="str">
            <v>267489622-1</v>
          </cell>
          <cell r="O35">
            <v>267489622</v>
          </cell>
          <cell r="P35"/>
          <cell r="Q35" t="str">
            <v>ABJ</v>
          </cell>
          <cell r="R35" t="str">
            <v>MANGALORE, INDIA</v>
          </cell>
          <cell r="S35" t="str">
            <v>MAERSK CUANZA</v>
          </cell>
          <cell r="T35">
            <v>46107</v>
          </cell>
          <cell r="U35">
            <v>46115</v>
          </cell>
          <cell r="V35">
            <v>46115</v>
          </cell>
          <cell r="W35">
            <v>46161</v>
          </cell>
          <cell r="X35">
            <v>46202</v>
          </cell>
          <cell r="Y35">
            <v>46172</v>
          </cell>
          <cell r="Z35"/>
          <cell r="AA35">
            <v>100</v>
          </cell>
          <cell r="AB35">
            <v>100</v>
          </cell>
          <cell r="AC35">
            <v>45777</v>
          </cell>
          <cell r="AD35" t="str">
            <v>Ex-Olam</v>
          </cell>
          <cell r="AE35">
            <v>4</v>
          </cell>
          <cell r="AG35" t="str">
            <v xml:space="preserve">VALENCY SINGAPORE </v>
          </cell>
          <cell r="AH35" t="str">
            <v>DUNAMIS/SITRACOM</v>
          </cell>
          <cell r="AI35" t="str">
            <v>MSK</v>
          </cell>
          <cell r="AJ35" t="str">
            <v>40FT</v>
          </cell>
          <cell r="AK35">
            <v>0.1</v>
          </cell>
          <cell r="AL35" t="str">
            <v xml:space="preserve"> ( 1 x 100 MTS ) </v>
          </cell>
          <cell r="AM35">
            <v>110</v>
          </cell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  <cell r="BF35" t="str">
            <v xml:space="preserve">VALENCY SINGAPORE </v>
          </cell>
          <cell r="BG35"/>
          <cell r="BH35"/>
          <cell r="BI35"/>
          <cell r="BJ35"/>
          <cell r="BK35"/>
          <cell r="BL35" t="str">
            <v>DUNAMIS/SITRACOM</v>
          </cell>
          <cell r="BM35"/>
          <cell r="BN35"/>
          <cell r="BO35"/>
          <cell r="BP35"/>
          <cell r="BQ35"/>
          <cell r="BR35"/>
          <cell r="BS35"/>
          <cell r="BV35" t="str">
            <v>BOA/KTD</v>
          </cell>
          <cell r="BW35"/>
          <cell r="BX35"/>
          <cell r="BY35"/>
          <cell r="BZ35"/>
          <cell r="CA35" t="str">
            <v>182610-14811</v>
          </cell>
          <cell r="CB35">
            <v>46128</v>
          </cell>
          <cell r="CC35" t="str">
            <v>2026-0100</v>
          </cell>
          <cell r="CD35">
            <v>46128</v>
          </cell>
          <cell r="CE35"/>
          <cell r="CF35"/>
          <cell r="CG35">
            <v>46107</v>
          </cell>
          <cell r="CH35">
            <v>46128</v>
          </cell>
          <cell r="CI35" t="str">
            <v>E11853</v>
          </cell>
          <cell r="CJ35"/>
          <cell r="CK35">
            <v>46140</v>
          </cell>
          <cell r="CM35"/>
          <cell r="CN35" t="str">
            <v>Sugmaran</v>
          </cell>
          <cell r="CP35"/>
        </row>
        <row r="36">
          <cell r="D36">
            <v>49</v>
          </cell>
          <cell r="E36">
            <v>200</v>
          </cell>
          <cell r="H36">
            <v>32014459</v>
          </cell>
          <cell r="K36" t="str">
            <v>APRIL</v>
          </cell>
          <cell r="L36" t="str">
            <v>VALENCY CI</v>
          </cell>
          <cell r="M36" t="str">
            <v xml:space="preserve">MAA TARINI TRADERS AND PROCESSING </v>
          </cell>
          <cell r="N36">
            <v>267514904</v>
          </cell>
          <cell r="O36">
            <v>267514904</v>
          </cell>
          <cell r="P36"/>
          <cell r="Q36" t="str">
            <v>ABJ</v>
          </cell>
          <cell r="R36" t="str">
            <v>VISHAKPATNAM, INDIA</v>
          </cell>
          <cell r="S36" t="str">
            <v>MAERSK CUANZA</v>
          </cell>
          <cell r="T36">
            <v>46107</v>
          </cell>
          <cell r="U36">
            <v>46132</v>
          </cell>
          <cell r="V36">
            <v>46132</v>
          </cell>
          <cell r="W36">
            <v>46159</v>
          </cell>
          <cell r="X36"/>
          <cell r="Y36">
            <v>46172</v>
          </cell>
          <cell r="Z36"/>
          <cell r="AA36">
            <v>100</v>
          </cell>
          <cell r="AB36">
            <v>100</v>
          </cell>
          <cell r="AC36">
            <v>45777</v>
          </cell>
          <cell r="AD36" t="str">
            <v>WH-I</v>
          </cell>
          <cell r="AE36">
            <v>4</v>
          </cell>
          <cell r="AG36" t="str">
            <v xml:space="preserve">VALENCY SINGAPORE </v>
          </cell>
          <cell r="AH36" t="str">
            <v>DUNAMIS/SITRACOM</v>
          </cell>
          <cell r="AI36" t="str">
            <v>MSK</v>
          </cell>
          <cell r="AJ36" t="str">
            <v>40FT</v>
          </cell>
          <cell r="AK36">
            <v>0.05</v>
          </cell>
          <cell r="AL36" t="str">
            <v xml:space="preserve"> ( 1 x 100 MTS ) </v>
          </cell>
          <cell r="AM36">
            <v>105</v>
          </cell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F36" t="str">
            <v xml:space="preserve">VALENCY SINGAPORE </v>
          </cell>
          <cell r="BG36"/>
          <cell r="BH36"/>
          <cell r="BI36"/>
          <cell r="BJ36"/>
          <cell r="BK36"/>
          <cell r="BL36" t="str">
            <v>DUNAMIS/SITRACOM</v>
          </cell>
          <cell r="BM36"/>
          <cell r="BN36"/>
          <cell r="BO36"/>
          <cell r="BP36"/>
          <cell r="BQ36"/>
          <cell r="BR36"/>
          <cell r="BS36"/>
          <cell r="BV36" t="str">
            <v>ABSA/CMI</v>
          </cell>
          <cell r="BW36"/>
          <cell r="BX36"/>
          <cell r="BY36"/>
          <cell r="BZ36"/>
          <cell r="CA36" t="str">
            <v>182610-14892</v>
          </cell>
          <cell r="CB36">
            <v>46133</v>
          </cell>
          <cell r="CC36" t="str">
            <v>2026-0209</v>
          </cell>
          <cell r="CD36">
            <v>46133</v>
          </cell>
          <cell r="CE36"/>
          <cell r="CF36"/>
          <cell r="CG36">
            <v>46107</v>
          </cell>
          <cell r="CH36">
            <v>46129</v>
          </cell>
          <cell r="CI36" t="str">
            <v>E12082</v>
          </cell>
          <cell r="CJ36"/>
          <cell r="CK36">
            <v>46140</v>
          </cell>
          <cell r="CM36"/>
          <cell r="CN36" t="str">
            <v>Ajeesh</v>
          </cell>
          <cell r="CP36"/>
        </row>
        <row r="37">
          <cell r="D37">
            <v>47</v>
          </cell>
          <cell r="E37">
            <v>200</v>
          </cell>
          <cell r="H37" t="str">
            <v>32015968-3</v>
          </cell>
          <cell r="K37" t="str">
            <v>APRIL</v>
          </cell>
          <cell r="L37" t="str">
            <v>VALENCY CI</v>
          </cell>
          <cell r="M37" t="str">
            <v>VALENCY AGRO INDIA UDUPI</v>
          </cell>
          <cell r="N37">
            <v>267489694</v>
          </cell>
          <cell r="O37">
            <v>267489694</v>
          </cell>
          <cell r="P37"/>
          <cell r="Q37" t="str">
            <v>ABJ</v>
          </cell>
          <cell r="R37" t="str">
            <v>MANGALORE, INDIA</v>
          </cell>
          <cell r="S37" t="str">
            <v>MAERSK CUANZA</v>
          </cell>
          <cell r="T37">
            <v>46107</v>
          </cell>
          <cell r="U37">
            <v>46116</v>
          </cell>
          <cell r="V37">
            <v>46116</v>
          </cell>
          <cell r="W37">
            <v>46161</v>
          </cell>
          <cell r="X37"/>
          <cell r="Y37">
            <v>46172</v>
          </cell>
          <cell r="Z37"/>
          <cell r="AA37">
            <v>100</v>
          </cell>
          <cell r="AB37">
            <v>100</v>
          </cell>
          <cell r="AC37">
            <v>45777</v>
          </cell>
          <cell r="AD37" t="str">
            <v>Ex-Olam</v>
          </cell>
          <cell r="AE37">
            <v>4</v>
          </cell>
          <cell r="AG37" t="str">
            <v xml:space="preserve">VALENCY SINGAPORE </v>
          </cell>
          <cell r="AH37" t="str">
            <v>DUNAMIS/SITRACOM</v>
          </cell>
          <cell r="AI37" t="str">
            <v>MSK</v>
          </cell>
          <cell r="AJ37" t="str">
            <v>40FT</v>
          </cell>
          <cell r="AK37">
            <v>0.1</v>
          </cell>
          <cell r="AL37" t="str">
            <v xml:space="preserve"> ( 1 x 100 MTS ) </v>
          </cell>
          <cell r="AM37">
            <v>110</v>
          </cell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F37" t="str">
            <v xml:space="preserve">VALENCY SINGAPORE </v>
          </cell>
          <cell r="BG37"/>
          <cell r="BH37"/>
          <cell r="BI37"/>
          <cell r="BJ37"/>
          <cell r="BK37"/>
          <cell r="BL37" t="str">
            <v>DUNAMIS/SITRACOM</v>
          </cell>
          <cell r="BM37"/>
          <cell r="BN37"/>
          <cell r="BO37"/>
          <cell r="BP37"/>
          <cell r="BQ37"/>
          <cell r="BR37"/>
          <cell r="BS37"/>
          <cell r="BV37" t="str">
            <v>BOA/KTD</v>
          </cell>
          <cell r="BW37"/>
          <cell r="BX37"/>
          <cell r="BY37"/>
          <cell r="BZ37"/>
          <cell r="CA37" t="str">
            <v>182610-14811</v>
          </cell>
          <cell r="CB37">
            <v>46128</v>
          </cell>
          <cell r="CC37" t="str">
            <v>2026-0100</v>
          </cell>
          <cell r="CD37">
            <v>46128</v>
          </cell>
          <cell r="CE37"/>
          <cell r="CF37"/>
          <cell r="CG37">
            <v>46107</v>
          </cell>
          <cell r="CH37">
            <v>46128</v>
          </cell>
          <cell r="CI37" t="str">
            <v>E11853</v>
          </cell>
          <cell r="CJ37"/>
          <cell r="CK37">
            <v>46140</v>
          </cell>
          <cell r="CM37"/>
          <cell r="CN37" t="str">
            <v>Sugmaran</v>
          </cell>
          <cell r="CP37"/>
        </row>
        <row r="38">
          <cell r="D38">
            <v>48</v>
          </cell>
          <cell r="E38">
            <v>200</v>
          </cell>
          <cell r="H38">
            <v>32014569</v>
          </cell>
          <cell r="K38" t="str">
            <v>APRIL</v>
          </cell>
          <cell r="L38" t="str">
            <v>VALENCY CI</v>
          </cell>
          <cell r="M38" t="str">
            <v>VALENCY AGRO INDIA UDUPI</v>
          </cell>
          <cell r="N38">
            <v>269062811</v>
          </cell>
          <cell r="O38"/>
          <cell r="P38"/>
          <cell r="Q38" t="str">
            <v>ABJ</v>
          </cell>
          <cell r="R38" t="str">
            <v>KOLKATA, INDIA</v>
          </cell>
          <cell r="S38" t="str">
            <v>MAERSK CABO VERDE</v>
          </cell>
          <cell r="T38">
            <v>46140</v>
          </cell>
          <cell r="U38">
            <v>46139</v>
          </cell>
          <cell r="V38">
            <v>46140</v>
          </cell>
          <cell r="W38"/>
          <cell r="X38"/>
          <cell r="Y38">
            <v>46187</v>
          </cell>
          <cell r="Z38"/>
          <cell r="AA38">
            <v>100</v>
          </cell>
          <cell r="AB38">
            <v>100</v>
          </cell>
          <cell r="AC38">
            <v>45777</v>
          </cell>
          <cell r="AD38" t="str">
            <v>WH-I</v>
          </cell>
          <cell r="AE38">
            <v>4</v>
          </cell>
          <cell r="AG38" t="str">
            <v>MONTER GLOBAL</v>
          </cell>
          <cell r="AH38" t="str">
            <v xml:space="preserve">MANTRA IVOIRE </v>
          </cell>
          <cell r="AI38" t="str">
            <v>MSK</v>
          </cell>
          <cell r="AJ38" t="str">
            <v>40FT</v>
          </cell>
          <cell r="AK38">
            <v>0.05</v>
          </cell>
          <cell r="AL38" t="str">
            <v xml:space="preserve"> ( 1 x 100 MTS ) </v>
          </cell>
          <cell r="AM38">
            <v>105</v>
          </cell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F38" t="str">
            <v>MONTER GLOBAL</v>
          </cell>
          <cell r="BG38"/>
          <cell r="BH38"/>
          <cell r="BI38"/>
          <cell r="BJ38"/>
          <cell r="BK38"/>
          <cell r="BL38" t="str">
            <v xml:space="preserve">MANTRA IVOIRE </v>
          </cell>
          <cell r="BM38"/>
          <cell r="BN38"/>
          <cell r="BO38"/>
          <cell r="BP38"/>
          <cell r="BQ38"/>
          <cell r="BR38"/>
          <cell r="BS38"/>
          <cell r="BV38" t="str">
            <v>ABSA/CMI</v>
          </cell>
          <cell r="BW38"/>
          <cell r="BX38"/>
          <cell r="BY38"/>
          <cell r="BZ38"/>
          <cell r="CA38" t="str">
            <v>182610-15025</v>
          </cell>
          <cell r="CB38">
            <v>46142</v>
          </cell>
          <cell r="CC38"/>
          <cell r="CD38"/>
          <cell r="CE38"/>
          <cell r="CF38"/>
          <cell r="CG38">
            <v>46138</v>
          </cell>
          <cell r="CH38">
            <v>46142</v>
          </cell>
          <cell r="CI38" t="str">
            <v>E13882</v>
          </cell>
          <cell r="CJ38"/>
          <cell r="CK38">
            <v>46161</v>
          </cell>
          <cell r="CM38"/>
        </row>
        <row r="39">
          <cell r="D39">
            <v>48</v>
          </cell>
          <cell r="E39">
            <v>200</v>
          </cell>
          <cell r="H39">
            <v>32014574</v>
          </cell>
          <cell r="K39" t="str">
            <v>APRIL</v>
          </cell>
          <cell r="L39" t="str">
            <v>VALENCY CI</v>
          </cell>
          <cell r="M39" t="str">
            <v>VALENCY AGRO INDIA UDUPI</v>
          </cell>
          <cell r="N39">
            <v>269062760</v>
          </cell>
          <cell r="O39"/>
          <cell r="P39"/>
          <cell r="Q39" t="str">
            <v>ABJ</v>
          </cell>
          <cell r="R39" t="str">
            <v>KOLKATA, INDIA</v>
          </cell>
          <cell r="S39" t="str">
            <v>MAERSK CABO VERDE</v>
          </cell>
          <cell r="T39">
            <v>46140</v>
          </cell>
          <cell r="U39">
            <v>46140</v>
          </cell>
          <cell r="V39">
            <v>46140</v>
          </cell>
          <cell r="W39"/>
          <cell r="X39"/>
          <cell r="Y39">
            <v>46187</v>
          </cell>
          <cell r="Z39"/>
          <cell r="AA39">
            <v>100</v>
          </cell>
          <cell r="AB39">
            <v>100</v>
          </cell>
          <cell r="AC39">
            <v>45777</v>
          </cell>
          <cell r="AD39" t="str">
            <v>WH-I</v>
          </cell>
          <cell r="AE39">
            <v>4</v>
          </cell>
          <cell r="AG39" t="str">
            <v>MONTER GLOBAL</v>
          </cell>
          <cell r="AH39" t="str">
            <v xml:space="preserve">MANTRA IVOIRE </v>
          </cell>
          <cell r="AI39" t="str">
            <v>MSK</v>
          </cell>
          <cell r="AJ39" t="str">
            <v>40FT</v>
          </cell>
          <cell r="AK39">
            <v>0.05</v>
          </cell>
          <cell r="AL39" t="str">
            <v xml:space="preserve"> ( 1 x 100 MTS ) </v>
          </cell>
          <cell r="AM39">
            <v>105</v>
          </cell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F39" t="str">
            <v>MONTER GLOBAL</v>
          </cell>
          <cell r="BG39"/>
          <cell r="BH39"/>
          <cell r="BI39"/>
          <cell r="BJ39"/>
          <cell r="BK39"/>
          <cell r="BL39" t="str">
            <v xml:space="preserve">MANTRA IVOIRE </v>
          </cell>
          <cell r="BM39"/>
          <cell r="BN39"/>
          <cell r="BO39"/>
          <cell r="BP39"/>
          <cell r="BQ39"/>
          <cell r="BR39"/>
          <cell r="BS39"/>
          <cell r="BV39" t="str">
            <v>ABSA/CMI</v>
          </cell>
          <cell r="BW39"/>
          <cell r="BX39"/>
          <cell r="BY39"/>
          <cell r="BZ39"/>
          <cell r="CA39" t="str">
            <v>182610-15025</v>
          </cell>
          <cell r="CB39">
            <v>46142</v>
          </cell>
          <cell r="CC39"/>
          <cell r="CD39"/>
          <cell r="CE39"/>
          <cell r="CF39"/>
          <cell r="CG39">
            <v>46138</v>
          </cell>
          <cell r="CH39">
            <v>46142</v>
          </cell>
          <cell r="CI39" t="str">
            <v>E13882</v>
          </cell>
          <cell r="CJ39"/>
          <cell r="CK39">
            <v>46161</v>
          </cell>
          <cell r="CM39"/>
        </row>
        <row r="40">
          <cell r="D40">
            <v>47</v>
          </cell>
          <cell r="E40">
            <v>200</v>
          </cell>
          <cell r="H40" t="str">
            <v>32015968-5</v>
          </cell>
          <cell r="K40" t="str">
            <v>APRIL</v>
          </cell>
          <cell r="L40" t="str">
            <v>VALENCY CI</v>
          </cell>
          <cell r="M40" t="str">
            <v>VALENCY AGRO INDIA UDUPI</v>
          </cell>
          <cell r="N40" t="str">
            <v>267489736-1</v>
          </cell>
          <cell r="O40"/>
          <cell r="P40"/>
          <cell r="Q40" t="str">
            <v>ABJ</v>
          </cell>
          <cell r="R40" t="str">
            <v>MANGALORE, INDIA</v>
          </cell>
          <cell r="S40" t="str">
            <v>MAERSK CUANZA</v>
          </cell>
          <cell r="T40">
            <v>46141</v>
          </cell>
          <cell r="U40">
            <v>46116</v>
          </cell>
          <cell r="V40">
            <v>46116</v>
          </cell>
          <cell r="W40">
            <v>46160</v>
          </cell>
          <cell r="X40">
            <v>46202</v>
          </cell>
          <cell r="Y40">
            <v>46172</v>
          </cell>
          <cell r="Z40"/>
          <cell r="AA40">
            <v>100</v>
          </cell>
          <cell r="AB40">
            <v>100</v>
          </cell>
          <cell r="AC40">
            <v>45777</v>
          </cell>
          <cell r="AD40" t="str">
            <v>Ex-Olam</v>
          </cell>
          <cell r="AE40">
            <v>4</v>
          </cell>
          <cell r="AG40" t="str">
            <v xml:space="preserve">VALENCY SINGAPORE </v>
          </cell>
          <cell r="AH40" t="str">
            <v>DUNAMIS/SITRACOM</v>
          </cell>
          <cell r="AI40" t="str">
            <v>MSK</v>
          </cell>
          <cell r="AJ40" t="str">
            <v>40FT</v>
          </cell>
          <cell r="AK40">
            <v>0.1</v>
          </cell>
          <cell r="AL40" t="str">
            <v xml:space="preserve"> ( 1 x 100 MTS ) </v>
          </cell>
          <cell r="AM40">
            <v>110</v>
          </cell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F40" t="str">
            <v xml:space="preserve">VALENCY SINGAPORE </v>
          </cell>
          <cell r="BG40"/>
          <cell r="BH40"/>
          <cell r="BI40"/>
          <cell r="BJ40"/>
          <cell r="BK40"/>
          <cell r="BL40" t="str">
            <v>DUNAMIS/SITRACOM</v>
          </cell>
          <cell r="BM40"/>
          <cell r="BN40"/>
          <cell r="BO40"/>
          <cell r="BP40"/>
          <cell r="BQ40"/>
          <cell r="BR40"/>
          <cell r="BS40"/>
          <cell r="BV40" t="str">
            <v>BOA/KTD</v>
          </cell>
          <cell r="BW40"/>
          <cell r="BX40"/>
          <cell r="BY40"/>
          <cell r="BZ40"/>
          <cell r="CA40" t="str">
            <v>182610-14811</v>
          </cell>
          <cell r="CB40">
            <v>46128</v>
          </cell>
          <cell r="CC40" t="str">
            <v>2026-0100</v>
          </cell>
          <cell r="CD40">
            <v>46128</v>
          </cell>
          <cell r="CE40"/>
          <cell r="CF40"/>
          <cell r="CG40">
            <v>46107</v>
          </cell>
          <cell r="CH40">
            <v>46128</v>
          </cell>
          <cell r="CI40" t="str">
            <v>E11853</v>
          </cell>
          <cell r="CJ40"/>
          <cell r="CK40">
            <v>46140</v>
          </cell>
          <cell r="CM40"/>
          <cell r="CN40" t="str">
            <v>Sugmaran</v>
          </cell>
          <cell r="CP40"/>
        </row>
        <row r="41">
          <cell r="D41">
            <v>47</v>
          </cell>
          <cell r="E41">
            <v>200</v>
          </cell>
          <cell r="H41" t="str">
            <v>32015968-5</v>
          </cell>
          <cell r="K41" t="str">
            <v>APRIL</v>
          </cell>
          <cell r="L41" t="str">
            <v>VALENCY CI</v>
          </cell>
          <cell r="M41" t="str">
            <v>VALENCY AGRO INDIA UDUPI</v>
          </cell>
          <cell r="N41">
            <v>269658785</v>
          </cell>
          <cell r="O41"/>
          <cell r="P41"/>
          <cell r="Q41" t="str">
            <v>ABJ</v>
          </cell>
          <cell r="R41" t="str">
            <v>MANGALORE, INDIA</v>
          </cell>
          <cell r="S41" t="str">
            <v>MAERSK CUANZA</v>
          </cell>
          <cell r="T41">
            <v>46141</v>
          </cell>
          <cell r="U41">
            <v>46118</v>
          </cell>
          <cell r="V41">
            <v>46118</v>
          </cell>
          <cell r="W41">
            <v>46160</v>
          </cell>
          <cell r="X41">
            <v>46202</v>
          </cell>
          <cell r="Y41">
            <v>46172</v>
          </cell>
          <cell r="Z41"/>
          <cell r="AA41">
            <v>100</v>
          </cell>
          <cell r="AB41">
            <v>100</v>
          </cell>
          <cell r="AC41">
            <v>45777</v>
          </cell>
          <cell r="AD41" t="str">
            <v>Ex-Olam</v>
          </cell>
          <cell r="AE41">
            <v>4</v>
          </cell>
          <cell r="AG41" t="str">
            <v xml:space="preserve">VALENCY SINGAPORE </v>
          </cell>
          <cell r="AH41" t="str">
            <v>DUNAMIS/SITRACOM</v>
          </cell>
          <cell r="AI41" t="str">
            <v>MSK</v>
          </cell>
          <cell r="AJ41" t="str">
            <v>40FT</v>
          </cell>
          <cell r="AK41">
            <v>0.1</v>
          </cell>
          <cell r="AL41" t="str">
            <v xml:space="preserve"> ( 1 x 100 MTS ) </v>
          </cell>
          <cell r="AM41">
            <v>110</v>
          </cell>
          <cell r="AO41"/>
          <cell r="AP41"/>
          <cell r="AQ41"/>
          <cell r="AR41"/>
          <cell r="AS41"/>
          <cell r="AT41"/>
          <cell r="AU41"/>
          <cell r="AV41"/>
          <cell r="AW41"/>
          <cell r="AX41"/>
          <cell r="AY41"/>
          <cell r="AZ41"/>
          <cell r="BA41"/>
          <cell r="BF41" t="str">
            <v xml:space="preserve">VALENCY SINGAPORE </v>
          </cell>
          <cell r="BG41"/>
          <cell r="BH41"/>
          <cell r="BI41"/>
          <cell r="BJ41"/>
          <cell r="BK41"/>
          <cell r="BL41" t="str">
            <v>DUNAMIS/SITRACOM</v>
          </cell>
          <cell r="BM41"/>
          <cell r="BN41"/>
          <cell r="BO41"/>
          <cell r="BP41"/>
          <cell r="BQ41"/>
          <cell r="BR41"/>
          <cell r="BS41"/>
          <cell r="BV41" t="str">
            <v>BOA/KTD</v>
          </cell>
          <cell r="BW41"/>
          <cell r="BX41"/>
          <cell r="BY41"/>
          <cell r="BZ41"/>
          <cell r="CA41" t="str">
            <v>182610-14811</v>
          </cell>
          <cell r="CB41">
            <v>46128</v>
          </cell>
          <cell r="CC41" t="str">
            <v>2026-0100</v>
          </cell>
          <cell r="CD41">
            <v>46128</v>
          </cell>
          <cell r="CE41"/>
          <cell r="CF41"/>
          <cell r="CG41">
            <v>46107</v>
          </cell>
          <cell r="CH41">
            <v>46128</v>
          </cell>
          <cell r="CI41" t="str">
            <v>E11853</v>
          </cell>
          <cell r="CJ41"/>
          <cell r="CK41">
            <v>46140</v>
          </cell>
          <cell r="CM41"/>
          <cell r="CN41" t="str">
            <v>Sugmaran</v>
          </cell>
          <cell r="CP41"/>
        </row>
        <row r="42">
          <cell r="D42">
            <v>49</v>
          </cell>
          <cell r="E42">
            <v>100</v>
          </cell>
          <cell r="H42">
            <v>32014482</v>
          </cell>
          <cell r="K42" t="str">
            <v>APRIL</v>
          </cell>
          <cell r="L42" t="str">
            <v>VALENCY CI</v>
          </cell>
          <cell r="M42" t="str">
            <v>MADHAVARAYA PRABHU</v>
          </cell>
          <cell r="N42">
            <v>267489781</v>
          </cell>
          <cell r="O42">
            <v>267489781</v>
          </cell>
          <cell r="P42"/>
          <cell r="Q42" t="str">
            <v>ABJ</v>
          </cell>
          <cell r="R42" t="str">
            <v>MANGALORE, INDIA</v>
          </cell>
          <cell r="S42" t="str">
            <v>MAERSK CUANZA</v>
          </cell>
          <cell r="T42">
            <v>46141</v>
          </cell>
          <cell r="U42">
            <v>46118</v>
          </cell>
          <cell r="V42">
            <v>46118</v>
          </cell>
          <cell r="W42">
            <v>46160</v>
          </cell>
          <cell r="X42">
            <v>46202</v>
          </cell>
          <cell r="Y42">
            <v>46172</v>
          </cell>
          <cell r="Z42"/>
          <cell r="AA42">
            <v>100</v>
          </cell>
          <cell r="AB42">
            <v>100</v>
          </cell>
          <cell r="AC42">
            <v>45777</v>
          </cell>
          <cell r="AD42" t="str">
            <v>Ex-Olam</v>
          </cell>
          <cell r="AE42">
            <v>4</v>
          </cell>
          <cell r="AG42" t="str">
            <v xml:space="preserve">VALENCY SINGAPORE </v>
          </cell>
          <cell r="AH42" t="str">
            <v>DUNAMIS/SITRACOM</v>
          </cell>
          <cell r="AI42" t="str">
            <v>MSK</v>
          </cell>
          <cell r="AJ42" t="str">
            <v>40FT</v>
          </cell>
          <cell r="AK42">
            <v>0.1</v>
          </cell>
          <cell r="AL42" t="str">
            <v xml:space="preserve"> ( 1 x 100 MTS ) </v>
          </cell>
          <cell r="AM42">
            <v>110</v>
          </cell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F42" t="str">
            <v xml:space="preserve">VALENCY SINGAPORE </v>
          </cell>
          <cell r="BG42"/>
          <cell r="BH42"/>
          <cell r="BI42"/>
          <cell r="BJ42"/>
          <cell r="BK42"/>
          <cell r="BL42" t="str">
            <v>DUNAMIS/SITRACOM</v>
          </cell>
          <cell r="BM42"/>
          <cell r="BN42"/>
          <cell r="BO42"/>
          <cell r="BP42"/>
          <cell r="BQ42"/>
          <cell r="BR42"/>
          <cell r="BS42"/>
          <cell r="BV42" t="str">
            <v>BOA/KTD</v>
          </cell>
          <cell r="BW42"/>
          <cell r="BX42"/>
          <cell r="BY42"/>
          <cell r="BZ42"/>
          <cell r="CA42" t="str">
            <v>182610-14865</v>
          </cell>
          <cell r="CB42">
            <v>46129</v>
          </cell>
          <cell r="CC42" t="str">
            <v>2026-0181</v>
          </cell>
          <cell r="CD42">
            <v>46129</v>
          </cell>
          <cell r="CE42"/>
          <cell r="CF42"/>
          <cell r="CG42">
            <v>46107</v>
          </cell>
          <cell r="CH42">
            <v>46129</v>
          </cell>
          <cell r="CI42" t="str">
            <v>E11965</v>
          </cell>
          <cell r="CJ42"/>
          <cell r="CK42">
            <v>46140</v>
          </cell>
          <cell r="CM42"/>
          <cell r="CN42" t="str">
            <v>Sugmaran</v>
          </cell>
          <cell r="CP42"/>
        </row>
        <row r="43">
          <cell r="D43">
            <v>49</v>
          </cell>
          <cell r="E43">
            <v>100</v>
          </cell>
          <cell r="H43">
            <v>32014482</v>
          </cell>
          <cell r="K43" t="str">
            <v>APRIL</v>
          </cell>
          <cell r="L43" t="str">
            <v>VALENCY CI</v>
          </cell>
          <cell r="M43" t="str">
            <v>MADHAVARAYA PRABHU</v>
          </cell>
          <cell r="N43" t="str">
            <v>267489781-1</v>
          </cell>
          <cell r="O43">
            <v>269656338</v>
          </cell>
          <cell r="P43"/>
          <cell r="Q43" t="str">
            <v>ABJ</v>
          </cell>
          <cell r="R43" t="str">
            <v>MANGALORE, INDIA</v>
          </cell>
          <cell r="S43" t="str">
            <v>MAERSK CUANZA</v>
          </cell>
          <cell r="T43">
            <v>46107</v>
          </cell>
          <cell r="U43">
            <v>46118</v>
          </cell>
          <cell r="V43">
            <v>46118</v>
          </cell>
          <cell r="W43">
            <v>46160</v>
          </cell>
          <cell r="X43">
            <v>46202</v>
          </cell>
          <cell r="Y43">
            <v>46172</v>
          </cell>
          <cell r="Z43"/>
          <cell r="AA43">
            <v>100</v>
          </cell>
          <cell r="AB43">
            <v>100</v>
          </cell>
          <cell r="AC43">
            <v>45777</v>
          </cell>
          <cell r="AD43" t="str">
            <v>Ex-Olam</v>
          </cell>
          <cell r="AE43">
            <v>4</v>
          </cell>
          <cell r="AG43" t="str">
            <v xml:space="preserve">VALENCY SINGAPORE </v>
          </cell>
          <cell r="AH43" t="str">
            <v>DUNAMIS/SITRACOM</v>
          </cell>
          <cell r="AI43" t="str">
            <v>MSK</v>
          </cell>
          <cell r="AJ43" t="str">
            <v>40FT</v>
          </cell>
          <cell r="AK43">
            <v>0.1</v>
          </cell>
          <cell r="AL43" t="str">
            <v xml:space="preserve"> ( 1 x 100 MTS ) </v>
          </cell>
          <cell r="AM43">
            <v>110</v>
          </cell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F43" t="str">
            <v xml:space="preserve">VALENCY SINGAPORE </v>
          </cell>
          <cell r="BG43"/>
          <cell r="BH43"/>
          <cell r="BI43"/>
          <cell r="BJ43"/>
          <cell r="BK43"/>
          <cell r="BL43" t="str">
            <v>DUNAMIS/SITRACOM</v>
          </cell>
          <cell r="BM43"/>
          <cell r="BN43"/>
          <cell r="BO43"/>
          <cell r="BP43"/>
          <cell r="BQ43"/>
          <cell r="BR43"/>
          <cell r="BS43"/>
          <cell r="BV43" t="str">
            <v>BOA/KTD</v>
          </cell>
          <cell r="BW43"/>
          <cell r="BX43"/>
          <cell r="BY43"/>
          <cell r="BZ43"/>
          <cell r="CA43" t="str">
            <v>182610-14865</v>
          </cell>
          <cell r="CB43">
            <v>46129</v>
          </cell>
          <cell r="CC43" t="str">
            <v>2026-0181</v>
          </cell>
          <cell r="CD43">
            <v>46129</v>
          </cell>
          <cell r="CE43"/>
          <cell r="CF43"/>
          <cell r="CG43">
            <v>46107</v>
          </cell>
          <cell r="CH43">
            <v>46129</v>
          </cell>
          <cell r="CI43" t="str">
            <v>E11965</v>
          </cell>
          <cell r="CJ43"/>
          <cell r="CK43">
            <v>46140</v>
          </cell>
          <cell r="CM43"/>
          <cell r="CN43" t="str">
            <v>Sugmaran</v>
          </cell>
          <cell r="CP43"/>
        </row>
        <row r="44">
          <cell r="D44">
            <v>47</v>
          </cell>
          <cell r="E44">
            <v>200</v>
          </cell>
          <cell r="H44" t="str">
            <v>32015968-3/5</v>
          </cell>
          <cell r="K44" t="str">
            <v>APRIL</v>
          </cell>
          <cell r="L44" t="str">
            <v>VALENCY CI</v>
          </cell>
          <cell r="M44" t="str">
            <v>VALENCY AGRO INDIA UDUPI</v>
          </cell>
          <cell r="N44">
            <v>267489832</v>
          </cell>
          <cell r="O44"/>
          <cell r="P44"/>
          <cell r="Q44" t="str">
            <v>ABJ</v>
          </cell>
          <cell r="R44" t="str">
            <v>MANGALORE, INDIA</v>
          </cell>
          <cell r="S44" t="str">
            <v>MAERSK CUANZA</v>
          </cell>
          <cell r="T44">
            <v>46107</v>
          </cell>
          <cell r="U44">
            <v>46118</v>
          </cell>
          <cell r="V44">
            <v>46118</v>
          </cell>
          <cell r="W44">
            <v>46160</v>
          </cell>
          <cell r="X44">
            <v>46202</v>
          </cell>
          <cell r="Y44">
            <v>46172</v>
          </cell>
          <cell r="Z44"/>
          <cell r="AA44">
            <v>100</v>
          </cell>
          <cell r="AB44">
            <v>100</v>
          </cell>
          <cell r="AC44">
            <v>45777</v>
          </cell>
          <cell r="AD44" t="str">
            <v>Ex-Olam</v>
          </cell>
          <cell r="AE44">
            <v>4</v>
          </cell>
          <cell r="AG44" t="str">
            <v xml:space="preserve">VALENCY SINGAPORE </v>
          </cell>
          <cell r="AH44" t="str">
            <v>DUNAMIS/SITRACOM</v>
          </cell>
          <cell r="AI44" t="str">
            <v>MSK</v>
          </cell>
          <cell r="AJ44" t="str">
            <v>40FT</v>
          </cell>
          <cell r="AK44">
            <v>0.1</v>
          </cell>
          <cell r="AL44" t="str">
            <v xml:space="preserve"> ( 1 x 100 MTS ) </v>
          </cell>
          <cell r="AM44">
            <v>110</v>
          </cell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F44" t="str">
            <v xml:space="preserve">VALENCY SINGAPORE </v>
          </cell>
          <cell r="BG44"/>
          <cell r="BH44"/>
          <cell r="BI44"/>
          <cell r="BJ44"/>
          <cell r="BK44"/>
          <cell r="BL44" t="str">
            <v>DUNAMIS/SITRACOM</v>
          </cell>
          <cell r="BM44"/>
          <cell r="BN44"/>
          <cell r="BO44"/>
          <cell r="BP44"/>
          <cell r="BQ44"/>
          <cell r="BR44"/>
          <cell r="BS44"/>
          <cell r="BV44" t="str">
            <v>BOA/KTD</v>
          </cell>
          <cell r="BW44"/>
          <cell r="BX44"/>
          <cell r="BY44"/>
          <cell r="BZ44"/>
          <cell r="CA44" t="str">
            <v>182610-14865</v>
          </cell>
          <cell r="CB44">
            <v>46129</v>
          </cell>
          <cell r="CC44" t="str">
            <v>2026-0181</v>
          </cell>
          <cell r="CD44">
            <v>46129</v>
          </cell>
          <cell r="CE44"/>
          <cell r="CF44"/>
          <cell r="CG44">
            <v>46107</v>
          </cell>
          <cell r="CH44">
            <v>46129</v>
          </cell>
          <cell r="CI44" t="str">
            <v>E11965</v>
          </cell>
          <cell r="CJ44"/>
          <cell r="CK44">
            <v>46140</v>
          </cell>
          <cell r="CM44"/>
          <cell r="CN44" t="str">
            <v>Sugmaran</v>
          </cell>
          <cell r="CP44"/>
        </row>
        <row r="45">
          <cell r="D45">
            <v>49</v>
          </cell>
          <cell r="E45">
            <v>200</v>
          </cell>
          <cell r="H45">
            <v>32014492</v>
          </cell>
          <cell r="K45" t="str">
            <v>APRIL</v>
          </cell>
          <cell r="L45" t="str">
            <v>VALENCY CI</v>
          </cell>
          <cell r="M45" t="str">
            <v>ST. GREGORIOUS CASHEW</v>
          </cell>
          <cell r="N45">
            <v>267465107</v>
          </cell>
          <cell r="O45">
            <v>270261409</v>
          </cell>
          <cell r="P45"/>
          <cell r="Q45" t="str">
            <v>ABJ</v>
          </cell>
          <cell r="R45" t="str">
            <v>COCHIN, INDIA</v>
          </cell>
          <cell r="S45" t="str">
            <v>MAERSK CUANZA</v>
          </cell>
          <cell r="T45">
            <v>46109</v>
          </cell>
          <cell r="U45">
            <v>46132</v>
          </cell>
          <cell r="V45">
            <v>46132</v>
          </cell>
          <cell r="W45">
            <v>46159</v>
          </cell>
          <cell r="X45">
            <v>46178</v>
          </cell>
          <cell r="Y45">
            <v>46172</v>
          </cell>
          <cell r="Z45"/>
          <cell r="AA45">
            <v>100</v>
          </cell>
          <cell r="AB45">
            <v>100</v>
          </cell>
          <cell r="AC45">
            <v>45777</v>
          </cell>
          <cell r="AD45" t="str">
            <v>WH-I</v>
          </cell>
          <cell r="AE45">
            <v>4</v>
          </cell>
          <cell r="AG45" t="str">
            <v xml:space="preserve">VALENCY SINGAPORE </v>
          </cell>
          <cell r="AH45" t="str">
            <v>DUNAMIS/SITRACOM</v>
          </cell>
          <cell r="AI45" t="str">
            <v>MSK</v>
          </cell>
          <cell r="AJ45" t="str">
            <v>40FT</v>
          </cell>
          <cell r="AK45">
            <v>0.1</v>
          </cell>
          <cell r="AL45" t="str">
            <v xml:space="preserve"> ( 1 x 100 MTS ) </v>
          </cell>
          <cell r="AM45">
            <v>110</v>
          </cell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F45" t="str">
            <v xml:space="preserve">VALENCY SINGAPORE </v>
          </cell>
          <cell r="BG45"/>
          <cell r="BH45"/>
          <cell r="BI45"/>
          <cell r="BJ45"/>
          <cell r="BK45"/>
          <cell r="BL45" t="str">
            <v>DUNAMIS/SITRACOM</v>
          </cell>
          <cell r="BM45"/>
          <cell r="BN45"/>
          <cell r="BO45"/>
          <cell r="BP45"/>
          <cell r="BQ45"/>
          <cell r="BR45"/>
          <cell r="BS45"/>
          <cell r="BV45" t="str">
            <v>ABSA/CMI</v>
          </cell>
          <cell r="BW45"/>
          <cell r="BX45"/>
          <cell r="BY45"/>
          <cell r="BZ45"/>
          <cell r="CA45" t="str">
            <v>182610-14924</v>
          </cell>
          <cell r="CB45">
            <v>46134</v>
          </cell>
          <cell r="CC45"/>
          <cell r="CD45"/>
          <cell r="CE45"/>
          <cell r="CF45"/>
          <cell r="CG45">
            <v>46109</v>
          </cell>
          <cell r="CH45">
            <v>46129</v>
          </cell>
          <cell r="CI45" t="str">
            <v>E12087</v>
          </cell>
          <cell r="CJ45"/>
          <cell r="CK45">
            <v>46140</v>
          </cell>
          <cell r="CM45"/>
          <cell r="CN45" t="str">
            <v>Ajeesh</v>
          </cell>
          <cell r="CP45"/>
        </row>
        <row r="46">
          <cell r="D46">
            <v>48</v>
          </cell>
          <cell r="E46">
            <v>200</v>
          </cell>
          <cell r="H46">
            <v>32014537</v>
          </cell>
          <cell r="K46" t="str">
            <v>APRIL</v>
          </cell>
          <cell r="L46" t="str">
            <v>VALENCY CI</v>
          </cell>
          <cell r="M46" t="str">
            <v>ST. GREGORIOUS CASHEW</v>
          </cell>
          <cell r="N46" t="str">
            <v>267465107-1</v>
          </cell>
          <cell r="O46">
            <v>267465107</v>
          </cell>
          <cell r="P46"/>
          <cell r="Q46" t="str">
            <v>ABJ</v>
          </cell>
          <cell r="R46" t="str">
            <v>COCHIN, INDIA</v>
          </cell>
          <cell r="S46" t="str">
            <v>MAERSK CUANZA</v>
          </cell>
          <cell r="T46">
            <v>46109</v>
          </cell>
          <cell r="U46">
            <v>46121</v>
          </cell>
          <cell r="V46">
            <v>46123</v>
          </cell>
          <cell r="W46">
            <v>46159</v>
          </cell>
          <cell r="X46">
            <v>46178</v>
          </cell>
          <cell r="Y46">
            <v>46172</v>
          </cell>
          <cell r="Z46"/>
          <cell r="AA46">
            <v>200</v>
          </cell>
          <cell r="AB46">
            <v>200</v>
          </cell>
          <cell r="AC46">
            <v>45777</v>
          </cell>
          <cell r="AD46" t="str">
            <v>WH-I</v>
          </cell>
          <cell r="AE46">
            <v>8</v>
          </cell>
          <cell r="AG46" t="str">
            <v xml:space="preserve">VALENCY SINGAPORE </v>
          </cell>
          <cell r="AH46" t="str">
            <v>DUNAMIS/SITRACOM</v>
          </cell>
          <cell r="AI46" t="str">
            <v>MSK</v>
          </cell>
          <cell r="AJ46" t="str">
            <v>40FT</v>
          </cell>
          <cell r="AK46">
            <v>0.1</v>
          </cell>
          <cell r="AL46" t="str">
            <v xml:space="preserve"> ( 1 x 200 MTS ) </v>
          </cell>
          <cell r="AM46">
            <v>220</v>
          </cell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F46" t="str">
            <v xml:space="preserve">VALENCY SINGAPORE </v>
          </cell>
          <cell r="BG46"/>
          <cell r="BH46"/>
          <cell r="BI46"/>
          <cell r="BJ46"/>
          <cell r="BK46"/>
          <cell r="BL46" t="str">
            <v>DUNAMIS/SITRACOM</v>
          </cell>
          <cell r="BM46"/>
          <cell r="BN46"/>
          <cell r="BO46"/>
          <cell r="BP46"/>
          <cell r="BQ46"/>
          <cell r="BR46"/>
          <cell r="BS46"/>
          <cell r="BV46" t="str">
            <v>ABSA/CMI</v>
          </cell>
          <cell r="BW46"/>
          <cell r="BX46"/>
          <cell r="BY46"/>
          <cell r="BZ46"/>
          <cell r="CA46" t="str">
            <v>182610-14812</v>
          </cell>
          <cell r="CB46">
            <v>46128</v>
          </cell>
          <cell r="CC46" t="str">
            <v>2026-0119</v>
          </cell>
          <cell r="CD46">
            <v>46128</v>
          </cell>
          <cell r="CE46"/>
          <cell r="CF46"/>
          <cell r="CG46">
            <v>46109</v>
          </cell>
          <cell r="CH46">
            <v>46128</v>
          </cell>
          <cell r="CI46" t="str">
            <v>E11856</v>
          </cell>
          <cell r="CJ46"/>
          <cell r="CK46">
            <v>46140</v>
          </cell>
          <cell r="CM46"/>
          <cell r="CN46" t="str">
            <v>Ajeesh</v>
          </cell>
          <cell r="CP46"/>
        </row>
        <row r="47">
          <cell r="D47">
            <v>48</v>
          </cell>
          <cell r="E47">
            <v>200</v>
          </cell>
          <cell r="H47">
            <v>32014572</v>
          </cell>
          <cell r="K47" t="str">
            <v>APRIL</v>
          </cell>
          <cell r="L47" t="str">
            <v>VALENCY CI</v>
          </cell>
          <cell r="M47" t="str">
            <v>VALENCY AGRO INDIA UDUPI</v>
          </cell>
          <cell r="N47">
            <v>269062882</v>
          </cell>
          <cell r="O47"/>
          <cell r="P47"/>
          <cell r="Q47" t="str">
            <v>ABJ</v>
          </cell>
          <cell r="R47" t="str">
            <v>KOLKATA, INDIA</v>
          </cell>
          <cell r="S47" t="str">
            <v>MAERSK CABO VERDE</v>
          </cell>
          <cell r="T47">
            <v>46141</v>
          </cell>
          <cell r="U47">
            <v>46135</v>
          </cell>
          <cell r="V47">
            <v>46141</v>
          </cell>
          <cell r="W47"/>
          <cell r="X47"/>
          <cell r="Y47">
            <v>46187</v>
          </cell>
          <cell r="Z47"/>
          <cell r="AA47">
            <v>100</v>
          </cell>
          <cell r="AB47">
            <v>100</v>
          </cell>
          <cell r="AC47">
            <v>45777</v>
          </cell>
          <cell r="AD47" t="str">
            <v>WH-I</v>
          </cell>
          <cell r="AE47">
            <v>4</v>
          </cell>
          <cell r="AG47" t="str">
            <v>MONTER GLOBAL</v>
          </cell>
          <cell r="AH47" t="str">
            <v xml:space="preserve">MANTRA IVOIRE </v>
          </cell>
          <cell r="AI47" t="str">
            <v>MSK</v>
          </cell>
          <cell r="AJ47" t="str">
            <v>40FT</v>
          </cell>
          <cell r="AK47">
            <v>0.05</v>
          </cell>
          <cell r="AL47" t="str">
            <v xml:space="preserve"> ( 1 x 100 MTS ) </v>
          </cell>
          <cell r="AM47">
            <v>105</v>
          </cell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F47" t="str">
            <v>MONTER GLOBAL</v>
          </cell>
          <cell r="BG47"/>
          <cell r="BH47"/>
          <cell r="BI47"/>
          <cell r="BJ47"/>
          <cell r="BK47"/>
          <cell r="BL47" t="str">
            <v xml:space="preserve">MANTRA IVOIRE </v>
          </cell>
          <cell r="BM47"/>
          <cell r="BN47"/>
          <cell r="BO47"/>
          <cell r="BP47"/>
          <cell r="BQ47"/>
          <cell r="BR47"/>
          <cell r="BS47"/>
          <cell r="BV47" t="str">
            <v>ABSA/CMI</v>
          </cell>
          <cell r="BW47"/>
          <cell r="BX47"/>
          <cell r="BY47"/>
          <cell r="BZ47"/>
          <cell r="CA47" t="str">
            <v>182610-15025</v>
          </cell>
          <cell r="CB47">
            <v>46142</v>
          </cell>
          <cell r="CC47"/>
          <cell r="CD47"/>
          <cell r="CE47"/>
          <cell r="CF47"/>
          <cell r="CG47">
            <v>46135</v>
          </cell>
          <cell r="CH47">
            <v>46142</v>
          </cell>
          <cell r="CI47" t="str">
            <v>E13882</v>
          </cell>
          <cell r="CJ47"/>
          <cell r="CK47">
            <v>46161</v>
          </cell>
          <cell r="CM47"/>
          <cell r="CN47" t="str">
            <v>Ajeesh</v>
          </cell>
        </row>
        <row r="48">
          <cell r="D48">
            <v>48</v>
          </cell>
          <cell r="E48">
            <v>200</v>
          </cell>
          <cell r="H48">
            <v>32014576</v>
          </cell>
          <cell r="K48" t="str">
            <v>APRIL</v>
          </cell>
          <cell r="L48" t="str">
            <v>VALENCY CI</v>
          </cell>
          <cell r="M48" t="str">
            <v>VALENCY AGRO INDIA UDUPI</v>
          </cell>
          <cell r="N48">
            <v>269062523</v>
          </cell>
          <cell r="O48"/>
          <cell r="P48"/>
          <cell r="Q48" t="str">
            <v>ABJ</v>
          </cell>
          <cell r="R48" t="str">
            <v>KOLKATA, INDIA</v>
          </cell>
          <cell r="S48" t="str">
            <v>MAERSK CABO VERDE</v>
          </cell>
          <cell r="T48">
            <v>46141</v>
          </cell>
          <cell r="U48">
            <v>46140</v>
          </cell>
          <cell r="V48">
            <v>46141</v>
          </cell>
          <cell r="W48"/>
          <cell r="X48"/>
          <cell r="Y48">
            <v>46187</v>
          </cell>
          <cell r="Z48"/>
          <cell r="AA48">
            <v>100</v>
          </cell>
          <cell r="AB48">
            <v>100</v>
          </cell>
          <cell r="AC48">
            <v>45777</v>
          </cell>
          <cell r="AD48" t="str">
            <v>WH-I</v>
          </cell>
          <cell r="AE48">
            <v>4</v>
          </cell>
          <cell r="AG48" t="str">
            <v>MONTER GLOBAL</v>
          </cell>
          <cell r="AH48" t="str">
            <v xml:space="preserve">MANTRA IVOIRE </v>
          </cell>
          <cell r="AI48" t="str">
            <v>MSK</v>
          </cell>
          <cell r="AJ48" t="str">
            <v>40FT</v>
          </cell>
          <cell r="AK48">
            <v>0.05</v>
          </cell>
          <cell r="AL48" t="str">
            <v xml:space="preserve"> ( 1 x 100 MTS ) </v>
          </cell>
          <cell r="AM48">
            <v>105</v>
          </cell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F48" t="str">
            <v>MONTER GLOBAL</v>
          </cell>
          <cell r="BG48"/>
          <cell r="BH48"/>
          <cell r="BI48"/>
          <cell r="BJ48"/>
          <cell r="BK48"/>
          <cell r="BL48" t="str">
            <v xml:space="preserve">MANTRA IVOIRE </v>
          </cell>
          <cell r="BM48"/>
          <cell r="BN48"/>
          <cell r="BO48"/>
          <cell r="BP48"/>
          <cell r="BQ48"/>
          <cell r="BR48"/>
          <cell r="BS48"/>
          <cell r="BV48" t="str">
            <v>ABSA/CMI</v>
          </cell>
          <cell r="BW48"/>
          <cell r="BX48"/>
          <cell r="BY48"/>
          <cell r="BZ48"/>
          <cell r="CA48" t="str">
            <v>182610-15025</v>
          </cell>
          <cell r="CB48">
            <v>46142</v>
          </cell>
          <cell r="CC48"/>
          <cell r="CD48"/>
          <cell r="CE48"/>
          <cell r="CF48"/>
          <cell r="CG48">
            <v>46139</v>
          </cell>
          <cell r="CH48">
            <v>46142</v>
          </cell>
          <cell r="CI48" t="str">
            <v>E13882</v>
          </cell>
          <cell r="CJ48"/>
          <cell r="CK48">
            <v>46161</v>
          </cell>
          <cell r="CM48"/>
          <cell r="CN48" t="str">
            <v>Ajeesh</v>
          </cell>
        </row>
        <row r="49">
          <cell r="D49">
            <v>48</v>
          </cell>
          <cell r="E49">
            <v>200</v>
          </cell>
          <cell r="H49">
            <v>32014577</v>
          </cell>
          <cell r="K49" t="str">
            <v>APRIL</v>
          </cell>
          <cell r="L49" t="str">
            <v>VALENCY CI</v>
          </cell>
          <cell r="M49" t="str">
            <v>VALENCY AGRO INDIA UDUPI</v>
          </cell>
          <cell r="N49">
            <v>269062694</v>
          </cell>
          <cell r="O49"/>
          <cell r="P49"/>
          <cell r="Q49" t="str">
            <v>ABJ</v>
          </cell>
          <cell r="R49" t="str">
            <v>KOLKATA, INDIA</v>
          </cell>
          <cell r="S49" t="str">
            <v>MAERSK CABO VERDE</v>
          </cell>
          <cell r="T49">
            <v>46142</v>
          </cell>
          <cell r="U49">
            <v>46142</v>
          </cell>
          <cell r="V49">
            <v>46142</v>
          </cell>
          <cell r="W49"/>
          <cell r="X49"/>
          <cell r="Y49">
            <v>46187</v>
          </cell>
          <cell r="Z49"/>
          <cell r="AA49">
            <v>100</v>
          </cell>
          <cell r="AB49">
            <v>100</v>
          </cell>
          <cell r="AC49">
            <v>45777</v>
          </cell>
          <cell r="AD49" t="str">
            <v>WH-I</v>
          </cell>
          <cell r="AE49">
            <v>4</v>
          </cell>
          <cell r="AG49" t="str">
            <v>MONTER GLOBAL</v>
          </cell>
          <cell r="AH49" t="str">
            <v xml:space="preserve">MANTRA IVOIRE </v>
          </cell>
          <cell r="AI49" t="str">
            <v>MSK</v>
          </cell>
          <cell r="AJ49" t="str">
            <v>40FT</v>
          </cell>
          <cell r="AK49">
            <v>0.05</v>
          </cell>
          <cell r="AL49" t="str">
            <v xml:space="preserve"> ( 1 x 100 MTS ) </v>
          </cell>
          <cell r="AM49">
            <v>105</v>
          </cell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F49" t="str">
            <v>MONTER GLOBAL</v>
          </cell>
          <cell r="BG49"/>
          <cell r="BH49"/>
          <cell r="BI49"/>
          <cell r="BJ49"/>
          <cell r="BK49"/>
          <cell r="BL49" t="str">
            <v xml:space="preserve">MANTRA IVOIRE </v>
          </cell>
          <cell r="BM49"/>
          <cell r="BN49"/>
          <cell r="BO49"/>
          <cell r="BP49"/>
          <cell r="BQ49"/>
          <cell r="BR49"/>
          <cell r="BS49"/>
          <cell r="BV49" t="str">
            <v>ABSA/CMI</v>
          </cell>
          <cell r="BW49"/>
          <cell r="BX49"/>
          <cell r="BY49"/>
          <cell r="BZ49"/>
          <cell r="CA49" t="str">
            <v>182610-15025</v>
          </cell>
          <cell r="CB49">
            <v>46142</v>
          </cell>
          <cell r="CC49"/>
          <cell r="CD49"/>
          <cell r="CE49"/>
          <cell r="CF49"/>
          <cell r="CG49">
            <v>46135</v>
          </cell>
          <cell r="CH49">
            <v>46142</v>
          </cell>
          <cell r="CI49" t="str">
            <v>E13882</v>
          </cell>
          <cell r="CJ49"/>
          <cell r="CK49">
            <v>46161</v>
          </cell>
          <cell r="CM49"/>
          <cell r="CN49" t="str">
            <v>Ajeesh</v>
          </cell>
        </row>
        <row r="50">
          <cell r="D50">
            <v>48</v>
          </cell>
          <cell r="E50">
            <v>200</v>
          </cell>
          <cell r="H50">
            <v>32014537</v>
          </cell>
          <cell r="K50" t="str">
            <v>APRIL</v>
          </cell>
          <cell r="L50" t="str">
            <v>VALENCY CI</v>
          </cell>
          <cell r="M50" t="str">
            <v>ST. GREGORIOUS CASHEW</v>
          </cell>
          <cell r="N50" t="str">
            <v>267465107-2</v>
          </cell>
          <cell r="O50">
            <v>270261368</v>
          </cell>
          <cell r="P50"/>
          <cell r="Q50" t="str">
            <v>ABJ</v>
          </cell>
          <cell r="R50" t="str">
            <v>COCHIN, INDIA</v>
          </cell>
          <cell r="S50" t="str">
            <v>MAERSK CUANZA</v>
          </cell>
          <cell r="T50">
            <v>46141</v>
          </cell>
          <cell r="U50">
            <v>46121</v>
          </cell>
          <cell r="V50">
            <v>46123</v>
          </cell>
          <cell r="W50">
            <v>46160</v>
          </cell>
          <cell r="X50">
            <v>46178</v>
          </cell>
          <cell r="Y50">
            <v>46172</v>
          </cell>
          <cell r="Z50"/>
          <cell r="AA50">
            <v>200</v>
          </cell>
          <cell r="AB50">
            <v>200</v>
          </cell>
          <cell r="AC50">
            <v>45777</v>
          </cell>
          <cell r="AD50" t="str">
            <v>WH-I</v>
          </cell>
          <cell r="AE50">
            <v>8</v>
          </cell>
          <cell r="AG50" t="str">
            <v xml:space="preserve">VALENCY SINGAPORE </v>
          </cell>
          <cell r="AH50" t="str">
            <v>DUNAMIS/SITRACOM</v>
          </cell>
          <cell r="AI50" t="str">
            <v>MSK</v>
          </cell>
          <cell r="AJ50" t="str">
            <v>40FT</v>
          </cell>
          <cell r="AK50">
            <v>0.1</v>
          </cell>
          <cell r="AL50" t="str">
            <v xml:space="preserve"> ( 1 x 200 MTS ) </v>
          </cell>
          <cell r="AM50">
            <v>220</v>
          </cell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F50" t="str">
            <v xml:space="preserve">VALENCY SINGAPORE </v>
          </cell>
          <cell r="BG50"/>
          <cell r="BH50"/>
          <cell r="BI50"/>
          <cell r="BJ50"/>
          <cell r="BK50"/>
          <cell r="BL50" t="str">
            <v>DUNAMIS/SITRACOM</v>
          </cell>
          <cell r="BM50"/>
          <cell r="BN50"/>
          <cell r="BO50"/>
          <cell r="BP50"/>
          <cell r="BQ50"/>
          <cell r="BR50"/>
          <cell r="BS50"/>
          <cell r="BV50" t="str">
            <v>ABSA/CMI</v>
          </cell>
          <cell r="BW50"/>
          <cell r="BX50"/>
          <cell r="BY50"/>
          <cell r="BZ50"/>
          <cell r="CA50" t="str">
            <v>182610-14812</v>
          </cell>
          <cell r="CB50">
            <v>46128</v>
          </cell>
          <cell r="CC50" t="str">
            <v>2026-0119</v>
          </cell>
          <cell r="CD50">
            <v>46128</v>
          </cell>
          <cell r="CE50"/>
          <cell r="CF50"/>
          <cell r="CG50">
            <v>46107</v>
          </cell>
          <cell r="CH50">
            <v>46128</v>
          </cell>
          <cell r="CI50" t="str">
            <v>E11856</v>
          </cell>
          <cell r="CJ50"/>
          <cell r="CK50">
            <v>46140</v>
          </cell>
          <cell r="CM50"/>
          <cell r="CN50" t="str">
            <v>Ajeesh</v>
          </cell>
          <cell r="CP50"/>
        </row>
        <row r="51">
          <cell r="D51">
            <v>48</v>
          </cell>
          <cell r="E51">
            <v>200</v>
          </cell>
          <cell r="H51">
            <v>32015058</v>
          </cell>
          <cell r="K51" t="str">
            <v>April/May - 26</v>
          </cell>
          <cell r="L51" t="str">
            <v>VALENCY CI</v>
          </cell>
          <cell r="M51" t="str">
            <v xml:space="preserve">THAO NGUYEN COMPANY LIMITED  </v>
          </cell>
          <cell r="N51" t="str">
            <v>ABJG00281500</v>
          </cell>
          <cell r="O51" t="str">
            <v>ONEYABJG00281500</v>
          </cell>
          <cell r="P51"/>
          <cell r="Q51" t="str">
            <v>ABJ</v>
          </cell>
          <cell r="R51" t="str">
            <v>CAI MEP ,VIETNAM</v>
          </cell>
          <cell r="S51" t="str">
            <v>EA CETUS</v>
          </cell>
          <cell r="T51">
            <v>46105</v>
          </cell>
          <cell r="U51">
            <v>46119</v>
          </cell>
          <cell r="V51">
            <v>46120</v>
          </cell>
          <cell r="W51">
            <v>46149</v>
          </cell>
          <cell r="X51">
            <v>46177</v>
          </cell>
          <cell r="Y51">
            <v>46159</v>
          </cell>
          <cell r="Z51">
            <v>46159</v>
          </cell>
          <cell r="AA51">
            <v>250</v>
          </cell>
          <cell r="AB51">
            <v>247.8</v>
          </cell>
          <cell r="AC51">
            <v>45808</v>
          </cell>
          <cell r="AD51" t="str">
            <v>Ex-Olam</v>
          </cell>
          <cell r="AE51">
            <v>10</v>
          </cell>
          <cell r="AG51" t="str">
            <v xml:space="preserve">GRAVIR LOGISTIQUE SARL </v>
          </cell>
          <cell r="AH51" t="str">
            <v>DUNAMIS/SITRACOM</v>
          </cell>
          <cell r="AI51" t="str">
            <v>ONE</v>
          </cell>
          <cell r="AJ51" t="str">
            <v>40FT</v>
          </cell>
          <cell r="AK51">
            <v>0.1</v>
          </cell>
          <cell r="AL51" t="str">
            <v xml:space="preserve"> ( 1 x 250 MTS ) </v>
          </cell>
          <cell r="AM51">
            <v>275</v>
          </cell>
          <cell r="AO51"/>
          <cell r="AP51">
            <v>46160</v>
          </cell>
          <cell r="AQ51">
            <v>46157</v>
          </cell>
          <cell r="AR51"/>
          <cell r="AS51"/>
          <cell r="AT51"/>
          <cell r="AU51"/>
          <cell r="AV51" t="str">
            <v xml:space="preserve">Ms. Than VALENCY INTERNATIONAL TRADING VIETNAM CO., LTD </v>
          </cell>
          <cell r="AW51"/>
          <cell r="AX51"/>
          <cell r="AY51"/>
          <cell r="AZ51"/>
          <cell r="BA51"/>
          <cell r="BF51" t="str">
            <v xml:space="preserve">GRAVIR LOGISTIQUE SARL </v>
          </cell>
          <cell r="BG51"/>
          <cell r="BH51"/>
          <cell r="BI51"/>
          <cell r="BJ51"/>
          <cell r="BK51"/>
          <cell r="BL51" t="str">
            <v>DUNAMIS/SITRACOM</v>
          </cell>
          <cell r="BM51"/>
          <cell r="BN51"/>
          <cell r="BO51"/>
          <cell r="BP51"/>
          <cell r="BQ51"/>
          <cell r="BR51">
            <v>46159</v>
          </cell>
          <cell r="BS51" t="str">
            <v>IVC-RCN2026-CI0007</v>
          </cell>
          <cell r="BV51" t="str">
            <v>BOA/KTD</v>
          </cell>
          <cell r="BW51"/>
          <cell r="BX51"/>
          <cell r="BY51"/>
          <cell r="BZ51"/>
          <cell r="CA51" t="str">
            <v>182610-14815</v>
          </cell>
          <cell r="CB51">
            <v>46128</v>
          </cell>
          <cell r="CC51" t="str">
            <v>2026-0110</v>
          </cell>
          <cell r="CD51">
            <v>46128</v>
          </cell>
          <cell r="CE51"/>
          <cell r="CF51"/>
          <cell r="CG51">
            <v>46105</v>
          </cell>
          <cell r="CH51">
            <v>46127</v>
          </cell>
          <cell r="CI51" t="str">
            <v>E11674</v>
          </cell>
          <cell r="CJ51"/>
          <cell r="CK51">
            <v>46123</v>
          </cell>
          <cell r="CM51"/>
          <cell r="CN51" t="str">
            <v>Sugmaran</v>
          </cell>
          <cell r="CP51"/>
        </row>
        <row r="52">
          <cell r="D52">
            <v>48</v>
          </cell>
          <cell r="E52">
            <v>200</v>
          </cell>
          <cell r="H52">
            <v>32014998</v>
          </cell>
          <cell r="K52" t="str">
            <v>April/May - 26</v>
          </cell>
          <cell r="L52" t="str">
            <v>VALENCY CI</v>
          </cell>
          <cell r="M52" t="str">
            <v xml:space="preserve">THAO NGUYEN COMPANY LIMITED  </v>
          </cell>
          <cell r="N52" t="str">
            <v>ABJG00282600</v>
          </cell>
          <cell r="O52" t="str">
            <v>ONEYABJG00282600</v>
          </cell>
          <cell r="P52"/>
          <cell r="Q52" t="str">
            <v>ABJ</v>
          </cell>
          <cell r="R52" t="str">
            <v>CAI MEP ,VIETNAM</v>
          </cell>
          <cell r="S52" t="str">
            <v>EA CETUS</v>
          </cell>
          <cell r="T52">
            <v>46107</v>
          </cell>
          <cell r="U52">
            <v>46119</v>
          </cell>
          <cell r="V52">
            <v>46120</v>
          </cell>
          <cell r="W52">
            <v>46149</v>
          </cell>
          <cell r="X52">
            <v>46177</v>
          </cell>
          <cell r="Y52">
            <v>46159</v>
          </cell>
          <cell r="Z52">
            <v>46159</v>
          </cell>
          <cell r="AA52">
            <v>250</v>
          </cell>
          <cell r="AB52">
            <v>240.26</v>
          </cell>
          <cell r="AC52">
            <v>45808</v>
          </cell>
          <cell r="AD52" t="str">
            <v>Ex-Olam</v>
          </cell>
          <cell r="AE52">
            <v>10</v>
          </cell>
          <cell r="AG52" t="str">
            <v xml:space="preserve">GRAVIR LOGISTIQUE SARL </v>
          </cell>
          <cell r="AH52" t="str">
            <v>DUNAMIS/SITRACOM</v>
          </cell>
          <cell r="AI52" t="str">
            <v>ONE</v>
          </cell>
          <cell r="AJ52" t="str">
            <v>40FT</v>
          </cell>
          <cell r="AK52">
            <v>0.1</v>
          </cell>
          <cell r="AL52" t="str">
            <v xml:space="preserve"> ( 1 x 250 MTS ) </v>
          </cell>
          <cell r="AM52">
            <v>275</v>
          </cell>
          <cell r="AO52"/>
          <cell r="AP52">
            <v>46160</v>
          </cell>
          <cell r="AQ52">
            <v>46157</v>
          </cell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F52" t="str">
            <v xml:space="preserve">GRAVIR LOGISTIQUE SARL </v>
          </cell>
          <cell r="BG52"/>
          <cell r="BH52"/>
          <cell r="BI52"/>
          <cell r="BJ52"/>
          <cell r="BK52"/>
          <cell r="BL52" t="str">
            <v>DUNAMIS/SITRACOM</v>
          </cell>
          <cell r="BM52"/>
          <cell r="BN52"/>
          <cell r="BO52"/>
          <cell r="BP52"/>
          <cell r="BQ52"/>
          <cell r="BR52">
            <v>46159</v>
          </cell>
          <cell r="BS52" t="str">
            <v>IVC-RCN2026-CI0008</v>
          </cell>
          <cell r="BV52" t="str">
            <v>BOA/KTD</v>
          </cell>
          <cell r="BW52"/>
          <cell r="BX52"/>
          <cell r="BY52"/>
          <cell r="BZ52"/>
          <cell r="CA52" t="str">
            <v>182610-14815</v>
          </cell>
          <cell r="CB52">
            <v>46128</v>
          </cell>
          <cell r="CC52" t="str">
            <v>2026-0110</v>
          </cell>
          <cell r="CD52">
            <v>46128</v>
          </cell>
          <cell r="CE52"/>
          <cell r="CF52"/>
          <cell r="CG52">
            <v>46107</v>
          </cell>
          <cell r="CH52">
            <v>46127</v>
          </cell>
          <cell r="CI52" t="str">
            <v>E11674</v>
          </cell>
          <cell r="CJ52"/>
          <cell r="CK52">
            <v>46123</v>
          </cell>
          <cell r="CM52"/>
          <cell r="CN52" t="str">
            <v>Sugmaran</v>
          </cell>
          <cell r="CP52"/>
        </row>
        <row r="53">
          <cell r="D53">
            <v>49</v>
          </cell>
          <cell r="E53">
            <v>200</v>
          </cell>
          <cell r="H53">
            <v>32014493</v>
          </cell>
          <cell r="K53" t="str">
            <v>APRIL</v>
          </cell>
          <cell r="L53" t="str">
            <v>VALENCY CI</v>
          </cell>
          <cell r="M53" t="str">
            <v>ST. PAULS CASHEW FACTORY</v>
          </cell>
          <cell r="N53">
            <v>268716048</v>
          </cell>
          <cell r="O53">
            <v>268716048</v>
          </cell>
          <cell r="P53"/>
          <cell r="Q53" t="str">
            <v>ABJ</v>
          </cell>
          <cell r="R53" t="str">
            <v>TUTICORIN, INDIA</v>
          </cell>
          <cell r="S53" t="str">
            <v>MAERSK CUANZA</v>
          </cell>
          <cell r="T53">
            <v>46109</v>
          </cell>
          <cell r="U53">
            <v>46132</v>
          </cell>
          <cell r="V53">
            <v>46132</v>
          </cell>
          <cell r="W53">
            <v>46159</v>
          </cell>
          <cell r="X53">
            <v>46189</v>
          </cell>
          <cell r="Y53">
            <v>46172</v>
          </cell>
          <cell r="Z53"/>
          <cell r="AA53">
            <v>100</v>
          </cell>
          <cell r="AB53">
            <v>100</v>
          </cell>
          <cell r="AC53">
            <v>45777</v>
          </cell>
          <cell r="AD53" t="str">
            <v>WH-I</v>
          </cell>
          <cell r="AE53">
            <v>4</v>
          </cell>
          <cell r="AG53" t="str">
            <v xml:space="preserve">REUDAN INTERNATIONAL CI </v>
          </cell>
          <cell r="AH53" t="str">
            <v>DUNAMIS/SITRACOM</v>
          </cell>
          <cell r="AI53" t="str">
            <v>MSK</v>
          </cell>
          <cell r="AJ53" t="str">
            <v>40FT</v>
          </cell>
          <cell r="AK53">
            <v>0.1</v>
          </cell>
          <cell r="AL53" t="str">
            <v xml:space="preserve"> ( 1 x 100 MTS ) </v>
          </cell>
          <cell r="AM53">
            <v>110</v>
          </cell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F53" t="str">
            <v xml:space="preserve">REUDAN INTERNATIONAL CI </v>
          </cell>
          <cell r="BG53"/>
          <cell r="BH53"/>
          <cell r="BI53"/>
          <cell r="BJ53"/>
          <cell r="BK53"/>
          <cell r="BL53" t="str">
            <v>DUNAMIS/SITRACOM</v>
          </cell>
          <cell r="BM53"/>
          <cell r="BN53"/>
          <cell r="BO53"/>
          <cell r="BP53"/>
          <cell r="BQ53"/>
          <cell r="BR53"/>
          <cell r="BS53"/>
          <cell r="BV53" t="str">
            <v>ABSA/CMI</v>
          </cell>
          <cell r="BW53"/>
          <cell r="BX53"/>
          <cell r="BY53"/>
          <cell r="BZ53"/>
          <cell r="CA53" t="str">
            <v>182610-14850</v>
          </cell>
          <cell r="CB53">
            <v>46129</v>
          </cell>
          <cell r="CC53" t="str">
            <v>2026-0166</v>
          </cell>
          <cell r="CD53">
            <v>46129</v>
          </cell>
          <cell r="CE53"/>
          <cell r="CF53"/>
          <cell r="CG53">
            <v>46109</v>
          </cell>
          <cell r="CH53">
            <v>46129</v>
          </cell>
          <cell r="CI53" t="str">
            <v>E12052</v>
          </cell>
          <cell r="CJ53"/>
          <cell r="CK53">
            <v>46140</v>
          </cell>
          <cell r="CM53"/>
          <cell r="CN53" t="str">
            <v>Ajeesh</v>
          </cell>
          <cell r="CP53"/>
        </row>
        <row r="54">
          <cell r="D54">
            <v>48</v>
          </cell>
          <cell r="E54">
            <v>200</v>
          </cell>
          <cell r="H54">
            <v>32014539</v>
          </cell>
          <cell r="K54" t="str">
            <v>APRIL</v>
          </cell>
          <cell r="L54" t="str">
            <v>VALENCY CI</v>
          </cell>
          <cell r="M54" t="str">
            <v>ST. PAULS CASHEW FACTORY</v>
          </cell>
          <cell r="N54">
            <v>268715910</v>
          </cell>
          <cell r="O54"/>
          <cell r="P54"/>
          <cell r="Q54" t="str">
            <v>ABJ</v>
          </cell>
          <cell r="R54" t="str">
            <v>TUTICORIN, INDIA</v>
          </cell>
          <cell r="S54" t="str">
            <v>MAERSK CABO VERDE</v>
          </cell>
          <cell r="T54">
            <v>46109</v>
          </cell>
          <cell r="U54">
            <v>46132</v>
          </cell>
          <cell r="V54">
            <v>46132</v>
          </cell>
          <cell r="W54"/>
          <cell r="X54"/>
          <cell r="Y54">
            <v>46178</v>
          </cell>
          <cell r="Z54"/>
          <cell r="AA54">
            <v>100</v>
          </cell>
          <cell r="AB54">
            <v>100</v>
          </cell>
          <cell r="AC54">
            <v>45777</v>
          </cell>
          <cell r="AD54" t="str">
            <v>WH-I</v>
          </cell>
          <cell r="AE54">
            <v>4</v>
          </cell>
          <cell r="AG54" t="str">
            <v xml:space="preserve">REUDAN INTERNATIONAL CI </v>
          </cell>
          <cell r="AH54" t="str">
            <v>DUNAMIS/SITRACOM</v>
          </cell>
          <cell r="AI54" t="str">
            <v>MSK</v>
          </cell>
          <cell r="AJ54" t="str">
            <v>40FT</v>
          </cell>
          <cell r="AK54">
            <v>0.1</v>
          </cell>
          <cell r="AL54" t="str">
            <v xml:space="preserve"> ( 1 x 100 MTS ) </v>
          </cell>
          <cell r="AM54">
            <v>110</v>
          </cell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F54" t="str">
            <v xml:space="preserve">REUDAN INTERNATIONAL CI </v>
          </cell>
          <cell r="BG54"/>
          <cell r="BH54"/>
          <cell r="BI54"/>
          <cell r="BJ54"/>
          <cell r="BK54"/>
          <cell r="BL54" t="str">
            <v>DUNAMIS/SITRACOM</v>
          </cell>
          <cell r="BM54"/>
          <cell r="BN54"/>
          <cell r="BO54"/>
          <cell r="BP54"/>
          <cell r="BQ54"/>
          <cell r="BR54"/>
          <cell r="BS54"/>
          <cell r="BV54" t="str">
            <v>ABSA/CMI</v>
          </cell>
          <cell r="BW54"/>
          <cell r="BX54"/>
          <cell r="BY54"/>
          <cell r="BZ54"/>
          <cell r="CA54" t="str">
            <v>182610-14928</v>
          </cell>
          <cell r="CB54">
            <v>46134</v>
          </cell>
          <cell r="CC54" t="str">
            <v>2026-0240</v>
          </cell>
          <cell r="CD54">
            <v>46134</v>
          </cell>
          <cell r="CE54"/>
          <cell r="CF54"/>
          <cell r="CG54">
            <v>46109</v>
          </cell>
          <cell r="CH54">
            <v>46129</v>
          </cell>
          <cell r="CI54" t="str">
            <v>E12039</v>
          </cell>
          <cell r="CJ54"/>
          <cell r="CK54">
            <v>46140</v>
          </cell>
          <cell r="CM54"/>
          <cell r="CN54" t="str">
            <v>Ajeesh</v>
          </cell>
          <cell r="CP54"/>
        </row>
        <row r="55">
          <cell r="D55">
            <v>48</v>
          </cell>
          <cell r="E55">
            <v>200</v>
          </cell>
          <cell r="H55">
            <v>32014539</v>
          </cell>
          <cell r="K55" t="str">
            <v>APRIL</v>
          </cell>
          <cell r="L55" t="str">
            <v>VALENCY CI</v>
          </cell>
          <cell r="M55" t="str">
            <v>ST. PAULS CASHEW FACTORY</v>
          </cell>
          <cell r="N55">
            <v>268715714</v>
          </cell>
          <cell r="O55">
            <v>268715714</v>
          </cell>
          <cell r="P55" t="str">
            <v>TPSCR26010621</v>
          </cell>
          <cell r="Q55" t="str">
            <v>ABJ</v>
          </cell>
          <cell r="R55" t="str">
            <v>TUTICORIN, INDIA</v>
          </cell>
          <cell r="S55" t="str">
            <v>MAERSK CARDIFF</v>
          </cell>
          <cell r="T55">
            <v>46109</v>
          </cell>
          <cell r="U55">
            <v>46130</v>
          </cell>
          <cell r="V55">
            <v>46132</v>
          </cell>
          <cell r="W55">
            <v>46143</v>
          </cell>
          <cell r="X55">
            <v>46175</v>
          </cell>
          <cell r="Y55">
            <v>46152</v>
          </cell>
          <cell r="Z55">
            <v>46152</v>
          </cell>
          <cell r="AA55">
            <v>100</v>
          </cell>
          <cell r="AB55">
            <v>100.84</v>
          </cell>
          <cell r="AC55">
            <v>45777</v>
          </cell>
          <cell r="AD55" t="str">
            <v>WH-I</v>
          </cell>
          <cell r="AE55">
            <v>4</v>
          </cell>
          <cell r="AG55" t="str">
            <v xml:space="preserve">REUDAN INTERNATIONAL CI </v>
          </cell>
          <cell r="AH55" t="str">
            <v>DUNAMIS/SITRACOM</v>
          </cell>
          <cell r="AI55" t="str">
            <v>MSK</v>
          </cell>
          <cell r="AJ55" t="str">
            <v>40FT</v>
          </cell>
          <cell r="AK55">
            <v>0.1</v>
          </cell>
          <cell r="AL55" t="str">
            <v xml:space="preserve"> ( 1 x 100 MTS ) </v>
          </cell>
          <cell r="AM55">
            <v>110</v>
          </cell>
          <cell r="AO55"/>
          <cell r="AP55">
            <v>46150</v>
          </cell>
          <cell r="AQ55">
            <v>46153</v>
          </cell>
          <cell r="AR55">
            <v>46163</v>
          </cell>
          <cell r="AS55">
            <v>46153</v>
          </cell>
          <cell r="AT55">
            <v>46153</v>
          </cell>
          <cell r="AU55">
            <v>46153</v>
          </cell>
          <cell r="AV55" t="str">
            <v>M/s. DIVYA IMPEX</v>
          </cell>
          <cell r="AW55">
            <v>46161</v>
          </cell>
          <cell r="AX55">
            <v>6171900372</v>
          </cell>
          <cell r="AY55" t="str">
            <v xml:space="preserve">BL printing Singapore </v>
          </cell>
          <cell r="AZ55">
            <v>46163</v>
          </cell>
          <cell r="BA55"/>
          <cell r="BF55" t="str">
            <v xml:space="preserve">REUDAN INTERNATIONAL CI </v>
          </cell>
          <cell r="BG55"/>
          <cell r="BH55"/>
          <cell r="BI55"/>
          <cell r="BJ55"/>
          <cell r="BK55"/>
          <cell r="BL55" t="str">
            <v>DUNAMIS/SITRACOM</v>
          </cell>
          <cell r="BM55"/>
          <cell r="BN55"/>
          <cell r="BO55"/>
          <cell r="BP55"/>
          <cell r="BQ55"/>
          <cell r="BR55">
            <v>46152</v>
          </cell>
          <cell r="BS55" t="str">
            <v>IVC-RCN2026-CI0005</v>
          </cell>
          <cell r="BV55" t="str">
            <v>ABSA/CMI</v>
          </cell>
          <cell r="BW55">
            <v>46160</v>
          </cell>
          <cell r="BX55"/>
          <cell r="BY55"/>
          <cell r="BZ55"/>
          <cell r="CA55" t="str">
            <v>182610-14928</v>
          </cell>
          <cell r="CB55">
            <v>46134</v>
          </cell>
          <cell r="CC55" t="str">
            <v>2026-0240</v>
          </cell>
          <cell r="CD55">
            <v>46134</v>
          </cell>
          <cell r="CE55"/>
          <cell r="CF55"/>
          <cell r="CG55">
            <v>46109</v>
          </cell>
          <cell r="CH55">
            <v>46129</v>
          </cell>
          <cell r="CI55" t="str">
            <v>E12039</v>
          </cell>
          <cell r="CJ55"/>
          <cell r="CK55">
            <v>46139</v>
          </cell>
          <cell r="CM55"/>
          <cell r="CN55" t="str">
            <v>Ajeesh</v>
          </cell>
          <cell r="CP55"/>
        </row>
        <row r="56">
          <cell r="D56">
            <v>48</v>
          </cell>
          <cell r="E56">
            <v>200</v>
          </cell>
          <cell r="H56">
            <v>32014497</v>
          </cell>
          <cell r="K56" t="str">
            <v>APRIL</v>
          </cell>
          <cell r="L56" t="str">
            <v>VALENCY CI</v>
          </cell>
          <cell r="M56" t="str">
            <v>FAVOURITE CASHEWS</v>
          </cell>
          <cell r="N56">
            <v>267489852</v>
          </cell>
          <cell r="O56"/>
          <cell r="P56"/>
          <cell r="Q56" t="str">
            <v>ABJ</v>
          </cell>
          <cell r="R56" t="str">
            <v>MANGALORE, INDIA</v>
          </cell>
          <cell r="S56" t="str">
            <v>MAERSK CUANZA</v>
          </cell>
          <cell r="T56">
            <v>46107</v>
          </cell>
          <cell r="U56">
            <v>46119</v>
          </cell>
          <cell r="V56">
            <v>46119</v>
          </cell>
          <cell r="W56">
            <v>46160</v>
          </cell>
          <cell r="X56">
            <v>46202</v>
          </cell>
          <cell r="Y56">
            <v>46172</v>
          </cell>
          <cell r="Z56"/>
          <cell r="AA56">
            <v>200</v>
          </cell>
          <cell r="AB56">
            <v>200</v>
          </cell>
          <cell r="AC56">
            <v>45777</v>
          </cell>
          <cell r="AD56" t="str">
            <v>Ex-Olam</v>
          </cell>
          <cell r="AE56">
            <v>8</v>
          </cell>
          <cell r="AG56" t="str">
            <v xml:space="preserve">VALENCY SINGAPORE </v>
          </cell>
          <cell r="AH56" t="str">
            <v>DUNAMIS/SITRACOM</v>
          </cell>
          <cell r="AI56" t="str">
            <v>MSK</v>
          </cell>
          <cell r="AJ56" t="str">
            <v>40FT</v>
          </cell>
          <cell r="AK56">
            <v>0.1</v>
          </cell>
          <cell r="AL56" t="str">
            <v xml:space="preserve"> ( 1 x 200 MTS ) </v>
          </cell>
          <cell r="AM56">
            <v>220</v>
          </cell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F56" t="str">
            <v xml:space="preserve">VALENCY SINGAPORE </v>
          </cell>
          <cell r="BG56"/>
          <cell r="BH56"/>
          <cell r="BI56"/>
          <cell r="BJ56"/>
          <cell r="BK56"/>
          <cell r="BL56" t="str">
            <v>DUNAMIS/SITRACOM</v>
          </cell>
          <cell r="BM56"/>
          <cell r="BN56"/>
          <cell r="BO56"/>
          <cell r="BP56"/>
          <cell r="BQ56"/>
          <cell r="BR56"/>
          <cell r="BS56"/>
          <cell r="BV56" t="str">
            <v>BOA/KTD</v>
          </cell>
          <cell r="BW56"/>
          <cell r="BX56"/>
          <cell r="BY56"/>
          <cell r="BZ56"/>
          <cell r="CA56" t="str">
            <v>182610-14813</v>
          </cell>
          <cell r="CB56">
            <v>46128</v>
          </cell>
          <cell r="CC56" t="str">
            <v>2026-0122</v>
          </cell>
          <cell r="CD56">
            <v>46128</v>
          </cell>
          <cell r="CE56"/>
          <cell r="CF56"/>
          <cell r="CG56">
            <v>46107</v>
          </cell>
          <cell r="CH56">
            <v>46128</v>
          </cell>
          <cell r="CI56" t="str">
            <v>E11861</v>
          </cell>
          <cell r="CJ56"/>
          <cell r="CK56">
            <v>46140</v>
          </cell>
          <cell r="CM56"/>
          <cell r="CN56" t="str">
            <v>Sugmaran</v>
          </cell>
          <cell r="CP56"/>
        </row>
        <row r="57">
          <cell r="D57">
            <v>48</v>
          </cell>
          <cell r="E57">
            <v>200</v>
          </cell>
          <cell r="H57">
            <v>32014495</v>
          </cell>
          <cell r="K57" t="str">
            <v>APRIL</v>
          </cell>
          <cell r="L57" t="str">
            <v>VALENCY CI</v>
          </cell>
          <cell r="M57" t="str">
            <v>MAHALASA EXPORTS</v>
          </cell>
          <cell r="N57">
            <v>267489886</v>
          </cell>
          <cell r="O57"/>
          <cell r="P57"/>
          <cell r="Q57" t="str">
            <v>ABJ</v>
          </cell>
          <cell r="R57" t="str">
            <v>MANGALORE, INDIA</v>
          </cell>
          <cell r="S57" t="str">
            <v>MAERSK CUANZA</v>
          </cell>
          <cell r="T57">
            <v>46107</v>
          </cell>
          <cell r="U57">
            <v>46119</v>
          </cell>
          <cell r="V57">
            <v>46119</v>
          </cell>
          <cell r="W57">
            <v>46161</v>
          </cell>
          <cell r="X57">
            <v>46202</v>
          </cell>
          <cell r="Y57">
            <v>46172</v>
          </cell>
          <cell r="Z57"/>
          <cell r="AA57">
            <v>100</v>
          </cell>
          <cell r="AB57">
            <v>100</v>
          </cell>
          <cell r="AC57">
            <v>45777</v>
          </cell>
          <cell r="AD57" t="str">
            <v>Ex-Olam</v>
          </cell>
          <cell r="AE57">
            <v>4</v>
          </cell>
          <cell r="AG57" t="str">
            <v xml:space="preserve">VALENCY SINGAPORE </v>
          </cell>
          <cell r="AH57" t="str">
            <v>DUNAMIS/SITRACOM</v>
          </cell>
          <cell r="AI57" t="str">
            <v>MSK</v>
          </cell>
          <cell r="AJ57" t="str">
            <v>40FT</v>
          </cell>
          <cell r="AK57">
            <v>0.1</v>
          </cell>
          <cell r="AL57" t="str">
            <v xml:space="preserve"> ( 1 x 100 MTS ) </v>
          </cell>
          <cell r="AM57">
            <v>110</v>
          </cell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F57" t="str">
            <v xml:space="preserve">VALENCY SINGAPORE </v>
          </cell>
          <cell r="BG57"/>
          <cell r="BH57"/>
          <cell r="BI57"/>
          <cell r="BJ57"/>
          <cell r="BK57"/>
          <cell r="BL57" t="str">
            <v>DUNAMIS/SITRACOM</v>
          </cell>
          <cell r="BM57"/>
          <cell r="BN57"/>
          <cell r="BO57"/>
          <cell r="BP57"/>
          <cell r="BQ57"/>
          <cell r="BR57"/>
          <cell r="BS57"/>
          <cell r="BV57" t="str">
            <v>BOA/KTD</v>
          </cell>
          <cell r="BW57"/>
          <cell r="BX57"/>
          <cell r="BY57"/>
          <cell r="BZ57"/>
          <cell r="CA57" t="str">
            <v>182610-14813</v>
          </cell>
          <cell r="CB57">
            <v>46128</v>
          </cell>
          <cell r="CC57" t="str">
            <v>2026-0122</v>
          </cell>
          <cell r="CD57">
            <v>46128</v>
          </cell>
          <cell r="CE57"/>
          <cell r="CF57"/>
          <cell r="CG57">
            <v>46107</v>
          </cell>
          <cell r="CH57">
            <v>46128</v>
          </cell>
          <cell r="CI57" t="str">
            <v>E11861</v>
          </cell>
          <cell r="CJ57"/>
          <cell r="CK57">
            <v>46140</v>
          </cell>
          <cell r="CM57"/>
          <cell r="CN57" t="str">
            <v>Sugmaran</v>
          </cell>
          <cell r="CP57"/>
        </row>
        <row r="58">
          <cell r="D58">
            <v>48</v>
          </cell>
          <cell r="E58">
            <v>200</v>
          </cell>
          <cell r="H58">
            <v>32014540</v>
          </cell>
          <cell r="K58" t="str">
            <v>APRIL</v>
          </cell>
          <cell r="L58" t="str">
            <v>VALENCY CI</v>
          </cell>
          <cell r="M58" t="str">
            <v xml:space="preserve">SHREE KRISHNAPRASAD CASHEWS </v>
          </cell>
          <cell r="N58">
            <v>267455386</v>
          </cell>
          <cell r="O58">
            <v>267455386</v>
          </cell>
          <cell r="P58"/>
          <cell r="Q58" t="str">
            <v>ABJ</v>
          </cell>
          <cell r="R58" t="str">
            <v>MANGALORE, INDIA</v>
          </cell>
          <cell r="S58" t="str">
            <v>MAERSK CUANZA</v>
          </cell>
          <cell r="T58">
            <v>46107</v>
          </cell>
          <cell r="U58">
            <v>46121</v>
          </cell>
          <cell r="V58">
            <v>46123</v>
          </cell>
          <cell r="W58">
            <v>46159</v>
          </cell>
          <cell r="X58">
            <v>46202</v>
          </cell>
          <cell r="Y58">
            <v>46172</v>
          </cell>
          <cell r="Z58"/>
          <cell r="AA58">
            <v>250</v>
          </cell>
          <cell r="AB58">
            <v>250</v>
          </cell>
          <cell r="AC58">
            <v>45777</v>
          </cell>
          <cell r="AD58" t="str">
            <v>WH-I</v>
          </cell>
          <cell r="AE58">
            <v>10</v>
          </cell>
          <cell r="AG58" t="str">
            <v xml:space="preserve">VALENCY SINGAPORE </v>
          </cell>
          <cell r="AH58" t="str">
            <v>DUNAMIS/SITRACOM</v>
          </cell>
          <cell r="AI58" t="str">
            <v>MSK</v>
          </cell>
          <cell r="AJ58" t="str">
            <v>40FT</v>
          </cell>
          <cell r="AK58">
            <v>0.1</v>
          </cell>
          <cell r="AL58" t="str">
            <v xml:space="preserve"> ( 1 x 250 MTS ) </v>
          </cell>
          <cell r="AM58">
            <v>275</v>
          </cell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F58" t="str">
            <v xml:space="preserve">VALENCY SINGAPORE </v>
          </cell>
          <cell r="BG58"/>
          <cell r="BH58"/>
          <cell r="BI58"/>
          <cell r="BJ58"/>
          <cell r="BK58"/>
          <cell r="BL58" t="str">
            <v>DUNAMIS/SITRACOM</v>
          </cell>
          <cell r="BM58"/>
          <cell r="BN58"/>
          <cell r="BO58"/>
          <cell r="BP58"/>
          <cell r="BQ58"/>
          <cell r="BR58"/>
          <cell r="BS58"/>
          <cell r="BV58" t="str">
            <v>ABSA/CMI</v>
          </cell>
          <cell r="BW58"/>
          <cell r="BX58"/>
          <cell r="BY58"/>
          <cell r="BZ58"/>
          <cell r="CA58" t="str">
            <v>182610-14839</v>
          </cell>
          <cell r="CB58">
            <v>46128</v>
          </cell>
          <cell r="CC58" t="str">
            <v>2026-0111</v>
          </cell>
          <cell r="CD58">
            <v>46128</v>
          </cell>
          <cell r="CE58"/>
          <cell r="CF58"/>
          <cell r="CG58">
            <v>46107</v>
          </cell>
          <cell r="CH58">
            <v>46127</v>
          </cell>
          <cell r="CI58" t="str">
            <v>E11701</v>
          </cell>
          <cell r="CJ58"/>
          <cell r="CK58">
            <v>46140</v>
          </cell>
          <cell r="CM58"/>
          <cell r="CN58" t="str">
            <v>Ajeesh</v>
          </cell>
          <cell r="CP58"/>
        </row>
        <row r="59">
          <cell r="D59">
            <v>48</v>
          </cell>
          <cell r="E59">
            <v>200</v>
          </cell>
          <cell r="H59">
            <v>32014540</v>
          </cell>
          <cell r="K59" t="str">
            <v>APRIL</v>
          </cell>
          <cell r="L59" t="str">
            <v>VALENCY CI</v>
          </cell>
          <cell r="M59" t="str">
            <v xml:space="preserve">SHREE KRISHNAPRASAD CASHEWS </v>
          </cell>
          <cell r="N59">
            <v>267455386</v>
          </cell>
          <cell r="O59">
            <v>269636234</v>
          </cell>
          <cell r="P59"/>
          <cell r="Q59" t="str">
            <v>ABJ</v>
          </cell>
          <cell r="R59" t="str">
            <v>MANGALORE, INDIA</v>
          </cell>
          <cell r="S59" t="str">
            <v>MAERSK CUANZA</v>
          </cell>
          <cell r="T59">
            <v>46107</v>
          </cell>
          <cell r="U59">
            <v>46121</v>
          </cell>
          <cell r="V59">
            <v>46123</v>
          </cell>
          <cell r="W59">
            <v>46160</v>
          </cell>
          <cell r="X59">
            <v>46202</v>
          </cell>
          <cell r="Y59">
            <v>46172</v>
          </cell>
          <cell r="Z59"/>
          <cell r="AA59">
            <v>250</v>
          </cell>
          <cell r="AB59">
            <v>250</v>
          </cell>
          <cell r="AC59">
            <v>45777</v>
          </cell>
          <cell r="AD59" t="str">
            <v>WH-I</v>
          </cell>
          <cell r="AE59">
            <v>10</v>
          </cell>
          <cell r="AG59" t="str">
            <v xml:space="preserve">VALENCY SINGAPORE </v>
          </cell>
          <cell r="AH59" t="str">
            <v>DUNAMIS/SITRACOM</v>
          </cell>
          <cell r="AI59" t="str">
            <v>MSK</v>
          </cell>
          <cell r="AJ59" t="str">
            <v>40FT</v>
          </cell>
          <cell r="AK59">
            <v>0.1</v>
          </cell>
          <cell r="AL59" t="str">
            <v xml:space="preserve"> ( 1 x 250 MTS ) </v>
          </cell>
          <cell r="AM59">
            <v>275</v>
          </cell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F59" t="str">
            <v xml:space="preserve">VALENCY SINGAPORE </v>
          </cell>
          <cell r="BG59"/>
          <cell r="BH59"/>
          <cell r="BI59"/>
          <cell r="BJ59"/>
          <cell r="BK59"/>
          <cell r="BL59" t="str">
            <v>DUNAMIS/SITRACOM</v>
          </cell>
          <cell r="BM59"/>
          <cell r="BN59"/>
          <cell r="BO59"/>
          <cell r="BP59"/>
          <cell r="BQ59"/>
          <cell r="BR59"/>
          <cell r="BS59"/>
          <cell r="BV59" t="str">
            <v>ABSA/CMI</v>
          </cell>
          <cell r="BW59"/>
          <cell r="BX59"/>
          <cell r="BY59"/>
          <cell r="BZ59"/>
          <cell r="CA59" t="str">
            <v>182610-14839</v>
          </cell>
          <cell r="CB59">
            <v>46128</v>
          </cell>
          <cell r="CC59" t="str">
            <v>2026-0111</v>
          </cell>
          <cell r="CD59">
            <v>46128</v>
          </cell>
          <cell r="CE59"/>
          <cell r="CF59"/>
          <cell r="CG59">
            <v>46107</v>
          </cell>
          <cell r="CH59">
            <v>46127</v>
          </cell>
          <cell r="CI59" t="str">
            <v>E11701</v>
          </cell>
          <cell r="CJ59"/>
          <cell r="CK59">
            <v>46140</v>
          </cell>
          <cell r="CM59"/>
          <cell r="CN59" t="str">
            <v>Ajeesh</v>
          </cell>
          <cell r="CP59"/>
        </row>
        <row r="60">
          <cell r="D60">
            <v>48</v>
          </cell>
          <cell r="E60">
            <v>200</v>
          </cell>
          <cell r="H60">
            <v>32014499</v>
          </cell>
          <cell r="K60" t="str">
            <v>APRIL</v>
          </cell>
          <cell r="L60" t="str">
            <v>VALENCY CI</v>
          </cell>
          <cell r="M60" t="str">
            <v>SHANKARNARAYANA CASHEWS</v>
          </cell>
          <cell r="N60">
            <v>267489943</v>
          </cell>
          <cell r="O60">
            <v>267489943</v>
          </cell>
          <cell r="P60"/>
          <cell r="Q60" t="str">
            <v>ABJ</v>
          </cell>
          <cell r="R60" t="str">
            <v>MANGALORE, INDIA</v>
          </cell>
          <cell r="S60" t="str">
            <v>MAERSK CUANZA</v>
          </cell>
          <cell r="T60">
            <v>46107</v>
          </cell>
          <cell r="U60">
            <v>46119</v>
          </cell>
          <cell r="V60">
            <v>46119</v>
          </cell>
          <cell r="W60">
            <v>46161</v>
          </cell>
          <cell r="X60">
            <v>46202</v>
          </cell>
          <cell r="Y60">
            <v>46172</v>
          </cell>
          <cell r="Z60"/>
          <cell r="AA60">
            <v>100</v>
          </cell>
          <cell r="AB60">
            <v>100</v>
          </cell>
          <cell r="AC60">
            <v>45777</v>
          </cell>
          <cell r="AD60" t="str">
            <v>Ex-Olam</v>
          </cell>
          <cell r="AE60">
            <v>4</v>
          </cell>
          <cell r="AG60" t="str">
            <v xml:space="preserve">VALENCY SINGAPORE </v>
          </cell>
          <cell r="AH60" t="str">
            <v>DUNAMIS/SITRACOM</v>
          </cell>
          <cell r="AI60" t="str">
            <v>MSK</v>
          </cell>
          <cell r="AJ60" t="str">
            <v>40FT</v>
          </cell>
          <cell r="AK60">
            <v>0.1</v>
          </cell>
          <cell r="AL60" t="str">
            <v xml:space="preserve"> ( 1 x 100 MTS ) </v>
          </cell>
          <cell r="AM60">
            <v>110</v>
          </cell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F60" t="str">
            <v xml:space="preserve">VALENCY SINGAPORE </v>
          </cell>
          <cell r="BG60"/>
          <cell r="BH60"/>
          <cell r="BI60"/>
          <cell r="BJ60"/>
          <cell r="BK60"/>
          <cell r="BL60" t="str">
            <v>DUNAMIS/SITRACOM</v>
          </cell>
          <cell r="BM60"/>
          <cell r="BN60"/>
          <cell r="BO60"/>
          <cell r="BP60"/>
          <cell r="BQ60"/>
          <cell r="BR60"/>
          <cell r="BS60"/>
          <cell r="BV60" t="str">
            <v>BOA/KTD</v>
          </cell>
          <cell r="BW60"/>
          <cell r="BX60"/>
          <cell r="BY60"/>
          <cell r="BZ60"/>
          <cell r="CA60" t="str">
            <v>182610-14813</v>
          </cell>
          <cell r="CB60">
            <v>46128</v>
          </cell>
          <cell r="CC60" t="str">
            <v>2026-0122</v>
          </cell>
          <cell r="CD60">
            <v>46128</v>
          </cell>
          <cell r="CE60"/>
          <cell r="CF60"/>
          <cell r="CG60">
            <v>46107</v>
          </cell>
          <cell r="CH60">
            <v>46128</v>
          </cell>
          <cell r="CI60" t="str">
            <v>E11861</v>
          </cell>
          <cell r="CJ60"/>
          <cell r="CK60">
            <v>46140</v>
          </cell>
          <cell r="CM60"/>
          <cell r="CN60" t="str">
            <v>Sugmaran</v>
          </cell>
          <cell r="CP60"/>
        </row>
        <row r="61">
          <cell r="D61">
            <v>48</v>
          </cell>
          <cell r="E61">
            <v>200</v>
          </cell>
          <cell r="H61">
            <v>32014498</v>
          </cell>
          <cell r="K61" t="str">
            <v>APRIL</v>
          </cell>
          <cell r="L61" t="str">
            <v>VALENCY CI</v>
          </cell>
          <cell r="M61" t="str">
            <v>SRI VIJAYALAXMI CASHEW INDUSTRIES</v>
          </cell>
          <cell r="N61">
            <v>267490003</v>
          </cell>
          <cell r="O61"/>
          <cell r="P61"/>
          <cell r="Q61" t="str">
            <v>ABJ</v>
          </cell>
          <cell r="R61" t="str">
            <v>MANGALORE, INDIA</v>
          </cell>
          <cell r="S61" t="str">
            <v>MAERSK CUANZA</v>
          </cell>
          <cell r="T61">
            <v>46107</v>
          </cell>
          <cell r="U61">
            <v>46119</v>
          </cell>
          <cell r="V61">
            <v>46119</v>
          </cell>
          <cell r="W61">
            <v>46161</v>
          </cell>
          <cell r="X61">
            <v>46202</v>
          </cell>
          <cell r="Y61">
            <v>46172</v>
          </cell>
          <cell r="Z61"/>
          <cell r="AA61">
            <v>100</v>
          </cell>
          <cell r="AB61">
            <v>100</v>
          </cell>
          <cell r="AC61">
            <v>45777</v>
          </cell>
          <cell r="AD61" t="str">
            <v>Ex-Olam</v>
          </cell>
          <cell r="AE61">
            <v>4</v>
          </cell>
          <cell r="AG61" t="str">
            <v xml:space="preserve">VALENCY SINGAPORE </v>
          </cell>
          <cell r="AH61" t="str">
            <v>DUNAMIS/SITRACOM</v>
          </cell>
          <cell r="AI61" t="str">
            <v>MSK</v>
          </cell>
          <cell r="AJ61" t="str">
            <v>40FT</v>
          </cell>
          <cell r="AK61">
            <v>0.1</v>
          </cell>
          <cell r="AL61" t="str">
            <v xml:space="preserve"> ( 1 x 100 MTS ) </v>
          </cell>
          <cell r="AM61">
            <v>110</v>
          </cell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F61" t="str">
            <v xml:space="preserve">VALENCY SINGAPORE </v>
          </cell>
          <cell r="BG61"/>
          <cell r="BH61"/>
          <cell r="BI61"/>
          <cell r="BJ61"/>
          <cell r="BK61"/>
          <cell r="BL61" t="str">
            <v>DUNAMIS/SITRACOM</v>
          </cell>
          <cell r="BM61"/>
          <cell r="BN61"/>
          <cell r="BO61"/>
          <cell r="BP61"/>
          <cell r="BQ61"/>
          <cell r="BR61"/>
          <cell r="BS61"/>
          <cell r="BV61" t="str">
            <v>BOA/KTD</v>
          </cell>
          <cell r="BW61"/>
          <cell r="BX61"/>
          <cell r="BY61"/>
          <cell r="BZ61"/>
          <cell r="CA61" t="str">
            <v>182610-14813</v>
          </cell>
          <cell r="CB61">
            <v>46128</v>
          </cell>
          <cell r="CC61" t="str">
            <v>2026-0122</v>
          </cell>
          <cell r="CD61">
            <v>46128</v>
          </cell>
          <cell r="CE61"/>
          <cell r="CF61"/>
          <cell r="CG61">
            <v>46107</v>
          </cell>
          <cell r="CH61">
            <v>46128</v>
          </cell>
          <cell r="CI61" t="str">
            <v>E11861</v>
          </cell>
          <cell r="CJ61"/>
          <cell r="CK61">
            <v>46140</v>
          </cell>
          <cell r="CM61"/>
          <cell r="CN61" t="str">
            <v>Sugmaran</v>
          </cell>
          <cell r="CP61"/>
        </row>
        <row r="62">
          <cell r="D62">
            <v>48</v>
          </cell>
          <cell r="E62">
            <v>200</v>
          </cell>
          <cell r="H62">
            <v>32014588</v>
          </cell>
          <cell r="K62" t="str">
            <v>APRIL</v>
          </cell>
          <cell r="L62" t="str">
            <v>VALENCY CI</v>
          </cell>
          <cell r="M62" t="str">
            <v>SHREE KRISHNAKRUPA CASHEWS PVT LTD</v>
          </cell>
          <cell r="N62">
            <v>267490043</v>
          </cell>
          <cell r="O62">
            <v>267490043</v>
          </cell>
          <cell r="P62"/>
          <cell r="Q62" t="str">
            <v>ABJ</v>
          </cell>
          <cell r="R62" t="str">
            <v>MANGALORE, INDIA</v>
          </cell>
          <cell r="S62" t="str">
            <v>MAERSK CUANZA</v>
          </cell>
          <cell r="T62">
            <v>46107</v>
          </cell>
          <cell r="U62">
            <v>46119</v>
          </cell>
          <cell r="V62">
            <v>46119</v>
          </cell>
          <cell r="W62">
            <v>46161</v>
          </cell>
          <cell r="X62">
            <v>46202</v>
          </cell>
          <cell r="Y62">
            <v>46172</v>
          </cell>
          <cell r="Z62"/>
          <cell r="AA62">
            <v>100</v>
          </cell>
          <cell r="AB62">
            <v>100</v>
          </cell>
          <cell r="AC62">
            <v>45777</v>
          </cell>
          <cell r="AD62" t="str">
            <v>Ex-Olam</v>
          </cell>
          <cell r="AE62">
            <v>4</v>
          </cell>
          <cell r="AG62" t="str">
            <v xml:space="preserve">VALENCY SINGAPORE </v>
          </cell>
          <cell r="AH62" t="str">
            <v>DUNAMIS/SITRACOM</v>
          </cell>
          <cell r="AI62" t="str">
            <v>MSK</v>
          </cell>
          <cell r="AJ62" t="str">
            <v>40FT</v>
          </cell>
          <cell r="AK62">
            <v>0.1</v>
          </cell>
          <cell r="AL62" t="str">
            <v xml:space="preserve"> ( 1 x 100 MTS ) </v>
          </cell>
          <cell r="AM62">
            <v>110</v>
          </cell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F62" t="str">
            <v xml:space="preserve">VALENCY SINGAPORE </v>
          </cell>
          <cell r="BG62"/>
          <cell r="BH62"/>
          <cell r="BI62"/>
          <cell r="BJ62"/>
          <cell r="BK62"/>
          <cell r="BL62" t="str">
            <v>DUNAMIS/SITRACOM</v>
          </cell>
          <cell r="BM62"/>
          <cell r="BN62"/>
          <cell r="BO62"/>
          <cell r="BP62"/>
          <cell r="BQ62"/>
          <cell r="BR62"/>
          <cell r="BS62"/>
          <cell r="BV62" t="str">
            <v>BOA/KTD</v>
          </cell>
          <cell r="BW62"/>
          <cell r="BX62"/>
          <cell r="BY62"/>
          <cell r="BZ62"/>
          <cell r="CA62" t="str">
            <v>182610-14863</v>
          </cell>
          <cell r="CB62">
            <v>46129</v>
          </cell>
          <cell r="CC62" t="str">
            <v>2026-0180</v>
          </cell>
          <cell r="CD62">
            <v>46129</v>
          </cell>
          <cell r="CE62"/>
          <cell r="CF62"/>
          <cell r="CG62">
            <v>46107</v>
          </cell>
          <cell r="CH62">
            <v>46128</v>
          </cell>
          <cell r="CI62" t="str">
            <v>E11870</v>
          </cell>
          <cell r="CJ62"/>
          <cell r="CK62">
            <v>46140</v>
          </cell>
          <cell r="CM62"/>
          <cell r="CN62" t="str">
            <v>Sugmaran</v>
          </cell>
          <cell r="CP62"/>
        </row>
        <row r="63">
          <cell r="D63">
            <v>48</v>
          </cell>
          <cell r="E63">
            <v>200</v>
          </cell>
          <cell r="H63">
            <v>32014496</v>
          </cell>
          <cell r="K63" t="str">
            <v>APRIL</v>
          </cell>
          <cell r="L63" t="str">
            <v>VALENCY CI</v>
          </cell>
          <cell r="M63" t="str">
            <v>MALNAD CASHEWS</v>
          </cell>
          <cell r="N63">
            <v>267490071</v>
          </cell>
          <cell r="O63">
            <v>267490071</v>
          </cell>
          <cell r="P63"/>
          <cell r="Q63" t="str">
            <v>ABJ</v>
          </cell>
          <cell r="R63" t="str">
            <v>MANGALORE, INDIA</v>
          </cell>
          <cell r="S63" t="str">
            <v>MAERSK CUANZA</v>
          </cell>
          <cell r="T63">
            <v>46110</v>
          </cell>
          <cell r="U63">
            <v>46126</v>
          </cell>
          <cell r="V63">
            <v>46132</v>
          </cell>
          <cell r="W63">
            <v>46161</v>
          </cell>
          <cell r="X63">
            <v>46202</v>
          </cell>
          <cell r="Y63">
            <v>46172</v>
          </cell>
          <cell r="Z63"/>
          <cell r="AA63">
            <v>100</v>
          </cell>
          <cell r="AB63">
            <v>100</v>
          </cell>
          <cell r="AC63">
            <v>45777</v>
          </cell>
          <cell r="AD63" t="str">
            <v>Ex-Olam</v>
          </cell>
          <cell r="AE63">
            <v>4</v>
          </cell>
          <cell r="AG63" t="str">
            <v xml:space="preserve">VALENCY SINGAPORE </v>
          </cell>
          <cell r="AH63" t="str">
            <v>DUNAMIS/SITRACOM</v>
          </cell>
          <cell r="AI63" t="str">
            <v>MSK</v>
          </cell>
          <cell r="AJ63" t="str">
            <v>40FT</v>
          </cell>
          <cell r="AK63">
            <v>0.1</v>
          </cell>
          <cell r="AL63" t="str">
            <v xml:space="preserve"> ( 1 x 100 MTS ) </v>
          </cell>
          <cell r="AM63">
            <v>110</v>
          </cell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F63" t="str">
            <v xml:space="preserve">VALENCY SINGAPORE </v>
          </cell>
          <cell r="BG63"/>
          <cell r="BH63"/>
          <cell r="BI63"/>
          <cell r="BJ63"/>
          <cell r="BK63"/>
          <cell r="BL63" t="str">
            <v>DUNAMIS/SITRACOM</v>
          </cell>
          <cell r="BM63"/>
          <cell r="BN63"/>
          <cell r="BO63"/>
          <cell r="BP63"/>
          <cell r="BQ63"/>
          <cell r="BR63"/>
          <cell r="BS63"/>
          <cell r="BV63" t="str">
            <v>BOA/KTD</v>
          </cell>
          <cell r="BW63"/>
          <cell r="BX63"/>
          <cell r="BY63"/>
          <cell r="BZ63"/>
          <cell r="CA63" t="str">
            <v>182610-14851</v>
          </cell>
          <cell r="CB63">
            <v>46129</v>
          </cell>
          <cell r="CC63" t="str">
            <v>2026-0158</v>
          </cell>
          <cell r="CD63">
            <v>46129</v>
          </cell>
          <cell r="CE63"/>
          <cell r="CF63"/>
          <cell r="CG63">
            <v>46110</v>
          </cell>
          <cell r="CH63">
            <v>46129</v>
          </cell>
          <cell r="CI63" t="str">
            <v>E12044</v>
          </cell>
          <cell r="CJ63"/>
          <cell r="CK63">
            <v>46140</v>
          </cell>
          <cell r="CM63"/>
          <cell r="CN63" t="str">
            <v>Sugmaran</v>
          </cell>
          <cell r="CP63"/>
        </row>
        <row r="64">
          <cell r="D64">
            <v>48</v>
          </cell>
          <cell r="E64">
            <v>200</v>
          </cell>
          <cell r="H64">
            <v>32014591</v>
          </cell>
          <cell r="K64" t="str">
            <v>APRIL</v>
          </cell>
          <cell r="L64" t="str">
            <v>VALENCY CI</v>
          </cell>
          <cell r="M64" t="str">
            <v>SIDDHI VINAYAKA CASHEW INDUSTRIES</v>
          </cell>
          <cell r="N64">
            <v>267490088</v>
          </cell>
          <cell r="O64"/>
          <cell r="P64"/>
          <cell r="Q64" t="str">
            <v>ABJ</v>
          </cell>
          <cell r="R64" t="str">
            <v>MANGALORE, INDIA</v>
          </cell>
          <cell r="S64" t="str">
            <v>MAERSK CUANZA</v>
          </cell>
          <cell r="T64">
            <v>46107</v>
          </cell>
          <cell r="U64">
            <v>46121</v>
          </cell>
          <cell r="V64">
            <v>46121</v>
          </cell>
          <cell r="W64">
            <v>46159</v>
          </cell>
          <cell r="X64">
            <v>46202</v>
          </cell>
          <cell r="Y64">
            <v>46172</v>
          </cell>
          <cell r="Z64"/>
          <cell r="AA64">
            <v>100</v>
          </cell>
          <cell r="AB64">
            <v>100</v>
          </cell>
          <cell r="AC64">
            <v>45777</v>
          </cell>
          <cell r="AD64" t="str">
            <v>WH-I</v>
          </cell>
          <cell r="AE64">
            <v>4</v>
          </cell>
          <cell r="AG64" t="str">
            <v xml:space="preserve">VALENCY SINGAPORE </v>
          </cell>
          <cell r="AH64" t="str">
            <v>DUNAMIS/SITRACOM</v>
          </cell>
          <cell r="AI64" t="str">
            <v>MSK</v>
          </cell>
          <cell r="AJ64" t="str">
            <v>40FT</v>
          </cell>
          <cell r="AK64">
            <v>0.1</v>
          </cell>
          <cell r="AL64" t="str">
            <v xml:space="preserve"> ( 1 x 100 MTS ) </v>
          </cell>
          <cell r="AM64">
            <v>110</v>
          </cell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F64" t="str">
            <v xml:space="preserve">VALENCY SINGAPORE </v>
          </cell>
          <cell r="BG64"/>
          <cell r="BH64"/>
          <cell r="BI64"/>
          <cell r="BJ64"/>
          <cell r="BK64"/>
          <cell r="BL64" t="str">
            <v>DUNAMIS/SITRACOM</v>
          </cell>
          <cell r="BM64"/>
          <cell r="BN64"/>
          <cell r="BO64"/>
          <cell r="BP64"/>
          <cell r="BQ64"/>
          <cell r="BR64"/>
          <cell r="BS64"/>
          <cell r="BV64" t="str">
            <v>ABSA/CMI</v>
          </cell>
          <cell r="BW64"/>
          <cell r="BX64"/>
          <cell r="BY64"/>
          <cell r="BZ64"/>
          <cell r="CA64" t="str">
            <v>182610-14835</v>
          </cell>
          <cell r="CB64">
            <v>46129</v>
          </cell>
          <cell r="CC64" t="str">
            <v>2026-0109</v>
          </cell>
          <cell r="CD64">
            <v>46129</v>
          </cell>
          <cell r="CE64"/>
          <cell r="CF64"/>
          <cell r="CG64">
            <v>46107</v>
          </cell>
          <cell r="CH64">
            <v>46127</v>
          </cell>
          <cell r="CI64" t="str">
            <v>E11690</v>
          </cell>
          <cell r="CJ64"/>
          <cell r="CK64">
            <v>46140</v>
          </cell>
          <cell r="CM64"/>
          <cell r="CN64" t="str">
            <v>Ajeesh</v>
          </cell>
          <cell r="CP64"/>
        </row>
        <row r="65">
          <cell r="D65">
            <v>47</v>
          </cell>
          <cell r="E65">
            <v>200</v>
          </cell>
          <cell r="H65">
            <v>32015968</v>
          </cell>
          <cell r="K65" t="str">
            <v>APRIL</v>
          </cell>
          <cell r="L65" t="str">
            <v>VALENCY CI</v>
          </cell>
          <cell r="M65" t="str">
            <v>VALENCY AGRO INDIA UDUPI</v>
          </cell>
          <cell r="N65">
            <v>268599953</v>
          </cell>
          <cell r="O65">
            <v>268599953</v>
          </cell>
          <cell r="P65" t="str">
            <v>TPSCR26010610</v>
          </cell>
          <cell r="Q65" t="str">
            <v>ABJ</v>
          </cell>
          <cell r="R65" t="str">
            <v>MANGALORE, INDIA</v>
          </cell>
          <cell r="S65" t="str">
            <v>MAERSK CARDIFF</v>
          </cell>
          <cell r="T65">
            <v>46107</v>
          </cell>
          <cell r="U65">
            <v>46121</v>
          </cell>
          <cell r="V65">
            <v>46123</v>
          </cell>
          <cell r="W65">
            <v>46142</v>
          </cell>
          <cell r="X65">
            <v>46171</v>
          </cell>
          <cell r="Y65">
            <v>46152</v>
          </cell>
          <cell r="Z65">
            <v>46152</v>
          </cell>
          <cell r="AA65">
            <v>250</v>
          </cell>
          <cell r="AB65">
            <v>244.07</v>
          </cell>
          <cell r="AC65">
            <v>45777</v>
          </cell>
          <cell r="AD65" t="str">
            <v>WH-I</v>
          </cell>
          <cell r="AE65">
            <v>10</v>
          </cell>
          <cell r="AG65" t="str">
            <v xml:space="preserve">REUDAN INTERNATIONAL CI </v>
          </cell>
          <cell r="AH65" t="str">
            <v>DUNAMIS/SITRACOM</v>
          </cell>
          <cell r="AI65" t="str">
            <v>MSK</v>
          </cell>
          <cell r="AJ65" t="str">
            <v>40FT</v>
          </cell>
          <cell r="AK65">
            <v>0.1</v>
          </cell>
          <cell r="AL65" t="str">
            <v>(01x250MTS)</v>
          </cell>
          <cell r="AM65">
            <v>275</v>
          </cell>
          <cell r="AO65"/>
          <cell r="AP65">
            <v>46150</v>
          </cell>
          <cell r="AQ65">
            <v>46153</v>
          </cell>
          <cell r="AR65">
            <v>46163</v>
          </cell>
          <cell r="AS65">
            <v>46155</v>
          </cell>
          <cell r="AT65">
            <v>46155</v>
          </cell>
          <cell r="AU65">
            <v>46155</v>
          </cell>
          <cell r="AV65" t="str">
            <v>Mr. Balakrishna Kottary</v>
          </cell>
          <cell r="AW65">
            <v>46155</v>
          </cell>
          <cell r="AX65">
            <v>2046495802</v>
          </cell>
          <cell r="AY65" t="str">
            <v xml:space="preserve">BL printing Singapore </v>
          </cell>
          <cell r="AZ65">
            <v>46163</v>
          </cell>
          <cell r="BA65"/>
          <cell r="BF65" t="str">
            <v xml:space="preserve">REUDAN INTERNATIONAL CI </v>
          </cell>
          <cell r="BG65"/>
          <cell r="BH65"/>
          <cell r="BI65"/>
          <cell r="BJ65"/>
          <cell r="BK65"/>
          <cell r="BL65" t="str">
            <v>DUNAMIS/SITRACOM</v>
          </cell>
          <cell r="BM65"/>
          <cell r="BN65"/>
          <cell r="BO65"/>
          <cell r="BP65"/>
          <cell r="BQ65"/>
          <cell r="BR65">
            <v>46152</v>
          </cell>
          <cell r="BS65" t="str">
            <v>IVC-RCN2026-CI0006</v>
          </cell>
          <cell r="BV65" t="str">
            <v>ABSA/CMI</v>
          </cell>
          <cell r="BW65">
            <v>46171</v>
          </cell>
          <cell r="BX65"/>
          <cell r="BY65" t="str">
            <v>1347386H26000000515</v>
          </cell>
          <cell r="BZ65">
            <v>46153</v>
          </cell>
          <cell r="CA65" t="str">
            <v>182610-14838</v>
          </cell>
          <cell r="CB65">
            <v>46129</v>
          </cell>
          <cell r="CC65" t="str">
            <v>2026-0113</v>
          </cell>
          <cell r="CD65">
            <v>46129</v>
          </cell>
          <cell r="CE65"/>
          <cell r="CF65"/>
          <cell r="CG65">
            <v>46107</v>
          </cell>
          <cell r="CH65">
            <v>46129</v>
          </cell>
          <cell r="CI65" t="str">
            <v>E11866</v>
          </cell>
          <cell r="CJ65"/>
          <cell r="CK65">
            <v>46139</v>
          </cell>
          <cell r="CM65"/>
          <cell r="CN65" t="str">
            <v>Ajeesh</v>
          </cell>
          <cell r="CP65"/>
        </row>
        <row r="66">
          <cell r="D66">
            <v>47</v>
          </cell>
          <cell r="E66">
            <v>200</v>
          </cell>
          <cell r="H66">
            <v>32015968</v>
          </cell>
          <cell r="K66" t="str">
            <v>APRIL</v>
          </cell>
          <cell r="L66" t="str">
            <v>VALENCY CI</v>
          </cell>
          <cell r="M66" t="str">
            <v>VALENCY AGRO INDIA UDUPI</v>
          </cell>
          <cell r="N66">
            <v>268607193</v>
          </cell>
          <cell r="O66">
            <v>268607193</v>
          </cell>
          <cell r="P66"/>
          <cell r="Q66" t="str">
            <v>ABJ</v>
          </cell>
          <cell r="R66" t="str">
            <v>MANGALORE, INDIA</v>
          </cell>
          <cell r="S66" t="str">
            <v>MAERSK CUANZA</v>
          </cell>
          <cell r="T66">
            <v>46107</v>
          </cell>
          <cell r="U66">
            <v>46123</v>
          </cell>
          <cell r="V66">
            <v>46126</v>
          </cell>
          <cell r="W66">
            <v>46161</v>
          </cell>
          <cell r="X66">
            <v>46202</v>
          </cell>
          <cell r="Y66">
            <v>46172</v>
          </cell>
          <cell r="Z66"/>
          <cell r="AA66">
            <v>250</v>
          </cell>
          <cell r="AB66">
            <v>250</v>
          </cell>
          <cell r="AC66">
            <v>45777</v>
          </cell>
          <cell r="AD66" t="str">
            <v>Ex-Olam</v>
          </cell>
          <cell r="AE66">
            <v>10</v>
          </cell>
          <cell r="AG66" t="str">
            <v xml:space="preserve">REUDAN INTERNATIONAL CI </v>
          </cell>
          <cell r="AH66" t="str">
            <v>DUNAMIS/SITRACOM</v>
          </cell>
          <cell r="AI66" t="str">
            <v>MSK</v>
          </cell>
          <cell r="AJ66" t="str">
            <v>40FT</v>
          </cell>
          <cell r="AK66">
            <v>0.1</v>
          </cell>
          <cell r="AL66" t="str">
            <v>(01x250MTS)</v>
          </cell>
          <cell r="AM66">
            <v>275</v>
          </cell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F66" t="str">
            <v xml:space="preserve">REUDAN INTERNATIONAL CI </v>
          </cell>
          <cell r="BG66"/>
          <cell r="BH66"/>
          <cell r="BI66"/>
          <cell r="BJ66"/>
          <cell r="BK66"/>
          <cell r="BL66" t="str">
            <v>DUNAMIS/SITRACOM</v>
          </cell>
          <cell r="BM66"/>
          <cell r="BN66"/>
          <cell r="BO66"/>
          <cell r="BP66"/>
          <cell r="BQ66"/>
          <cell r="BR66"/>
          <cell r="BS66"/>
          <cell r="BV66" t="str">
            <v>BOA/KTD</v>
          </cell>
          <cell r="BW66"/>
          <cell r="BX66"/>
          <cell r="BY66"/>
          <cell r="BZ66"/>
          <cell r="CA66" t="str">
            <v>182610-14837</v>
          </cell>
          <cell r="CB66">
            <v>46129</v>
          </cell>
          <cell r="CC66" t="str">
            <v>2026-0131</v>
          </cell>
          <cell r="CD66">
            <v>46129</v>
          </cell>
          <cell r="CE66"/>
          <cell r="CF66"/>
          <cell r="CG66">
            <v>46107</v>
          </cell>
          <cell r="CH66">
            <v>46128</v>
          </cell>
          <cell r="CI66" t="str">
            <v>E11855</v>
          </cell>
          <cell r="CJ66"/>
          <cell r="CK66">
            <v>46140</v>
          </cell>
          <cell r="CM66"/>
          <cell r="CN66" t="str">
            <v>Sugmaran</v>
          </cell>
          <cell r="CP66"/>
        </row>
        <row r="67">
          <cell r="D67">
            <v>47</v>
          </cell>
          <cell r="E67">
            <v>200</v>
          </cell>
          <cell r="H67">
            <v>32015968</v>
          </cell>
          <cell r="K67" t="str">
            <v>APRIL</v>
          </cell>
          <cell r="L67" t="str">
            <v>VALENCY CI</v>
          </cell>
          <cell r="M67" t="str">
            <v>VALENCY AGRO INDIA UDUPI</v>
          </cell>
          <cell r="N67">
            <v>268607083</v>
          </cell>
          <cell r="O67"/>
          <cell r="P67"/>
          <cell r="Q67" t="str">
            <v>ABJ</v>
          </cell>
          <cell r="R67" t="str">
            <v>MANGALORE, INDIA</v>
          </cell>
          <cell r="S67" t="str">
            <v>MAERSK CUANZA</v>
          </cell>
          <cell r="T67">
            <v>46110</v>
          </cell>
          <cell r="U67">
            <v>46130</v>
          </cell>
          <cell r="V67">
            <v>46132</v>
          </cell>
          <cell r="W67">
            <v>46159</v>
          </cell>
          <cell r="X67">
            <v>46202</v>
          </cell>
          <cell r="Y67">
            <v>46172</v>
          </cell>
          <cell r="Z67"/>
          <cell r="AA67">
            <v>250</v>
          </cell>
          <cell r="AB67">
            <v>250</v>
          </cell>
          <cell r="AC67">
            <v>45777</v>
          </cell>
          <cell r="AD67" t="str">
            <v>WH-I</v>
          </cell>
          <cell r="AE67">
            <v>10</v>
          </cell>
          <cell r="AG67" t="str">
            <v xml:space="preserve">REUDAN INTERNATIONAL CI </v>
          </cell>
          <cell r="AH67" t="str">
            <v>DUNAMIS/SITRACOM</v>
          </cell>
          <cell r="AI67" t="str">
            <v>MSK</v>
          </cell>
          <cell r="AJ67" t="str">
            <v>40FT</v>
          </cell>
          <cell r="AK67">
            <v>0.1</v>
          </cell>
          <cell r="AL67" t="str">
            <v>(01x250MTS)</v>
          </cell>
          <cell r="AM67">
            <v>275</v>
          </cell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F67" t="str">
            <v xml:space="preserve">REUDAN INTERNATIONAL CI </v>
          </cell>
          <cell r="BG67"/>
          <cell r="BH67"/>
          <cell r="BI67"/>
          <cell r="BJ67"/>
          <cell r="BK67"/>
          <cell r="BL67" t="str">
            <v>DUNAMIS/SITRACOM</v>
          </cell>
          <cell r="BM67"/>
          <cell r="BN67"/>
          <cell r="BO67"/>
          <cell r="BP67"/>
          <cell r="BQ67"/>
          <cell r="BR67"/>
          <cell r="BS67"/>
          <cell r="BV67" t="str">
            <v>ABSA/CMI</v>
          </cell>
          <cell r="BW67"/>
          <cell r="BX67"/>
          <cell r="BY67"/>
          <cell r="BZ67"/>
          <cell r="CA67" t="str">
            <v>182610-14925</v>
          </cell>
          <cell r="CB67">
            <v>46134</v>
          </cell>
          <cell r="CC67" t="str">
            <v>2026-0241</v>
          </cell>
          <cell r="CD67">
            <v>46134</v>
          </cell>
          <cell r="CE67"/>
          <cell r="CF67"/>
          <cell r="CG67">
            <v>46110</v>
          </cell>
          <cell r="CH67">
            <v>46129</v>
          </cell>
          <cell r="CI67" t="str">
            <v>E12067</v>
          </cell>
          <cell r="CJ67"/>
          <cell r="CK67">
            <v>46140</v>
          </cell>
          <cell r="CM67"/>
          <cell r="CN67" t="str">
            <v>Ajeesh</v>
          </cell>
          <cell r="CP67"/>
        </row>
        <row r="68">
          <cell r="D68">
            <v>47</v>
          </cell>
          <cell r="E68">
            <v>200</v>
          </cell>
          <cell r="H68">
            <v>32015968</v>
          </cell>
          <cell r="K68" t="str">
            <v>APRIL</v>
          </cell>
          <cell r="L68" t="str">
            <v>VALENCY CI</v>
          </cell>
          <cell r="M68" t="str">
            <v>VALENCY AGRO INDIA UDUPI</v>
          </cell>
          <cell r="N68">
            <v>268606982</v>
          </cell>
          <cell r="O68"/>
          <cell r="P68"/>
          <cell r="Q68" t="str">
            <v>ABJ</v>
          </cell>
          <cell r="R68" t="str">
            <v>MANGALORE, INDIA</v>
          </cell>
          <cell r="S68" t="str">
            <v>MAERSK CUANZA</v>
          </cell>
          <cell r="T68">
            <v>46110</v>
          </cell>
          <cell r="U68">
            <v>46129</v>
          </cell>
          <cell r="V68">
            <v>46132</v>
          </cell>
          <cell r="W68">
            <v>46158</v>
          </cell>
          <cell r="X68">
            <v>46202</v>
          </cell>
          <cell r="Y68">
            <v>46172</v>
          </cell>
          <cell r="Z68"/>
          <cell r="AA68">
            <v>250</v>
          </cell>
          <cell r="AB68">
            <v>250</v>
          </cell>
          <cell r="AC68">
            <v>45777</v>
          </cell>
          <cell r="AD68" t="str">
            <v>WH-I</v>
          </cell>
          <cell r="AE68">
            <v>10</v>
          </cell>
          <cell r="AG68" t="str">
            <v xml:space="preserve">REUDAN INTERNATIONAL CI </v>
          </cell>
          <cell r="AH68" t="str">
            <v>DUNAMIS/SITRACOM</v>
          </cell>
          <cell r="AI68" t="str">
            <v>MSK</v>
          </cell>
          <cell r="AJ68" t="str">
            <v>40FT</v>
          </cell>
          <cell r="AK68">
            <v>0.1</v>
          </cell>
          <cell r="AL68" t="str">
            <v>(01x250MTS)</v>
          </cell>
          <cell r="AM68">
            <v>275</v>
          </cell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F68" t="str">
            <v xml:space="preserve">REUDAN INTERNATIONAL CI </v>
          </cell>
          <cell r="BG68"/>
          <cell r="BH68"/>
          <cell r="BI68"/>
          <cell r="BJ68"/>
          <cell r="BK68"/>
          <cell r="BL68" t="str">
            <v>DUNAMIS/SITRACOM</v>
          </cell>
          <cell r="BM68"/>
          <cell r="BN68"/>
          <cell r="BO68"/>
          <cell r="BP68"/>
          <cell r="BQ68"/>
          <cell r="BR68"/>
          <cell r="BS68"/>
          <cell r="BV68" t="str">
            <v>ABSA/CMI</v>
          </cell>
          <cell r="BW68"/>
          <cell r="BX68"/>
          <cell r="BY68"/>
          <cell r="BZ68"/>
          <cell r="CA68" t="str">
            <v>182610-14925</v>
          </cell>
          <cell r="CB68">
            <v>46134</v>
          </cell>
          <cell r="CC68" t="str">
            <v>2026-0241</v>
          </cell>
          <cell r="CD68">
            <v>46134</v>
          </cell>
          <cell r="CE68"/>
          <cell r="CF68"/>
          <cell r="CG68">
            <v>46110</v>
          </cell>
          <cell r="CH68">
            <v>46129</v>
          </cell>
          <cell r="CI68" t="str">
            <v>E12067</v>
          </cell>
          <cell r="CJ68"/>
          <cell r="CK68">
            <v>46140</v>
          </cell>
          <cell r="CM68"/>
          <cell r="CN68" t="str">
            <v>Ajeesh</v>
          </cell>
          <cell r="CP68"/>
        </row>
        <row r="69">
          <cell r="D69">
            <v>47</v>
          </cell>
          <cell r="E69">
            <v>200</v>
          </cell>
          <cell r="H69">
            <v>32015968</v>
          </cell>
          <cell r="K69" t="str">
            <v>APRIL</v>
          </cell>
          <cell r="L69" t="str">
            <v>VALENCY CI</v>
          </cell>
          <cell r="M69" t="str">
            <v>VALENCY AGRO INDIA UDUPI</v>
          </cell>
          <cell r="N69" t="str">
            <v>EBKG16338129</v>
          </cell>
          <cell r="O69" t="str">
            <v>MEDUEY230918</v>
          </cell>
          <cell r="P69" t="str">
            <v>TPSCR26010611</v>
          </cell>
          <cell r="Q69" t="str">
            <v>ABJ</v>
          </cell>
          <cell r="R69" t="str">
            <v>MANGALORE, INDIA</v>
          </cell>
          <cell r="S69" t="str">
            <v>MSC TINA</v>
          </cell>
          <cell r="T69">
            <v>46111</v>
          </cell>
          <cell r="U69">
            <v>46135</v>
          </cell>
          <cell r="V69">
            <v>46136</v>
          </cell>
          <cell r="W69">
            <v>46138</v>
          </cell>
          <cell r="X69">
            <v>46173</v>
          </cell>
          <cell r="Y69">
            <v>46144</v>
          </cell>
          <cell r="Z69">
            <v>46144</v>
          </cell>
          <cell r="AA69">
            <v>250</v>
          </cell>
          <cell r="AB69">
            <v>243.65</v>
          </cell>
          <cell r="AC69">
            <v>45777</v>
          </cell>
          <cell r="AD69" t="str">
            <v>Ex-Olam</v>
          </cell>
          <cell r="AE69">
            <v>10</v>
          </cell>
          <cell r="AG69" t="str">
            <v>DUNAMIS SHIPPING</v>
          </cell>
          <cell r="AH69" t="str">
            <v>DUNAMIS/SITRACOM</v>
          </cell>
          <cell r="AI69" t="str">
            <v>MSC</v>
          </cell>
          <cell r="AJ69" t="str">
            <v>40FT</v>
          </cell>
          <cell r="AK69">
            <v>0.1</v>
          </cell>
          <cell r="AL69" t="str">
            <v>(01x250MTS)</v>
          </cell>
          <cell r="AM69">
            <v>275</v>
          </cell>
          <cell r="AO69"/>
          <cell r="AP69">
            <v>46146</v>
          </cell>
          <cell r="AQ69">
            <v>46146</v>
          </cell>
          <cell r="AR69">
            <v>46155</v>
          </cell>
          <cell r="AS69">
            <v>46153</v>
          </cell>
          <cell r="AT69">
            <v>46153</v>
          </cell>
          <cell r="AU69">
            <v>46153</v>
          </cell>
          <cell r="AV69" t="str">
            <v>Mr. Balakrishna Kottary  ETA LOGISTICS</v>
          </cell>
          <cell r="AW69">
            <v>46154</v>
          </cell>
          <cell r="AX69">
            <v>2046495802</v>
          </cell>
          <cell r="AY69" t="str">
            <v>Valency Singapore</v>
          </cell>
          <cell r="AZ69">
            <v>46157</v>
          </cell>
          <cell r="BA69">
            <v>4218950466</v>
          </cell>
          <cell r="BF69" t="str">
            <v>DUNAMIS SHIPPING</v>
          </cell>
          <cell r="BG69"/>
          <cell r="BH69"/>
          <cell r="BI69"/>
          <cell r="BJ69"/>
          <cell r="BK69"/>
          <cell r="BL69" t="str">
            <v>DUNAMIS/SITRACOM</v>
          </cell>
          <cell r="BM69"/>
          <cell r="BN69"/>
          <cell r="BO69"/>
          <cell r="BP69"/>
          <cell r="BQ69"/>
          <cell r="BR69">
            <v>46144</v>
          </cell>
          <cell r="BS69" t="str">
            <v>IVC-RCN2026-CI0002</v>
          </cell>
          <cell r="BV69" t="str">
            <v>BOA/KTD</v>
          </cell>
          <cell r="BW69">
            <v>46160</v>
          </cell>
          <cell r="BX69"/>
          <cell r="BY69" t="str">
            <v>1347386H26000000526</v>
          </cell>
          <cell r="BZ69">
            <v>46160</v>
          </cell>
          <cell r="CA69" t="str">
            <v>182610-14926</v>
          </cell>
          <cell r="CB69">
            <v>46134</v>
          </cell>
          <cell r="CC69"/>
          <cell r="CD69"/>
          <cell r="CE69"/>
          <cell r="CF69"/>
          <cell r="CG69">
            <v>46111</v>
          </cell>
          <cell r="CH69">
            <v>46129</v>
          </cell>
          <cell r="CI69" t="str">
            <v>E12096</v>
          </cell>
          <cell r="CJ69"/>
          <cell r="CK69">
            <v>46132</v>
          </cell>
          <cell r="CM69"/>
          <cell r="CN69" t="str">
            <v>Sugmaran</v>
          </cell>
          <cell r="CP69"/>
        </row>
        <row r="70">
          <cell r="D70">
            <v>47</v>
          </cell>
          <cell r="E70">
            <v>200</v>
          </cell>
          <cell r="H70">
            <v>32015968</v>
          </cell>
          <cell r="K70" t="str">
            <v>APRIL</v>
          </cell>
          <cell r="L70" t="str">
            <v>VALENCY CI</v>
          </cell>
          <cell r="M70" t="str">
            <v>VALENCY AGRO INDIA UDUPI</v>
          </cell>
          <cell r="N70" t="str">
            <v>EBKG16338124</v>
          </cell>
          <cell r="O70" t="str">
            <v>MEDUEY230876</v>
          </cell>
          <cell r="P70" t="str">
            <v>TPSCR26010612</v>
          </cell>
          <cell r="Q70" t="str">
            <v>ABJ</v>
          </cell>
          <cell r="R70" t="str">
            <v>MANGALORE, INDIA</v>
          </cell>
          <cell r="S70" t="str">
            <v>MSC TINA</v>
          </cell>
          <cell r="T70">
            <v>46111</v>
          </cell>
          <cell r="U70">
            <v>46135</v>
          </cell>
          <cell r="V70">
            <v>46136</v>
          </cell>
          <cell r="W70">
            <v>46138</v>
          </cell>
          <cell r="X70">
            <v>46173</v>
          </cell>
          <cell r="Y70">
            <v>46144</v>
          </cell>
          <cell r="Z70">
            <v>46144</v>
          </cell>
          <cell r="AA70">
            <v>250</v>
          </cell>
          <cell r="AB70">
            <v>242.73</v>
          </cell>
          <cell r="AC70">
            <v>45777</v>
          </cell>
          <cell r="AD70" t="str">
            <v>Ex-Olam</v>
          </cell>
          <cell r="AE70">
            <v>10</v>
          </cell>
          <cell r="AG70" t="str">
            <v>DUNAMIS SHIPPING</v>
          </cell>
          <cell r="AH70" t="str">
            <v>DUNAMIS/SITRACOM</v>
          </cell>
          <cell r="AI70" t="str">
            <v>MSC</v>
          </cell>
          <cell r="AJ70" t="str">
            <v>40FT</v>
          </cell>
          <cell r="AK70">
            <v>0.1</v>
          </cell>
          <cell r="AL70" t="str">
            <v>(01x250MTS)</v>
          </cell>
          <cell r="AM70">
            <v>275</v>
          </cell>
          <cell r="AO70"/>
          <cell r="AP70">
            <v>46146</v>
          </cell>
          <cell r="AQ70">
            <v>46146</v>
          </cell>
          <cell r="AR70">
            <v>46155</v>
          </cell>
          <cell r="AS70">
            <v>46153</v>
          </cell>
          <cell r="AT70">
            <v>46153</v>
          </cell>
          <cell r="AU70">
            <v>46153</v>
          </cell>
          <cell r="AV70" t="str">
            <v>Mr. Balakrishna Kottary  ETA LOGISTICS</v>
          </cell>
          <cell r="AW70">
            <v>46154</v>
          </cell>
          <cell r="AX70">
            <v>2046495802</v>
          </cell>
          <cell r="AY70" t="str">
            <v>Valency Singapore</v>
          </cell>
          <cell r="AZ70">
            <v>46157</v>
          </cell>
          <cell r="BA70">
            <v>4218950466</v>
          </cell>
          <cell r="BF70" t="str">
            <v>DUNAMIS SHIPPING</v>
          </cell>
          <cell r="BG70"/>
          <cell r="BH70"/>
          <cell r="BI70"/>
          <cell r="BJ70"/>
          <cell r="BK70"/>
          <cell r="BL70" t="str">
            <v>DUNAMIS/SITRACOM</v>
          </cell>
          <cell r="BM70"/>
          <cell r="BN70"/>
          <cell r="BO70"/>
          <cell r="BP70"/>
          <cell r="BQ70"/>
          <cell r="BR70">
            <v>46144</v>
          </cell>
          <cell r="BS70" t="str">
            <v>IVC-RCN2026-CI0003</v>
          </cell>
          <cell r="BV70" t="str">
            <v>BOA/KTD</v>
          </cell>
          <cell r="BW70">
            <v>46160</v>
          </cell>
          <cell r="BX70"/>
          <cell r="BY70" t="str">
            <v>1347386H26000000526</v>
          </cell>
          <cell r="BZ70">
            <v>46160</v>
          </cell>
          <cell r="CA70" t="str">
            <v>182610-14926</v>
          </cell>
          <cell r="CB70">
            <v>46134</v>
          </cell>
          <cell r="CC70"/>
          <cell r="CD70"/>
          <cell r="CE70"/>
          <cell r="CF70"/>
          <cell r="CG70">
            <v>46111</v>
          </cell>
          <cell r="CH70">
            <v>46129</v>
          </cell>
          <cell r="CI70" t="str">
            <v>E12096</v>
          </cell>
          <cell r="CJ70"/>
          <cell r="CK70">
            <v>46132</v>
          </cell>
          <cell r="CM70"/>
          <cell r="CN70" t="str">
            <v>Sugmaran</v>
          </cell>
          <cell r="CP70"/>
        </row>
        <row r="71">
          <cell r="D71">
            <v>47</v>
          </cell>
          <cell r="E71">
            <v>200</v>
          </cell>
          <cell r="H71">
            <v>32015968</v>
          </cell>
          <cell r="K71" t="str">
            <v>APRIL</v>
          </cell>
          <cell r="L71" t="str">
            <v>VALENCY CI</v>
          </cell>
          <cell r="M71" t="str">
            <v>VALENCY AGRO INDIA UDUPI</v>
          </cell>
          <cell r="N71" t="str">
            <v>EBKG16338118</v>
          </cell>
          <cell r="O71" t="str">
            <v>MEDUEY230793</v>
          </cell>
          <cell r="P71" t="str">
            <v>TPSCR26010613</v>
          </cell>
          <cell r="Q71" t="str">
            <v>ABJ</v>
          </cell>
          <cell r="R71" t="str">
            <v>MANGALORE, INDIA</v>
          </cell>
          <cell r="S71" t="str">
            <v>MSC TINA</v>
          </cell>
          <cell r="T71">
            <v>46111</v>
          </cell>
          <cell r="U71">
            <v>46135</v>
          </cell>
          <cell r="V71">
            <v>46136</v>
          </cell>
          <cell r="W71">
            <v>46138</v>
          </cell>
          <cell r="X71">
            <v>46173</v>
          </cell>
          <cell r="Y71">
            <v>46144</v>
          </cell>
          <cell r="Z71">
            <v>46144</v>
          </cell>
          <cell r="AA71">
            <v>250</v>
          </cell>
          <cell r="AB71">
            <v>238.35</v>
          </cell>
          <cell r="AC71">
            <v>45777</v>
          </cell>
          <cell r="AD71" t="str">
            <v>Ex-Olam</v>
          </cell>
          <cell r="AE71">
            <v>10</v>
          </cell>
          <cell r="AG71" t="str">
            <v>DUNAMIS SHIPPING</v>
          </cell>
          <cell r="AH71" t="str">
            <v>DUNAMIS/SITRACOM</v>
          </cell>
          <cell r="AI71" t="str">
            <v>MSC</v>
          </cell>
          <cell r="AJ71" t="str">
            <v>40FT</v>
          </cell>
          <cell r="AK71">
            <v>0.1</v>
          </cell>
          <cell r="AL71" t="str">
            <v>(01x250MTS)</v>
          </cell>
          <cell r="AM71">
            <v>275</v>
          </cell>
          <cell r="AO71"/>
          <cell r="AP71">
            <v>46146</v>
          </cell>
          <cell r="AQ71">
            <v>46146</v>
          </cell>
          <cell r="AR71">
            <v>46155</v>
          </cell>
          <cell r="AS71">
            <v>46153</v>
          </cell>
          <cell r="AT71">
            <v>46153</v>
          </cell>
          <cell r="AU71">
            <v>46153</v>
          </cell>
          <cell r="AV71" t="str">
            <v>Mr. Balakrishna Kottary  ETA LOGISTICS</v>
          </cell>
          <cell r="AW71">
            <v>46154</v>
          </cell>
          <cell r="AX71">
            <v>2046495802</v>
          </cell>
          <cell r="AY71" t="str">
            <v>Valency Singapore</v>
          </cell>
          <cell r="AZ71">
            <v>46157</v>
          </cell>
          <cell r="BA71">
            <v>4218950466</v>
          </cell>
          <cell r="BF71" t="str">
            <v>DUNAMIS SHIPPING</v>
          </cell>
          <cell r="BG71"/>
          <cell r="BH71"/>
          <cell r="BI71"/>
          <cell r="BJ71"/>
          <cell r="BK71"/>
          <cell r="BL71" t="str">
            <v>DUNAMIS/SITRACOM</v>
          </cell>
          <cell r="BM71"/>
          <cell r="BN71"/>
          <cell r="BO71"/>
          <cell r="BP71"/>
          <cell r="BQ71"/>
          <cell r="BR71">
            <v>46144</v>
          </cell>
          <cell r="BS71" t="str">
            <v>IVC-RCN2026-CI0004</v>
          </cell>
          <cell r="BV71" t="str">
            <v>BOA/KTD</v>
          </cell>
          <cell r="BW71">
            <v>46160</v>
          </cell>
          <cell r="BX71"/>
          <cell r="BY71" t="str">
            <v>1347386H26000000524</v>
          </cell>
          <cell r="BZ71">
            <v>46157</v>
          </cell>
          <cell r="CA71" t="str">
            <v>182610-14930</v>
          </cell>
          <cell r="CB71">
            <v>46134</v>
          </cell>
          <cell r="CC71"/>
          <cell r="CD71"/>
          <cell r="CE71"/>
          <cell r="CF71"/>
          <cell r="CG71">
            <v>46111</v>
          </cell>
          <cell r="CH71">
            <v>46129</v>
          </cell>
          <cell r="CI71" t="str">
            <v>E12036</v>
          </cell>
          <cell r="CJ71"/>
          <cell r="CK71">
            <v>46132</v>
          </cell>
          <cell r="CM71"/>
          <cell r="CN71" t="str">
            <v>Sugmaran</v>
          </cell>
          <cell r="CP71"/>
        </row>
        <row r="72">
          <cell r="D72">
            <v>47</v>
          </cell>
          <cell r="E72">
            <v>200</v>
          </cell>
          <cell r="H72" t="str">
            <v>TBA</v>
          </cell>
          <cell r="K72" t="str">
            <v>May - 26</v>
          </cell>
          <cell r="L72" t="str">
            <v>VALENCY CI</v>
          </cell>
          <cell r="M72" t="str">
            <v>VALENCY VIETNAM-UNSOLD</v>
          </cell>
          <cell r="N72">
            <v>19131503</v>
          </cell>
          <cell r="O72" t="str">
            <v>HLCUAB1260401236</v>
          </cell>
          <cell r="P72" t="str">
            <v>TPSCR26010666</v>
          </cell>
          <cell r="Q72" t="str">
            <v>ABJ</v>
          </cell>
          <cell r="R72" t="str">
            <v>HCMC, VIETNAM</v>
          </cell>
          <cell r="S72" t="str">
            <v>ACHELOOS</v>
          </cell>
          <cell r="T72">
            <v>46136</v>
          </cell>
          <cell r="U72">
            <v>46137</v>
          </cell>
          <cell r="V72">
            <v>46137</v>
          </cell>
          <cell r="W72">
            <v>46152</v>
          </cell>
          <cell r="X72">
            <v>46208</v>
          </cell>
          <cell r="Y72">
            <v>46163</v>
          </cell>
          <cell r="Z72">
            <v>46163</v>
          </cell>
          <cell r="AA72">
            <v>250</v>
          </cell>
          <cell r="AB72">
            <v>253.16</v>
          </cell>
          <cell r="AC72">
            <v>45808</v>
          </cell>
          <cell r="AD72" t="str">
            <v>WH-I</v>
          </cell>
          <cell r="AE72">
            <v>10</v>
          </cell>
          <cell r="AG72" t="str">
            <v xml:space="preserve">GRAVIR LOGISTIQUE SARL </v>
          </cell>
          <cell r="AH72" t="str">
            <v xml:space="preserve">MANTRA IVOIRE </v>
          </cell>
          <cell r="AI72" t="str">
            <v>Hapag</v>
          </cell>
          <cell r="AJ72" t="str">
            <v>40FT</v>
          </cell>
          <cell r="AK72">
            <v>0.1</v>
          </cell>
          <cell r="AL72" t="str">
            <v>(01x250MTS)</v>
          </cell>
          <cell r="AM72">
            <v>275</v>
          </cell>
          <cell r="AO72"/>
          <cell r="AP72">
            <v>46163</v>
          </cell>
          <cell r="AQ72">
            <v>46163</v>
          </cell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F72" t="str">
            <v xml:space="preserve">GRAVIR LOGISTIQUE SARL </v>
          </cell>
          <cell r="BG72"/>
          <cell r="BH72"/>
          <cell r="BI72"/>
          <cell r="BJ72"/>
          <cell r="BK72"/>
          <cell r="BL72" t="str">
            <v xml:space="preserve">MANTRA IVOIRE </v>
          </cell>
          <cell r="BM72"/>
          <cell r="BN72"/>
          <cell r="BO72"/>
          <cell r="BP72"/>
          <cell r="BQ72"/>
          <cell r="BR72">
            <v>46163</v>
          </cell>
          <cell r="BS72" t="str">
            <v>IVC-RCN2026-CI0009</v>
          </cell>
          <cell r="BV72" t="str">
            <v>ABSA/CMI</v>
          </cell>
          <cell r="BW72"/>
          <cell r="BX72"/>
          <cell r="BY72"/>
          <cell r="BZ72"/>
          <cell r="CA72" t="str">
            <v>182610-15024</v>
          </cell>
          <cell r="CB72">
            <v>46142</v>
          </cell>
          <cell r="CC72"/>
          <cell r="CD72"/>
          <cell r="CE72"/>
          <cell r="CF72"/>
          <cell r="CG72">
            <v>46125</v>
          </cell>
          <cell r="CH72">
            <v>46142</v>
          </cell>
          <cell r="CI72" t="str">
            <v>E13883</v>
          </cell>
          <cell r="CJ72"/>
          <cell r="CK72">
            <v>46148</v>
          </cell>
          <cell r="CM72"/>
          <cell r="CN72" t="str">
            <v>Ajeesh</v>
          </cell>
          <cell r="CP72"/>
        </row>
        <row r="73">
          <cell r="D73">
            <v>46</v>
          </cell>
          <cell r="E73">
            <v>200</v>
          </cell>
          <cell r="H73" t="str">
            <v>32016289-1</v>
          </cell>
          <cell r="K73" t="str">
            <v>May - 26</v>
          </cell>
          <cell r="L73" t="str">
            <v>VALENCY CI</v>
          </cell>
          <cell r="M73" t="str">
            <v>VIET PHI AGRICULTURE</v>
          </cell>
          <cell r="N73">
            <v>90264240</v>
          </cell>
          <cell r="O73" t="str">
            <v>HLCUAB1260401247</v>
          </cell>
          <cell r="P73" t="str">
            <v>TPSCR26010667</v>
          </cell>
          <cell r="Q73" t="str">
            <v>ABJ</v>
          </cell>
          <cell r="R73" t="str">
            <v>HCMC, VIETNAM</v>
          </cell>
          <cell r="S73" t="str">
            <v>ACHELOOS</v>
          </cell>
          <cell r="T73">
            <v>46150</v>
          </cell>
          <cell r="U73">
            <v>46150</v>
          </cell>
          <cell r="V73">
            <v>46154</v>
          </cell>
          <cell r="W73">
            <v>46155</v>
          </cell>
          <cell r="X73">
            <v>46208</v>
          </cell>
          <cell r="Y73">
            <v>46163</v>
          </cell>
          <cell r="Z73">
            <v>46163</v>
          </cell>
          <cell r="AA73">
            <v>250</v>
          </cell>
          <cell r="AB73">
            <v>248.33</v>
          </cell>
          <cell r="AC73">
            <v>45808</v>
          </cell>
          <cell r="AD73" t="str">
            <v>Ex-Olam</v>
          </cell>
          <cell r="AE73">
            <v>10</v>
          </cell>
          <cell r="AG73" t="str">
            <v xml:space="preserve">GRAVIR LOGISTIQUE SARL </v>
          </cell>
          <cell r="AH73" t="str">
            <v xml:space="preserve">MANTRA IVOIRE </v>
          </cell>
          <cell r="AI73" t="str">
            <v>Hapag</v>
          </cell>
          <cell r="AJ73" t="str">
            <v>40FT</v>
          </cell>
          <cell r="AK73">
            <v>0.1</v>
          </cell>
          <cell r="AL73" t="str">
            <v>(01x250MTS)</v>
          </cell>
          <cell r="AM73">
            <v>275</v>
          </cell>
          <cell r="AO73"/>
          <cell r="AP73">
            <v>46163</v>
          </cell>
          <cell r="AQ73">
            <v>46163</v>
          </cell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F73" t="str">
            <v xml:space="preserve">GRAVIR LOGISTIQUE SARL </v>
          </cell>
          <cell r="BG73"/>
          <cell r="BH73"/>
          <cell r="BI73"/>
          <cell r="BJ73"/>
          <cell r="BK73"/>
          <cell r="BL73" t="str">
            <v xml:space="preserve">MANTRA IVOIRE </v>
          </cell>
          <cell r="BM73"/>
          <cell r="BN73"/>
          <cell r="BO73"/>
          <cell r="BP73"/>
          <cell r="BQ73"/>
          <cell r="BR73">
            <v>46163</v>
          </cell>
          <cell r="BS73" t="str">
            <v>IVC-RCN2026-CI0015</v>
          </cell>
          <cell r="BV73" t="str">
            <v>BOA/KTD</v>
          </cell>
          <cell r="BW73"/>
          <cell r="BX73"/>
          <cell r="BY73"/>
          <cell r="BZ73"/>
          <cell r="CA73" t="str">
            <v>182610-15082</v>
          </cell>
          <cell r="CB73">
            <v>46146</v>
          </cell>
          <cell r="CC73"/>
          <cell r="CD73"/>
          <cell r="CE73"/>
          <cell r="CF73"/>
          <cell r="CG73">
            <v>46125</v>
          </cell>
          <cell r="CH73">
            <v>46150</v>
          </cell>
          <cell r="CI73" t="str">
            <v>E14847</v>
          </cell>
          <cell r="CJ73"/>
          <cell r="CK73">
            <v>46153</v>
          </cell>
          <cell r="CM73"/>
          <cell r="CN73" t="str">
            <v>Sugmaran</v>
          </cell>
          <cell r="CP73"/>
        </row>
        <row r="74">
          <cell r="D74">
            <v>46</v>
          </cell>
          <cell r="E74">
            <v>200</v>
          </cell>
          <cell r="H74" t="str">
            <v>32016289-2</v>
          </cell>
          <cell r="K74" t="str">
            <v>May - 26</v>
          </cell>
          <cell r="L74" t="str">
            <v>VALENCY CI</v>
          </cell>
          <cell r="M74" t="str">
            <v>VIET PHI AGRICULTURE</v>
          </cell>
          <cell r="N74">
            <v>32715843</v>
          </cell>
          <cell r="O74" t="str">
            <v>HLCUAB1260401258</v>
          </cell>
          <cell r="P74" t="str">
            <v>TPSCR26010668</v>
          </cell>
          <cell r="Q74" t="str">
            <v>ABJ</v>
          </cell>
          <cell r="R74" t="str">
            <v>HCMC, VIETNAM</v>
          </cell>
          <cell r="S74" t="str">
            <v>ACHELOOS</v>
          </cell>
          <cell r="T74">
            <v>46150</v>
          </cell>
          <cell r="U74">
            <v>46150</v>
          </cell>
          <cell r="V74">
            <v>46154</v>
          </cell>
          <cell r="W74">
            <v>46155</v>
          </cell>
          <cell r="X74">
            <v>46208</v>
          </cell>
          <cell r="Y74">
            <v>46163</v>
          </cell>
          <cell r="Z74">
            <v>46163</v>
          </cell>
          <cell r="AA74">
            <v>250</v>
          </cell>
          <cell r="AB74">
            <v>252.18</v>
          </cell>
          <cell r="AC74">
            <v>45808</v>
          </cell>
          <cell r="AD74" t="str">
            <v>Ex-Olam</v>
          </cell>
          <cell r="AE74">
            <v>10</v>
          </cell>
          <cell r="AG74" t="str">
            <v xml:space="preserve">GRAVIR LOGISTIQUE SARL </v>
          </cell>
          <cell r="AH74" t="str">
            <v xml:space="preserve">MANTRA IVOIRE </v>
          </cell>
          <cell r="AI74" t="str">
            <v>Hapag</v>
          </cell>
          <cell r="AJ74" t="str">
            <v>40FT</v>
          </cell>
          <cell r="AK74">
            <v>0.1</v>
          </cell>
          <cell r="AL74" t="str">
            <v>(01x250MTS)</v>
          </cell>
          <cell r="AM74">
            <v>275</v>
          </cell>
          <cell r="AO74"/>
          <cell r="AP74">
            <v>46163</v>
          </cell>
          <cell r="AQ74">
            <v>46163</v>
          </cell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F74" t="str">
            <v xml:space="preserve">GRAVIR LOGISTIQUE SARL </v>
          </cell>
          <cell r="BG74"/>
          <cell r="BH74"/>
          <cell r="BI74"/>
          <cell r="BJ74"/>
          <cell r="BK74"/>
          <cell r="BL74" t="str">
            <v xml:space="preserve">MANTRA IVOIRE </v>
          </cell>
          <cell r="BM74"/>
          <cell r="BN74"/>
          <cell r="BO74"/>
          <cell r="BP74"/>
          <cell r="BQ74"/>
          <cell r="BR74">
            <v>46163</v>
          </cell>
          <cell r="BS74" t="str">
            <v>IVC-RCN2026-CI0014</v>
          </cell>
          <cell r="BV74" t="str">
            <v>BOA/KTD</v>
          </cell>
          <cell r="BW74"/>
          <cell r="BX74"/>
          <cell r="BY74"/>
          <cell r="BZ74"/>
          <cell r="CA74" t="str">
            <v>182610-15082</v>
          </cell>
          <cell r="CB74">
            <v>46146</v>
          </cell>
          <cell r="CC74"/>
          <cell r="CD74"/>
          <cell r="CE74"/>
          <cell r="CF74"/>
          <cell r="CG74">
            <v>46125</v>
          </cell>
          <cell r="CH74">
            <v>46150</v>
          </cell>
          <cell r="CI74" t="str">
            <v>E14847</v>
          </cell>
          <cell r="CJ74"/>
          <cell r="CK74">
            <v>46153</v>
          </cell>
          <cell r="CM74"/>
          <cell r="CN74" t="str">
            <v>Sugmaran</v>
          </cell>
          <cell r="CP74"/>
        </row>
        <row r="75">
          <cell r="D75">
            <v>46</v>
          </cell>
          <cell r="E75">
            <v>200</v>
          </cell>
          <cell r="H75">
            <v>32015796</v>
          </cell>
          <cell r="K75" t="str">
            <v>April/May - 26</v>
          </cell>
          <cell r="L75" t="str">
            <v>VALENCY CI</v>
          </cell>
          <cell r="M75" t="str">
            <v xml:space="preserve">KIEU LOAN CO., LTD </v>
          </cell>
          <cell r="N75">
            <v>21151774</v>
          </cell>
          <cell r="O75" t="str">
            <v>HLCUAB1260400785</v>
          </cell>
          <cell r="P75" t="str">
            <v>TPSCR26010669</v>
          </cell>
          <cell r="Q75" t="str">
            <v>ABJ</v>
          </cell>
          <cell r="R75" t="str">
            <v>HCMC, VIETNAM</v>
          </cell>
          <cell r="S75" t="str">
            <v>ACHELOOS</v>
          </cell>
          <cell r="T75">
            <v>46149</v>
          </cell>
          <cell r="U75">
            <v>46149</v>
          </cell>
          <cell r="V75">
            <v>46151</v>
          </cell>
          <cell r="W75">
            <v>46153</v>
          </cell>
          <cell r="X75">
            <v>46208</v>
          </cell>
          <cell r="Y75">
            <v>46163</v>
          </cell>
          <cell r="Z75">
            <v>46163</v>
          </cell>
          <cell r="AA75">
            <v>250</v>
          </cell>
          <cell r="AB75">
            <v>248.91</v>
          </cell>
          <cell r="AC75">
            <v>45808</v>
          </cell>
          <cell r="AD75" t="str">
            <v>WH-A</v>
          </cell>
          <cell r="AE75">
            <v>10</v>
          </cell>
          <cell r="AG75" t="str">
            <v xml:space="preserve">GRAVIR LOGISTIQUE SARL </v>
          </cell>
          <cell r="AH75" t="str">
            <v xml:space="preserve">MANTRA IVOIRE </v>
          </cell>
          <cell r="AI75" t="str">
            <v>Hapag</v>
          </cell>
          <cell r="AJ75" t="str">
            <v>40FT</v>
          </cell>
          <cell r="AK75">
            <v>0.1</v>
          </cell>
          <cell r="AL75" t="str">
            <v>(01x250MTS)</v>
          </cell>
          <cell r="AM75">
            <v>275</v>
          </cell>
          <cell r="AO75"/>
          <cell r="AP75">
            <v>46163</v>
          </cell>
          <cell r="AQ75">
            <v>46163</v>
          </cell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F75" t="str">
            <v xml:space="preserve">GRAVIR LOGISTIQUE SARL </v>
          </cell>
          <cell r="BG75"/>
          <cell r="BH75"/>
          <cell r="BI75"/>
          <cell r="BJ75"/>
          <cell r="BK75"/>
          <cell r="BL75" t="str">
            <v xml:space="preserve">MANTRA IVOIRE </v>
          </cell>
          <cell r="BM75"/>
          <cell r="BN75"/>
          <cell r="BO75"/>
          <cell r="BP75"/>
          <cell r="BQ75"/>
          <cell r="BR75">
            <v>46163</v>
          </cell>
          <cell r="BS75" t="str">
            <v>IVC-RCN2026-CI0012</v>
          </cell>
          <cell r="BV75" t="str">
            <v>ABSA/CMI</v>
          </cell>
          <cell r="BW75"/>
          <cell r="BX75"/>
          <cell r="BY75"/>
          <cell r="BZ75"/>
          <cell r="CA75" t="str">
            <v>182610-15081</v>
          </cell>
          <cell r="CB75">
            <v>46146</v>
          </cell>
          <cell r="CC75"/>
          <cell r="CD75"/>
          <cell r="CE75"/>
          <cell r="CF75"/>
          <cell r="CG75">
            <v>46125</v>
          </cell>
          <cell r="CH75">
            <v>46150</v>
          </cell>
          <cell r="CI75" t="str">
            <v>E14737</v>
          </cell>
          <cell r="CJ75"/>
          <cell r="CK75">
            <v>46150</v>
          </cell>
          <cell r="CM75"/>
          <cell r="CN75" t="str">
            <v/>
          </cell>
          <cell r="CP75"/>
        </row>
        <row r="76">
          <cell r="D76">
            <v>47</v>
          </cell>
          <cell r="E76">
            <v>200</v>
          </cell>
          <cell r="H76" t="str">
            <v>TBA</v>
          </cell>
          <cell r="K76" t="str">
            <v>May - 26</v>
          </cell>
          <cell r="L76" t="str">
            <v>VALENCY CI</v>
          </cell>
          <cell r="M76" t="str">
            <v>VALENCY VIETNAM-UNSOLD</v>
          </cell>
          <cell r="N76">
            <v>92429068</v>
          </cell>
          <cell r="O76" t="str">
            <v>HLCUAB1260400763</v>
          </cell>
          <cell r="P76" t="str">
            <v>TPSCR26010670</v>
          </cell>
          <cell r="Q76" t="str">
            <v>ABJ</v>
          </cell>
          <cell r="R76" t="str">
            <v>HCMC, VIETNAM</v>
          </cell>
          <cell r="S76" t="str">
            <v>ACHELOOS</v>
          </cell>
          <cell r="T76">
            <v>46137</v>
          </cell>
          <cell r="U76">
            <v>46137</v>
          </cell>
          <cell r="V76">
            <v>46137</v>
          </cell>
          <cell r="W76">
            <v>46153</v>
          </cell>
          <cell r="X76">
            <v>46208</v>
          </cell>
          <cell r="Y76">
            <v>46163</v>
          </cell>
          <cell r="Z76">
            <v>46163</v>
          </cell>
          <cell r="AA76">
            <v>250</v>
          </cell>
          <cell r="AB76">
            <v>248.54</v>
          </cell>
          <cell r="AC76">
            <v>45808</v>
          </cell>
          <cell r="AD76" t="str">
            <v>WH-I</v>
          </cell>
          <cell r="AE76">
            <v>10</v>
          </cell>
          <cell r="AG76" t="str">
            <v>Monter Global</v>
          </cell>
          <cell r="AH76" t="str">
            <v xml:space="preserve">MANTRA IVOIRE </v>
          </cell>
          <cell r="AI76" t="str">
            <v>Hapag</v>
          </cell>
          <cell r="AJ76" t="str">
            <v>40FT</v>
          </cell>
          <cell r="AK76">
            <v>0.1</v>
          </cell>
          <cell r="AL76" t="str">
            <v>(01x250MTS)</v>
          </cell>
          <cell r="AM76">
            <v>275</v>
          </cell>
          <cell r="AO76"/>
          <cell r="AP76">
            <v>46163</v>
          </cell>
          <cell r="AQ76">
            <v>46163</v>
          </cell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F76" t="str">
            <v>Monter Global</v>
          </cell>
          <cell r="BG76"/>
          <cell r="BH76"/>
          <cell r="BI76"/>
          <cell r="BJ76"/>
          <cell r="BK76"/>
          <cell r="BL76" t="str">
            <v xml:space="preserve">MANTRA IVOIRE </v>
          </cell>
          <cell r="BM76"/>
          <cell r="BN76"/>
          <cell r="BO76"/>
          <cell r="BP76"/>
          <cell r="BQ76"/>
          <cell r="BR76">
            <v>46163</v>
          </cell>
          <cell r="BS76" t="str">
            <v>IVC-RCN2026-CI0011</v>
          </cell>
          <cell r="BV76" t="str">
            <v>ABSA/CMI</v>
          </cell>
          <cell r="BW76"/>
          <cell r="BX76"/>
          <cell r="BY76"/>
          <cell r="BZ76"/>
          <cell r="CA76" t="str">
            <v>182610-15024</v>
          </cell>
          <cell r="CB76">
            <v>46142</v>
          </cell>
          <cell r="CC76"/>
          <cell r="CD76"/>
          <cell r="CE76"/>
          <cell r="CF76"/>
          <cell r="CG76">
            <v>46125</v>
          </cell>
          <cell r="CH76">
            <v>46146</v>
          </cell>
          <cell r="CI76" t="str">
            <v>E13965</v>
          </cell>
          <cell r="CJ76"/>
          <cell r="CK76">
            <v>46148</v>
          </cell>
          <cell r="CM76"/>
          <cell r="CN76" t="str">
            <v>Ajeesh</v>
          </cell>
          <cell r="CP76"/>
        </row>
        <row r="77">
          <cell r="D77">
            <v>47</v>
          </cell>
          <cell r="E77">
            <v>200</v>
          </cell>
          <cell r="H77" t="str">
            <v>TBA</v>
          </cell>
          <cell r="K77" t="str">
            <v>May - 26</v>
          </cell>
          <cell r="L77" t="str">
            <v>VALENCY CI</v>
          </cell>
          <cell r="M77" t="str">
            <v>VALENCY VIETNAM-UNSOLD</v>
          </cell>
          <cell r="N77">
            <v>10051322</v>
          </cell>
          <cell r="O77" t="str">
            <v>HLCUAB1260401269</v>
          </cell>
          <cell r="P77" t="str">
            <v>TPSCR26010671</v>
          </cell>
          <cell r="Q77" t="str">
            <v>ABJ</v>
          </cell>
          <cell r="R77" t="str">
            <v>HCMC, VIETNAM</v>
          </cell>
          <cell r="S77" t="str">
            <v>ACHELOOS</v>
          </cell>
          <cell r="T77">
            <v>46138</v>
          </cell>
          <cell r="U77">
            <v>46139</v>
          </cell>
          <cell r="V77">
            <v>46139</v>
          </cell>
          <cell r="W77">
            <v>46152</v>
          </cell>
          <cell r="Y77">
            <v>46163</v>
          </cell>
          <cell r="Z77">
            <v>46163</v>
          </cell>
          <cell r="AA77">
            <v>250</v>
          </cell>
          <cell r="AB77">
            <v>248.43</v>
          </cell>
          <cell r="AC77">
            <v>45808</v>
          </cell>
          <cell r="AD77" t="str">
            <v>WH-I</v>
          </cell>
          <cell r="AE77">
            <v>10</v>
          </cell>
          <cell r="AG77" t="str">
            <v>Monter Global</v>
          </cell>
          <cell r="AH77" t="str">
            <v xml:space="preserve">MANTRA IVOIRE </v>
          </cell>
          <cell r="AI77" t="str">
            <v>Hapag</v>
          </cell>
          <cell r="AJ77" t="str">
            <v>40FT</v>
          </cell>
          <cell r="AK77">
            <v>0.1</v>
          </cell>
          <cell r="AL77" t="str">
            <v>(01x250MTS)</v>
          </cell>
          <cell r="AM77">
            <v>275</v>
          </cell>
          <cell r="AO77"/>
          <cell r="AP77">
            <v>46163</v>
          </cell>
          <cell r="AQ77">
            <v>46163</v>
          </cell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F77" t="str">
            <v>Monter Global</v>
          </cell>
          <cell r="BG77"/>
          <cell r="BH77"/>
          <cell r="BI77"/>
          <cell r="BJ77"/>
          <cell r="BK77"/>
          <cell r="BL77" t="str">
            <v xml:space="preserve">MANTRA IVOIRE </v>
          </cell>
          <cell r="BM77"/>
          <cell r="BN77"/>
          <cell r="BO77"/>
          <cell r="BP77"/>
          <cell r="BQ77"/>
          <cell r="BR77">
            <v>46163</v>
          </cell>
          <cell r="BS77" t="str">
            <v>IVC-RCN2026-CI0010</v>
          </cell>
          <cell r="BV77" t="str">
            <v>ABSA/CMI</v>
          </cell>
          <cell r="BW77"/>
          <cell r="BX77"/>
          <cell r="BY77"/>
          <cell r="BZ77"/>
          <cell r="CA77" t="str">
            <v>182610-15024</v>
          </cell>
          <cell r="CB77">
            <v>46142</v>
          </cell>
          <cell r="CC77"/>
          <cell r="CD77"/>
          <cell r="CE77"/>
          <cell r="CF77"/>
          <cell r="CG77">
            <v>46125</v>
          </cell>
          <cell r="CH77">
            <v>46146</v>
          </cell>
          <cell r="CI77" t="str">
            <v>E13965</v>
          </cell>
          <cell r="CJ77"/>
          <cell r="CK77">
            <v>46148</v>
          </cell>
          <cell r="CM77"/>
          <cell r="CN77" t="str">
            <v>Ajeesh</v>
          </cell>
          <cell r="CP77"/>
        </row>
        <row r="78">
          <cell r="D78">
            <v>46</v>
          </cell>
          <cell r="E78">
            <v>200</v>
          </cell>
          <cell r="H78" t="str">
            <v>32016289-3</v>
          </cell>
          <cell r="K78" t="str">
            <v>May - 26</v>
          </cell>
          <cell r="L78" t="str">
            <v>VALENCY CI</v>
          </cell>
          <cell r="M78" t="str">
            <v>VIET PHI AGRICULTURE</v>
          </cell>
          <cell r="N78">
            <v>26500030</v>
          </cell>
          <cell r="O78" t="str">
            <v>HLCUAB1260400752</v>
          </cell>
          <cell r="P78" t="str">
            <v>TPSCR26010672</v>
          </cell>
          <cell r="Q78" t="str">
            <v>ABJ</v>
          </cell>
          <cell r="R78" t="str">
            <v>HCMC, VIETNAM</v>
          </cell>
          <cell r="S78" t="str">
            <v>ACHELOOS</v>
          </cell>
          <cell r="T78">
            <v>46146</v>
          </cell>
          <cell r="U78">
            <v>46147</v>
          </cell>
          <cell r="V78">
            <v>46148</v>
          </cell>
          <cell r="W78">
            <v>46153</v>
          </cell>
          <cell r="X78">
            <v>46208</v>
          </cell>
          <cell r="Y78">
            <v>46163</v>
          </cell>
          <cell r="Z78">
            <v>46163</v>
          </cell>
          <cell r="AA78">
            <v>250</v>
          </cell>
          <cell r="AB78">
            <v>244.67</v>
          </cell>
          <cell r="AC78">
            <v>45808</v>
          </cell>
          <cell r="AD78" t="str">
            <v>Ex-Olam</v>
          </cell>
          <cell r="AE78">
            <v>10</v>
          </cell>
          <cell r="AG78" t="str">
            <v xml:space="preserve">GRAVIR LOGISTIQUE SARL </v>
          </cell>
          <cell r="AH78" t="str">
            <v xml:space="preserve">MANTRA IVOIRE </v>
          </cell>
          <cell r="AI78" t="str">
            <v>Hapag</v>
          </cell>
          <cell r="AJ78" t="str">
            <v>40FT</v>
          </cell>
          <cell r="AK78">
            <v>0.1</v>
          </cell>
          <cell r="AL78" t="str">
            <v>(01x250MTS)</v>
          </cell>
          <cell r="AM78">
            <v>275</v>
          </cell>
          <cell r="AO78"/>
          <cell r="AP78">
            <v>46163</v>
          </cell>
          <cell r="AQ78">
            <v>46163</v>
          </cell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F78" t="str">
            <v xml:space="preserve">GRAVIR LOGISTIQUE SARL </v>
          </cell>
          <cell r="BG78"/>
          <cell r="BH78"/>
          <cell r="BI78"/>
          <cell r="BJ78"/>
          <cell r="BK78"/>
          <cell r="BL78" t="str">
            <v xml:space="preserve">MANTRA IVOIRE </v>
          </cell>
          <cell r="BM78"/>
          <cell r="BN78"/>
          <cell r="BO78"/>
          <cell r="BP78"/>
          <cell r="BQ78"/>
          <cell r="BR78">
            <v>46163</v>
          </cell>
          <cell r="BS78" t="str">
            <v>IVC-RCN2026-CI0016</v>
          </cell>
          <cell r="BV78" t="str">
            <v>BOA/KTD</v>
          </cell>
          <cell r="BW78"/>
          <cell r="BX78"/>
          <cell r="BY78"/>
          <cell r="BZ78"/>
          <cell r="CA78" t="str">
            <v>182610-15083</v>
          </cell>
          <cell r="CB78">
            <v>46146</v>
          </cell>
          <cell r="CC78"/>
          <cell r="CD78"/>
          <cell r="CE78"/>
          <cell r="CF78"/>
          <cell r="CG78">
            <v>46125</v>
          </cell>
          <cell r="CH78">
            <v>46149</v>
          </cell>
          <cell r="CI78" t="str">
            <v>E14589</v>
          </cell>
          <cell r="CJ78"/>
          <cell r="CK78">
            <v>46150</v>
          </cell>
          <cell r="CM78"/>
          <cell r="CN78" t="str">
            <v>Sugmaran</v>
          </cell>
          <cell r="CP78"/>
        </row>
        <row r="79">
          <cell r="D79">
            <v>46</v>
          </cell>
          <cell r="E79">
            <v>200</v>
          </cell>
          <cell r="H79" t="str">
            <v>32016289-4</v>
          </cell>
          <cell r="K79" t="str">
            <v>May - 26</v>
          </cell>
          <cell r="L79" t="str">
            <v>VALENCY CI</v>
          </cell>
          <cell r="M79" t="str">
            <v>VIET PHI AGRICULTURE</v>
          </cell>
          <cell r="N79">
            <v>92767861</v>
          </cell>
          <cell r="O79" t="str">
            <v>HLCUAB1260400774</v>
          </cell>
          <cell r="P79" t="str">
            <v>TPSCR26010673</v>
          </cell>
          <cell r="Q79" t="str">
            <v>ABJ</v>
          </cell>
          <cell r="R79" t="str">
            <v>HCMC, VIETNAM</v>
          </cell>
          <cell r="S79" t="str">
            <v>ACHELOOS</v>
          </cell>
          <cell r="T79">
            <v>46147</v>
          </cell>
          <cell r="U79">
            <v>46148</v>
          </cell>
          <cell r="V79">
            <v>46149</v>
          </cell>
          <cell r="W79">
            <v>46153</v>
          </cell>
          <cell r="X79">
            <v>46208</v>
          </cell>
          <cell r="Y79">
            <v>46163</v>
          </cell>
          <cell r="Z79">
            <v>46163</v>
          </cell>
          <cell r="AA79">
            <v>250</v>
          </cell>
          <cell r="AB79">
            <v>247.10499999999999</v>
          </cell>
          <cell r="AC79">
            <v>45808</v>
          </cell>
          <cell r="AD79" t="str">
            <v>Ex-Olam</v>
          </cell>
          <cell r="AE79">
            <v>10</v>
          </cell>
          <cell r="AG79" t="str">
            <v xml:space="preserve">GRAVIR LOGISTIQUE SARL </v>
          </cell>
          <cell r="AH79" t="str">
            <v xml:space="preserve">MANTRA IVOIRE </v>
          </cell>
          <cell r="AI79" t="str">
            <v>Hapag</v>
          </cell>
          <cell r="AJ79" t="str">
            <v>40FT</v>
          </cell>
          <cell r="AK79">
            <v>0.1</v>
          </cell>
          <cell r="AL79" t="str">
            <v>(01x250MTS)</v>
          </cell>
          <cell r="AM79">
            <v>275</v>
          </cell>
          <cell r="AO79"/>
          <cell r="AP79">
            <v>46163</v>
          </cell>
          <cell r="AQ79">
            <v>46163</v>
          </cell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F79" t="str">
            <v xml:space="preserve">GRAVIR LOGISTIQUE SARL </v>
          </cell>
          <cell r="BG79"/>
          <cell r="BH79"/>
          <cell r="BI79"/>
          <cell r="BJ79"/>
          <cell r="BK79"/>
          <cell r="BL79" t="str">
            <v xml:space="preserve">MANTRA IVOIRE </v>
          </cell>
          <cell r="BM79"/>
          <cell r="BN79"/>
          <cell r="BO79"/>
          <cell r="BP79"/>
          <cell r="BQ79"/>
          <cell r="BR79">
            <v>46163</v>
          </cell>
          <cell r="BS79" t="str">
            <v>IVC-RCN2026-CI0013</v>
          </cell>
          <cell r="BV79" t="str">
            <v>BOA/KTD</v>
          </cell>
          <cell r="BW79"/>
          <cell r="BX79"/>
          <cell r="BY79"/>
          <cell r="BZ79"/>
          <cell r="CA79" t="str">
            <v>182610-15083</v>
          </cell>
          <cell r="CB79">
            <v>46146</v>
          </cell>
          <cell r="CC79"/>
          <cell r="CD79"/>
          <cell r="CE79"/>
          <cell r="CF79"/>
          <cell r="CG79">
            <v>46125</v>
          </cell>
          <cell r="CH79">
            <v>46149</v>
          </cell>
          <cell r="CI79" t="str">
            <v>E14589</v>
          </cell>
          <cell r="CJ79"/>
          <cell r="CK79">
            <v>46150</v>
          </cell>
          <cell r="CM79"/>
          <cell r="CN79" t="str">
            <v>Sugmaran</v>
          </cell>
          <cell r="CP79"/>
        </row>
        <row r="80">
          <cell r="D80">
            <v>46</v>
          </cell>
          <cell r="E80">
            <v>200</v>
          </cell>
          <cell r="H80" t="str">
            <v>32016425-1</v>
          </cell>
          <cell r="K80" t="str">
            <v>May/June - 26</v>
          </cell>
          <cell r="L80" t="str">
            <v>VALENCY CI</v>
          </cell>
          <cell r="M80" t="str">
            <v>TERRA NUTS GROUP JOINT STOCK COMPANY</v>
          </cell>
          <cell r="N80">
            <v>4055147050</v>
          </cell>
          <cell r="O80"/>
          <cell r="P80"/>
          <cell r="Q80" t="str">
            <v>ABJ</v>
          </cell>
          <cell r="R80" t="str">
            <v>HCMC, VIETNAM</v>
          </cell>
          <cell r="S80" t="str">
            <v>NAVIOS NERINE</v>
          </cell>
          <cell r="T80">
            <v>46146</v>
          </cell>
          <cell r="U80">
            <v>46160</v>
          </cell>
          <cell r="V80">
            <v>46160</v>
          </cell>
          <cell r="W80"/>
          <cell r="X80"/>
          <cell r="Y80">
            <v>46181</v>
          </cell>
          <cell r="Z80"/>
          <cell r="AA80">
            <v>250</v>
          </cell>
          <cell r="AB80">
            <v>250</v>
          </cell>
          <cell r="AC80">
            <v>45838</v>
          </cell>
          <cell r="AD80" t="str">
            <v>Ex-Olam</v>
          </cell>
          <cell r="AE80">
            <v>10</v>
          </cell>
          <cell r="AG80" t="str">
            <v>VALENCY INTERNATIONAL CI</v>
          </cell>
          <cell r="AH80" t="str">
            <v>AFIC</v>
          </cell>
          <cell r="AI80" t="str">
            <v>OOCL</v>
          </cell>
          <cell r="AJ80" t="str">
            <v>40FT</v>
          </cell>
          <cell r="AK80">
            <v>0.1</v>
          </cell>
          <cell r="AL80" t="str">
            <v>(01x250MTS)</v>
          </cell>
          <cell r="AM80">
            <v>275</v>
          </cell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F80" t="str">
            <v>VALENCY INTERNATIONAL CI</v>
          </cell>
          <cell r="BG80"/>
          <cell r="BH80"/>
          <cell r="BI80"/>
          <cell r="BJ80"/>
          <cell r="BK80"/>
          <cell r="BL80" t="str">
            <v>AFIC</v>
          </cell>
          <cell r="BM80"/>
          <cell r="BN80"/>
          <cell r="BO80"/>
          <cell r="BP80"/>
          <cell r="BQ80"/>
          <cell r="BR80"/>
          <cell r="BS80"/>
          <cell r="BV80" t="str">
            <v>BOA/KTD</v>
          </cell>
          <cell r="BW80"/>
          <cell r="BX80"/>
          <cell r="BY80"/>
          <cell r="BZ80"/>
          <cell r="CA80" t="str">
            <v>182610-15262</v>
          </cell>
          <cell r="CB80">
            <v>46161</v>
          </cell>
          <cell r="CC80" t="str">
            <v>2026-0552</v>
          </cell>
          <cell r="CD80">
            <v>46161</v>
          </cell>
          <cell r="CE80"/>
          <cell r="CF80"/>
          <cell r="CG80"/>
          <cell r="CH80">
            <v>46161</v>
          </cell>
          <cell r="CI80" t="str">
            <v>E16060</v>
          </cell>
          <cell r="CJ80"/>
          <cell r="CK80"/>
          <cell r="CM80"/>
          <cell r="CN80" t="str">
            <v>Sugmaran</v>
          </cell>
          <cell r="CP80"/>
        </row>
        <row r="81">
          <cell r="D81">
            <v>46</v>
          </cell>
          <cell r="E81">
            <v>200</v>
          </cell>
          <cell r="H81" t="str">
            <v>32016316-1</v>
          </cell>
          <cell r="K81" t="str">
            <v>May/June - 26</v>
          </cell>
          <cell r="L81" t="str">
            <v>VALENCY CI</v>
          </cell>
          <cell r="M81" t="str">
            <v>VIET PHI AGRICULTURE</v>
          </cell>
          <cell r="N81">
            <v>4055147053</v>
          </cell>
          <cell r="O81"/>
          <cell r="P81"/>
          <cell r="Q81" t="str">
            <v>ABJ</v>
          </cell>
          <cell r="R81" t="str">
            <v>HCMC, VIETNAM</v>
          </cell>
          <cell r="S81" t="str">
            <v>NORTHERN MAJESTIC</v>
          </cell>
          <cell r="T81">
            <v>46146</v>
          </cell>
          <cell r="U81">
            <v>46160</v>
          </cell>
          <cell r="V81">
            <v>46160</v>
          </cell>
          <cell r="W81"/>
          <cell r="X81"/>
          <cell r="Y81">
            <v>46181</v>
          </cell>
          <cell r="Z81"/>
          <cell r="AA81">
            <v>250</v>
          </cell>
          <cell r="AB81">
            <v>250</v>
          </cell>
          <cell r="AC81">
            <v>45838</v>
          </cell>
          <cell r="AD81" t="str">
            <v>Ex-Olam</v>
          </cell>
          <cell r="AE81">
            <v>10</v>
          </cell>
          <cell r="AG81" t="str">
            <v>VALENCY INTERNATIONAL CI</v>
          </cell>
          <cell r="AH81" t="str">
            <v>AFIC</v>
          </cell>
          <cell r="AI81" t="str">
            <v>OOCL</v>
          </cell>
          <cell r="AJ81" t="str">
            <v>40FT</v>
          </cell>
          <cell r="AK81">
            <v>0.1</v>
          </cell>
          <cell r="AL81" t="str">
            <v>(01x250MTS)</v>
          </cell>
          <cell r="AM81">
            <v>275</v>
          </cell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F81" t="str">
            <v>VALENCY INTERNATIONAL CI</v>
          </cell>
          <cell r="BG81"/>
          <cell r="BH81"/>
          <cell r="BI81"/>
          <cell r="BJ81"/>
          <cell r="BK81"/>
          <cell r="BL81" t="str">
            <v>AFIC</v>
          </cell>
          <cell r="BM81"/>
          <cell r="BN81"/>
          <cell r="BO81"/>
          <cell r="BP81"/>
          <cell r="BQ81"/>
          <cell r="BR81"/>
          <cell r="BS81"/>
          <cell r="BV81" t="str">
            <v>BOA/KTD</v>
          </cell>
          <cell r="BW81"/>
          <cell r="BX81"/>
          <cell r="BY81"/>
          <cell r="BZ81"/>
          <cell r="CA81" t="str">
            <v>182610-15262</v>
          </cell>
          <cell r="CB81">
            <v>46161</v>
          </cell>
          <cell r="CC81" t="str">
            <v>2026-0552</v>
          </cell>
          <cell r="CD81">
            <v>46161</v>
          </cell>
          <cell r="CE81"/>
          <cell r="CF81"/>
          <cell r="CG81"/>
          <cell r="CH81">
            <v>46161</v>
          </cell>
          <cell r="CI81" t="str">
            <v>E16060</v>
          </cell>
          <cell r="CJ81"/>
          <cell r="CK81"/>
          <cell r="CM81"/>
          <cell r="CN81" t="str">
            <v>Sugmaran</v>
          </cell>
          <cell r="CP81"/>
        </row>
        <row r="82">
          <cell r="D82">
            <v>46</v>
          </cell>
          <cell r="E82">
            <v>200</v>
          </cell>
          <cell r="H82" t="str">
            <v>32016316-2</v>
          </cell>
          <cell r="K82" t="str">
            <v>May/June - 26</v>
          </cell>
          <cell r="L82" t="str">
            <v>VALENCY CI</v>
          </cell>
          <cell r="M82" t="str">
            <v>VIET PHI AGRICULTURE</v>
          </cell>
          <cell r="N82">
            <v>4055147051</v>
          </cell>
          <cell r="O82"/>
          <cell r="P82"/>
          <cell r="Q82" t="str">
            <v>ABJ</v>
          </cell>
          <cell r="R82" t="str">
            <v>HCMC, VIETNAM</v>
          </cell>
          <cell r="S82" t="str">
            <v>NORTHERN MAJESTIC</v>
          </cell>
          <cell r="T82">
            <v>46146</v>
          </cell>
          <cell r="U82">
            <v>46161</v>
          </cell>
          <cell r="V82">
            <v>46161</v>
          </cell>
          <cell r="W82"/>
          <cell r="X82"/>
          <cell r="Y82">
            <v>46181</v>
          </cell>
          <cell r="Z82"/>
          <cell r="AA82">
            <v>250</v>
          </cell>
          <cell r="AB82">
            <v>250</v>
          </cell>
          <cell r="AC82">
            <v>45838</v>
          </cell>
          <cell r="AD82" t="str">
            <v>Ex-Olam</v>
          </cell>
          <cell r="AE82">
            <v>10</v>
          </cell>
          <cell r="AG82" t="str">
            <v>VALENCY INTERNATIONAL CI</v>
          </cell>
          <cell r="AH82" t="str">
            <v>AFIC</v>
          </cell>
          <cell r="AI82" t="str">
            <v>OOCL</v>
          </cell>
          <cell r="AJ82" t="str">
            <v>40FT</v>
          </cell>
          <cell r="AK82">
            <v>0.1</v>
          </cell>
          <cell r="AL82" t="str">
            <v>(01x250MTS)</v>
          </cell>
          <cell r="AM82">
            <v>275</v>
          </cell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F82" t="str">
            <v>VALENCY INTERNATIONAL CI</v>
          </cell>
          <cell r="BG82"/>
          <cell r="BH82"/>
          <cell r="BI82"/>
          <cell r="BJ82"/>
          <cell r="BK82"/>
          <cell r="BL82" t="str">
            <v>AFIC</v>
          </cell>
          <cell r="BM82"/>
          <cell r="BN82"/>
          <cell r="BO82"/>
          <cell r="BP82"/>
          <cell r="BQ82"/>
          <cell r="BR82"/>
          <cell r="BS82"/>
          <cell r="BV82" t="str">
            <v>BOA/KTD</v>
          </cell>
          <cell r="BW82"/>
          <cell r="BX82"/>
          <cell r="BY82"/>
          <cell r="BZ82"/>
          <cell r="CA82" t="str">
            <v>182610-15264</v>
          </cell>
          <cell r="CB82">
            <v>46161</v>
          </cell>
          <cell r="CC82" t="str">
            <v>2026-0550</v>
          </cell>
          <cell r="CD82">
            <v>46161</v>
          </cell>
          <cell r="CE82"/>
          <cell r="CF82"/>
          <cell r="CG82"/>
          <cell r="CH82">
            <v>46161</v>
          </cell>
          <cell r="CI82" t="str">
            <v>E16060</v>
          </cell>
          <cell r="CJ82"/>
          <cell r="CK82"/>
          <cell r="CM82"/>
          <cell r="CN82" t="str">
            <v>Sugmaran</v>
          </cell>
          <cell r="CP82"/>
        </row>
        <row r="83">
          <cell r="D83">
            <v>46</v>
          </cell>
          <cell r="E83">
            <v>200</v>
          </cell>
          <cell r="H83" t="str">
            <v>32016425-2</v>
          </cell>
          <cell r="K83" t="str">
            <v>MAY-15th JUNE 2026</v>
          </cell>
          <cell r="L83" t="str">
            <v>VALENCY CI</v>
          </cell>
          <cell r="M83" t="str">
            <v>TERRA NUTS GROUP JOINT STOCK COMPANY</v>
          </cell>
          <cell r="N83">
            <v>4055147052</v>
          </cell>
          <cell r="O83"/>
          <cell r="P83"/>
          <cell r="Q83" t="str">
            <v>ABJ</v>
          </cell>
          <cell r="R83" t="str">
            <v>HCMC, VIETNAM</v>
          </cell>
          <cell r="S83" t="str">
            <v>NORTHERN MAJESTIC</v>
          </cell>
          <cell r="T83">
            <v>46146</v>
          </cell>
          <cell r="U83">
            <v>46161</v>
          </cell>
          <cell r="V83">
            <v>46161</v>
          </cell>
          <cell r="W83"/>
          <cell r="X83"/>
          <cell r="Y83">
            <v>46181</v>
          </cell>
          <cell r="Z83"/>
          <cell r="AA83">
            <v>250</v>
          </cell>
          <cell r="AB83">
            <v>250</v>
          </cell>
          <cell r="AC83">
            <v>45823</v>
          </cell>
          <cell r="AD83" t="str">
            <v>Ex-Olam</v>
          </cell>
          <cell r="AE83">
            <v>10</v>
          </cell>
          <cell r="AG83" t="str">
            <v>VALENCY INTERNATIONAL CI</v>
          </cell>
          <cell r="AH83" t="str">
            <v>AFIC</v>
          </cell>
          <cell r="AI83" t="str">
            <v>OOCL</v>
          </cell>
          <cell r="AJ83" t="str">
            <v>40FT</v>
          </cell>
          <cell r="AK83">
            <v>0.1</v>
          </cell>
          <cell r="AL83" t="str">
            <v>(01x250MTS)</v>
          </cell>
          <cell r="AM83">
            <v>275</v>
          </cell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F83" t="str">
            <v>VALENCY INTERNATIONAL CI</v>
          </cell>
          <cell r="BG83"/>
          <cell r="BH83"/>
          <cell r="BI83"/>
          <cell r="BJ83"/>
          <cell r="BK83"/>
          <cell r="BL83" t="str">
            <v>AFIC</v>
          </cell>
          <cell r="BM83"/>
          <cell r="BN83"/>
          <cell r="BO83"/>
          <cell r="BP83"/>
          <cell r="BQ83"/>
          <cell r="BR83"/>
          <cell r="BS83"/>
          <cell r="BV83" t="str">
            <v>BOA/KTD</v>
          </cell>
          <cell r="BW83"/>
          <cell r="BX83"/>
          <cell r="BY83"/>
          <cell r="BZ83"/>
          <cell r="CA83" t="str">
            <v>182610-15264</v>
          </cell>
          <cell r="CB83">
            <v>46161</v>
          </cell>
          <cell r="CC83" t="str">
            <v>2026-0550</v>
          </cell>
          <cell r="CD83">
            <v>46161</v>
          </cell>
          <cell r="CE83"/>
          <cell r="CF83"/>
          <cell r="CG83"/>
          <cell r="CH83">
            <v>46161</v>
          </cell>
          <cell r="CI83" t="str">
            <v>E16060</v>
          </cell>
          <cell r="CJ83"/>
          <cell r="CK83"/>
          <cell r="CM83"/>
          <cell r="CN83" t="str">
            <v>Sugmaran</v>
          </cell>
          <cell r="CP83"/>
        </row>
        <row r="84">
          <cell r="D84">
            <v>46</v>
          </cell>
          <cell r="E84">
            <v>200</v>
          </cell>
          <cell r="H84">
            <v>32016278</v>
          </cell>
          <cell r="K84" t="str">
            <v>May - 26</v>
          </cell>
          <cell r="L84" t="str">
            <v>VALENCY CI</v>
          </cell>
          <cell r="M84" t="str">
            <v xml:space="preserve">RED RIVER FOODS </v>
          </cell>
          <cell r="N84">
            <v>4055146960</v>
          </cell>
          <cell r="O84"/>
          <cell r="P84"/>
          <cell r="Q84" t="str">
            <v>ABJ</v>
          </cell>
          <cell r="R84" t="str">
            <v>Qui Nhon, Vietnam</v>
          </cell>
          <cell r="S84" t="str">
            <v>NAVIOS NERINE</v>
          </cell>
          <cell r="T84">
            <v>46146</v>
          </cell>
          <cell r="U84">
            <v>46161</v>
          </cell>
          <cell r="V84">
            <v>46162</v>
          </cell>
          <cell r="W84"/>
          <cell r="X84"/>
          <cell r="Y84">
            <v>46181</v>
          </cell>
          <cell r="Z84"/>
          <cell r="AA84">
            <v>300</v>
          </cell>
          <cell r="AB84">
            <v>300</v>
          </cell>
          <cell r="AC84">
            <v>45808</v>
          </cell>
          <cell r="AD84" t="str">
            <v>Ex-Olam</v>
          </cell>
          <cell r="AE84">
            <v>12</v>
          </cell>
          <cell r="AG84" t="str">
            <v>VALENCY INTERNATIONAL CI</v>
          </cell>
          <cell r="AH84" t="str">
            <v>AFIC</v>
          </cell>
          <cell r="AI84" t="str">
            <v>OOCL</v>
          </cell>
          <cell r="AJ84" t="str">
            <v>40FT</v>
          </cell>
          <cell r="AK84">
            <v>0.1</v>
          </cell>
          <cell r="AL84" t="str">
            <v>(01x250MTS)</v>
          </cell>
          <cell r="AM84">
            <v>330</v>
          </cell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F84" t="str">
            <v>VALENCY INTERNATIONAL CI</v>
          </cell>
          <cell r="BG84"/>
          <cell r="BH84"/>
          <cell r="BI84"/>
          <cell r="BJ84"/>
          <cell r="BK84"/>
          <cell r="BL84" t="str">
            <v>AFIC</v>
          </cell>
          <cell r="BM84"/>
          <cell r="BN84"/>
          <cell r="BO84"/>
          <cell r="BP84"/>
          <cell r="BQ84"/>
          <cell r="BR84"/>
          <cell r="BS84"/>
          <cell r="BV84" t="str">
            <v>ABSA/CMI</v>
          </cell>
          <cell r="BW84"/>
          <cell r="BX84"/>
          <cell r="BY84"/>
          <cell r="BZ84"/>
          <cell r="CA84" t="str">
            <v>182610-15263</v>
          </cell>
          <cell r="CB84">
            <v>46161</v>
          </cell>
          <cell r="CC84" t="str">
            <v>2026-0551</v>
          </cell>
          <cell r="CD84">
            <v>46161</v>
          </cell>
          <cell r="CE84"/>
          <cell r="CF84"/>
          <cell r="CG84"/>
          <cell r="CH84">
            <v>46155</v>
          </cell>
          <cell r="CI84" t="str">
            <v>E15378</v>
          </cell>
          <cell r="CJ84"/>
          <cell r="CK84"/>
          <cell r="CM84"/>
          <cell r="CN84" t="str">
            <v>Sugmaran</v>
          </cell>
          <cell r="CP84"/>
        </row>
        <row r="85">
          <cell r="D85">
            <v>45</v>
          </cell>
          <cell r="E85">
            <v>200</v>
          </cell>
          <cell r="H85" t="str">
            <v>32016315-1</v>
          </cell>
          <cell r="K85" t="str">
            <v>MAY-15th JUNE 2026</v>
          </cell>
          <cell r="L85" t="str">
            <v>VALENCY CI</v>
          </cell>
          <cell r="M85" t="str">
            <v>VIET PHI AGRICULTURE</v>
          </cell>
          <cell r="N85">
            <v>4055159320</v>
          </cell>
          <cell r="O85"/>
          <cell r="P85"/>
          <cell r="Q85" t="str">
            <v>ABJ</v>
          </cell>
          <cell r="R85" t="str">
            <v>HCMC, VIETNAM</v>
          </cell>
          <cell r="S85" t="str">
            <v>NORTHERN MAJESTIC</v>
          </cell>
          <cell r="T85">
            <v>46157</v>
          </cell>
          <cell r="U85">
            <v>46158</v>
          </cell>
          <cell r="V85">
            <v>46158</v>
          </cell>
          <cell r="W85"/>
          <cell r="X85"/>
          <cell r="Y85">
            <v>46181</v>
          </cell>
          <cell r="Z85"/>
          <cell r="AA85">
            <v>250</v>
          </cell>
          <cell r="AB85">
            <v>250</v>
          </cell>
          <cell r="AC85">
            <v>45823</v>
          </cell>
          <cell r="AD85" t="str">
            <v>PK34</v>
          </cell>
          <cell r="AE85">
            <v>10</v>
          </cell>
          <cell r="AG85" t="str">
            <v>VALENCY INTERNATIONAL CI</v>
          </cell>
          <cell r="AH85" t="str">
            <v>AFIC</v>
          </cell>
          <cell r="AI85" t="str">
            <v>OOCL</v>
          </cell>
          <cell r="AJ85" t="str">
            <v>40FT</v>
          </cell>
          <cell r="AK85">
            <v>0.1</v>
          </cell>
          <cell r="AL85" t="str">
            <v>(01x250MTS)</v>
          </cell>
          <cell r="AM85">
            <v>275</v>
          </cell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F85" t="str">
            <v>VALENCY INTERNATIONAL CI</v>
          </cell>
          <cell r="BG85"/>
          <cell r="BH85"/>
          <cell r="BI85"/>
          <cell r="BJ85"/>
          <cell r="BK85"/>
          <cell r="BL85" t="str">
            <v>AFIC</v>
          </cell>
          <cell r="BM85"/>
          <cell r="BN85"/>
          <cell r="BO85"/>
          <cell r="BP85"/>
          <cell r="BQ85"/>
          <cell r="BR85"/>
          <cell r="BS85"/>
          <cell r="BV85" t="str">
            <v>RABO/STEINWEG</v>
          </cell>
          <cell r="BW85"/>
          <cell r="BX85"/>
          <cell r="BY85"/>
          <cell r="BZ85"/>
          <cell r="CA85" t="str">
            <v>182610-15322</v>
          </cell>
          <cell r="CB85">
            <v>46168</v>
          </cell>
          <cell r="CC85" t="str">
            <v>00634</v>
          </cell>
          <cell r="CD85">
            <v>46168</v>
          </cell>
          <cell r="CE85"/>
          <cell r="CF85"/>
          <cell r="CG85"/>
          <cell r="CH85"/>
          <cell r="CI85"/>
          <cell r="CJ85"/>
          <cell r="CK85"/>
          <cell r="CM85"/>
          <cell r="CN85" t="str">
            <v/>
          </cell>
          <cell r="CP85"/>
        </row>
        <row r="86">
          <cell r="D86">
            <v>46</v>
          </cell>
          <cell r="E86">
            <v>200</v>
          </cell>
          <cell r="H86" t="str">
            <v>32016316-3</v>
          </cell>
          <cell r="K86" t="str">
            <v>MAY-15th JUNE 2026</v>
          </cell>
          <cell r="L86" t="str">
            <v>VALENCY CI</v>
          </cell>
          <cell r="M86" t="str">
            <v>VIET PHI AGRICULTURE</v>
          </cell>
          <cell r="N86">
            <v>4055159310</v>
          </cell>
          <cell r="O86"/>
          <cell r="P86"/>
          <cell r="Q86" t="str">
            <v>ABJ</v>
          </cell>
          <cell r="R86" t="str">
            <v>HCMC, VIETNAM</v>
          </cell>
          <cell r="S86" t="str">
            <v>NORTHERN MAJESTIC</v>
          </cell>
          <cell r="T86">
            <v>46157</v>
          </cell>
          <cell r="U86">
            <v>46158</v>
          </cell>
          <cell r="V86">
            <v>46158</v>
          </cell>
          <cell r="W86"/>
          <cell r="X86"/>
          <cell r="Y86">
            <v>46181</v>
          </cell>
          <cell r="Z86"/>
          <cell r="AA86">
            <v>250</v>
          </cell>
          <cell r="AB86">
            <v>250</v>
          </cell>
          <cell r="AC86">
            <v>45823</v>
          </cell>
          <cell r="AD86" t="str">
            <v>PK34</v>
          </cell>
          <cell r="AE86">
            <v>10</v>
          </cell>
          <cell r="AG86" t="str">
            <v>VALENCY INTERNATIONAL CI</v>
          </cell>
          <cell r="AH86" t="str">
            <v>AFIC</v>
          </cell>
          <cell r="AI86" t="str">
            <v>OOCL</v>
          </cell>
          <cell r="AJ86" t="str">
            <v>40FT</v>
          </cell>
          <cell r="AK86">
            <v>0.1</v>
          </cell>
          <cell r="AL86" t="str">
            <v>(01x250MTS)</v>
          </cell>
          <cell r="AM86">
            <v>275</v>
          </cell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F86" t="str">
            <v>VALENCY INTERNATIONAL CI</v>
          </cell>
          <cell r="BG86"/>
          <cell r="BH86"/>
          <cell r="BI86"/>
          <cell r="BJ86"/>
          <cell r="BK86"/>
          <cell r="BL86" t="str">
            <v>AFIC</v>
          </cell>
          <cell r="BM86"/>
          <cell r="BN86"/>
          <cell r="BO86"/>
          <cell r="BP86"/>
          <cell r="BQ86"/>
          <cell r="BR86"/>
          <cell r="BS86"/>
          <cell r="BV86" t="str">
            <v>RABO/STEINWEG</v>
          </cell>
          <cell r="BW86"/>
          <cell r="BX86"/>
          <cell r="BY86"/>
          <cell r="BZ86"/>
          <cell r="CA86" t="str">
            <v>182610-15322</v>
          </cell>
          <cell r="CB86">
            <v>46168</v>
          </cell>
          <cell r="CC86" t="str">
            <v>00634</v>
          </cell>
          <cell r="CD86">
            <v>46168</v>
          </cell>
          <cell r="CE86"/>
          <cell r="CF86"/>
          <cell r="CG86"/>
          <cell r="CH86"/>
          <cell r="CI86"/>
          <cell r="CJ86"/>
          <cell r="CK86"/>
          <cell r="CM86"/>
          <cell r="CN86" t="str">
            <v/>
          </cell>
          <cell r="CP86"/>
        </row>
        <row r="87">
          <cell r="D87">
            <v>46</v>
          </cell>
          <cell r="E87">
            <v>200</v>
          </cell>
          <cell r="H87" t="str">
            <v>32016316-4</v>
          </cell>
          <cell r="K87" t="str">
            <v>MAY-15th JUNE 2026</v>
          </cell>
          <cell r="L87" t="str">
            <v>VALENCY CI</v>
          </cell>
          <cell r="M87" t="str">
            <v>VIET PHI AGRICULTURE</v>
          </cell>
          <cell r="N87">
            <v>4055159320</v>
          </cell>
          <cell r="O87"/>
          <cell r="P87"/>
          <cell r="Q87" t="str">
            <v>ABJ</v>
          </cell>
          <cell r="R87" t="str">
            <v>HCMC, VIETNAM</v>
          </cell>
          <cell r="S87" t="str">
            <v>NORTHERN MAJESTIC</v>
          </cell>
          <cell r="T87">
            <v>46158</v>
          </cell>
          <cell r="U87">
            <v>46159</v>
          </cell>
          <cell r="V87">
            <v>46159</v>
          </cell>
          <cell r="W87"/>
          <cell r="X87"/>
          <cell r="Y87">
            <v>46181</v>
          </cell>
          <cell r="Z87"/>
          <cell r="AA87">
            <v>250</v>
          </cell>
          <cell r="AB87">
            <v>250</v>
          </cell>
          <cell r="AC87">
            <v>45823</v>
          </cell>
          <cell r="AD87" t="str">
            <v>PK34</v>
          </cell>
          <cell r="AE87">
            <v>10</v>
          </cell>
          <cell r="AG87" t="str">
            <v>VALENCY INTERNATIONAL CI</v>
          </cell>
          <cell r="AH87" t="str">
            <v>AFIC</v>
          </cell>
          <cell r="AI87" t="str">
            <v>OOCL</v>
          </cell>
          <cell r="AJ87" t="str">
            <v>40FT</v>
          </cell>
          <cell r="AK87">
            <v>0.1</v>
          </cell>
          <cell r="AL87" t="str">
            <v>(01x250MTS)</v>
          </cell>
          <cell r="AM87">
            <v>275</v>
          </cell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F87" t="str">
            <v>VALENCY INTERNATIONAL CI</v>
          </cell>
          <cell r="BG87"/>
          <cell r="BH87"/>
          <cell r="BI87"/>
          <cell r="BJ87"/>
          <cell r="BK87"/>
          <cell r="BL87" t="str">
            <v>AFIC</v>
          </cell>
          <cell r="BM87"/>
          <cell r="BN87"/>
          <cell r="BO87"/>
          <cell r="BP87"/>
          <cell r="BQ87"/>
          <cell r="BR87"/>
          <cell r="BS87"/>
          <cell r="BV87" t="str">
            <v>RABO/STEINWEG</v>
          </cell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M87"/>
          <cell r="CN87" t="str">
            <v/>
          </cell>
          <cell r="CP87"/>
        </row>
        <row r="88">
          <cell r="D88">
            <v>46</v>
          </cell>
          <cell r="E88">
            <v>200</v>
          </cell>
          <cell r="H88" t="str">
            <v>32016316-5</v>
          </cell>
          <cell r="K88" t="str">
            <v>MAY-15th JUNE 2026</v>
          </cell>
          <cell r="L88" t="str">
            <v>VALENCY CI</v>
          </cell>
          <cell r="M88" t="str">
            <v>VIET PHI AGRICULTURE</v>
          </cell>
          <cell r="N88">
            <v>4055159330</v>
          </cell>
          <cell r="O88"/>
          <cell r="P88"/>
          <cell r="Q88" t="str">
            <v>ABJ</v>
          </cell>
          <cell r="R88" t="str">
            <v>HCMC, VIETNAM</v>
          </cell>
          <cell r="S88" t="str">
            <v>NORTHERN MAJESTIC</v>
          </cell>
          <cell r="T88">
            <v>46158</v>
          </cell>
          <cell r="U88">
            <v>46159</v>
          </cell>
          <cell r="V88">
            <v>46160</v>
          </cell>
          <cell r="W88"/>
          <cell r="X88"/>
          <cell r="Y88">
            <v>46181</v>
          </cell>
          <cell r="Z88"/>
          <cell r="AA88">
            <v>250</v>
          </cell>
          <cell r="AB88">
            <v>250</v>
          </cell>
          <cell r="AC88">
            <v>45823</v>
          </cell>
          <cell r="AD88" t="str">
            <v>PK34</v>
          </cell>
          <cell r="AE88">
            <v>10</v>
          </cell>
          <cell r="AG88" t="str">
            <v>VALENCY INTERNATIONAL CI</v>
          </cell>
          <cell r="AH88" t="str">
            <v>AFIC</v>
          </cell>
          <cell r="AI88" t="str">
            <v>OOCL</v>
          </cell>
          <cell r="AJ88" t="str">
            <v>40FT</v>
          </cell>
          <cell r="AK88">
            <v>0.1</v>
          </cell>
          <cell r="AL88" t="str">
            <v>(01x250MTS)</v>
          </cell>
          <cell r="AM88">
            <v>275</v>
          </cell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F88" t="str">
            <v>VALENCY INTERNATIONAL CI</v>
          </cell>
          <cell r="BG88"/>
          <cell r="BH88"/>
          <cell r="BI88"/>
          <cell r="BJ88"/>
          <cell r="BK88"/>
          <cell r="BL88" t="str">
            <v>AFIC</v>
          </cell>
          <cell r="BM88"/>
          <cell r="BN88"/>
          <cell r="BO88"/>
          <cell r="BP88"/>
          <cell r="BQ88"/>
          <cell r="BR88"/>
          <cell r="BS88"/>
          <cell r="BV88" t="str">
            <v>RABO/STEINWEG</v>
          </cell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M88"/>
          <cell r="CN88" t="str">
            <v/>
          </cell>
          <cell r="CP88"/>
        </row>
        <row r="89">
          <cell r="D89">
            <v>46</v>
          </cell>
          <cell r="E89">
            <v>200</v>
          </cell>
          <cell r="H89" t="str">
            <v>32016316-6</v>
          </cell>
          <cell r="K89" t="str">
            <v>MAY-15th JUNE 2026</v>
          </cell>
          <cell r="L89" t="str">
            <v>VALENCY CI</v>
          </cell>
          <cell r="M89" t="str">
            <v>VIET PHI AGRICULTURE</v>
          </cell>
          <cell r="N89">
            <v>4055159290</v>
          </cell>
          <cell r="O89"/>
          <cell r="P89"/>
          <cell r="Q89" t="str">
            <v>ABJ</v>
          </cell>
          <cell r="R89" t="str">
            <v>HCMC, VIETNAM</v>
          </cell>
          <cell r="S89" t="str">
            <v>NORTHERN MAJESTIC</v>
          </cell>
          <cell r="T89">
            <v>46161</v>
          </cell>
          <cell r="U89">
            <v>46161</v>
          </cell>
          <cell r="V89">
            <v>46162</v>
          </cell>
          <cell r="W89"/>
          <cell r="X89"/>
          <cell r="Y89">
            <v>46181</v>
          </cell>
          <cell r="Z89"/>
          <cell r="AA89">
            <v>250</v>
          </cell>
          <cell r="AB89">
            <v>250</v>
          </cell>
          <cell r="AC89">
            <v>45823</v>
          </cell>
          <cell r="AD89" t="str">
            <v>PK34</v>
          </cell>
          <cell r="AE89">
            <v>10</v>
          </cell>
          <cell r="AG89" t="str">
            <v>VALENCY INTERNATIONAL CI</v>
          </cell>
          <cell r="AH89" t="str">
            <v>AFIC</v>
          </cell>
          <cell r="AI89" t="str">
            <v>OOCL</v>
          </cell>
          <cell r="AJ89" t="str">
            <v>40FT</v>
          </cell>
          <cell r="AK89">
            <v>0.1</v>
          </cell>
          <cell r="AL89" t="str">
            <v>(01x250MTS)</v>
          </cell>
          <cell r="AM89">
            <v>275</v>
          </cell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F89" t="str">
            <v>VALENCY INTERNATIONAL CI</v>
          </cell>
          <cell r="BG89"/>
          <cell r="BH89"/>
          <cell r="BI89"/>
          <cell r="BJ89"/>
          <cell r="BK89"/>
          <cell r="BL89" t="str">
            <v>AFIC</v>
          </cell>
          <cell r="BM89"/>
          <cell r="BN89"/>
          <cell r="BO89"/>
          <cell r="BP89"/>
          <cell r="BQ89"/>
          <cell r="BR89"/>
          <cell r="BS89"/>
          <cell r="BV89" t="str">
            <v>RABO/STEINWEG</v>
          </cell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M89"/>
          <cell r="CN89" t="str">
            <v/>
          </cell>
          <cell r="CP89"/>
        </row>
        <row r="90">
          <cell r="D90">
            <v>45</v>
          </cell>
          <cell r="E90">
            <v>200</v>
          </cell>
          <cell r="H90" t="str">
            <v>32016315-2</v>
          </cell>
          <cell r="K90" t="str">
            <v>MAY-15th JUNE 2026</v>
          </cell>
          <cell r="L90" t="str">
            <v>VALENCY CI</v>
          </cell>
          <cell r="M90" t="str">
            <v>VIET PHI AGRICULTURE</v>
          </cell>
          <cell r="N90">
            <v>4055159300</v>
          </cell>
          <cell r="O90"/>
          <cell r="P90"/>
          <cell r="Q90" t="str">
            <v>ABJ</v>
          </cell>
          <cell r="R90" t="str">
            <v>HCMC, VIETNAM</v>
          </cell>
          <cell r="S90" t="str">
            <v>NORTHERN MAJESTIC</v>
          </cell>
          <cell r="T90">
            <v>46161</v>
          </cell>
          <cell r="U90">
            <v>46161</v>
          </cell>
          <cell r="V90">
            <v>46162</v>
          </cell>
          <cell r="W90"/>
          <cell r="X90"/>
          <cell r="Y90">
            <v>46181</v>
          </cell>
          <cell r="Z90"/>
          <cell r="AA90">
            <v>250</v>
          </cell>
          <cell r="AB90">
            <v>250</v>
          </cell>
          <cell r="AC90">
            <v>45823</v>
          </cell>
          <cell r="AD90" t="str">
            <v>PK34</v>
          </cell>
          <cell r="AE90">
            <v>10</v>
          </cell>
          <cell r="AG90" t="str">
            <v>VALENCY INTERNATIONAL CI</v>
          </cell>
          <cell r="AH90" t="str">
            <v>AFIC</v>
          </cell>
          <cell r="AI90" t="str">
            <v>OOCL</v>
          </cell>
          <cell r="AJ90" t="str">
            <v>40FT</v>
          </cell>
          <cell r="AK90">
            <v>0.1</v>
          </cell>
          <cell r="AL90" t="str">
            <v>(01x250MTS)</v>
          </cell>
          <cell r="AM90">
            <v>275</v>
          </cell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F90" t="str">
            <v>VALENCY INTERNATIONAL CI</v>
          </cell>
          <cell r="BG90"/>
          <cell r="BH90"/>
          <cell r="BI90"/>
          <cell r="BJ90"/>
          <cell r="BK90"/>
          <cell r="BL90" t="str">
            <v>AFIC</v>
          </cell>
          <cell r="BM90"/>
          <cell r="BN90"/>
          <cell r="BO90"/>
          <cell r="BP90"/>
          <cell r="BQ90"/>
          <cell r="BR90"/>
          <cell r="BS90"/>
          <cell r="BV90" t="str">
            <v>RABO/STEINWEG</v>
          </cell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M90"/>
          <cell r="CN90" t="str">
            <v/>
          </cell>
          <cell r="CP90"/>
        </row>
        <row r="91">
          <cell r="D91">
            <v>47</v>
          </cell>
          <cell r="E91">
            <v>200</v>
          </cell>
          <cell r="H91" t="str">
            <v>TBA</v>
          </cell>
          <cell r="K91" t="str">
            <v>MAY-15th JUNE 2026</v>
          </cell>
          <cell r="L91" t="str">
            <v>VALENCY CI</v>
          </cell>
          <cell r="M91" t="str">
            <v>VALENCY VIETNAM-UNSOLD</v>
          </cell>
          <cell r="N91" t="str">
            <v>COSU6500597960-1</v>
          </cell>
          <cell r="O91"/>
          <cell r="P91"/>
          <cell r="Q91" t="str">
            <v>ABJ</v>
          </cell>
          <cell r="R91" t="str">
            <v>HCMC, VIETNAM</v>
          </cell>
          <cell r="S91" t="str">
            <v>NORTHERN MAJESTIC</v>
          </cell>
          <cell r="T91">
            <v>46165</v>
          </cell>
          <cell r="U91"/>
          <cell r="V91"/>
          <cell r="W91"/>
          <cell r="X91"/>
          <cell r="Y91">
            <v>46181</v>
          </cell>
          <cell r="Z91"/>
          <cell r="AA91">
            <v>250</v>
          </cell>
          <cell r="AB91">
            <v>250</v>
          </cell>
          <cell r="AC91">
            <v>45823</v>
          </cell>
          <cell r="AD91" t="str">
            <v>WH-C</v>
          </cell>
          <cell r="AE91">
            <v>10</v>
          </cell>
          <cell r="AG91" t="str">
            <v>Diamond Shipping Services</v>
          </cell>
          <cell r="AH91" t="str">
            <v>DUNAMIS/SITRACOM</v>
          </cell>
          <cell r="AI91" t="str">
            <v>COSCO</v>
          </cell>
          <cell r="AJ91" t="str">
            <v>40FT</v>
          </cell>
          <cell r="AK91">
            <v>0.1</v>
          </cell>
          <cell r="AL91" t="str">
            <v>(01x250MTS)</v>
          </cell>
          <cell r="AM91">
            <v>275</v>
          </cell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F91" t="str">
            <v>Diamond Shipping Services</v>
          </cell>
          <cell r="BG91"/>
          <cell r="BH91"/>
          <cell r="BI91"/>
          <cell r="BJ91"/>
          <cell r="BK91"/>
          <cell r="BL91" t="str">
            <v>DUNAMIS/SITRACOM</v>
          </cell>
          <cell r="BM91"/>
          <cell r="BN91"/>
          <cell r="BO91"/>
          <cell r="BP91"/>
          <cell r="BQ91"/>
          <cell r="BR91"/>
          <cell r="BS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M91"/>
          <cell r="CN91" t="str">
            <v>Ajit</v>
          </cell>
          <cell r="CP91"/>
        </row>
        <row r="92">
          <cell r="D92">
            <v>46</v>
          </cell>
          <cell r="E92">
            <v>200</v>
          </cell>
          <cell r="H92" t="str">
            <v>TBA</v>
          </cell>
          <cell r="K92" t="str">
            <v>MAY-15th JUNE 2026</v>
          </cell>
          <cell r="L92" t="str">
            <v>VALENCY CI</v>
          </cell>
          <cell r="M92" t="str">
            <v>VALENCY VIETNAM-UNSOLD</v>
          </cell>
          <cell r="N92" t="str">
            <v>COSU6500597960-2</v>
          </cell>
          <cell r="O92"/>
          <cell r="P92"/>
          <cell r="Q92" t="str">
            <v>ABJ</v>
          </cell>
          <cell r="R92" t="str">
            <v>HCMC, VIETNAM</v>
          </cell>
          <cell r="S92" t="str">
            <v>NORTHERN MAJESTIC</v>
          </cell>
          <cell r="T92">
            <v>46167</v>
          </cell>
          <cell r="U92"/>
          <cell r="V92"/>
          <cell r="W92"/>
          <cell r="X92"/>
          <cell r="Y92">
            <v>46181</v>
          </cell>
          <cell r="Z92"/>
          <cell r="AA92">
            <v>250</v>
          </cell>
          <cell r="AB92">
            <v>250</v>
          </cell>
          <cell r="AC92">
            <v>45823</v>
          </cell>
          <cell r="AD92" t="str">
            <v>WH-C</v>
          </cell>
          <cell r="AE92">
            <v>10</v>
          </cell>
          <cell r="AG92" t="str">
            <v>Diamond Shipping Services</v>
          </cell>
          <cell r="AH92" t="str">
            <v>DUNAMIS/SITRACOM</v>
          </cell>
          <cell r="AI92" t="str">
            <v>COSCO</v>
          </cell>
          <cell r="AJ92" t="str">
            <v>40FT</v>
          </cell>
          <cell r="AK92">
            <v>0.1</v>
          </cell>
          <cell r="AL92" t="str">
            <v>(01x250MTS)</v>
          </cell>
          <cell r="AM92">
            <v>275</v>
          </cell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F92" t="str">
            <v>Diamond Shipping Services</v>
          </cell>
          <cell r="BG92"/>
          <cell r="BH92"/>
          <cell r="BI92"/>
          <cell r="BJ92"/>
          <cell r="BK92"/>
          <cell r="BL92" t="str">
            <v>DUNAMIS/SITRACOM</v>
          </cell>
          <cell r="BM92"/>
          <cell r="BN92"/>
          <cell r="BO92"/>
          <cell r="BP92"/>
          <cell r="BQ92"/>
          <cell r="BR92"/>
          <cell r="BS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M92"/>
          <cell r="CN92" t="str">
            <v>Ajit</v>
          </cell>
          <cell r="CP92"/>
        </row>
        <row r="93">
          <cell r="D93">
            <v>45</v>
          </cell>
          <cell r="E93">
            <v>200</v>
          </cell>
          <cell r="H93" t="str">
            <v>32016315-3</v>
          </cell>
          <cell r="K93" t="str">
            <v>MAY-15th JUNE 2026</v>
          </cell>
          <cell r="L93" t="str">
            <v>VALENCY CI</v>
          </cell>
          <cell r="M93" t="str">
            <v>VIET PHI AGRICULTURE</v>
          </cell>
          <cell r="N93" t="str">
            <v>COSU6500598340-1</v>
          </cell>
          <cell r="O93"/>
          <cell r="P93"/>
          <cell r="Q93" t="str">
            <v>ABJ</v>
          </cell>
          <cell r="R93" t="str">
            <v>HCMC, VIETNAM</v>
          </cell>
          <cell r="S93" t="str">
            <v>NORTHERN MAJESTIC</v>
          </cell>
          <cell r="T93"/>
          <cell r="U93"/>
          <cell r="V93"/>
          <cell r="W93"/>
          <cell r="X93"/>
          <cell r="Y93">
            <v>46181</v>
          </cell>
          <cell r="Z93"/>
          <cell r="AA93">
            <v>250</v>
          </cell>
          <cell r="AB93">
            <v>250</v>
          </cell>
          <cell r="AC93">
            <v>45823</v>
          </cell>
          <cell r="AD93" t="str">
            <v>Ex-Olam</v>
          </cell>
          <cell r="AE93">
            <v>10</v>
          </cell>
          <cell r="AG93" t="str">
            <v>Diamond Shipping Services</v>
          </cell>
          <cell r="AH93" t="str">
            <v>DUNAMIS/SITRACOM</v>
          </cell>
          <cell r="AI93" t="str">
            <v>COSCO</v>
          </cell>
          <cell r="AJ93" t="str">
            <v>40FT</v>
          </cell>
          <cell r="AK93">
            <v>0.1</v>
          </cell>
          <cell r="AL93" t="str">
            <v>(01x250MTS)</v>
          </cell>
          <cell r="AM93">
            <v>275</v>
          </cell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F93" t="str">
            <v>Diamond Shipping Services</v>
          </cell>
          <cell r="BG93"/>
          <cell r="BH93"/>
          <cell r="BI93"/>
          <cell r="BJ93"/>
          <cell r="BK93"/>
          <cell r="BL93" t="str">
            <v>DUNAMIS/SITRACOM</v>
          </cell>
          <cell r="BM93"/>
          <cell r="BN93"/>
          <cell r="BO93"/>
          <cell r="BP93"/>
          <cell r="BQ93"/>
          <cell r="BR93"/>
          <cell r="BS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M93"/>
          <cell r="CN93" t="str">
            <v>Sugmaran</v>
          </cell>
          <cell r="CP93"/>
        </row>
        <row r="94">
          <cell r="D94">
            <v>45</v>
          </cell>
          <cell r="E94">
            <v>200</v>
          </cell>
          <cell r="H94" t="str">
            <v>32016315-4</v>
          </cell>
          <cell r="K94" t="str">
            <v>MAY-15th JUNE 2026</v>
          </cell>
          <cell r="L94" t="str">
            <v>VALENCY CI</v>
          </cell>
          <cell r="M94" t="str">
            <v>VIET PHI AGRICULTURE</v>
          </cell>
          <cell r="N94" t="str">
            <v>COSU6500598340-2</v>
          </cell>
          <cell r="O94"/>
          <cell r="P94"/>
          <cell r="Q94" t="str">
            <v>ABJ</v>
          </cell>
          <cell r="R94" t="str">
            <v>HCMC, VIETNAM</v>
          </cell>
          <cell r="S94" t="str">
            <v>NORTHERN MAJESTIC</v>
          </cell>
          <cell r="T94"/>
          <cell r="U94"/>
          <cell r="V94"/>
          <cell r="W94"/>
          <cell r="X94"/>
          <cell r="Y94">
            <v>46181</v>
          </cell>
          <cell r="Z94"/>
          <cell r="AA94">
            <v>250</v>
          </cell>
          <cell r="AB94">
            <v>250</v>
          </cell>
          <cell r="AC94">
            <v>45823</v>
          </cell>
          <cell r="AD94" t="str">
            <v>Ex-Olam</v>
          </cell>
          <cell r="AE94">
            <v>10</v>
          </cell>
          <cell r="AG94" t="str">
            <v>Diamond Shipping Services</v>
          </cell>
          <cell r="AH94" t="str">
            <v>DUNAMIS/SITRACOM</v>
          </cell>
          <cell r="AI94" t="str">
            <v>COSCO</v>
          </cell>
          <cell r="AJ94" t="str">
            <v>40FT</v>
          </cell>
          <cell r="AK94">
            <v>0.1</v>
          </cell>
          <cell r="AL94" t="str">
            <v>(01x250MTS)</v>
          </cell>
          <cell r="AM94">
            <v>275</v>
          </cell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F94" t="str">
            <v>Diamond Shipping Services</v>
          </cell>
          <cell r="BG94"/>
          <cell r="BH94"/>
          <cell r="BI94"/>
          <cell r="BJ94"/>
          <cell r="BK94"/>
          <cell r="BL94" t="str">
            <v>DUNAMIS/SITRACOM</v>
          </cell>
          <cell r="BM94"/>
          <cell r="BN94"/>
          <cell r="BO94"/>
          <cell r="BP94"/>
          <cell r="BQ94"/>
          <cell r="BR94"/>
          <cell r="BS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M94"/>
          <cell r="CN94" t="str">
            <v>Sugmaran</v>
          </cell>
          <cell r="CP94"/>
        </row>
        <row r="95">
          <cell r="D95">
            <v>45</v>
          </cell>
          <cell r="E95">
            <v>200</v>
          </cell>
          <cell r="H95" t="str">
            <v>32016315-5</v>
          </cell>
          <cell r="K95" t="str">
            <v>MAY-15th JUNE 2026</v>
          </cell>
          <cell r="L95" t="str">
            <v>VALENCY CI</v>
          </cell>
          <cell r="M95" t="str">
            <v>VIET PHI AGRICULTURE</v>
          </cell>
          <cell r="N95" t="str">
            <v>COSU6500598280-1</v>
          </cell>
          <cell r="O95"/>
          <cell r="P95"/>
          <cell r="Q95" t="str">
            <v>ABJ</v>
          </cell>
          <cell r="R95" t="str">
            <v>HCMC, VIETNAM</v>
          </cell>
          <cell r="S95" t="str">
            <v>NORTHERN MAJESTIC</v>
          </cell>
          <cell r="T95"/>
          <cell r="U95"/>
          <cell r="V95"/>
          <cell r="W95"/>
          <cell r="X95"/>
          <cell r="Y95">
            <v>46181</v>
          </cell>
          <cell r="Z95"/>
          <cell r="AA95">
            <v>250</v>
          </cell>
          <cell r="AB95">
            <v>250</v>
          </cell>
          <cell r="AC95">
            <v>45823</v>
          </cell>
          <cell r="AD95" t="str">
            <v>Ex-Olam</v>
          </cell>
          <cell r="AE95">
            <v>10</v>
          </cell>
          <cell r="AG95" t="str">
            <v>Diamond Shipping Services</v>
          </cell>
          <cell r="AH95" t="str">
            <v>DUNAMIS/SITRACOM</v>
          </cell>
          <cell r="AI95" t="str">
            <v>COSCO</v>
          </cell>
          <cell r="AJ95" t="str">
            <v>40FT</v>
          </cell>
          <cell r="AK95">
            <v>0.1</v>
          </cell>
          <cell r="AL95" t="str">
            <v>(01x250MTS)</v>
          </cell>
          <cell r="AM95">
            <v>275</v>
          </cell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F95" t="str">
            <v>Diamond Shipping Services</v>
          </cell>
          <cell r="BG95"/>
          <cell r="BH95"/>
          <cell r="BI95"/>
          <cell r="BJ95"/>
          <cell r="BK95"/>
          <cell r="BL95" t="str">
            <v>DUNAMIS/SITRACOM</v>
          </cell>
          <cell r="BM95"/>
          <cell r="BN95"/>
          <cell r="BO95"/>
          <cell r="BP95"/>
          <cell r="BQ95"/>
          <cell r="BR95"/>
          <cell r="BS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M95"/>
          <cell r="CN95" t="str">
            <v>Sugmaran</v>
          </cell>
          <cell r="CP95"/>
        </row>
        <row r="96">
          <cell r="D96">
            <v>45</v>
          </cell>
          <cell r="E96">
            <v>200</v>
          </cell>
          <cell r="H96" t="str">
            <v>32016315-6</v>
          </cell>
          <cell r="K96" t="str">
            <v>MAY-15th JUNE 2026</v>
          </cell>
          <cell r="L96" t="str">
            <v>VALENCY CI</v>
          </cell>
          <cell r="M96" t="str">
            <v>VIET PHI AGRICULTURE</v>
          </cell>
          <cell r="N96" t="str">
            <v>COSU6500598280-2</v>
          </cell>
          <cell r="O96"/>
          <cell r="P96"/>
          <cell r="Q96" t="str">
            <v>ABJ</v>
          </cell>
          <cell r="R96" t="str">
            <v>HCMC, VIETNAM</v>
          </cell>
          <cell r="S96" t="str">
            <v>NORTHERN MAJESTIC</v>
          </cell>
          <cell r="T96"/>
          <cell r="U96"/>
          <cell r="V96"/>
          <cell r="W96"/>
          <cell r="X96"/>
          <cell r="Y96">
            <v>46181</v>
          </cell>
          <cell r="Z96"/>
          <cell r="AA96">
            <v>250</v>
          </cell>
          <cell r="AB96">
            <v>250</v>
          </cell>
          <cell r="AC96">
            <v>45823</v>
          </cell>
          <cell r="AD96" t="str">
            <v>Ex-Olam</v>
          </cell>
          <cell r="AE96">
            <v>10</v>
          </cell>
          <cell r="AG96" t="str">
            <v>Diamond Shipping Services</v>
          </cell>
          <cell r="AH96" t="str">
            <v>DUNAMIS/SITRACOM</v>
          </cell>
          <cell r="AI96" t="str">
            <v>COSCO</v>
          </cell>
          <cell r="AJ96" t="str">
            <v>40FT</v>
          </cell>
          <cell r="AK96">
            <v>0.1</v>
          </cell>
          <cell r="AL96" t="str">
            <v>(01x250MTS)</v>
          </cell>
          <cell r="AM96">
            <v>275</v>
          </cell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F96" t="str">
            <v>Diamond Shipping Services</v>
          </cell>
          <cell r="BG96"/>
          <cell r="BH96"/>
          <cell r="BI96"/>
          <cell r="BJ96"/>
          <cell r="BK96"/>
          <cell r="BL96" t="str">
            <v>DUNAMIS/SITRACOM</v>
          </cell>
          <cell r="BM96"/>
          <cell r="BN96"/>
          <cell r="BO96"/>
          <cell r="BP96"/>
          <cell r="BQ96"/>
          <cell r="BR96"/>
          <cell r="BS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M96"/>
          <cell r="CN96" t="str">
            <v>Sugmaran</v>
          </cell>
          <cell r="CP96"/>
        </row>
        <row r="97">
          <cell r="D97">
            <v>47</v>
          </cell>
          <cell r="E97">
            <v>200</v>
          </cell>
          <cell r="H97" t="str">
            <v>TBA</v>
          </cell>
          <cell r="K97" t="str">
            <v>MAY-15th JUNE 2026</v>
          </cell>
          <cell r="L97" t="str">
            <v>SCOOP COJAIS</v>
          </cell>
          <cell r="M97" t="str">
            <v>VALENCY VIETNAM-UNSOLD</v>
          </cell>
          <cell r="N97" t="str">
            <v>COSU6500871010</v>
          </cell>
          <cell r="O97"/>
          <cell r="P97"/>
          <cell r="Q97" t="str">
            <v>ABJ</v>
          </cell>
          <cell r="R97" t="str">
            <v>HCMC, VIETNAM</v>
          </cell>
          <cell r="S97" t="str">
            <v>NORTHERN MAJESTIC</v>
          </cell>
          <cell r="T97">
            <v>46165</v>
          </cell>
          <cell r="U97">
            <v>46165</v>
          </cell>
          <cell r="V97">
            <v>46168</v>
          </cell>
          <cell r="W97"/>
          <cell r="X97"/>
          <cell r="Y97">
            <v>46181</v>
          </cell>
          <cell r="Z97"/>
          <cell r="AA97">
            <v>250</v>
          </cell>
          <cell r="AB97">
            <v>250</v>
          </cell>
          <cell r="AC97">
            <v>45823</v>
          </cell>
          <cell r="AD97" t="str">
            <v>KONE WH</v>
          </cell>
          <cell r="AE97">
            <v>10</v>
          </cell>
          <cell r="AG97" t="str">
            <v>Diamond Shipping Services</v>
          </cell>
          <cell r="AH97" t="str">
            <v>DUNAMIS/SITRACOM</v>
          </cell>
          <cell r="AI97" t="str">
            <v>COSCO</v>
          </cell>
          <cell r="AJ97" t="str">
            <v>40FT</v>
          </cell>
          <cell r="AK97">
            <v>0.1</v>
          </cell>
          <cell r="AL97" t="str">
            <v>(01x250MTS)</v>
          </cell>
          <cell r="AM97">
            <v>275</v>
          </cell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F97" t="str">
            <v>Diamond Shipping Services</v>
          </cell>
          <cell r="BG97"/>
          <cell r="BH97"/>
          <cell r="BI97"/>
          <cell r="BJ97"/>
          <cell r="BK97"/>
          <cell r="BL97" t="str">
            <v>DUNAMIS/SITRACOM</v>
          </cell>
          <cell r="BM97"/>
          <cell r="BN97"/>
          <cell r="BO97"/>
          <cell r="BP97"/>
          <cell r="BQ97"/>
          <cell r="BR97"/>
          <cell r="BS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M97"/>
          <cell r="CN97" t="str">
            <v/>
          </cell>
          <cell r="CP97"/>
        </row>
        <row r="98">
          <cell r="D98">
            <v>46</v>
          </cell>
          <cell r="E98">
            <v>200</v>
          </cell>
          <cell r="H98">
            <v>32016355</v>
          </cell>
          <cell r="K98" t="str">
            <v>MAY/JUNE 2026</v>
          </cell>
          <cell r="L98" t="str">
            <v>VALENCY CI</v>
          </cell>
          <cell r="M98" t="str">
            <v xml:space="preserve">THAO NGUYEN COMPANY LIMITED  </v>
          </cell>
          <cell r="N98"/>
          <cell r="O98"/>
          <cell r="P98"/>
          <cell r="Q98" t="str">
            <v>ABJ</v>
          </cell>
          <cell r="R98" t="str">
            <v>HCMC, VIETNAM</v>
          </cell>
          <cell r="S98"/>
          <cell r="T98"/>
          <cell r="U98"/>
          <cell r="V98"/>
          <cell r="W98"/>
          <cell r="X98"/>
          <cell r="Y98"/>
          <cell r="Z98"/>
          <cell r="AA98">
            <v>250</v>
          </cell>
          <cell r="AB98">
            <v>250</v>
          </cell>
          <cell r="AC98">
            <v>45838</v>
          </cell>
          <cell r="AD98"/>
          <cell r="AE98">
            <v>10</v>
          </cell>
          <cell r="AG98"/>
          <cell r="AH98" t="str">
            <v>TBA</v>
          </cell>
          <cell r="AI98" t="str">
            <v>TBA</v>
          </cell>
          <cell r="AJ98" t="str">
            <v>40FT</v>
          </cell>
          <cell r="AK98">
            <v>0.1</v>
          </cell>
          <cell r="AL98" t="str">
            <v>(01x250MTS)</v>
          </cell>
          <cell r="AM98">
            <v>275</v>
          </cell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M98"/>
          <cell r="CN98" t="str">
            <v/>
          </cell>
          <cell r="CP98"/>
        </row>
        <row r="99">
          <cell r="D99">
            <v>47</v>
          </cell>
          <cell r="E99">
            <v>200</v>
          </cell>
          <cell r="H99">
            <v>32016364</v>
          </cell>
          <cell r="K99" t="str">
            <v>MAY/JUNE 2026</v>
          </cell>
          <cell r="L99" t="str">
            <v>VALENCY CI</v>
          </cell>
          <cell r="M99" t="str">
            <v>HOANG SON I JOINT STOCK COMPANY LIMITED</v>
          </cell>
          <cell r="N99"/>
          <cell r="O99"/>
          <cell r="P99"/>
          <cell r="Q99" t="str">
            <v>ABJ</v>
          </cell>
          <cell r="R99" t="str">
            <v>HCMC, VIETNAM</v>
          </cell>
          <cell r="S99"/>
          <cell r="T99"/>
          <cell r="U99"/>
          <cell r="V99"/>
          <cell r="W99"/>
          <cell r="X99"/>
          <cell r="Y99"/>
          <cell r="Z99"/>
          <cell r="AA99">
            <v>250</v>
          </cell>
          <cell r="AB99">
            <v>250</v>
          </cell>
          <cell r="AC99">
            <v>45838</v>
          </cell>
          <cell r="AD99"/>
          <cell r="AE99">
            <v>10</v>
          </cell>
          <cell r="AG99"/>
          <cell r="AH99" t="str">
            <v>TBA</v>
          </cell>
          <cell r="AI99" t="str">
            <v>TBA</v>
          </cell>
          <cell r="AJ99" t="str">
            <v>40FT</v>
          </cell>
          <cell r="AK99">
            <v>0.1</v>
          </cell>
          <cell r="AL99" t="str">
            <v>(01x250MTS)</v>
          </cell>
          <cell r="AM99">
            <v>275</v>
          </cell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M99"/>
          <cell r="CN99" t="str">
            <v/>
          </cell>
          <cell r="CP99"/>
        </row>
        <row r="100">
          <cell r="D100">
            <v>46</v>
          </cell>
          <cell r="E100">
            <v>200</v>
          </cell>
          <cell r="H100" t="str">
            <v>RCN/2026/1001</v>
          </cell>
          <cell r="K100" t="str">
            <v>JUNE/JULY 2026</v>
          </cell>
          <cell r="L100" t="str">
            <v>VALENCY CI</v>
          </cell>
          <cell r="M100" t="str">
            <v>XUAN TEO ONE MEMBER 
COMPANY LIMITED</v>
          </cell>
          <cell r="N100"/>
          <cell r="O100"/>
          <cell r="P100"/>
          <cell r="Q100" t="str">
            <v>ABJ</v>
          </cell>
          <cell r="R100" t="str">
            <v>HCMC, VIETNAM</v>
          </cell>
          <cell r="S100"/>
          <cell r="T100"/>
          <cell r="U100"/>
          <cell r="V100"/>
          <cell r="W100"/>
          <cell r="X100"/>
          <cell r="Y100"/>
          <cell r="Z100"/>
          <cell r="AA100">
            <v>250</v>
          </cell>
          <cell r="AB100">
            <v>250</v>
          </cell>
          <cell r="AC100">
            <v>45838</v>
          </cell>
          <cell r="AD100"/>
          <cell r="AE100">
            <v>10</v>
          </cell>
          <cell r="AG100"/>
          <cell r="AH100" t="str">
            <v>TBA</v>
          </cell>
          <cell r="AI100" t="str">
            <v>TBA</v>
          </cell>
          <cell r="AJ100" t="str">
            <v>40FT</v>
          </cell>
          <cell r="AK100">
            <v>0.1</v>
          </cell>
          <cell r="AL100" t="str">
            <v>(01x250MTS)</v>
          </cell>
          <cell r="AM100">
            <v>275</v>
          </cell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M100"/>
          <cell r="CN100" t="str">
            <v/>
          </cell>
          <cell r="CP100"/>
        </row>
        <row r="101">
          <cell r="D101">
            <v>46</v>
          </cell>
          <cell r="E101">
            <v>200</v>
          </cell>
          <cell r="H101" t="str">
            <v>RCN/2026/1002</v>
          </cell>
          <cell r="K101" t="str">
            <v>JUNE/JULY 2026</v>
          </cell>
          <cell r="L101" t="str">
            <v>VALENCY CI</v>
          </cell>
          <cell r="M101" t="str">
            <v>XUAN TEO ONE MEMBER 
COMPANY LIMITED</v>
          </cell>
          <cell r="N101"/>
          <cell r="O101"/>
          <cell r="P101"/>
          <cell r="Q101" t="str">
            <v>ABJ</v>
          </cell>
          <cell r="R101" t="str">
            <v>HCMC, VIETNAM</v>
          </cell>
          <cell r="S101"/>
          <cell r="T101"/>
          <cell r="U101"/>
          <cell r="V101"/>
          <cell r="W101"/>
          <cell r="X101"/>
          <cell r="Y101"/>
          <cell r="Z101"/>
          <cell r="AA101">
            <v>250</v>
          </cell>
          <cell r="AB101">
            <v>250</v>
          </cell>
          <cell r="AC101">
            <v>45838</v>
          </cell>
          <cell r="AD101"/>
          <cell r="AE101">
            <v>10</v>
          </cell>
          <cell r="AG101"/>
          <cell r="AH101" t="str">
            <v>TBA</v>
          </cell>
          <cell r="AI101" t="str">
            <v>TBA</v>
          </cell>
          <cell r="AJ101" t="str">
            <v>40FT</v>
          </cell>
          <cell r="AK101">
            <v>0.1</v>
          </cell>
          <cell r="AL101" t="str">
            <v>(01x250MTS)</v>
          </cell>
          <cell r="AM101">
            <v>275</v>
          </cell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M101"/>
          <cell r="CN101" t="str">
            <v/>
          </cell>
          <cell r="CP101"/>
        </row>
        <row r="102">
          <cell r="D102">
            <v>46</v>
          </cell>
          <cell r="E102">
            <v>200</v>
          </cell>
          <cell r="H102" t="str">
            <v>RCN/2026/1003</v>
          </cell>
          <cell r="K102" t="str">
            <v>JUNE/JULY 2026</v>
          </cell>
          <cell r="L102" t="str">
            <v>VALENCY CI</v>
          </cell>
          <cell r="M102" t="str">
            <v>XUAN TEO ONE MEMBER 
COMPANY LIMITED</v>
          </cell>
          <cell r="N102"/>
          <cell r="O102"/>
          <cell r="P102"/>
          <cell r="Q102" t="str">
            <v>ABJ</v>
          </cell>
          <cell r="R102" t="str">
            <v>HCMC, VIETNAM</v>
          </cell>
          <cell r="S102"/>
          <cell r="T102"/>
          <cell r="U102"/>
          <cell r="V102"/>
          <cell r="W102"/>
          <cell r="X102"/>
          <cell r="Y102"/>
          <cell r="Z102"/>
          <cell r="AA102">
            <v>250</v>
          </cell>
          <cell r="AB102">
            <v>250</v>
          </cell>
          <cell r="AC102">
            <v>45869</v>
          </cell>
          <cell r="AD102"/>
          <cell r="AE102">
            <v>10</v>
          </cell>
          <cell r="AG102"/>
          <cell r="AH102" t="str">
            <v>TBA</v>
          </cell>
          <cell r="AI102" t="str">
            <v>TBA</v>
          </cell>
          <cell r="AJ102" t="str">
            <v>40FT</v>
          </cell>
          <cell r="AK102">
            <v>0.1</v>
          </cell>
          <cell r="AL102" t="str">
            <v>(01x250MTS)</v>
          </cell>
          <cell r="AM102">
            <v>275</v>
          </cell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M102"/>
          <cell r="CN102" t="str">
            <v/>
          </cell>
          <cell r="CP102"/>
        </row>
        <row r="103">
          <cell r="D103">
            <v>46</v>
          </cell>
          <cell r="E103">
            <v>200</v>
          </cell>
          <cell r="H103" t="str">
            <v>RCN/2026/1004</v>
          </cell>
          <cell r="K103" t="str">
            <v>JUNE/JULY 2026</v>
          </cell>
          <cell r="L103" t="str">
            <v>VALENCY CI</v>
          </cell>
          <cell r="M103" t="str">
            <v>XUAN TEO ONE MEMBER 
COMPANY LIMITED</v>
          </cell>
          <cell r="N103"/>
          <cell r="O103"/>
          <cell r="P103"/>
          <cell r="Q103" t="str">
            <v>ABJ</v>
          </cell>
          <cell r="R103" t="str">
            <v>HCMC, VIETNAM</v>
          </cell>
          <cell r="S103"/>
          <cell r="T103"/>
          <cell r="U103"/>
          <cell r="V103"/>
          <cell r="W103"/>
          <cell r="X103"/>
          <cell r="Y103"/>
          <cell r="Z103"/>
          <cell r="AA103">
            <v>250</v>
          </cell>
          <cell r="AB103">
            <v>250</v>
          </cell>
          <cell r="AC103">
            <v>45869</v>
          </cell>
          <cell r="AD103"/>
          <cell r="AE103">
            <v>10</v>
          </cell>
          <cell r="AG103"/>
          <cell r="AH103" t="str">
            <v>TBA</v>
          </cell>
          <cell r="AI103" t="str">
            <v>TBA</v>
          </cell>
          <cell r="AJ103" t="str">
            <v>40FT</v>
          </cell>
          <cell r="AK103">
            <v>0.1</v>
          </cell>
          <cell r="AL103" t="str">
            <v>(01x250MTS)</v>
          </cell>
          <cell r="AM103">
            <v>275</v>
          </cell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M103"/>
          <cell r="CN103" t="str">
            <v/>
          </cell>
          <cell r="CP103"/>
        </row>
        <row r="104">
          <cell r="D104">
            <v>46</v>
          </cell>
          <cell r="E104">
            <v>200</v>
          </cell>
          <cell r="H104" t="str">
            <v>32016411-1</v>
          </cell>
          <cell r="K104" t="str">
            <v>MAY/JUNE 2026</v>
          </cell>
          <cell r="L104" t="str">
            <v>VALENCY CI</v>
          </cell>
          <cell r="M104" t="str">
            <v>TERRA NUTS GROUP JOINT STOCK COMPANY</v>
          </cell>
          <cell r="N104"/>
          <cell r="O104"/>
          <cell r="P104"/>
          <cell r="Q104" t="str">
            <v>ABJ</v>
          </cell>
          <cell r="R104" t="str">
            <v>HCMC, VIETNAM</v>
          </cell>
          <cell r="S104"/>
          <cell r="T104"/>
          <cell r="U104"/>
          <cell r="V104"/>
          <cell r="W104"/>
          <cell r="X104"/>
          <cell r="Y104"/>
          <cell r="Z104"/>
          <cell r="AA104">
            <v>250</v>
          </cell>
          <cell r="AB104">
            <v>250</v>
          </cell>
          <cell r="AC104">
            <v>45838</v>
          </cell>
          <cell r="AD104"/>
          <cell r="AE104">
            <v>10</v>
          </cell>
          <cell r="AG104"/>
          <cell r="AH104" t="str">
            <v>TBA</v>
          </cell>
          <cell r="AI104" t="str">
            <v>TBA</v>
          </cell>
          <cell r="AJ104" t="str">
            <v>40FT</v>
          </cell>
          <cell r="AK104">
            <v>0.1</v>
          </cell>
          <cell r="AL104" t="str">
            <v>(01x250MTS)</v>
          </cell>
          <cell r="AM104">
            <v>275</v>
          </cell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M104"/>
          <cell r="CN104" t="str">
            <v/>
          </cell>
          <cell r="CP104"/>
        </row>
        <row r="105">
          <cell r="D105">
            <v>46</v>
          </cell>
          <cell r="E105">
            <v>200</v>
          </cell>
          <cell r="H105" t="str">
            <v>32016411-2</v>
          </cell>
          <cell r="K105" t="str">
            <v>MAY/JUNE 2026</v>
          </cell>
          <cell r="L105" t="str">
            <v>VALENCY CI</v>
          </cell>
          <cell r="M105" t="str">
            <v>TERRA NUTS GROUP JOINT STOCK COMPANY</v>
          </cell>
          <cell r="N105"/>
          <cell r="O105"/>
          <cell r="P105"/>
          <cell r="Q105" t="str">
            <v>ABJ</v>
          </cell>
          <cell r="R105" t="str">
            <v>HCMC, VIETNAM</v>
          </cell>
          <cell r="S105"/>
          <cell r="T105"/>
          <cell r="U105"/>
          <cell r="V105"/>
          <cell r="W105"/>
          <cell r="X105"/>
          <cell r="Y105"/>
          <cell r="Z105"/>
          <cell r="AA105">
            <v>250</v>
          </cell>
          <cell r="AB105">
            <v>250</v>
          </cell>
          <cell r="AC105">
            <v>45838</v>
          </cell>
          <cell r="AD105"/>
          <cell r="AE105">
            <v>10</v>
          </cell>
          <cell r="AG105"/>
          <cell r="AH105" t="str">
            <v>TBA</v>
          </cell>
          <cell r="AI105" t="str">
            <v>TBA</v>
          </cell>
          <cell r="AJ105" t="str">
            <v>40FT</v>
          </cell>
          <cell r="AK105">
            <v>0.1</v>
          </cell>
          <cell r="AL105" t="str">
            <v>(01x250MTS)</v>
          </cell>
          <cell r="AM105">
            <v>275</v>
          </cell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M105"/>
          <cell r="CN105" t="str">
            <v/>
          </cell>
          <cell r="CP105"/>
        </row>
        <row r="106">
          <cell r="D106">
            <v>46</v>
          </cell>
          <cell r="E106">
            <v>200</v>
          </cell>
          <cell r="H106" t="str">
            <v>32016411-3</v>
          </cell>
          <cell r="K106" t="str">
            <v>MAY/JUNE 2026</v>
          </cell>
          <cell r="L106" t="str">
            <v>VALENCY CI</v>
          </cell>
          <cell r="M106" t="str">
            <v>TERRA NUTS GROUP JOINT STOCK COMPANY</v>
          </cell>
          <cell r="N106"/>
          <cell r="O106"/>
          <cell r="P106"/>
          <cell r="Q106" t="str">
            <v>ABJ</v>
          </cell>
          <cell r="R106" t="str">
            <v>HCMC, VIETNAM</v>
          </cell>
          <cell r="S106"/>
          <cell r="T106"/>
          <cell r="U106"/>
          <cell r="V106"/>
          <cell r="W106"/>
          <cell r="X106"/>
          <cell r="Y106"/>
          <cell r="Z106"/>
          <cell r="AA106">
            <v>250</v>
          </cell>
          <cell r="AB106">
            <v>250</v>
          </cell>
          <cell r="AC106">
            <v>45838</v>
          </cell>
          <cell r="AD106"/>
          <cell r="AE106">
            <v>10</v>
          </cell>
          <cell r="AG106"/>
          <cell r="AH106" t="str">
            <v>TBA</v>
          </cell>
          <cell r="AI106" t="str">
            <v>TBA</v>
          </cell>
          <cell r="AJ106" t="str">
            <v>40FT</v>
          </cell>
          <cell r="AK106">
            <v>0.1</v>
          </cell>
          <cell r="AL106" t="str">
            <v>(01x250MTS)</v>
          </cell>
          <cell r="AM106">
            <v>275</v>
          </cell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M106"/>
          <cell r="CN106" t="str">
            <v/>
          </cell>
          <cell r="CP106"/>
        </row>
        <row r="107">
          <cell r="D107">
            <v>46</v>
          </cell>
          <cell r="E107">
            <v>200</v>
          </cell>
          <cell r="H107" t="str">
            <v>32016411-4</v>
          </cell>
          <cell r="K107" t="str">
            <v>MAY/JUNE 2026</v>
          </cell>
          <cell r="L107" t="str">
            <v>VALENCY CI</v>
          </cell>
          <cell r="M107" t="str">
            <v>TERRA NUTS GROUP JOINT STOCK COMPANY</v>
          </cell>
          <cell r="N107"/>
          <cell r="O107"/>
          <cell r="P107"/>
          <cell r="Q107" t="str">
            <v>ABJ</v>
          </cell>
          <cell r="R107" t="str">
            <v>HCMC, VIETNAM</v>
          </cell>
          <cell r="S107"/>
          <cell r="T107"/>
          <cell r="U107"/>
          <cell r="V107"/>
          <cell r="W107"/>
          <cell r="X107"/>
          <cell r="Y107"/>
          <cell r="Z107"/>
          <cell r="AA107">
            <v>250</v>
          </cell>
          <cell r="AB107">
            <v>250</v>
          </cell>
          <cell r="AC107">
            <v>45838</v>
          </cell>
          <cell r="AD107"/>
          <cell r="AE107">
            <v>10</v>
          </cell>
          <cell r="AG107"/>
          <cell r="AH107" t="str">
            <v>TBA</v>
          </cell>
          <cell r="AI107" t="str">
            <v>TBA</v>
          </cell>
          <cell r="AJ107" t="str">
            <v>40FT</v>
          </cell>
          <cell r="AK107">
            <v>0.1</v>
          </cell>
          <cell r="AL107" t="str">
            <v>(01x250MTS)</v>
          </cell>
          <cell r="AM107">
            <v>275</v>
          </cell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M107"/>
          <cell r="CN107" t="str">
            <v/>
          </cell>
          <cell r="CP107"/>
        </row>
        <row r="108">
          <cell r="D108">
            <v>47</v>
          </cell>
          <cell r="E108">
            <v>200</v>
          </cell>
          <cell r="H108" t="str">
            <v>32016412-1</v>
          </cell>
          <cell r="K108" t="str">
            <v>MAY/JUNE 2026</v>
          </cell>
          <cell r="L108" t="str">
            <v>VALENCY CI</v>
          </cell>
          <cell r="M108" t="str">
            <v>TERRA NUTS GROUP JOINT STOCK COMPANY</v>
          </cell>
          <cell r="N108"/>
          <cell r="O108"/>
          <cell r="P108"/>
          <cell r="Q108" t="str">
            <v>ABJ</v>
          </cell>
          <cell r="R108" t="str">
            <v>HCMC, VIETNAM</v>
          </cell>
          <cell r="S108"/>
          <cell r="T108"/>
          <cell r="U108"/>
          <cell r="V108"/>
          <cell r="W108"/>
          <cell r="X108"/>
          <cell r="Y108"/>
          <cell r="Z108"/>
          <cell r="AA108">
            <v>250</v>
          </cell>
          <cell r="AB108">
            <v>250</v>
          </cell>
          <cell r="AC108">
            <v>45838</v>
          </cell>
          <cell r="AD108"/>
          <cell r="AE108">
            <v>10</v>
          </cell>
          <cell r="AG108"/>
          <cell r="AH108" t="str">
            <v>TBA</v>
          </cell>
          <cell r="AI108" t="str">
            <v>TBA</v>
          </cell>
          <cell r="AJ108" t="str">
            <v>40FT</v>
          </cell>
          <cell r="AK108">
            <v>0.1</v>
          </cell>
          <cell r="AL108" t="str">
            <v>(01x250MTS)</v>
          </cell>
          <cell r="AM108">
            <v>275</v>
          </cell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M108"/>
          <cell r="CN108" t="str">
            <v/>
          </cell>
          <cell r="CP108"/>
        </row>
        <row r="109">
          <cell r="D109">
            <v>47</v>
          </cell>
          <cell r="E109">
            <v>200</v>
          </cell>
          <cell r="H109" t="str">
            <v>32016412-2</v>
          </cell>
          <cell r="K109" t="str">
            <v>MAY/JUNE 2026</v>
          </cell>
          <cell r="L109" t="str">
            <v>VALENCY CI</v>
          </cell>
          <cell r="M109" t="str">
            <v>TERRA NUTS GROUP JOINT STOCK COMPANY</v>
          </cell>
          <cell r="N109"/>
          <cell r="O109"/>
          <cell r="P109"/>
          <cell r="Q109" t="str">
            <v>ABJ</v>
          </cell>
          <cell r="R109" t="str">
            <v>HCMC, VIETNAM</v>
          </cell>
          <cell r="S109"/>
          <cell r="T109"/>
          <cell r="U109"/>
          <cell r="V109"/>
          <cell r="W109"/>
          <cell r="X109"/>
          <cell r="Y109"/>
          <cell r="Z109"/>
          <cell r="AA109">
            <v>250</v>
          </cell>
          <cell r="AB109">
            <v>250</v>
          </cell>
          <cell r="AC109">
            <v>45838</v>
          </cell>
          <cell r="AD109"/>
          <cell r="AE109">
            <v>10</v>
          </cell>
          <cell r="AG109"/>
          <cell r="AH109" t="str">
            <v>TBA</v>
          </cell>
          <cell r="AI109" t="str">
            <v>TBA</v>
          </cell>
          <cell r="AJ109" t="str">
            <v>40FT</v>
          </cell>
          <cell r="AK109">
            <v>0.1</v>
          </cell>
          <cell r="AL109" t="str">
            <v>(01x250MTS)</v>
          </cell>
          <cell r="AM109">
            <v>275</v>
          </cell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M109"/>
          <cell r="CN109" t="str">
            <v/>
          </cell>
          <cell r="CP109"/>
        </row>
        <row r="110">
          <cell r="D110">
            <v>46</v>
          </cell>
          <cell r="E110">
            <v>200</v>
          </cell>
          <cell r="H110" t="str">
            <v>RCN/2026/1005</v>
          </cell>
          <cell r="K110" t="str">
            <v>MAY/JUNE/JULY 2026</v>
          </cell>
          <cell r="L110" t="str">
            <v>VALENCY CI</v>
          </cell>
          <cell r="M110" t="str">
            <v>XUAN TEO ONE MEMBER 
COMPANY LIMITED</v>
          </cell>
          <cell r="N110"/>
          <cell r="O110"/>
          <cell r="P110"/>
          <cell r="Q110" t="str">
            <v>ABJ</v>
          </cell>
          <cell r="R110" t="str">
            <v>HCMC, VIETNAM</v>
          </cell>
          <cell r="S110"/>
          <cell r="T110"/>
          <cell r="U110"/>
          <cell r="V110"/>
          <cell r="W110"/>
          <cell r="X110"/>
          <cell r="Y110"/>
          <cell r="Z110"/>
          <cell r="AA110">
            <v>250</v>
          </cell>
          <cell r="AB110">
            <v>250</v>
          </cell>
          <cell r="AC110">
            <v>45838</v>
          </cell>
          <cell r="AD110"/>
          <cell r="AE110">
            <v>10</v>
          </cell>
          <cell r="AG110"/>
          <cell r="AH110" t="str">
            <v>TBA</v>
          </cell>
          <cell r="AI110" t="str">
            <v>TBA</v>
          </cell>
          <cell r="AJ110" t="str">
            <v>40FT</v>
          </cell>
          <cell r="AK110">
            <v>0.1</v>
          </cell>
          <cell r="AL110" t="str">
            <v>(01x250MTS)</v>
          </cell>
          <cell r="AM110">
            <v>275</v>
          </cell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M110"/>
          <cell r="CN110" t="str">
            <v/>
          </cell>
          <cell r="CP110"/>
        </row>
        <row r="111">
          <cell r="D111">
            <v>44</v>
          </cell>
          <cell r="E111">
            <v>200</v>
          </cell>
          <cell r="H111" t="str">
            <v>32016410-1</v>
          </cell>
          <cell r="K111" t="str">
            <v>JUNE/JULY 2026</v>
          </cell>
          <cell r="L111" t="str">
            <v>VALENCY CI</v>
          </cell>
          <cell r="M111" t="str">
            <v>NGOC KHANG COMPANY</v>
          </cell>
          <cell r="N111"/>
          <cell r="O111"/>
          <cell r="P111"/>
          <cell r="Q111" t="str">
            <v>ABJ</v>
          </cell>
          <cell r="R111" t="str">
            <v>HCMC, VIETNAM</v>
          </cell>
          <cell r="S111"/>
          <cell r="T111"/>
          <cell r="U111"/>
          <cell r="V111"/>
          <cell r="W111"/>
          <cell r="X111"/>
          <cell r="Y111"/>
          <cell r="Z111"/>
          <cell r="AA111">
            <v>250</v>
          </cell>
          <cell r="AB111">
            <v>250</v>
          </cell>
          <cell r="AC111">
            <v>45838</v>
          </cell>
          <cell r="AD111"/>
          <cell r="AE111">
            <v>10</v>
          </cell>
          <cell r="AG111"/>
          <cell r="AH111" t="str">
            <v>TBA</v>
          </cell>
          <cell r="AI111" t="str">
            <v>TBA</v>
          </cell>
          <cell r="AJ111" t="str">
            <v>40FT</v>
          </cell>
          <cell r="AK111">
            <v>0.1</v>
          </cell>
          <cell r="AL111" t="str">
            <v>(01x250MTS)</v>
          </cell>
          <cell r="AM111">
            <v>275</v>
          </cell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M111"/>
          <cell r="CN111" t="str">
            <v/>
          </cell>
          <cell r="CP111"/>
        </row>
        <row r="112">
          <cell r="D112">
            <v>44</v>
          </cell>
          <cell r="E112">
            <v>200</v>
          </cell>
          <cell r="H112" t="str">
            <v>32016410-2</v>
          </cell>
          <cell r="K112" t="str">
            <v>JUNE/JULY 2026</v>
          </cell>
          <cell r="L112" t="str">
            <v>VALENCY CI</v>
          </cell>
          <cell r="M112" t="str">
            <v>NGOC KHANG COMPANY</v>
          </cell>
          <cell r="N112"/>
          <cell r="O112"/>
          <cell r="P112"/>
          <cell r="Q112" t="str">
            <v>ABJ</v>
          </cell>
          <cell r="R112" t="str">
            <v>HCMC, VIETNAM</v>
          </cell>
          <cell r="S112"/>
          <cell r="T112"/>
          <cell r="U112"/>
          <cell r="V112"/>
          <cell r="W112"/>
          <cell r="X112"/>
          <cell r="Y112"/>
          <cell r="Z112"/>
          <cell r="AA112">
            <v>250</v>
          </cell>
          <cell r="AB112">
            <v>250</v>
          </cell>
          <cell r="AC112">
            <v>45838</v>
          </cell>
          <cell r="AD112"/>
          <cell r="AE112">
            <v>10</v>
          </cell>
          <cell r="AG112"/>
          <cell r="AH112" t="str">
            <v>TBA</v>
          </cell>
          <cell r="AI112" t="str">
            <v>TBA</v>
          </cell>
          <cell r="AJ112" t="str">
            <v>40FT</v>
          </cell>
          <cell r="AK112">
            <v>0.1</v>
          </cell>
          <cell r="AL112" t="str">
            <v>(01x250MTS)</v>
          </cell>
          <cell r="AM112">
            <v>275</v>
          </cell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M112"/>
          <cell r="CN112" t="str">
            <v/>
          </cell>
          <cell r="CP112"/>
        </row>
        <row r="113">
          <cell r="D113">
            <v>44</v>
          </cell>
          <cell r="E113">
            <v>200</v>
          </cell>
          <cell r="H113" t="str">
            <v>32016410-3</v>
          </cell>
          <cell r="K113" t="str">
            <v>JUNE/JULY 2026</v>
          </cell>
          <cell r="L113" t="str">
            <v>VALENCY CI</v>
          </cell>
          <cell r="M113" t="str">
            <v>NGOC KHANG COMPANY</v>
          </cell>
          <cell r="N113"/>
          <cell r="O113"/>
          <cell r="P113"/>
          <cell r="Q113" t="str">
            <v>ABJ</v>
          </cell>
          <cell r="R113" t="str">
            <v>HCMC, VIETNAM</v>
          </cell>
          <cell r="S113"/>
          <cell r="T113"/>
          <cell r="U113"/>
          <cell r="V113"/>
          <cell r="W113"/>
          <cell r="X113"/>
          <cell r="Y113"/>
          <cell r="Z113"/>
          <cell r="AA113">
            <v>350</v>
          </cell>
          <cell r="AB113">
            <v>350</v>
          </cell>
          <cell r="AC113">
            <v>45838</v>
          </cell>
          <cell r="AD113"/>
          <cell r="AE113">
            <v>14</v>
          </cell>
          <cell r="AG113"/>
          <cell r="AH113" t="str">
            <v>TBA</v>
          </cell>
          <cell r="AI113" t="str">
            <v>TBA</v>
          </cell>
          <cell r="AJ113" t="str">
            <v>40FT</v>
          </cell>
          <cell r="AK113">
            <v>0.1</v>
          </cell>
          <cell r="AL113" t="str">
            <v>(01x350MTS)</v>
          </cell>
          <cell r="AM113">
            <v>385</v>
          </cell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M113"/>
          <cell r="CN113" t="str">
            <v/>
          </cell>
          <cell r="CP113"/>
        </row>
        <row r="114">
          <cell r="D114">
            <v>44</v>
          </cell>
          <cell r="E114">
            <v>200</v>
          </cell>
          <cell r="H114" t="str">
            <v>32016406-1</v>
          </cell>
          <cell r="K114" t="str">
            <v>JUNE/JULY 2026</v>
          </cell>
          <cell r="L114" t="str">
            <v>VALENCY CI</v>
          </cell>
          <cell r="M114" t="str">
            <v>HOANG SON I JOINT STOCK COMPANY</v>
          </cell>
          <cell r="N114"/>
          <cell r="O114"/>
          <cell r="P114"/>
          <cell r="Q114" t="str">
            <v>ABJ</v>
          </cell>
          <cell r="R114" t="str">
            <v>HCMC, VIETNAM</v>
          </cell>
          <cell r="S114"/>
          <cell r="T114"/>
          <cell r="U114"/>
          <cell r="V114"/>
          <cell r="W114"/>
          <cell r="X114"/>
          <cell r="Y114"/>
          <cell r="Z114"/>
          <cell r="AA114">
            <v>250</v>
          </cell>
          <cell r="AB114">
            <v>250</v>
          </cell>
          <cell r="AC114">
            <v>45838</v>
          </cell>
          <cell r="AD114"/>
          <cell r="AE114">
            <v>10</v>
          </cell>
          <cell r="AG114"/>
          <cell r="AH114" t="str">
            <v>TBA</v>
          </cell>
          <cell r="AI114" t="str">
            <v>TBA</v>
          </cell>
          <cell r="AJ114" t="str">
            <v>40FT</v>
          </cell>
          <cell r="AK114">
            <v>0.1</v>
          </cell>
          <cell r="AL114" t="str">
            <v>(01x250MTS)</v>
          </cell>
          <cell r="AM114">
            <v>275</v>
          </cell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M114"/>
          <cell r="CN114" t="str">
            <v/>
          </cell>
          <cell r="CP114"/>
        </row>
        <row r="115">
          <cell r="D115">
            <v>44</v>
          </cell>
          <cell r="E115">
            <v>200</v>
          </cell>
          <cell r="H115" t="str">
            <v>32016406-2</v>
          </cell>
          <cell r="K115" t="str">
            <v>JUNE/JULY 2026</v>
          </cell>
          <cell r="L115" t="str">
            <v>VALENCY CI</v>
          </cell>
          <cell r="M115" t="str">
            <v>HOANG SON I JOINT STOCK COMPANY</v>
          </cell>
          <cell r="N115"/>
          <cell r="O115"/>
          <cell r="P115"/>
          <cell r="Q115" t="str">
            <v>ABJ</v>
          </cell>
          <cell r="R115" t="str">
            <v>HCMC, VIETNAM</v>
          </cell>
          <cell r="S115"/>
          <cell r="T115"/>
          <cell r="U115"/>
          <cell r="V115"/>
          <cell r="W115"/>
          <cell r="X115"/>
          <cell r="Y115"/>
          <cell r="Z115"/>
          <cell r="AA115">
            <v>250</v>
          </cell>
          <cell r="AB115">
            <v>250</v>
          </cell>
          <cell r="AC115">
            <v>45838</v>
          </cell>
          <cell r="AD115"/>
          <cell r="AE115">
            <v>10</v>
          </cell>
          <cell r="AG115"/>
          <cell r="AH115" t="str">
            <v>TBA</v>
          </cell>
          <cell r="AI115" t="str">
            <v>TBA</v>
          </cell>
          <cell r="AJ115" t="str">
            <v>40FT</v>
          </cell>
          <cell r="AK115">
            <v>0.1</v>
          </cell>
          <cell r="AL115" t="str">
            <v>(01x250MTS)</v>
          </cell>
          <cell r="AM115">
            <v>275</v>
          </cell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M115"/>
          <cell r="CN115" t="str">
            <v/>
          </cell>
          <cell r="CP115"/>
        </row>
        <row r="116">
          <cell r="D116">
            <v>44</v>
          </cell>
          <cell r="E116">
            <v>200</v>
          </cell>
          <cell r="H116" t="str">
            <v>32016406-3</v>
          </cell>
          <cell r="K116" t="str">
            <v>JUNE/JULY 2026</v>
          </cell>
          <cell r="L116" t="str">
            <v>VALENCY CI</v>
          </cell>
          <cell r="M116" t="str">
            <v>HOANG SON I JOINT STOCK COMPANY</v>
          </cell>
          <cell r="N116"/>
          <cell r="O116"/>
          <cell r="P116"/>
          <cell r="Q116" t="str">
            <v>ABJ</v>
          </cell>
          <cell r="R116" t="str">
            <v>HCMC, VIETNAM</v>
          </cell>
          <cell r="S116"/>
          <cell r="T116"/>
          <cell r="U116"/>
          <cell r="V116"/>
          <cell r="W116"/>
          <cell r="X116"/>
          <cell r="Y116"/>
          <cell r="Z116"/>
          <cell r="AA116">
            <v>250</v>
          </cell>
          <cell r="AB116">
            <v>250</v>
          </cell>
          <cell r="AC116">
            <v>45838</v>
          </cell>
          <cell r="AD116"/>
          <cell r="AE116">
            <v>10</v>
          </cell>
          <cell r="AG116"/>
          <cell r="AH116" t="str">
            <v>TBA</v>
          </cell>
          <cell r="AI116" t="str">
            <v>TBA</v>
          </cell>
          <cell r="AJ116" t="str">
            <v>40FT</v>
          </cell>
          <cell r="AK116">
            <v>0.1</v>
          </cell>
          <cell r="AL116" t="str">
            <v>(01x250MTS)</v>
          </cell>
          <cell r="AM116">
            <v>275</v>
          </cell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M116"/>
          <cell r="CN116" t="str">
            <v/>
          </cell>
          <cell r="CP116"/>
        </row>
        <row r="117">
          <cell r="D117">
            <v>44</v>
          </cell>
          <cell r="E117">
            <v>200</v>
          </cell>
          <cell r="H117" t="str">
            <v>32016406-4</v>
          </cell>
          <cell r="K117" t="str">
            <v>JUNE/JULY 2026</v>
          </cell>
          <cell r="L117" t="str">
            <v>VALENCY CI</v>
          </cell>
          <cell r="M117" t="str">
            <v>HOANG SON I JOINT STOCK COMPANY</v>
          </cell>
          <cell r="N117"/>
          <cell r="O117"/>
          <cell r="P117"/>
          <cell r="Q117" t="str">
            <v>ABJ</v>
          </cell>
          <cell r="R117" t="str">
            <v>HCMC, VIETNAM</v>
          </cell>
          <cell r="S117"/>
          <cell r="T117"/>
          <cell r="U117"/>
          <cell r="V117"/>
          <cell r="W117"/>
          <cell r="X117"/>
          <cell r="Y117"/>
          <cell r="Z117"/>
          <cell r="AA117">
            <v>250</v>
          </cell>
          <cell r="AB117">
            <v>250</v>
          </cell>
          <cell r="AC117">
            <v>45838</v>
          </cell>
          <cell r="AD117"/>
          <cell r="AE117">
            <v>10</v>
          </cell>
          <cell r="AG117"/>
          <cell r="AH117" t="str">
            <v>TBA</v>
          </cell>
          <cell r="AI117" t="str">
            <v>TBA</v>
          </cell>
          <cell r="AJ117" t="str">
            <v>40FT</v>
          </cell>
          <cell r="AK117">
            <v>0.1</v>
          </cell>
          <cell r="AL117" t="str">
            <v>(01x250MTS)</v>
          </cell>
          <cell r="AM117">
            <v>275</v>
          </cell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F117"/>
          <cell r="BG117"/>
          <cell r="BH117"/>
          <cell r="BI117"/>
          <cell r="BJ117"/>
          <cell r="BK117"/>
          <cell r="BL117"/>
          <cell r="BM117"/>
          <cell r="BN117"/>
          <cell r="BO117"/>
          <cell r="BP117"/>
          <cell r="BQ117"/>
          <cell r="BR117"/>
          <cell r="BS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M117"/>
          <cell r="CN117" t="str">
            <v/>
          </cell>
          <cell r="CP117"/>
        </row>
        <row r="118">
          <cell r="D118">
            <v>44</v>
          </cell>
          <cell r="E118">
            <v>200</v>
          </cell>
          <cell r="H118" t="str">
            <v>32016407-1</v>
          </cell>
          <cell r="K118" t="str">
            <v>JUNE/15TH JULY 2026</v>
          </cell>
          <cell r="L118" t="str">
            <v>VALENCY CI</v>
          </cell>
          <cell r="M118" t="str">
            <v>PHUOC THINH TRADING</v>
          </cell>
          <cell r="N118"/>
          <cell r="O118"/>
          <cell r="P118"/>
          <cell r="Q118" t="str">
            <v>ABJ</v>
          </cell>
          <cell r="R118" t="str">
            <v>HCMC, VIETNAM</v>
          </cell>
          <cell r="S118"/>
          <cell r="T118"/>
          <cell r="U118"/>
          <cell r="V118"/>
          <cell r="W118"/>
          <cell r="X118"/>
          <cell r="Y118"/>
          <cell r="Z118"/>
          <cell r="AA118">
            <v>250</v>
          </cell>
          <cell r="AB118">
            <v>250</v>
          </cell>
          <cell r="AC118">
            <v>45853</v>
          </cell>
          <cell r="AD118"/>
          <cell r="AE118">
            <v>10</v>
          </cell>
          <cell r="AG118"/>
          <cell r="AH118" t="str">
            <v>TBA</v>
          </cell>
          <cell r="AI118" t="str">
            <v>TBA</v>
          </cell>
          <cell r="AJ118" t="str">
            <v>40FT</v>
          </cell>
          <cell r="AK118">
            <v>0.1</v>
          </cell>
          <cell r="AL118" t="str">
            <v>(01x250MTS)</v>
          </cell>
          <cell r="AM118">
            <v>275</v>
          </cell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M118"/>
          <cell r="CN118" t="str">
            <v/>
          </cell>
          <cell r="CP118"/>
        </row>
        <row r="119">
          <cell r="D119">
            <v>44</v>
          </cell>
          <cell r="E119">
            <v>200</v>
          </cell>
          <cell r="H119" t="str">
            <v>32016407-2</v>
          </cell>
          <cell r="K119" t="str">
            <v>JUNE/15TH JULY 2026</v>
          </cell>
          <cell r="L119" t="str">
            <v>VALENCY CI</v>
          </cell>
          <cell r="M119" t="str">
            <v>PHUOC THINH TRADING</v>
          </cell>
          <cell r="N119"/>
          <cell r="O119"/>
          <cell r="P119"/>
          <cell r="Q119" t="str">
            <v>ABJ</v>
          </cell>
          <cell r="R119" t="str">
            <v>HCMC, VIETNAM</v>
          </cell>
          <cell r="S119"/>
          <cell r="T119"/>
          <cell r="U119"/>
          <cell r="V119"/>
          <cell r="W119"/>
          <cell r="X119"/>
          <cell r="Y119"/>
          <cell r="Z119"/>
          <cell r="AA119">
            <v>250</v>
          </cell>
          <cell r="AB119">
            <v>250</v>
          </cell>
          <cell r="AC119">
            <v>45853</v>
          </cell>
          <cell r="AD119"/>
          <cell r="AE119">
            <v>10</v>
          </cell>
          <cell r="AG119"/>
          <cell r="AH119" t="str">
            <v>TBA</v>
          </cell>
          <cell r="AI119" t="str">
            <v>TBA</v>
          </cell>
          <cell r="AJ119" t="str">
            <v>40FT</v>
          </cell>
          <cell r="AK119">
            <v>0.1</v>
          </cell>
          <cell r="AL119" t="str">
            <v>(01x250MTS)</v>
          </cell>
          <cell r="AM119">
            <v>275</v>
          </cell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M119"/>
          <cell r="CN119" t="str">
            <v/>
          </cell>
          <cell r="CP119"/>
        </row>
        <row r="120">
          <cell r="D120">
            <v>44</v>
          </cell>
          <cell r="E120">
            <v>200</v>
          </cell>
          <cell r="H120" t="str">
            <v>32016408-1</v>
          </cell>
          <cell r="K120" t="str">
            <v>JUNE/JULY 2026</v>
          </cell>
          <cell r="L120" t="str">
            <v>VALENCY CI</v>
          </cell>
          <cell r="M120" t="str">
            <v xml:space="preserve">KIEU LOAN COMPANY LIMITED </v>
          </cell>
          <cell r="N120"/>
          <cell r="O120"/>
          <cell r="P120"/>
          <cell r="Q120" t="str">
            <v>ABJ</v>
          </cell>
          <cell r="R120" t="str">
            <v>HCMC, VIETNAM</v>
          </cell>
          <cell r="S120"/>
          <cell r="T120"/>
          <cell r="U120"/>
          <cell r="V120"/>
          <cell r="W120"/>
          <cell r="X120"/>
          <cell r="Y120"/>
          <cell r="Z120"/>
          <cell r="AA120">
            <v>250</v>
          </cell>
          <cell r="AB120">
            <v>250</v>
          </cell>
          <cell r="AC120">
            <v>45868</v>
          </cell>
          <cell r="AD120"/>
          <cell r="AE120">
            <v>10</v>
          </cell>
          <cell r="AG120"/>
          <cell r="AH120" t="str">
            <v>TBA</v>
          </cell>
          <cell r="AI120" t="str">
            <v>TBA</v>
          </cell>
          <cell r="AJ120" t="str">
            <v>40FT</v>
          </cell>
          <cell r="AK120">
            <v>0.1</v>
          </cell>
          <cell r="AL120" t="str">
            <v>(01x250MTS)</v>
          </cell>
          <cell r="AM120">
            <v>275</v>
          </cell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M120"/>
          <cell r="CN120" t="str">
            <v/>
          </cell>
          <cell r="CP120"/>
        </row>
        <row r="121">
          <cell r="D121">
            <v>44</v>
          </cell>
          <cell r="E121">
            <v>200</v>
          </cell>
          <cell r="H121" t="str">
            <v>32016408-2</v>
          </cell>
          <cell r="K121" t="str">
            <v>JUNE/JULY 2026</v>
          </cell>
          <cell r="L121" t="str">
            <v>VALENCY CI</v>
          </cell>
          <cell r="M121" t="str">
            <v xml:space="preserve">KIEU LOAN COMPANY LIMITED </v>
          </cell>
          <cell r="N121"/>
          <cell r="O121"/>
          <cell r="P121"/>
          <cell r="Q121" t="str">
            <v>ABJ</v>
          </cell>
          <cell r="R121" t="str">
            <v>HCMC, VIETNAM</v>
          </cell>
          <cell r="S121"/>
          <cell r="T121"/>
          <cell r="U121"/>
          <cell r="V121"/>
          <cell r="W121"/>
          <cell r="X121"/>
          <cell r="Y121"/>
          <cell r="Z121"/>
          <cell r="AA121">
            <v>250</v>
          </cell>
          <cell r="AB121">
            <v>250</v>
          </cell>
          <cell r="AC121">
            <v>45868</v>
          </cell>
          <cell r="AD121"/>
          <cell r="AE121">
            <v>10</v>
          </cell>
          <cell r="AG121"/>
          <cell r="AH121" t="str">
            <v>TBA</v>
          </cell>
          <cell r="AI121" t="str">
            <v>TBA</v>
          </cell>
          <cell r="AJ121" t="str">
            <v>40FT</v>
          </cell>
          <cell r="AK121">
            <v>0.1</v>
          </cell>
          <cell r="AL121" t="str">
            <v>(01x250MTS)</v>
          </cell>
          <cell r="AM121">
            <v>275</v>
          </cell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M121"/>
          <cell r="CN121" t="str">
            <v/>
          </cell>
          <cell r="CP121"/>
        </row>
        <row r="122">
          <cell r="D122">
            <v>43</v>
          </cell>
          <cell r="E122">
            <v>200</v>
          </cell>
          <cell r="H122" t="str">
            <v>32016409-1</v>
          </cell>
          <cell r="K122" t="str">
            <v>JUNE/JULY 2026</v>
          </cell>
          <cell r="L122" t="str">
            <v>VALENCY CI</v>
          </cell>
          <cell r="M122" t="str">
            <v xml:space="preserve">KIEU LOAN COMPANY LIMITED </v>
          </cell>
          <cell r="N122"/>
          <cell r="O122"/>
          <cell r="P122"/>
          <cell r="Q122" t="str">
            <v>ABJ</v>
          </cell>
          <cell r="R122" t="str">
            <v>HCMC, VIETNAM</v>
          </cell>
          <cell r="S122"/>
          <cell r="T122"/>
          <cell r="U122"/>
          <cell r="V122"/>
          <cell r="W122"/>
          <cell r="X122"/>
          <cell r="Y122"/>
          <cell r="Z122"/>
          <cell r="AA122">
            <v>250</v>
          </cell>
          <cell r="AB122">
            <v>250</v>
          </cell>
          <cell r="AC122">
            <v>45868</v>
          </cell>
          <cell r="AD122"/>
          <cell r="AE122">
            <v>10</v>
          </cell>
          <cell r="AG122"/>
          <cell r="AH122" t="str">
            <v>TBA</v>
          </cell>
          <cell r="AI122" t="str">
            <v>TBA</v>
          </cell>
          <cell r="AJ122" t="str">
            <v>40FT</v>
          </cell>
          <cell r="AK122">
            <v>0.1</v>
          </cell>
          <cell r="AL122" t="str">
            <v>(01x250MTS)</v>
          </cell>
          <cell r="AM122">
            <v>275</v>
          </cell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M122"/>
          <cell r="CN122" t="str">
            <v/>
          </cell>
          <cell r="CP122"/>
        </row>
        <row r="123">
          <cell r="D123">
            <v>43</v>
          </cell>
          <cell r="E123">
            <v>200</v>
          </cell>
          <cell r="H123" t="str">
            <v>32016409-2</v>
          </cell>
          <cell r="K123" t="str">
            <v>JUNE/JULY 2026</v>
          </cell>
          <cell r="L123" t="str">
            <v>VALENCY CI</v>
          </cell>
          <cell r="M123" t="str">
            <v xml:space="preserve">KIEU LOAN COMPANY LIMITED </v>
          </cell>
          <cell r="N123"/>
          <cell r="O123"/>
          <cell r="P123"/>
          <cell r="Q123" t="str">
            <v>ABJ</v>
          </cell>
          <cell r="R123" t="str">
            <v>HCMC, VIETNAM</v>
          </cell>
          <cell r="S123"/>
          <cell r="T123"/>
          <cell r="U123"/>
          <cell r="V123"/>
          <cell r="W123"/>
          <cell r="X123"/>
          <cell r="Y123"/>
          <cell r="Z123"/>
          <cell r="AA123">
            <v>250</v>
          </cell>
          <cell r="AB123">
            <v>250</v>
          </cell>
          <cell r="AC123">
            <v>45868</v>
          </cell>
          <cell r="AD123"/>
          <cell r="AE123">
            <v>10</v>
          </cell>
          <cell r="AG123"/>
          <cell r="AH123" t="str">
            <v>TBA</v>
          </cell>
          <cell r="AI123" t="str">
            <v>TBA</v>
          </cell>
          <cell r="AJ123" t="str">
            <v>40FT</v>
          </cell>
          <cell r="AK123">
            <v>0.1</v>
          </cell>
          <cell r="AL123" t="str">
            <v>(01x250MTS)</v>
          </cell>
          <cell r="AM123">
            <v>275</v>
          </cell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M123"/>
          <cell r="CN123" t="str">
            <v/>
          </cell>
          <cell r="CP123"/>
        </row>
        <row r="124">
          <cell r="D124">
            <v>45</v>
          </cell>
          <cell r="E124">
            <v>200</v>
          </cell>
          <cell r="H124" t="str">
            <v>32016417-1</v>
          </cell>
          <cell r="K124" t="str">
            <v>JUNE/JULY 2026</v>
          </cell>
          <cell r="L124" t="str">
            <v>VALENCY CI</v>
          </cell>
          <cell r="M124" t="str">
            <v>HOANG SON I JOINT STOCK COMPANY</v>
          </cell>
          <cell r="N124"/>
          <cell r="O124"/>
          <cell r="P124"/>
          <cell r="Q124" t="str">
            <v>ABJ</v>
          </cell>
          <cell r="R124" t="str">
            <v>HCMC, VIETNAM</v>
          </cell>
          <cell r="S124"/>
          <cell r="T124"/>
          <cell r="U124"/>
          <cell r="V124"/>
          <cell r="W124"/>
          <cell r="X124"/>
          <cell r="Y124"/>
          <cell r="Z124"/>
          <cell r="AA124">
            <v>250</v>
          </cell>
          <cell r="AB124">
            <v>250</v>
          </cell>
          <cell r="AC124">
            <v>45868</v>
          </cell>
          <cell r="AD124"/>
          <cell r="AE124">
            <v>10</v>
          </cell>
          <cell r="AG124"/>
          <cell r="AH124" t="str">
            <v>TBA</v>
          </cell>
          <cell r="AI124" t="str">
            <v>TBA</v>
          </cell>
          <cell r="AJ124" t="str">
            <v>40FT</v>
          </cell>
          <cell r="AK124">
            <v>0.1</v>
          </cell>
          <cell r="AL124" t="str">
            <v>(01x250MTS)</v>
          </cell>
          <cell r="AM124">
            <v>275</v>
          </cell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M124"/>
          <cell r="CN124" t="str">
            <v/>
          </cell>
          <cell r="CP124"/>
        </row>
        <row r="125">
          <cell r="D125">
            <v>45</v>
          </cell>
          <cell r="E125">
            <v>200</v>
          </cell>
          <cell r="H125" t="str">
            <v>32016417-2</v>
          </cell>
          <cell r="K125" t="str">
            <v>JUNE/JULY 2026</v>
          </cell>
          <cell r="L125" t="str">
            <v>VALENCY CI</v>
          </cell>
          <cell r="M125" t="str">
            <v>HOANG SON I JOINT STOCK COMPANY</v>
          </cell>
          <cell r="N125"/>
          <cell r="O125"/>
          <cell r="P125"/>
          <cell r="Q125" t="str">
            <v>ABJ</v>
          </cell>
          <cell r="R125" t="str">
            <v>HCMC, VIETNAM</v>
          </cell>
          <cell r="S125"/>
          <cell r="T125"/>
          <cell r="U125"/>
          <cell r="V125"/>
          <cell r="W125"/>
          <cell r="X125"/>
          <cell r="Y125"/>
          <cell r="Z125"/>
          <cell r="AA125">
            <v>250</v>
          </cell>
          <cell r="AB125">
            <v>250</v>
          </cell>
          <cell r="AC125">
            <v>45868</v>
          </cell>
          <cell r="AD125"/>
          <cell r="AE125">
            <v>10</v>
          </cell>
          <cell r="AG125"/>
          <cell r="AH125" t="str">
            <v>TBA</v>
          </cell>
          <cell r="AI125" t="str">
            <v>TBA</v>
          </cell>
          <cell r="AJ125" t="str">
            <v>40FT</v>
          </cell>
          <cell r="AK125">
            <v>0.1</v>
          </cell>
          <cell r="AL125" t="str">
            <v>(01x250MTS)</v>
          </cell>
          <cell r="AM125">
            <v>275</v>
          </cell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M125"/>
          <cell r="CN125" t="str">
            <v/>
          </cell>
          <cell r="CP125"/>
        </row>
        <row r="126">
          <cell r="D126">
            <v>45</v>
          </cell>
          <cell r="E126">
            <v>200</v>
          </cell>
          <cell r="H126" t="str">
            <v>32016417-3</v>
          </cell>
          <cell r="K126" t="str">
            <v>JUNE/JULY 2026</v>
          </cell>
          <cell r="L126" t="str">
            <v>VALENCY CI</v>
          </cell>
          <cell r="M126" t="str">
            <v>HOANG SON I JOINT STOCK COMPANY</v>
          </cell>
          <cell r="N126"/>
          <cell r="O126"/>
          <cell r="P126"/>
          <cell r="Q126" t="str">
            <v>ABJ</v>
          </cell>
          <cell r="R126" t="str">
            <v>HCMC, VIETNAM</v>
          </cell>
          <cell r="S126"/>
          <cell r="T126"/>
          <cell r="U126"/>
          <cell r="V126"/>
          <cell r="W126"/>
          <cell r="X126"/>
          <cell r="Y126"/>
          <cell r="Z126"/>
          <cell r="AA126">
            <v>250</v>
          </cell>
          <cell r="AB126">
            <v>250</v>
          </cell>
          <cell r="AC126">
            <v>45868</v>
          </cell>
          <cell r="AD126"/>
          <cell r="AE126">
            <v>10</v>
          </cell>
          <cell r="AG126"/>
          <cell r="AH126" t="str">
            <v>TBA</v>
          </cell>
          <cell r="AI126" t="str">
            <v>TBA</v>
          </cell>
          <cell r="AJ126" t="str">
            <v>40FT</v>
          </cell>
          <cell r="AK126">
            <v>0.1</v>
          </cell>
          <cell r="AL126" t="str">
            <v>(01x250MTS)</v>
          </cell>
          <cell r="AM126">
            <v>275</v>
          </cell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M126"/>
          <cell r="CN126" t="str">
            <v/>
          </cell>
          <cell r="CP126"/>
        </row>
        <row r="127">
          <cell r="D127">
            <v>45</v>
          </cell>
          <cell r="E127">
            <v>200</v>
          </cell>
          <cell r="H127" t="str">
            <v>32016417-4</v>
          </cell>
          <cell r="K127" t="str">
            <v>JUNE/JULY 2026</v>
          </cell>
          <cell r="L127" t="str">
            <v>VALENCY CI</v>
          </cell>
          <cell r="M127" t="str">
            <v>HOANG SON I JOINT STOCK COMPANY</v>
          </cell>
          <cell r="N127"/>
          <cell r="O127"/>
          <cell r="P127"/>
          <cell r="Q127" t="str">
            <v>ABJ</v>
          </cell>
          <cell r="R127" t="str">
            <v>HCMC, VIETNAM</v>
          </cell>
          <cell r="S127"/>
          <cell r="T127"/>
          <cell r="U127"/>
          <cell r="V127"/>
          <cell r="W127"/>
          <cell r="X127"/>
          <cell r="Y127"/>
          <cell r="Z127"/>
          <cell r="AA127">
            <v>250</v>
          </cell>
          <cell r="AB127">
            <v>250</v>
          </cell>
          <cell r="AC127">
            <v>45868</v>
          </cell>
          <cell r="AD127"/>
          <cell r="AE127">
            <v>10</v>
          </cell>
          <cell r="AG127"/>
          <cell r="AH127" t="str">
            <v>TBA</v>
          </cell>
          <cell r="AI127" t="str">
            <v>TBA</v>
          </cell>
          <cell r="AJ127" t="str">
            <v>40FT</v>
          </cell>
          <cell r="AK127">
            <v>0.1</v>
          </cell>
          <cell r="AL127" t="str">
            <v>(01x250MTS)</v>
          </cell>
          <cell r="AM127">
            <v>275</v>
          </cell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M127"/>
          <cell r="CN127" t="str">
            <v/>
          </cell>
          <cell r="CP127"/>
        </row>
        <row r="128">
          <cell r="D128">
            <v>45</v>
          </cell>
          <cell r="E128">
            <v>200</v>
          </cell>
          <cell r="H128" t="str">
            <v>32016426-1</v>
          </cell>
          <cell r="K128" t="str">
            <v>JUNE/JULY 2026</v>
          </cell>
          <cell r="L128" t="str">
            <v>VALENCY CI</v>
          </cell>
          <cell r="M128" t="str">
            <v>HOANG SON I JOINT STOCK COMPANY</v>
          </cell>
          <cell r="N128"/>
          <cell r="O128"/>
          <cell r="P128"/>
          <cell r="Q128" t="str">
            <v>ABJ</v>
          </cell>
          <cell r="R128" t="str">
            <v>HCMC, VIETNAM</v>
          </cell>
          <cell r="S128"/>
          <cell r="T128"/>
          <cell r="U128"/>
          <cell r="V128"/>
          <cell r="W128"/>
          <cell r="X128"/>
          <cell r="Y128"/>
          <cell r="Z128"/>
          <cell r="AA128">
            <v>250</v>
          </cell>
          <cell r="AB128">
            <v>250</v>
          </cell>
          <cell r="AC128">
            <v>45868</v>
          </cell>
          <cell r="AD128"/>
          <cell r="AE128">
            <v>10</v>
          </cell>
          <cell r="AG128"/>
          <cell r="AH128" t="str">
            <v>TBA</v>
          </cell>
          <cell r="AI128" t="str">
            <v>TBA</v>
          </cell>
          <cell r="AJ128" t="str">
            <v>40FT</v>
          </cell>
          <cell r="AK128">
            <v>0.1</v>
          </cell>
          <cell r="AL128" t="str">
            <v>(01x250MTS)</v>
          </cell>
          <cell r="AM128">
            <v>275</v>
          </cell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M128"/>
          <cell r="CN128" t="str">
            <v/>
          </cell>
          <cell r="CP128"/>
        </row>
        <row r="129">
          <cell r="D129">
            <v>45</v>
          </cell>
          <cell r="E129">
            <v>200</v>
          </cell>
          <cell r="H129" t="str">
            <v>32016426-2</v>
          </cell>
          <cell r="K129" t="str">
            <v>JUNE/JULY 2026</v>
          </cell>
          <cell r="L129" t="str">
            <v>VALENCY CI</v>
          </cell>
          <cell r="M129" t="str">
            <v>HOANG SON I JOINT STOCK COMPANY</v>
          </cell>
          <cell r="N129"/>
          <cell r="O129"/>
          <cell r="P129"/>
          <cell r="Q129" t="str">
            <v>ABJ</v>
          </cell>
          <cell r="R129" t="str">
            <v>HCMC, VIETNAM</v>
          </cell>
          <cell r="S129"/>
          <cell r="T129"/>
          <cell r="U129"/>
          <cell r="V129"/>
          <cell r="W129"/>
          <cell r="X129"/>
          <cell r="Y129"/>
          <cell r="Z129"/>
          <cell r="AA129">
            <v>250</v>
          </cell>
          <cell r="AB129">
            <v>250</v>
          </cell>
          <cell r="AC129">
            <v>45868</v>
          </cell>
          <cell r="AD129"/>
          <cell r="AE129">
            <v>10</v>
          </cell>
          <cell r="AG129"/>
          <cell r="AH129" t="str">
            <v>TBA</v>
          </cell>
          <cell r="AI129" t="str">
            <v>TBA</v>
          </cell>
          <cell r="AJ129" t="str">
            <v>40FT</v>
          </cell>
          <cell r="AK129">
            <v>0.1</v>
          </cell>
          <cell r="AL129" t="str">
            <v>(01x250MTS)</v>
          </cell>
          <cell r="AM129">
            <v>275</v>
          </cell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M129"/>
          <cell r="CN129" t="str">
            <v/>
          </cell>
          <cell r="CP129"/>
        </row>
        <row r="130">
          <cell r="D130">
            <v>45</v>
          </cell>
          <cell r="E130">
            <v>200</v>
          </cell>
          <cell r="H130" t="str">
            <v>32016426-3</v>
          </cell>
          <cell r="K130" t="str">
            <v>JUNE/JULY 2026</v>
          </cell>
          <cell r="L130" t="str">
            <v>VALENCY CI</v>
          </cell>
          <cell r="M130" t="str">
            <v>HOANG SON I JOINT STOCK COMPANY</v>
          </cell>
          <cell r="N130"/>
          <cell r="O130"/>
          <cell r="P130"/>
          <cell r="Q130" t="str">
            <v>ABJ</v>
          </cell>
          <cell r="R130" t="str">
            <v>HCMC, VIETNAM</v>
          </cell>
          <cell r="S130"/>
          <cell r="T130"/>
          <cell r="U130"/>
          <cell r="V130"/>
          <cell r="W130"/>
          <cell r="X130"/>
          <cell r="Y130"/>
          <cell r="Z130"/>
          <cell r="AA130">
            <v>250</v>
          </cell>
          <cell r="AB130">
            <v>250</v>
          </cell>
          <cell r="AC130">
            <v>45868</v>
          </cell>
          <cell r="AD130"/>
          <cell r="AE130">
            <v>10</v>
          </cell>
          <cell r="AG130"/>
          <cell r="AH130" t="str">
            <v>TBA</v>
          </cell>
          <cell r="AI130" t="str">
            <v>TBA</v>
          </cell>
          <cell r="AJ130" t="str">
            <v>40FT</v>
          </cell>
          <cell r="AK130">
            <v>0.1</v>
          </cell>
          <cell r="AL130" t="str">
            <v>(01x250MTS)</v>
          </cell>
          <cell r="AM130">
            <v>275</v>
          </cell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M130"/>
          <cell r="CN130" t="str">
            <v/>
          </cell>
          <cell r="CP130"/>
        </row>
        <row r="131">
          <cell r="D131">
            <v>45</v>
          </cell>
          <cell r="E131">
            <v>200</v>
          </cell>
          <cell r="H131" t="str">
            <v>32016426-4</v>
          </cell>
          <cell r="K131" t="str">
            <v>JUNE/JULY 2026</v>
          </cell>
          <cell r="L131" t="str">
            <v>VALENCY CI</v>
          </cell>
          <cell r="M131" t="str">
            <v>HOANG SON I JOINT STOCK COMPANY</v>
          </cell>
          <cell r="N131"/>
          <cell r="O131"/>
          <cell r="P131"/>
          <cell r="Q131" t="str">
            <v>ABJ</v>
          </cell>
          <cell r="R131" t="str">
            <v>HCMC, VIETNAM</v>
          </cell>
          <cell r="S131"/>
          <cell r="T131"/>
          <cell r="U131"/>
          <cell r="V131"/>
          <cell r="W131"/>
          <cell r="X131"/>
          <cell r="Y131"/>
          <cell r="Z131"/>
          <cell r="AA131">
            <v>250</v>
          </cell>
          <cell r="AB131">
            <v>250</v>
          </cell>
          <cell r="AC131">
            <v>45868</v>
          </cell>
          <cell r="AD131"/>
          <cell r="AE131">
            <v>10</v>
          </cell>
          <cell r="AG131"/>
          <cell r="AH131" t="str">
            <v>TBA</v>
          </cell>
          <cell r="AI131" t="str">
            <v>TBA</v>
          </cell>
          <cell r="AJ131" t="str">
            <v>40FT</v>
          </cell>
          <cell r="AK131">
            <v>0.1</v>
          </cell>
          <cell r="AL131" t="str">
            <v>(01x250MTS)</v>
          </cell>
          <cell r="AM131">
            <v>275</v>
          </cell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M131"/>
          <cell r="CN131" t="str">
            <v/>
          </cell>
          <cell r="CP131"/>
        </row>
        <row r="132">
          <cell r="D132">
            <v>45</v>
          </cell>
          <cell r="E132">
            <v>200</v>
          </cell>
          <cell r="H132" t="str">
            <v>32016426-5</v>
          </cell>
          <cell r="K132" t="str">
            <v>JUNE/JULY 2026</v>
          </cell>
          <cell r="L132" t="str">
            <v>VALENCY CI</v>
          </cell>
          <cell r="M132" t="str">
            <v>HOANG SON I JOINT STOCK COMPANY</v>
          </cell>
          <cell r="N132"/>
          <cell r="O132"/>
          <cell r="P132"/>
          <cell r="Q132" t="str">
            <v>ABJ</v>
          </cell>
          <cell r="R132" t="str">
            <v>HCMC, VIETNAM</v>
          </cell>
          <cell r="S132"/>
          <cell r="T132"/>
          <cell r="U132"/>
          <cell r="V132"/>
          <cell r="W132"/>
          <cell r="X132"/>
          <cell r="Y132"/>
          <cell r="Z132"/>
          <cell r="AA132">
            <v>250</v>
          </cell>
          <cell r="AB132">
            <v>250</v>
          </cell>
          <cell r="AC132">
            <v>45868</v>
          </cell>
          <cell r="AD132"/>
          <cell r="AE132">
            <v>10</v>
          </cell>
          <cell r="AG132"/>
          <cell r="AH132" t="str">
            <v>TBA</v>
          </cell>
          <cell r="AI132" t="str">
            <v>TBA</v>
          </cell>
          <cell r="AJ132" t="str">
            <v>40FT</v>
          </cell>
          <cell r="AK132">
            <v>0.1</v>
          </cell>
          <cell r="AL132" t="str">
            <v>(01x250MTS)</v>
          </cell>
          <cell r="AM132">
            <v>275</v>
          </cell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M132"/>
          <cell r="CN132" t="str">
            <v/>
          </cell>
          <cell r="CP132"/>
        </row>
        <row r="133">
          <cell r="D133">
            <v>45</v>
          </cell>
          <cell r="E133">
            <v>200</v>
          </cell>
          <cell r="H133" t="str">
            <v>32016426-6</v>
          </cell>
          <cell r="K133" t="str">
            <v>JUNE/JULY 2026</v>
          </cell>
          <cell r="L133" t="str">
            <v>VALENCY CI</v>
          </cell>
          <cell r="M133" t="str">
            <v>HOANG SON I JOINT STOCK COMPANY</v>
          </cell>
          <cell r="N133"/>
          <cell r="O133"/>
          <cell r="P133"/>
          <cell r="Q133" t="str">
            <v>ABJ</v>
          </cell>
          <cell r="R133" t="str">
            <v>HCMC, VIETNAM</v>
          </cell>
          <cell r="S133"/>
          <cell r="T133"/>
          <cell r="U133"/>
          <cell r="V133"/>
          <cell r="W133"/>
          <cell r="X133"/>
          <cell r="Y133"/>
          <cell r="Z133"/>
          <cell r="AA133">
            <v>250</v>
          </cell>
          <cell r="AB133">
            <v>250</v>
          </cell>
          <cell r="AC133">
            <v>45868</v>
          </cell>
          <cell r="AD133"/>
          <cell r="AE133">
            <v>10</v>
          </cell>
          <cell r="AG133"/>
          <cell r="AH133" t="str">
            <v>TBA</v>
          </cell>
          <cell r="AI133" t="str">
            <v>TBA</v>
          </cell>
          <cell r="AJ133" t="str">
            <v>40FT</v>
          </cell>
          <cell r="AK133">
            <v>0.1</v>
          </cell>
          <cell r="AL133" t="str">
            <v>(01x250MTS)</v>
          </cell>
          <cell r="AM133">
            <v>275</v>
          </cell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M133"/>
          <cell r="CN133" t="str">
            <v/>
          </cell>
          <cell r="CP133"/>
        </row>
        <row r="134">
          <cell r="D134">
            <v>45</v>
          </cell>
          <cell r="E134">
            <v>200</v>
          </cell>
          <cell r="H134" t="str">
            <v>32016426-7</v>
          </cell>
          <cell r="K134" t="str">
            <v>JUNE/JULY 2026</v>
          </cell>
          <cell r="L134" t="str">
            <v>VALENCY CI</v>
          </cell>
          <cell r="M134" t="str">
            <v>HOANG SON I JOINT STOCK COMPANY</v>
          </cell>
          <cell r="N134"/>
          <cell r="O134"/>
          <cell r="P134"/>
          <cell r="Q134" t="str">
            <v>ABJ</v>
          </cell>
          <cell r="R134" t="str">
            <v>HCMC, VIETNAM</v>
          </cell>
          <cell r="S134"/>
          <cell r="T134"/>
          <cell r="U134"/>
          <cell r="V134"/>
          <cell r="W134"/>
          <cell r="X134"/>
          <cell r="Y134"/>
          <cell r="Z134"/>
          <cell r="AA134">
            <v>250</v>
          </cell>
          <cell r="AB134">
            <v>250</v>
          </cell>
          <cell r="AC134">
            <v>45868</v>
          </cell>
          <cell r="AD134"/>
          <cell r="AE134">
            <v>10</v>
          </cell>
          <cell r="AG134"/>
          <cell r="AH134" t="str">
            <v>TBA</v>
          </cell>
          <cell r="AI134" t="str">
            <v>TBA</v>
          </cell>
          <cell r="AJ134" t="str">
            <v>40FT</v>
          </cell>
          <cell r="AK134">
            <v>0.1</v>
          </cell>
          <cell r="AL134" t="str">
            <v>(01x250MTS)</v>
          </cell>
          <cell r="AM134">
            <v>275</v>
          </cell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M134"/>
          <cell r="CN134" t="str">
            <v/>
          </cell>
          <cell r="CP134"/>
        </row>
        <row r="135">
          <cell r="D135">
            <v>45</v>
          </cell>
          <cell r="E135">
            <v>200</v>
          </cell>
          <cell r="H135" t="str">
            <v>32016426-8</v>
          </cell>
          <cell r="K135" t="str">
            <v>JUNE/JULY 2026</v>
          </cell>
          <cell r="L135" t="str">
            <v>VALENCY CI</v>
          </cell>
          <cell r="M135" t="str">
            <v>HOANG SON I JOINT STOCK COMPANY</v>
          </cell>
          <cell r="N135"/>
          <cell r="O135"/>
          <cell r="P135"/>
          <cell r="Q135" t="str">
            <v>ABJ</v>
          </cell>
          <cell r="R135" t="str">
            <v>HCMC, VIETNAM</v>
          </cell>
          <cell r="S135"/>
          <cell r="T135"/>
          <cell r="U135"/>
          <cell r="V135"/>
          <cell r="W135"/>
          <cell r="X135"/>
          <cell r="Y135"/>
          <cell r="Z135"/>
          <cell r="AA135">
            <v>250</v>
          </cell>
          <cell r="AB135">
            <v>250</v>
          </cell>
          <cell r="AC135">
            <v>45868</v>
          </cell>
          <cell r="AD135"/>
          <cell r="AE135">
            <v>10</v>
          </cell>
          <cell r="AG135"/>
          <cell r="AH135" t="str">
            <v>TBA</v>
          </cell>
          <cell r="AI135" t="str">
            <v>TBA</v>
          </cell>
          <cell r="AJ135" t="str">
            <v>40FT</v>
          </cell>
          <cell r="AK135">
            <v>0.1</v>
          </cell>
          <cell r="AL135" t="str">
            <v>(01x250MTS)</v>
          </cell>
          <cell r="AM135">
            <v>275</v>
          </cell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M135"/>
          <cell r="CN135" t="str">
            <v/>
          </cell>
          <cell r="CP135"/>
        </row>
        <row r="136">
          <cell r="D136">
            <v>44</v>
          </cell>
          <cell r="E136">
            <v>200</v>
          </cell>
          <cell r="H136" t="str">
            <v>32016427-1</v>
          </cell>
          <cell r="K136" t="str">
            <v>JUNE/JULY 2026</v>
          </cell>
          <cell r="L136" t="str">
            <v>VALENCY CI</v>
          </cell>
          <cell r="M136" t="str">
            <v>HOANG SON I JOINT STOCK COMPANY</v>
          </cell>
          <cell r="N136"/>
          <cell r="O136"/>
          <cell r="P136"/>
          <cell r="Q136" t="str">
            <v>ABJ</v>
          </cell>
          <cell r="R136" t="str">
            <v>HCMC, VIETNAM</v>
          </cell>
          <cell r="S136"/>
          <cell r="T136"/>
          <cell r="U136"/>
          <cell r="V136"/>
          <cell r="W136"/>
          <cell r="X136"/>
          <cell r="Y136"/>
          <cell r="Z136"/>
          <cell r="AA136">
            <v>250</v>
          </cell>
          <cell r="AB136">
            <v>250</v>
          </cell>
          <cell r="AC136">
            <v>45868</v>
          </cell>
          <cell r="AD136"/>
          <cell r="AE136">
            <v>10</v>
          </cell>
          <cell r="AG136"/>
          <cell r="AH136" t="str">
            <v>TBA</v>
          </cell>
          <cell r="AI136" t="str">
            <v>TBA</v>
          </cell>
          <cell r="AJ136" t="str">
            <v>40FT</v>
          </cell>
          <cell r="AK136">
            <v>0.1</v>
          </cell>
          <cell r="AL136" t="str">
            <v>(01x250MTS)</v>
          </cell>
          <cell r="AM136">
            <v>275</v>
          </cell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M136"/>
          <cell r="CN136" t="str">
            <v/>
          </cell>
          <cell r="CP136"/>
        </row>
        <row r="137">
          <cell r="D137">
            <v>44</v>
          </cell>
          <cell r="E137">
            <v>200</v>
          </cell>
          <cell r="H137" t="str">
            <v>32016427-2</v>
          </cell>
          <cell r="K137" t="str">
            <v>JUNE/JULY 2026</v>
          </cell>
          <cell r="L137" t="str">
            <v>VALENCY CI</v>
          </cell>
          <cell r="M137" t="str">
            <v>HOANG SON I JOINT STOCK COMPANY</v>
          </cell>
          <cell r="N137"/>
          <cell r="O137"/>
          <cell r="P137"/>
          <cell r="Q137" t="str">
            <v>ABJ</v>
          </cell>
          <cell r="R137" t="str">
            <v>HCMC, VIETNAM</v>
          </cell>
          <cell r="S137"/>
          <cell r="T137"/>
          <cell r="U137"/>
          <cell r="V137"/>
          <cell r="W137"/>
          <cell r="X137"/>
          <cell r="Y137"/>
          <cell r="Z137"/>
          <cell r="AA137">
            <v>250</v>
          </cell>
          <cell r="AB137">
            <v>250</v>
          </cell>
          <cell r="AC137">
            <v>45868</v>
          </cell>
          <cell r="AD137"/>
          <cell r="AE137">
            <v>10</v>
          </cell>
          <cell r="AG137"/>
          <cell r="AH137" t="str">
            <v>TBA</v>
          </cell>
          <cell r="AI137" t="str">
            <v>TBA</v>
          </cell>
          <cell r="AJ137" t="str">
            <v>40FT</v>
          </cell>
          <cell r="AK137">
            <v>0.1</v>
          </cell>
          <cell r="AL137" t="str">
            <v>(01x250MTS)</v>
          </cell>
          <cell r="AM137">
            <v>275</v>
          </cell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M137"/>
          <cell r="CN137" t="str">
            <v/>
          </cell>
          <cell r="CP137"/>
        </row>
        <row r="138">
          <cell r="D138">
            <v>44</v>
          </cell>
          <cell r="E138">
            <v>200</v>
          </cell>
          <cell r="H138" t="str">
            <v>32016427-3</v>
          </cell>
          <cell r="K138" t="str">
            <v>JUNE/JULY 2026</v>
          </cell>
          <cell r="L138" t="str">
            <v>VALENCY CI</v>
          </cell>
          <cell r="M138" t="str">
            <v>HOANG SON I JOINT STOCK COMPANY</v>
          </cell>
          <cell r="N138"/>
          <cell r="O138"/>
          <cell r="P138"/>
          <cell r="Q138" t="str">
            <v>ABJ</v>
          </cell>
          <cell r="R138" t="str">
            <v>HCMC, VIETNAM</v>
          </cell>
          <cell r="S138"/>
          <cell r="T138"/>
          <cell r="U138"/>
          <cell r="V138"/>
          <cell r="W138"/>
          <cell r="X138"/>
          <cell r="Y138"/>
          <cell r="Z138"/>
          <cell r="AA138">
            <v>250</v>
          </cell>
          <cell r="AB138">
            <v>250</v>
          </cell>
          <cell r="AC138">
            <v>45868</v>
          </cell>
          <cell r="AD138"/>
          <cell r="AE138">
            <v>10</v>
          </cell>
          <cell r="AG138"/>
          <cell r="AH138" t="str">
            <v>TBA</v>
          </cell>
          <cell r="AI138" t="str">
            <v>TBA</v>
          </cell>
          <cell r="AJ138" t="str">
            <v>40FT</v>
          </cell>
          <cell r="AK138">
            <v>0.1</v>
          </cell>
          <cell r="AL138" t="str">
            <v>(01x250MTS)</v>
          </cell>
          <cell r="AM138">
            <v>275</v>
          </cell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M138"/>
          <cell r="CN138" t="str">
            <v/>
          </cell>
          <cell r="CP138"/>
        </row>
        <row r="139">
          <cell r="D139">
            <v>44</v>
          </cell>
          <cell r="E139">
            <v>200</v>
          </cell>
          <cell r="H139" t="str">
            <v>32016427-4</v>
          </cell>
          <cell r="K139" t="str">
            <v>JUNE/JULY 2026</v>
          </cell>
          <cell r="L139" t="str">
            <v>VALENCY CI</v>
          </cell>
          <cell r="M139" t="str">
            <v>HOANG SON I JOINT STOCK COMPANY</v>
          </cell>
          <cell r="N139"/>
          <cell r="O139"/>
          <cell r="P139"/>
          <cell r="Q139" t="str">
            <v>ABJ</v>
          </cell>
          <cell r="R139" t="str">
            <v>HCMC, VIETNAM</v>
          </cell>
          <cell r="S139"/>
          <cell r="T139"/>
          <cell r="U139"/>
          <cell r="V139"/>
          <cell r="W139"/>
          <cell r="X139"/>
          <cell r="Y139"/>
          <cell r="Z139"/>
          <cell r="AA139">
            <v>250</v>
          </cell>
          <cell r="AB139">
            <v>250</v>
          </cell>
          <cell r="AC139">
            <v>45868</v>
          </cell>
          <cell r="AD139"/>
          <cell r="AE139">
            <v>10</v>
          </cell>
          <cell r="AG139"/>
          <cell r="AH139" t="str">
            <v>TBA</v>
          </cell>
          <cell r="AI139" t="str">
            <v>TBA</v>
          </cell>
          <cell r="AJ139" t="str">
            <v>40FT</v>
          </cell>
          <cell r="AK139">
            <v>0.1</v>
          </cell>
          <cell r="AL139" t="str">
            <v>(01x250MTS)</v>
          </cell>
          <cell r="AM139">
            <v>275</v>
          </cell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M139"/>
          <cell r="CN139" t="str">
            <v/>
          </cell>
          <cell r="CP139"/>
        </row>
        <row r="141">
          <cell r="D141"/>
          <cell r="H141"/>
          <cell r="L141"/>
          <cell r="M141"/>
          <cell r="N141"/>
          <cell r="O141"/>
          <cell r="P141"/>
          <cell r="R141"/>
          <cell r="S141"/>
          <cell r="U141"/>
          <cell r="V141"/>
          <cell r="W141"/>
          <cell r="X141"/>
          <cell r="Y141"/>
          <cell r="Z141"/>
          <cell r="AM141"/>
          <cell r="AS141"/>
          <cell r="AT141"/>
          <cell r="AU141"/>
          <cell r="BV141"/>
          <cell r="BW141"/>
        </row>
        <row r="142">
          <cell r="D142"/>
          <cell r="H142"/>
          <cell r="L142"/>
          <cell r="M142"/>
          <cell r="N142"/>
          <cell r="O142"/>
          <cell r="P142"/>
          <cell r="R142"/>
          <cell r="S142"/>
          <cell r="U142"/>
          <cell r="V142"/>
          <cell r="W142"/>
          <cell r="X142"/>
          <cell r="Y142"/>
          <cell r="Z142"/>
          <cell r="AM142"/>
          <cell r="AS142"/>
          <cell r="AT142"/>
          <cell r="AU142"/>
          <cell r="BV142"/>
          <cell r="BW142"/>
        </row>
        <row r="143">
          <cell r="D143"/>
          <cell r="H143"/>
          <cell r="L143"/>
          <cell r="M143"/>
          <cell r="N143"/>
          <cell r="O143"/>
          <cell r="P143"/>
          <cell r="R143"/>
          <cell r="S143"/>
          <cell r="U143"/>
          <cell r="V143"/>
          <cell r="W143"/>
          <cell r="X143"/>
          <cell r="Y143"/>
          <cell r="Z143"/>
          <cell r="AM143"/>
          <cell r="AS143"/>
          <cell r="AT143"/>
          <cell r="AU143"/>
          <cell r="BV143"/>
          <cell r="BW143"/>
        </row>
        <row r="144">
          <cell r="D144"/>
          <cell r="H144"/>
          <cell r="L144"/>
          <cell r="M144"/>
          <cell r="N144"/>
          <cell r="O144"/>
          <cell r="P144"/>
          <cell r="R144"/>
          <cell r="S144"/>
          <cell r="U144"/>
          <cell r="V144"/>
          <cell r="W144"/>
          <cell r="X144"/>
          <cell r="Y144"/>
          <cell r="Z144"/>
          <cell r="AM144"/>
          <cell r="AS144"/>
          <cell r="AT144"/>
          <cell r="AU144"/>
          <cell r="BV144"/>
          <cell r="BW14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ment"/>
      <sheetName val="Stock rcvd"/>
      <sheetName val="Dashboard"/>
      <sheetName val="SALES SHEET"/>
      <sheetName val="SUMMARY"/>
      <sheetName val="Data 2026"/>
      <sheetName val="SINGAPORE TRACKER REQUEST"/>
      <sheetName val="PCH Sheet"/>
      <sheetName val="IN CERTS &amp; BAG MARKING INSTRUCT"/>
      <sheetName val="DATA CLIENT VISE "/>
      <sheetName val="SI VIETNAM"/>
      <sheetName val="Under construction -PCH Summary"/>
      <sheetName val="SHIPPING INSTRUCTION INDIA"/>
      <sheetName val="90264240"/>
      <sheetName val="32715843"/>
      <sheetName val="10051322"/>
      <sheetName val="269062523"/>
      <sheetName val="269062760"/>
      <sheetName val="92429068"/>
      <sheetName val="26500030"/>
      <sheetName val="92767861"/>
      <sheetName val="21151774"/>
      <sheetName val="19131503"/>
      <sheetName val="268593044"/>
      <sheetName val="269062694"/>
      <sheetName val="269062882"/>
      <sheetName val="EBKG16338118"/>
      <sheetName val="EBKG16338124"/>
      <sheetName val="EBKG16338129"/>
      <sheetName val="267490071"/>
      <sheetName val="268606982"/>
      <sheetName val="268607083"/>
      <sheetName val="268599953"/>
      <sheetName val="268607193"/>
      <sheetName val="268715714"/>
      <sheetName val="268715910"/>
      <sheetName val="268716048"/>
      <sheetName val="267777396-"/>
      <sheetName val="268590042"/>
      <sheetName val="268589748"/>
      <sheetName val="268586303"/>
      <sheetName val="268585803"/>
      <sheetName val="268584744"/>
      <sheetName val="267778372"/>
      <sheetName val="267778302"/>
      <sheetName val="267778211"/>
      <sheetName val="267778042"/>
      <sheetName val="267777926"/>
      <sheetName val="267777686"/>
      <sheetName val="267777396"/>
      <sheetName val="267514904"/>
      <sheetName val="268716278"/>
      <sheetName val="268715092"/>
      <sheetName val="268715415"/>
      <sheetName val="267490088"/>
      <sheetName val="267455386"/>
      <sheetName val="269636234"/>
      <sheetName val="269062811"/>
      <sheetName val="267489622"/>
      <sheetName val="267465107-1"/>
      <sheetName val="267465107-2"/>
      <sheetName val="267465107"/>
      <sheetName val=" ABJG00392800"/>
      <sheetName val="267466662"/>
      <sheetName val="267489622-1"/>
      <sheetName val="267489694"/>
      <sheetName val="267489736-1"/>
      <sheetName val="269658785"/>
      <sheetName val="267489781"/>
      <sheetName val="267489781-1"/>
      <sheetName val="267490003"/>
      <sheetName val="ABJG00282600"/>
      <sheetName val="ABJG00281500"/>
      <sheetName val="267489832"/>
      <sheetName val="267489852"/>
      <sheetName val="267489886"/>
      <sheetName val="267489943"/>
      <sheetName val="267490043"/>
      <sheetName val="SI INDIA "/>
    </sheetNames>
    <sheetDataSet>
      <sheetData sheetId="0"/>
      <sheetData sheetId="1"/>
      <sheetData sheetId="2"/>
      <sheetData sheetId="3"/>
      <sheetData sheetId="4"/>
      <sheetData sheetId="5">
        <row r="12">
          <cell r="H12">
            <v>32014996</v>
          </cell>
          <cell r="CL12" t="str">
            <v>SAILED /OBL WAITING</v>
          </cell>
        </row>
        <row r="13">
          <cell r="H13" t="str">
            <v>32015968-1</v>
          </cell>
          <cell r="CL13" t="str">
            <v>STUFFED/NOT GATE IN</v>
          </cell>
        </row>
        <row r="14">
          <cell r="H14" t="str">
            <v>32015968-2</v>
          </cell>
          <cell r="CL14" t="str">
            <v>STUFFED/NOT GATE IN</v>
          </cell>
        </row>
        <row r="15">
          <cell r="H15" t="str">
            <v>32015968-3</v>
          </cell>
          <cell r="CL15" t="str">
            <v>STUFFED/NOT GATE IN</v>
          </cell>
        </row>
        <row r="16">
          <cell r="H16" t="str">
            <v>32015968-4</v>
          </cell>
          <cell r="CL16" t="str">
            <v>STUFFED/NOT GATE IN</v>
          </cell>
        </row>
        <row r="17">
          <cell r="H17" t="str">
            <v>32015968-5</v>
          </cell>
          <cell r="CL17" t="str">
            <v>STUFFED/NOT GATE IN</v>
          </cell>
        </row>
        <row r="18">
          <cell r="H18" t="str">
            <v>32015968-6</v>
          </cell>
          <cell r="CL18" t="str">
            <v>STUFFED/NOT GATE IN</v>
          </cell>
        </row>
        <row r="19">
          <cell r="H19" t="str">
            <v>32015968-7</v>
          </cell>
          <cell r="CL19" t="str">
            <v>STUFFED/NOT GATE IN</v>
          </cell>
        </row>
        <row r="20">
          <cell r="H20" t="str">
            <v>32015968-8</v>
          </cell>
          <cell r="CL20" t="str">
            <v>STUFFED/NOT GATE IN</v>
          </cell>
        </row>
        <row r="21">
          <cell r="H21" t="str">
            <v>32015968-9</v>
          </cell>
          <cell r="CL21" t="str">
            <v>STUFFED/NOT GATE IN</v>
          </cell>
        </row>
        <row r="22">
          <cell r="H22" t="str">
            <v>32015968-10</v>
          </cell>
          <cell r="CL22" t="str">
            <v>STUFFED/NOT GATE IN</v>
          </cell>
        </row>
        <row r="23">
          <cell r="H23" t="str">
            <v>32015968-11</v>
          </cell>
          <cell r="CL23" t="str">
            <v>STUFFED/NOT GATE IN</v>
          </cell>
        </row>
        <row r="24">
          <cell r="H24" t="str">
            <v>32015968-12</v>
          </cell>
          <cell r="CL24" t="str">
            <v>STUFFED/NOT GATE IN</v>
          </cell>
        </row>
        <row r="25">
          <cell r="H25" t="str">
            <v>32015968-13</v>
          </cell>
          <cell r="CL25" t="str">
            <v>STUFFED/NOT GATE IN</v>
          </cell>
        </row>
        <row r="26">
          <cell r="H26">
            <v>32014470</v>
          </cell>
          <cell r="CL26" t="str">
            <v>STUFFED/NOT GATE IN</v>
          </cell>
        </row>
        <row r="27">
          <cell r="H27">
            <v>32014450</v>
          </cell>
          <cell r="CL27" t="str">
            <v>STUFFED/NOT GATE IN</v>
          </cell>
        </row>
        <row r="28">
          <cell r="H28">
            <v>32014461</v>
          </cell>
          <cell r="CL28" t="str">
            <v>STUFFED/NOT GATE IN</v>
          </cell>
        </row>
        <row r="29">
          <cell r="H29">
            <v>32014454</v>
          </cell>
          <cell r="CL29" t="str">
            <v>STUFFED/NOT GATE IN</v>
          </cell>
        </row>
        <row r="30">
          <cell r="H30">
            <v>32014455</v>
          </cell>
          <cell r="CL30" t="str">
            <v>STUFFED/NOT GATE IN</v>
          </cell>
        </row>
        <row r="31">
          <cell r="H31">
            <v>32014455</v>
          </cell>
          <cell r="CL31" t="str">
            <v>STUFFED/NOT GATE IN</v>
          </cell>
        </row>
        <row r="32">
          <cell r="H32">
            <v>32014459</v>
          </cell>
          <cell r="CL32" t="str">
            <v>STUFFED/NOT GATE IN</v>
          </cell>
        </row>
        <row r="33">
          <cell r="H33">
            <v>32014480</v>
          </cell>
          <cell r="CL33" t="str">
            <v>STUFFED/NOT GATE IN</v>
          </cell>
        </row>
        <row r="34">
          <cell r="H34">
            <v>32014569</v>
          </cell>
          <cell r="CL34" t="str">
            <v>STUFFED/NOT GATE IN</v>
          </cell>
        </row>
        <row r="35">
          <cell r="H35">
            <v>32014574</v>
          </cell>
          <cell r="CL35" t="str">
            <v>STUFFED/NOT GATE IN</v>
          </cell>
        </row>
        <row r="36">
          <cell r="H36">
            <v>32014483</v>
          </cell>
          <cell r="CL36" t="str">
            <v>STUFFED/NOT GATE IN</v>
          </cell>
        </row>
        <row r="37">
          <cell r="H37">
            <v>32014483</v>
          </cell>
          <cell r="CL37" t="str">
            <v>STUFFED/NOT GATE IN</v>
          </cell>
        </row>
        <row r="38">
          <cell r="H38">
            <v>32014482</v>
          </cell>
          <cell r="CL38" t="str">
            <v>STUFFED/NOT GATE IN</v>
          </cell>
        </row>
        <row r="39">
          <cell r="H39">
            <v>32014482</v>
          </cell>
          <cell r="CL39" t="str">
            <v>STUFFED/NOT GATE IN</v>
          </cell>
        </row>
        <row r="40">
          <cell r="H40">
            <v>32014486</v>
          </cell>
          <cell r="CL40" t="str">
            <v>STUFFED/NOT GATE IN</v>
          </cell>
        </row>
        <row r="41">
          <cell r="H41">
            <v>32014492</v>
          </cell>
          <cell r="CL41" t="str">
            <v>STUFFED/NOT GATE IN</v>
          </cell>
        </row>
        <row r="42">
          <cell r="H42">
            <v>32014537</v>
          </cell>
          <cell r="CL42" t="str">
            <v>STUFFED/NOT GATE IN</v>
          </cell>
        </row>
        <row r="43">
          <cell r="H43">
            <v>32014572</v>
          </cell>
          <cell r="CL43" t="str">
            <v>STUFFED/NOT GATE IN</v>
          </cell>
        </row>
        <row r="44">
          <cell r="H44">
            <v>32014576</v>
          </cell>
          <cell r="CL44" t="str">
            <v>STUFFED/NOT GATE IN</v>
          </cell>
        </row>
        <row r="45">
          <cell r="H45">
            <v>32014577</v>
          </cell>
          <cell r="CL45" t="str">
            <v>STUFFED/NOT GATE IN</v>
          </cell>
        </row>
        <row r="46">
          <cell r="H46">
            <v>32014537</v>
          </cell>
          <cell r="CL46" t="str">
            <v>STUFFED/NOT GATE IN</v>
          </cell>
        </row>
        <row r="47">
          <cell r="H47">
            <v>32015058</v>
          </cell>
          <cell r="CL47" t="str">
            <v>STUFFED/NOT GATE IN</v>
          </cell>
        </row>
        <row r="48">
          <cell r="H48">
            <v>32014998</v>
          </cell>
          <cell r="CL48" t="str">
            <v>STUFFED/NOT GATE IN</v>
          </cell>
        </row>
        <row r="49">
          <cell r="H49">
            <v>32014493</v>
          </cell>
          <cell r="CL49" t="str">
            <v>STUFFED/NOT GATE IN</v>
          </cell>
        </row>
        <row r="50">
          <cell r="H50">
            <v>32014539</v>
          </cell>
          <cell r="CL50" t="str">
            <v>STUFFED/NOT GATE IN</v>
          </cell>
        </row>
        <row r="51">
          <cell r="H51">
            <v>32014539</v>
          </cell>
          <cell r="CL51" t="str">
            <v>IN PORT/GATED IN</v>
          </cell>
        </row>
        <row r="52">
          <cell r="H52">
            <v>32014497</v>
          </cell>
          <cell r="CL52" t="str">
            <v>STUFFED/NOT GATE IN</v>
          </cell>
        </row>
        <row r="53">
          <cell r="H53">
            <v>32014495</v>
          </cell>
          <cell r="CL53" t="str">
            <v>STUFFED/NOT GATE IN</v>
          </cell>
        </row>
        <row r="54">
          <cell r="H54">
            <v>32014540</v>
          </cell>
          <cell r="CL54" t="str">
            <v>STUFFED/NOT GATE IN</v>
          </cell>
        </row>
        <row r="55">
          <cell r="H55">
            <v>32014540</v>
          </cell>
          <cell r="CL55" t="str">
            <v>STUFFED/NOT GATE IN</v>
          </cell>
        </row>
        <row r="56">
          <cell r="H56">
            <v>32014499</v>
          </cell>
          <cell r="CL56" t="str">
            <v>STUFFED/NOT GATE IN</v>
          </cell>
        </row>
        <row r="57">
          <cell r="H57">
            <v>32014498</v>
          </cell>
          <cell r="CL57" t="str">
            <v>STUFFED/NOT GATE IN</v>
          </cell>
        </row>
        <row r="58">
          <cell r="H58">
            <v>32014588</v>
          </cell>
          <cell r="CL58" t="str">
            <v>STUFFED/NOT GATE IN</v>
          </cell>
        </row>
        <row r="59">
          <cell r="H59">
            <v>32014496</v>
          </cell>
          <cell r="CL59" t="str">
            <v>STUFFED/NOT GATE IN</v>
          </cell>
        </row>
        <row r="60">
          <cell r="H60">
            <v>32014591</v>
          </cell>
          <cell r="CL60" t="str">
            <v>STUFFED/NOT GATE IN</v>
          </cell>
        </row>
        <row r="61">
          <cell r="H61">
            <v>32015968</v>
          </cell>
          <cell r="CL61" t="str">
            <v>IN PORT/GATED IN</v>
          </cell>
        </row>
        <row r="62">
          <cell r="H62">
            <v>32015968</v>
          </cell>
          <cell r="CL62" t="str">
            <v>STUFFED/NOT GATE IN</v>
          </cell>
        </row>
        <row r="63">
          <cell r="H63">
            <v>32015968</v>
          </cell>
          <cell r="CL63" t="str">
            <v>STUFFED/NOT GATE IN</v>
          </cell>
        </row>
        <row r="64">
          <cell r="H64">
            <v>32015968</v>
          </cell>
          <cell r="CL64" t="str">
            <v>STUFFED/NOT GATE IN</v>
          </cell>
        </row>
        <row r="65">
          <cell r="H65">
            <v>32015968</v>
          </cell>
          <cell r="CL65" t="str">
            <v>SAILED /OBL WAITING</v>
          </cell>
        </row>
        <row r="66">
          <cell r="H66">
            <v>32015968</v>
          </cell>
          <cell r="CL66" t="str">
            <v>SAILED /OBL WAITING</v>
          </cell>
        </row>
        <row r="67">
          <cell r="H67">
            <v>32015968</v>
          </cell>
          <cell r="CL67" t="str">
            <v>SAILED /OBL WAITING</v>
          </cell>
        </row>
        <row r="68">
          <cell r="H68" t="str">
            <v>TBA</v>
          </cell>
          <cell r="CL68" t="str">
            <v>STUFFING IN PROGRESS</v>
          </cell>
        </row>
        <row r="69">
          <cell r="H69" t="str">
            <v>TBA</v>
          </cell>
          <cell r="CL69" t="str">
            <v>STUFFING IN PROGRESS</v>
          </cell>
        </row>
        <row r="70">
          <cell r="H70" t="str">
            <v>TBA</v>
          </cell>
          <cell r="CL70" t="str">
            <v>PLANNED</v>
          </cell>
        </row>
        <row r="71">
          <cell r="H71" t="str">
            <v>TBA</v>
          </cell>
          <cell r="CL71" t="str">
            <v>PLACEMENT DONE</v>
          </cell>
        </row>
        <row r="72">
          <cell r="H72" t="str">
            <v>TBA</v>
          </cell>
          <cell r="CL72" t="str">
            <v>STUFFING IN PROGRESS</v>
          </cell>
        </row>
        <row r="73">
          <cell r="H73" t="str">
            <v>TBA</v>
          </cell>
          <cell r="CL73" t="str">
            <v>PLACEMENT DONE</v>
          </cell>
        </row>
        <row r="74">
          <cell r="H74" t="str">
            <v>TBA</v>
          </cell>
          <cell r="CL74" t="str">
            <v>PLANNED</v>
          </cell>
        </row>
        <row r="75">
          <cell r="H75" t="str">
            <v>TBA</v>
          </cell>
          <cell r="CL75" t="str">
            <v>PLANNED</v>
          </cell>
        </row>
        <row r="76">
          <cell r="H76" t="str">
            <v>TBA</v>
          </cell>
          <cell r="CL76" t="str">
            <v>PLACEMENT DONE</v>
          </cell>
        </row>
        <row r="77">
          <cell r="H77" t="str">
            <v>TBA</v>
          </cell>
          <cell r="CL77" t="str">
            <v>PLACEMENT DONE</v>
          </cell>
        </row>
        <row r="78">
          <cell r="H78" t="str">
            <v>TBA</v>
          </cell>
          <cell r="CL78" t="str">
            <v>PLACEMENT DONE</v>
          </cell>
        </row>
        <row r="79">
          <cell r="H79" t="str">
            <v>TBA</v>
          </cell>
          <cell r="CL79" t="str">
            <v>PLACEMENT DONE</v>
          </cell>
        </row>
        <row r="80">
          <cell r="H80" t="str">
            <v>TBA</v>
          </cell>
          <cell r="CL80" t="str">
            <v>PLANNED</v>
          </cell>
        </row>
        <row r="81">
          <cell r="H81" t="str">
            <v>32016315-4</v>
          </cell>
          <cell r="CL81" t="str">
            <v>PLANNED</v>
          </cell>
        </row>
        <row r="82">
          <cell r="H82" t="str">
            <v>32016315-5</v>
          </cell>
          <cell r="CL82" t="str">
            <v>PLANNED</v>
          </cell>
        </row>
        <row r="83">
          <cell r="H83" t="str">
            <v>32016315-6</v>
          </cell>
          <cell r="CL83" t="str">
            <v>PLANNED</v>
          </cell>
        </row>
        <row r="84">
          <cell r="H84" t="str">
            <v>32016316-1</v>
          </cell>
          <cell r="CL84" t="str">
            <v>PLANNED</v>
          </cell>
        </row>
        <row r="85">
          <cell r="H85" t="str">
            <v>32016316-2</v>
          </cell>
          <cell r="CL85" t="str">
            <v>PLANNED</v>
          </cell>
        </row>
        <row r="86">
          <cell r="H86" t="str">
            <v>32016316-3</v>
          </cell>
          <cell r="CL86" t="str">
            <v>PLANNED</v>
          </cell>
        </row>
        <row r="87">
          <cell r="H87" t="str">
            <v>32016316-4</v>
          </cell>
          <cell r="CL87" t="str">
            <v>NOT PLANNED</v>
          </cell>
        </row>
        <row r="88">
          <cell r="H88" t="str">
            <v>32016316-5</v>
          </cell>
          <cell r="CL88" t="str">
            <v>NOT PLANNED</v>
          </cell>
        </row>
        <row r="89">
          <cell r="H89" t="str">
            <v>32016316-6</v>
          </cell>
          <cell r="CL89" t="str">
            <v>NOT PLANNED</v>
          </cell>
        </row>
        <row r="90">
          <cell r="H90">
            <v>32016278</v>
          </cell>
          <cell r="CL90" t="str">
            <v>NOT PLANNED</v>
          </cell>
        </row>
        <row r="91">
          <cell r="H91" t="str">
            <v>32016331-1</v>
          </cell>
          <cell r="CL91" t="str">
            <v>NOT PLANNED</v>
          </cell>
        </row>
        <row r="92">
          <cell r="H92" t="str">
            <v>32016331-2</v>
          </cell>
          <cell r="CL92" t="str">
            <v>NOT PLANNED</v>
          </cell>
        </row>
        <row r="93">
          <cell r="H93">
            <v>32015796</v>
          </cell>
          <cell r="CL93" t="str">
            <v>NOT PLANNED</v>
          </cell>
        </row>
        <row r="94">
          <cell r="H94" t="str">
            <v>32016315-1</v>
          </cell>
          <cell r="CL94" t="str">
            <v>NOT PLANNED</v>
          </cell>
        </row>
        <row r="95">
          <cell r="H95" t="str">
            <v>32016315-2</v>
          </cell>
          <cell r="CL95" t="str">
            <v>NOT PLANNED</v>
          </cell>
        </row>
        <row r="96">
          <cell r="H96" t="str">
            <v>32016315-3</v>
          </cell>
          <cell r="CL96" t="str">
            <v>NOT PLANNED</v>
          </cell>
        </row>
        <row r="97">
          <cell r="H97" t="str">
            <v>32016289-1</v>
          </cell>
          <cell r="CL97" t="str">
            <v>NOT PLANNED</v>
          </cell>
        </row>
        <row r="98">
          <cell r="H98" t="str">
            <v>32016289-2</v>
          </cell>
          <cell r="CL98" t="str">
            <v>NOT PLANNED</v>
          </cell>
        </row>
        <row r="99">
          <cell r="H99" t="str">
            <v>32016289-3</v>
          </cell>
          <cell r="CL99" t="str">
            <v>NOT PLANNED</v>
          </cell>
        </row>
        <row r="100">
          <cell r="H100" t="str">
            <v>32016289-4</v>
          </cell>
          <cell r="CL100" t="str">
            <v>NOT PLANNED</v>
          </cell>
        </row>
        <row r="101">
          <cell r="H101"/>
        </row>
        <row r="102">
          <cell r="H102"/>
        </row>
        <row r="103">
          <cell r="H103"/>
        </row>
        <row r="104">
          <cell r="H104"/>
        </row>
        <row r="105">
          <cell r="H105"/>
        </row>
        <row r="106">
          <cell r="H106"/>
        </row>
        <row r="107">
          <cell r="H107"/>
        </row>
        <row r="108">
          <cell r="H108"/>
        </row>
        <row r="109">
          <cell r="H109"/>
        </row>
        <row r="110">
          <cell r="H110"/>
        </row>
        <row r="111">
          <cell r="H111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TEe_DnjWU-67t2MhWW-NuaCQD8vHGpNuvvh8e1sQD07RxO5DTdTQLjkivuOqCP_" itemId="01OOTH4WIQ6CY47WJRIBDI7IOEARCNDA5D">
      <xxl21:absoluteUrl r:id="rId2"/>
      <xxl21:relativeUrl r:id="rId3"/>
    </xxl21:alternateUrls>
    <sheetNames>
      <sheetName val="MIS Data"/>
      <sheetName val="Purchase Contract "/>
      <sheetName val="ISSUES OF THE DAY"/>
      <sheetName val="CASHFLOW"/>
      <sheetName val="ADDENDUMS"/>
      <sheetName val="CANCEL SALES CONTRACT"/>
      <sheetName val="Sales Dashboard"/>
      <sheetName val="cancel purchase contract "/>
      <sheetName val="Chart1"/>
    </sheetNames>
    <sheetDataSet>
      <sheetData sheetId="0">
        <row r="114">
          <cell r="Q114">
            <v>45756</v>
          </cell>
          <cell r="AT114">
            <v>45742</v>
          </cell>
          <cell r="AU114">
            <v>99.915000000000006</v>
          </cell>
          <cell r="BM114">
            <v>45754</v>
          </cell>
          <cell r="BS114">
            <v>45761</v>
          </cell>
          <cell r="BV114">
            <v>45762</v>
          </cell>
          <cell r="BY114">
            <v>45772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E4B0739-62FE-4A5D-9949-C738155E8C05}"/>
  <namedSheetView name="View2" id="{4BA8165E-D8FE-4742-8842-AE9FA4D417D6}"/>
  <namedSheetView name="View3" id="{74FEF425-137A-4F66-9A1B-83CA39582978}"/>
  <namedSheetView name="View4" id="{01FB41C9-BAF5-4ABB-A5DC-E433C9AF13D1}"/>
  <namedSheetView name="View5" id="{F0C6C663-F486-40C0-91A2-849400F04E08}"/>
  <namedSheetView name="View6" id="{EFAB0AA5-CA34-4664-AD71-ED381E792D23}"/>
  <namedSheetView name="View7" id="{744C67E8-01E2-4057-A484-5DAE4A292EE1}"/>
  <namedSheetView name="View8" id="{DF081F2A-E957-4EC8-BE0D-1A6588323BAD}"/>
  <namedSheetView name="View9" id="{7BD96818-B530-462E-B778-8CA7AE2F033B}"/>
  <namedSheetView name="View10" id="{06A1756C-EB70-4A7B-8BD2-0B1B8E92F65D}"/>
  <namedSheetView name="View11" id="{AD20B8BD-990F-477E-BABE-40021A43E759}"/>
  <namedSheetView name="View12" id="{70FE2D36-55D8-47C3-A64B-F3FCF53DC0D3}"/>
  <namedSheetView name="View13" id="{55BC5884-76C6-4A35-9BC7-DE1F6DD888A1}"/>
  <namedSheetView name="View14" id="{61E0EAD4-C598-47ED-A755-C9323B672DBB}"/>
  <namedSheetView name="View15" id="{8A0E8641-BB88-4898-A37D-150E421E6494}"/>
  <namedSheetView name="View16" id="{C4E160C5-5FB4-4DC6-A773-92D49871F265}"/>
  <namedSheetView name="View17" id="{CD86BF2A-72C1-4D8D-8290-1D20F2097FAE}"/>
  <namedSheetView name="View18" id="{7EF8F4AB-E9C7-4C39-B133-7980C83C9851}"/>
  <namedSheetView name="View19" id="{7848E203-2D33-45F1-A640-7C763DE867C1}"/>
  <namedSheetView name="View20" id="{EF43AD34-88F1-41F6-AC72-D8CA82FCD311}"/>
  <namedSheetView name="View21" id="{77B0109D-F4BA-4342-90A6-FEBFE5C912F8}"/>
  <namedSheetView name="View22" id="{A1AF0BBE-2460-42D1-A1BE-586BE6505922}"/>
  <namedSheetView name="View23" id="{C7E653D2-FAC7-43CC-8605-CE2207F4C0B9}"/>
  <namedSheetView name="View24" id="{40FBA990-2B67-4E24-B180-BD1C9187FD49}"/>
  <namedSheetView name="View25" id="{69D57994-AAE5-4F4E-9FAD-33860349DE7A}"/>
  <namedSheetView name="View26" id="{035C08E7-B940-4691-B47E-FDC06A2B76FC}"/>
  <namedSheetView name="View27" id="{6BEECEB6-B6BC-4794-ADB9-E08B52E0260E}"/>
  <namedSheetView name="View28" id="{9BFB5246-6264-4A2E-90DF-EBD69E724C18}"/>
  <namedSheetView name="View29" id="{F7A83ED7-FFD3-486C-9510-752CF61A251A}"/>
  <namedSheetView name="View30" id="{840D9B48-DB19-4336-824C-24C663ACE246}"/>
  <namedSheetView name="View31" id="{537B5A8B-BE9E-451E-8449-873DA2830F48}"/>
  <namedSheetView name="View32" id="{EF145F11-AE2F-4A59-9973-148F031231E0}"/>
  <namedSheetView name="View33" id="{C2CCC0E6-1438-49BA-8CE1-6193BCA26B0F}"/>
  <namedSheetView name="View34" id="{7FC440C4-B9BE-4352-8443-1656000C66A8}"/>
  <namedSheetView name="View35" id="{0653526D-DD2A-47BA-AA46-09A9676DFD5F}"/>
  <namedSheetView name="View36" id="{D42B4CF2-E5B2-4734-A570-7D4ACEC7B88F}"/>
  <namedSheetView name="View37" id="{9F6CCD93-9340-4BC5-8E62-A64C97DA516F}"/>
  <namedSheetView name="View38" id="{42E8BB5C-A4F5-4364-9BB2-289FACDD5781}"/>
  <namedSheetView name="View39" id="{A856AB2C-E693-447C-8028-B152C01EF9AC}"/>
  <namedSheetView name="View40" id="{849A6E9E-62B1-49DE-A158-147746DE4277}"/>
  <namedSheetView name="View41" id="{9D5D076F-E5CA-4FA9-92CA-3097315F1D41}"/>
  <namedSheetView name="View42" id="{72FC8AF7-9B3E-4432-AB5C-D9A166541F54}"/>
  <namedSheetView name="View43" id="{4EE6C2F2-AF50-4FE6-87E5-C4FF567B43AD}"/>
  <namedSheetView name="View44" id="{4527A200-2571-4839-B598-F64924FA480D}"/>
  <namedSheetView name="View45" id="{2725C236-CAF2-404A-A179-EAABC6594E68}"/>
  <namedSheetView name="View46" id="{97ABE047-16CB-4471-ACD1-D399F97F312B}"/>
  <namedSheetView name="View47" id="{B6E7E63E-DBDF-433B-8436-F805BCE70ED3}"/>
  <namedSheetView name="View48" id="{5958ACCF-3262-4934-9FC9-D9AA9069428A}"/>
  <namedSheetView name="View49" id="{17C474C8-1228-4AE6-9B69-5475BF102396}"/>
  <namedSheetView name="View50" id="{39636731-C105-4D59-8240-20E3BB3524BE}"/>
  <namedSheetView name="View51" id="{A9A805DD-0216-4836-95EA-C04FBA5E10DE}"/>
  <namedSheetView name="View52" id="{FDA4CCAD-B691-4E52-A8D2-80F250E3D7ED}"/>
  <namedSheetView name="View53" id="{BAA28154-F79B-4C65-B2EF-C51BAA4EA303}"/>
  <namedSheetView name="View54" id="{37F22C09-66CA-4865-8636-9B502ACACE3B}"/>
  <namedSheetView name="View55" id="{134AFF53-39BB-4C64-87A2-8976B41AC60E}"/>
  <namedSheetView name="View56" id="{2FD61914-ECB3-4593-B7A9-CE4CFA1DB710}"/>
  <namedSheetView name="View57" id="{5C17B5F5-0A95-48FA-8FDE-D9848D2DEA27}"/>
  <namedSheetView name="View58" id="{B5BB9DE1-8F21-4124-AA61-CAD4A1CA666A}"/>
  <namedSheetView name="View59" id="{68664A40-08BC-4645-BB44-F7BF1CA1D9E2}"/>
  <namedSheetView name="View60" id="{90BC6D8C-3CF7-46C4-8C03-A6C474CD44CC}"/>
  <namedSheetView name="View61" id="{C5944323-1C5B-4131-B0F9-BCF81673DE4C}"/>
  <namedSheetView name="View62" id="{EF2563F4-E262-4BC9-8825-B3F43DBBE904}"/>
  <namedSheetView name="View63" id="{B24CFC8C-E9B0-4BFC-8B35-691A6EEC3DEB}"/>
  <namedSheetView name="View64" id="{AE52DB7F-1D87-47ED-A6A0-59A9EBA94ED0}"/>
  <namedSheetView name="View65" id="{A9E9085D-44C8-4207-812B-373F3D50A884}"/>
  <namedSheetView name="View66" id="{2822D0EA-B39D-478E-B4CE-B8486F8B789B}"/>
  <namedSheetView name="View67" id="{79E30426-1DCD-4B68-B701-1897EEF13DED}"/>
  <namedSheetView name="View68" id="{60248789-E8BB-4134-ABA8-BDA5BA5783E6}"/>
  <namedSheetView name="View69" id="{8AB4336D-47F6-4470-A1E3-6BCBBDF307D9}"/>
  <namedSheetView name="View70" id="{93C8A20A-F8F4-4F95-90A3-95A0FB286696}"/>
  <namedSheetView name="View71" id="{EA2FF787-411E-4B16-95AA-AA48BB8024B5}"/>
  <namedSheetView name="View72" id="{58F14723-BE5F-4391-B9E6-A0BE332E055A}"/>
  <namedSheetView name="View73" id="{B2D6E547-4FA9-430B-BE55-D3179C1F19EB}"/>
  <namedSheetView name="View74" id="{123E54FF-B085-4FBC-8A0C-CA3C9065315B}"/>
  <namedSheetView name="View75" id="{B81A1E2D-773C-4A25-A4FA-1A271D45048D}">
    <nsvFilter filterId="{C32F9BD4-FA75-4CF8-A37D-9AE451CA1813}" ref="A2:FJ197" tableId="0"/>
  </namedSheetView>
  <namedSheetView name="View76" id="{3E4B7A5E-1CE8-45F7-9D96-F5E0B47278D7}">
    <nsvFilter filterId="{C32F9BD4-FA75-4CF8-A37D-9AE451CA1813}" ref="A2:FJ197" tableId="0"/>
  </namedSheetView>
  <namedSheetView name="View77" id="{572CB3C6-8080-4941-9A45-85491C16E600}"/>
  <namedSheetView name="View78" id="{270A1CF0-8B0B-489F-BB0C-457425137E69}">
    <nsvFilter filterId="{C32F9BD4-FA75-4CF8-A37D-9AE451CA1813}" ref="A2:FJ197" tableId="0">
      <columnFilter colId="8">
        <filter colId="8">
          <x:filters>
            <x:filter val="IVC"/>
          </x:filters>
        </filter>
      </columnFilter>
    </nsvFilter>
  </namedSheetView>
  <namedSheetView name="View79" id="{7177ED75-D48B-466B-9369-E467D64B6D4F}">
    <nsvFilter filterId="{C32F9BD4-FA75-4CF8-A37D-9AE451CA1813}" ref="A2:FJ197" tableId="0"/>
  </namedSheetView>
  <namedSheetView name="View80" id="{6A6356BD-6C63-4C3F-8AFF-9F2C9943FEDF}">
    <nsvFilter filterId="{C32F9BD4-FA75-4CF8-A37D-9AE451CA1813}" ref="A2:FJ197" tableId="0">
      <columnFilter colId="8">
        <filter colId="8">
          <x:filters>
            <x:filter val="BURKINA FASO"/>
          </x:filters>
        </filter>
      </columnFilter>
    </nsvFilter>
  </namedSheetView>
  <namedSheetView name="View81" id="{C9D2D966-FD9A-4899-A05F-83B88E01ED46}">
    <nsvFilter filterId="{C32F9BD4-FA75-4CF8-A37D-9AE451CA1813}" ref="A2:FJ197" tableId="0">
      <columnFilter colId="7">
        <filter colId="7">
          <x:filters>
            <x:filter val="Jagannath Cashew Processing"/>
            <x:filter val="MAA TARA TARINI CASHEW INDUSTRIES"/>
            <x:filter val="Maa Tarini Traders and Processing"/>
          </x:filters>
        </filter>
      </columnFilter>
      <columnFilter colId="8">
        <filter colId="8">
          <x:filters>
            <x:filter val="NIGERIA(OGB)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A00D97E-462E-4A56-880C-2C96D3D558C8}"/>
  <namedSheetView name="View2" id="{32E32373-6460-4E4D-B8FC-0C25CC8F017B}">
    <nsvFilter filterId="{9981014F-F893-44AD-8981-57181E5C99EB}" ref="A2:EG2" tableId="0">
      <columnFilter colId="8">
        <filter colId="8">
          <x:filters>
            <x:filter val="IVC"/>
            <x:filter val="NIGERIA"/>
            <x:filter val="OGBOMOSHO"/>
            <x:filter val="TANZANIA"/>
            <x:filter val="THAI LAND"/>
          </x:filters>
        </filter>
      </columnFilter>
    </nsvFilter>
  </namedSheetView>
</namedSheetView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9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9BD4-FA75-4CF8-A37D-9AE451CA1813}">
  <sheetPr codeName="Sheet1">
    <pageSetUpPr fitToPage="1"/>
  </sheetPr>
  <dimension ref="A1:GO198"/>
  <sheetViews>
    <sheetView tabSelected="1" topLeftCell="J1" zoomScale="56" zoomScaleNormal="70" workbookViewId="0">
      <pane ySplit="2" topLeftCell="BB86" activePane="bottomLeft" state="frozen"/>
      <selection pane="bottomLeft" activeCell="BK100" sqref="BK100"/>
      <selection activeCell="A2" sqref="A2"/>
    </sheetView>
  </sheetViews>
  <sheetFormatPr defaultColWidth="9.140625" defaultRowHeight="18.600000000000001"/>
  <cols>
    <col min="1" max="1" width="39.7109375" style="182" bestFit="1" customWidth="1"/>
    <col min="2" max="2" width="14.5703125" style="281" bestFit="1" customWidth="1"/>
    <col min="3" max="3" width="8.5703125" style="281" customWidth="1"/>
    <col min="4" max="4" width="11.42578125" style="182" customWidth="1"/>
    <col min="5" max="5" width="27.42578125" style="182" customWidth="1"/>
    <col min="6" max="6" width="17" style="516" bestFit="1" customWidth="1"/>
    <col min="7" max="7" width="11.28515625" style="271" customWidth="1"/>
    <col min="8" max="8" width="59.7109375" style="516" bestFit="1" customWidth="1"/>
    <col min="9" max="9" width="16.5703125" style="182" customWidth="1"/>
    <col min="10" max="10" width="17.28515625" style="182" customWidth="1"/>
    <col min="11" max="11" width="40.140625" style="182" bestFit="1" customWidth="1"/>
    <col min="12" max="12" width="22.42578125" style="516" customWidth="1"/>
    <col min="13" max="13" width="22.85546875" style="516" customWidth="1"/>
    <col min="14" max="14" width="13.5703125" style="516" customWidth="1"/>
    <col min="15" max="15" width="8.5703125" style="516" customWidth="1"/>
    <col min="16" max="16" width="38.85546875" style="516" customWidth="1"/>
    <col min="17" max="17" width="17.85546875" style="182" customWidth="1"/>
    <col min="18" max="18" width="31.5703125" style="182" customWidth="1"/>
    <col min="19" max="19" width="35.7109375" style="182" customWidth="1"/>
    <col min="20" max="20" width="66.42578125" style="182" bestFit="1" customWidth="1"/>
    <col min="21" max="21" width="76.28515625" style="3" customWidth="1"/>
    <col min="22" max="22" width="26.7109375" style="272" customWidth="1"/>
    <col min="23" max="23" width="84.7109375" style="272" bestFit="1" customWidth="1"/>
    <col min="24" max="24" width="21.28515625" style="182" customWidth="1"/>
    <col min="25" max="25" width="20.5703125" style="518" customWidth="1"/>
    <col min="26" max="26" width="22.7109375" style="273" customWidth="1"/>
    <col min="27" max="27" width="17.7109375" style="182" customWidth="1"/>
    <col min="28" max="28" width="64.140625" style="182" customWidth="1"/>
    <col min="29" max="29" width="23.85546875" style="182" customWidth="1"/>
    <col min="30" max="30" width="9" style="182" bestFit="1" customWidth="1"/>
    <col min="31" max="31" width="11.42578125" style="519" customWidth="1"/>
    <col min="32" max="32" width="11.140625" style="519" customWidth="1"/>
    <col min="33" max="33" width="12.5703125" style="182" customWidth="1"/>
    <col min="34" max="34" width="9.85546875" style="182" customWidth="1"/>
    <col min="35" max="35" width="16.42578125" style="519" customWidth="1"/>
    <col min="36" max="36" width="19.42578125" style="519" customWidth="1"/>
    <col min="37" max="37" width="10.28515625" style="182" customWidth="1"/>
    <col min="38" max="38" width="20.42578125" style="182" customWidth="1"/>
    <col min="39" max="39" width="14.5703125" style="182" customWidth="1"/>
    <col min="40" max="40" width="15.140625" style="182" customWidth="1"/>
    <col min="41" max="41" width="14.7109375" style="182" customWidth="1"/>
    <col min="42" max="42" width="12.85546875" style="520" customWidth="1"/>
    <col min="43" max="43" width="17.28515625" style="182" customWidth="1"/>
    <col min="44" max="44" width="18.42578125" style="182" customWidth="1"/>
    <col min="45" max="45" width="43.42578125" style="521" customWidth="1"/>
    <col min="46" max="46" width="35" style="182" customWidth="1"/>
    <col min="47" max="47" width="17.85546875" style="182" customWidth="1"/>
    <col min="48" max="48" width="15.5703125" style="182" customWidth="1"/>
    <col min="49" max="49" width="18.28515625" style="518" customWidth="1"/>
    <col min="50" max="50" width="9.85546875" style="182" customWidth="1"/>
    <col min="51" max="51" width="20.85546875" style="182" customWidth="1"/>
    <col min="52" max="52" width="13.140625" style="519" customWidth="1"/>
    <col min="53" max="53" width="13.42578125" style="182" customWidth="1"/>
    <col min="54" max="54" width="41.28515625" style="182" customWidth="1"/>
    <col min="55" max="55" width="11.85546875" style="182" customWidth="1"/>
    <col min="56" max="56" width="15.7109375" style="182" customWidth="1"/>
    <col min="57" max="57" width="17.28515625" style="182" customWidth="1"/>
    <col min="58" max="58" width="30.42578125" style="182" customWidth="1"/>
    <col min="59" max="59" width="15.7109375" style="182" customWidth="1"/>
    <col min="60" max="60" width="17.28515625" style="182" customWidth="1"/>
    <col min="61" max="61" width="22.28515625" style="182" customWidth="1"/>
    <col min="62" max="62" width="28.140625" style="519" customWidth="1"/>
    <col min="63" max="63" width="17.140625" style="182" customWidth="1"/>
    <col min="64" max="64" width="14.5703125" style="522" customWidth="1"/>
    <col min="65" max="65" width="17.7109375" style="182" customWidth="1"/>
    <col min="66" max="66" width="47.28515625" style="519" customWidth="1"/>
    <col min="67" max="67" width="13.5703125" style="518" customWidth="1"/>
    <col min="68" max="68" width="14.42578125" style="182" customWidth="1"/>
    <col min="69" max="69" width="23.7109375" style="182" customWidth="1"/>
    <col min="70" max="70" width="19" style="182" customWidth="1"/>
    <col min="71" max="71" width="22.7109375" style="182" customWidth="1"/>
    <col min="72" max="72" width="24.140625" style="182" customWidth="1"/>
    <col min="73" max="73" width="16.42578125" style="182" customWidth="1"/>
    <col min="74" max="74" width="37.140625" style="182" customWidth="1"/>
    <col min="75" max="75" width="17" style="523" customWidth="1"/>
    <col min="76" max="76" width="23.28515625" style="182" customWidth="1"/>
    <col min="77" max="77" width="23" style="182" customWidth="1"/>
    <col min="78" max="78" width="13.85546875" style="182" customWidth="1"/>
    <col min="79" max="79" width="16.85546875" style="182" customWidth="1"/>
    <col min="80" max="80" width="18.85546875" style="182" customWidth="1"/>
    <col min="81" max="81" width="22.7109375" style="182" customWidth="1"/>
    <col min="82" max="82" width="20.42578125" style="182" customWidth="1"/>
    <col min="83" max="83" width="36.85546875" style="182" customWidth="1"/>
    <col min="84" max="84" width="24.28515625" style="182" customWidth="1"/>
    <col min="85" max="85" width="16.140625" style="182" customWidth="1"/>
    <col min="86" max="86" width="27.28515625" style="182" customWidth="1"/>
    <col min="87" max="87" width="27.85546875" style="182" customWidth="1"/>
    <col min="88" max="88" width="33.140625" style="182" customWidth="1"/>
    <col min="89" max="89" width="35.140625" style="182" customWidth="1"/>
    <col min="90" max="90" width="22.7109375" style="182" customWidth="1"/>
    <col min="91" max="91" width="10.140625" style="182" customWidth="1"/>
    <col min="92" max="92" width="17.42578125" style="182" customWidth="1"/>
    <col min="93" max="93" width="23.5703125" style="182" customWidth="1"/>
    <col min="94" max="94" width="35.7109375" style="182" customWidth="1"/>
    <col min="95" max="95" width="34.42578125" style="182" customWidth="1"/>
    <col min="96" max="96" width="30.5703125" style="182" customWidth="1"/>
    <col min="97" max="97" width="15.85546875" style="182" customWidth="1"/>
    <col min="98" max="98" width="17.42578125" style="182" customWidth="1"/>
    <col min="99" max="99" width="17.5703125" style="182" customWidth="1"/>
    <col min="100" max="100" width="15.85546875" style="182" customWidth="1"/>
    <col min="101" max="101" width="30.42578125" style="182" customWidth="1"/>
    <col min="102" max="102" width="18.42578125" style="182" customWidth="1"/>
    <col min="103" max="103" width="14.5703125" style="182" customWidth="1"/>
    <col min="104" max="104" width="13.28515625" style="182" customWidth="1"/>
    <col min="105" max="105" width="17.28515625" style="182" customWidth="1"/>
    <col min="106" max="106" width="16.85546875" style="182" customWidth="1"/>
    <col min="107" max="107" width="18.42578125" style="182" customWidth="1"/>
    <col min="108" max="108" width="13.28515625" style="182" customWidth="1"/>
    <col min="109" max="109" width="14.85546875" style="182" customWidth="1"/>
    <col min="110" max="110" width="15.140625" style="182" customWidth="1"/>
    <col min="111" max="112" width="15.5703125" style="182" customWidth="1"/>
    <col min="113" max="113" width="14.5703125" style="182" customWidth="1"/>
    <col min="114" max="114" width="11.28515625" style="182" customWidth="1"/>
    <col min="115" max="115" width="19.28515625" style="182" customWidth="1"/>
    <col min="116" max="116" width="19.42578125" style="182" customWidth="1"/>
    <col min="117" max="117" width="14.28515625" style="182" customWidth="1"/>
    <col min="118" max="118" width="15.7109375" style="182" customWidth="1"/>
    <col min="119" max="119" width="13.28515625" style="182" customWidth="1"/>
    <col min="120" max="120" width="28.28515625" style="182" customWidth="1"/>
    <col min="121" max="121" width="16.85546875" style="524" customWidth="1"/>
    <col min="122" max="122" width="21.42578125" style="524" customWidth="1"/>
    <col min="123" max="123" width="16.28515625" style="182" customWidth="1"/>
    <col min="124" max="124" width="19.5703125" style="182" customWidth="1"/>
    <col min="125" max="125" width="16.85546875" style="182" customWidth="1"/>
    <col min="126" max="126" width="19.85546875" style="182" customWidth="1"/>
    <col min="127" max="127" width="18.42578125" style="182" customWidth="1"/>
    <col min="128" max="128" width="22.28515625" style="182" customWidth="1"/>
    <col min="129" max="129" width="22.5703125" style="182" customWidth="1"/>
    <col min="130" max="130" width="18.140625" style="182" customWidth="1"/>
    <col min="131" max="131" width="14.28515625" style="182" customWidth="1"/>
    <col min="132" max="132" width="19.42578125" style="182" customWidth="1"/>
    <col min="133" max="133" width="12" style="182" customWidth="1"/>
    <col min="134" max="134" width="11.28515625" style="182" customWidth="1"/>
    <col min="135" max="135" width="28.85546875" style="182" customWidth="1"/>
    <col min="136" max="136" width="12.85546875" style="523" customWidth="1"/>
    <col min="137" max="137" width="10.85546875" style="182" customWidth="1"/>
    <col min="138" max="141" width="10.5703125" style="182" customWidth="1"/>
    <col min="142" max="142" width="10.5703125" style="281" customWidth="1"/>
    <col min="143" max="143" width="10.5703125" style="525" customWidth="1"/>
    <col min="144" max="148" width="10.5703125" style="182" customWidth="1"/>
    <col min="149" max="149" width="10.5703125" style="523" customWidth="1"/>
    <col min="150" max="157" width="10.5703125" style="182" customWidth="1"/>
    <col min="158" max="158" width="10.5703125" style="518" customWidth="1"/>
    <col min="159" max="159" width="10.5703125" style="526" customWidth="1"/>
    <col min="160" max="160" width="10.5703125" style="182" customWidth="1"/>
    <col min="161" max="162" width="10.5703125" style="525" customWidth="1"/>
    <col min="163" max="196" width="10.5703125" style="182" customWidth="1"/>
    <col min="197" max="197" width="10.5703125" style="182" bestFit="1" customWidth="1"/>
    <col min="198" max="16384" width="9.140625" style="182"/>
  </cols>
  <sheetData>
    <row r="1" spans="1:196" s="56" customFormat="1" ht="23.45">
      <c r="A1" s="365"/>
      <c r="B1" s="366" t="s">
        <v>0</v>
      </c>
      <c r="C1" s="366"/>
      <c r="D1" s="367"/>
      <c r="E1" s="63" t="s">
        <v>1</v>
      </c>
      <c r="F1" s="368"/>
      <c r="G1" s="368"/>
      <c r="H1" s="368" t="s">
        <v>2</v>
      </c>
      <c r="I1" s="63"/>
      <c r="J1" s="63"/>
      <c r="K1" s="63"/>
      <c r="L1" s="368"/>
      <c r="M1" s="368"/>
      <c r="N1" s="368"/>
      <c r="O1" s="368"/>
      <c r="P1" s="368"/>
      <c r="Q1" s="63"/>
      <c r="R1" s="63"/>
      <c r="S1" s="63"/>
      <c r="T1" s="63"/>
      <c r="U1" s="369"/>
      <c r="V1" s="370"/>
      <c r="W1" s="371" t="s">
        <v>3</v>
      </c>
      <c r="X1" s="372" t="s">
        <v>4</v>
      </c>
      <c r="Y1" s="372"/>
      <c r="Z1" s="372"/>
      <c r="AA1" s="372"/>
      <c r="AB1" s="372"/>
      <c r="AC1" s="373"/>
      <c r="AD1" s="373"/>
      <c r="AE1" s="374"/>
      <c r="AF1" s="372"/>
      <c r="AG1" s="372"/>
      <c r="AH1" s="372"/>
      <c r="AI1" s="375"/>
      <c r="AJ1" s="375"/>
      <c r="AK1" s="372"/>
      <c r="AL1" s="372"/>
      <c r="AM1" s="372"/>
      <c r="AN1" s="372"/>
      <c r="AO1" s="372"/>
      <c r="AP1" s="372"/>
      <c r="AQ1" s="372"/>
      <c r="AR1" s="372"/>
      <c r="AS1" s="375"/>
      <c r="AT1" s="59" t="s">
        <v>5</v>
      </c>
      <c r="AU1" s="59"/>
      <c r="AV1" s="59"/>
      <c r="AW1" s="59"/>
      <c r="AX1" s="59"/>
      <c r="AY1" s="59"/>
      <c r="AZ1" s="59"/>
      <c r="BA1" s="59"/>
      <c r="BB1" s="376" t="s">
        <v>6</v>
      </c>
      <c r="BC1" s="376"/>
      <c r="BD1" s="376"/>
      <c r="BE1" s="376"/>
      <c r="BF1" s="61" t="s">
        <v>7</v>
      </c>
      <c r="BG1" s="61"/>
      <c r="BH1" s="61"/>
      <c r="BI1" s="61"/>
      <c r="BJ1" s="61"/>
      <c r="BK1" s="61"/>
      <c r="BL1" s="62"/>
      <c r="BM1" s="61"/>
      <c r="BN1" s="61"/>
      <c r="BO1" s="377"/>
      <c r="BP1" s="61"/>
      <c r="BQ1" s="61"/>
      <c r="BR1" s="61"/>
      <c r="BS1" s="61"/>
      <c r="BT1" s="61"/>
      <c r="BU1" s="61"/>
      <c r="BV1" s="378" t="s">
        <v>8</v>
      </c>
      <c r="BW1" s="378"/>
      <c r="BX1" s="378"/>
      <c r="BY1" s="379" t="s">
        <v>9</v>
      </c>
      <c r="BZ1" s="379"/>
      <c r="CA1" s="379"/>
      <c r="CB1" s="379"/>
      <c r="CC1" s="379"/>
      <c r="CD1" s="379"/>
      <c r="CE1" s="379"/>
      <c r="CF1" s="379"/>
      <c r="CG1" s="379"/>
      <c r="CH1" s="380" t="s">
        <v>10</v>
      </c>
      <c r="CI1" s="380"/>
      <c r="CJ1" s="380"/>
      <c r="CK1" s="380"/>
      <c r="CL1" s="381" t="s">
        <v>11</v>
      </c>
      <c r="CM1" s="381"/>
      <c r="CN1" s="381"/>
      <c r="CO1" s="381"/>
      <c r="CP1" s="381"/>
      <c r="CQ1" s="372" t="s">
        <v>12</v>
      </c>
      <c r="CR1" s="372"/>
      <c r="CS1" s="59" t="s">
        <v>13</v>
      </c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178">
        <f>SUBTOTAL(9,DL3:DL3)</f>
        <v>0</v>
      </c>
      <c r="DM1" s="59"/>
      <c r="DN1" s="59"/>
      <c r="DO1" s="59"/>
      <c r="DP1" s="59"/>
      <c r="DQ1" s="60">
        <f>SUBTOTAL(9,DQ3:DQ3)</f>
        <v>0</v>
      </c>
      <c r="DR1" s="60">
        <f>SUBTOTAL(9,DR3:DR3)</f>
        <v>0</v>
      </c>
      <c r="DS1" s="59"/>
      <c r="DT1" s="59"/>
      <c r="DU1" s="59"/>
      <c r="DV1" s="59"/>
      <c r="DW1" s="59"/>
      <c r="DX1" s="59"/>
      <c r="DY1" s="59"/>
      <c r="DZ1" s="179" t="s">
        <v>14</v>
      </c>
      <c r="EA1" s="58">
        <f>SUBTOTAL(9,EA3:EA3)</f>
        <v>0</v>
      </c>
      <c r="EB1" s="382" t="s">
        <v>15</v>
      </c>
      <c r="EC1" s="382"/>
      <c r="ED1" s="382"/>
      <c r="EE1" s="383" t="s">
        <v>16</v>
      </c>
      <c r="EF1" s="383"/>
      <c r="EG1" s="383"/>
      <c r="EH1" s="383"/>
      <c r="EI1" s="383"/>
      <c r="EJ1" s="383"/>
      <c r="EK1" s="383"/>
      <c r="EL1" s="383"/>
      <c r="EM1" s="383"/>
      <c r="EN1" s="383"/>
      <c r="EO1" s="383"/>
      <c r="EP1" s="383"/>
      <c r="EQ1" s="383"/>
      <c r="ER1" s="383"/>
      <c r="ES1" s="383"/>
      <c r="ET1" s="383"/>
      <c r="EU1" s="383"/>
      <c r="EV1" s="383"/>
      <c r="EW1" s="384" t="s">
        <v>17</v>
      </c>
      <c r="EX1" s="384"/>
      <c r="EY1" s="384"/>
      <c r="EZ1" s="384"/>
      <c r="FA1" s="384"/>
      <c r="FB1" s="384"/>
      <c r="FC1" s="384"/>
      <c r="FD1" s="384"/>
      <c r="FE1" s="384"/>
      <c r="FF1" s="384"/>
      <c r="FG1" s="384"/>
      <c r="FH1" s="385"/>
      <c r="FI1" s="385"/>
      <c r="FJ1" s="385"/>
      <c r="FK1" s="385"/>
      <c r="FL1" s="385" t="s">
        <v>18</v>
      </c>
      <c r="FM1" s="385"/>
      <c r="FN1" s="385"/>
      <c r="FO1" s="385"/>
      <c r="FP1" s="385"/>
      <c r="FQ1" s="385"/>
      <c r="FR1" s="385"/>
      <c r="FS1" s="57" t="s">
        <v>19</v>
      </c>
      <c r="FT1" s="57"/>
      <c r="FU1" s="57"/>
      <c r="FV1" s="386"/>
      <c r="FW1" s="386"/>
      <c r="FX1" s="386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  <c r="GL1" s="57"/>
      <c r="GM1" s="57"/>
      <c r="GN1" s="57"/>
    </row>
    <row r="2" spans="1:196" s="33" customFormat="1" ht="68.099999999999994">
      <c r="A2" s="387" t="s">
        <v>20</v>
      </c>
      <c r="B2" s="388" t="s">
        <v>21</v>
      </c>
      <c r="C2" s="388" t="s">
        <v>22</v>
      </c>
      <c r="D2" s="389" t="s">
        <v>23</v>
      </c>
      <c r="E2" s="390" t="s">
        <v>24</v>
      </c>
      <c r="F2" s="391" t="s">
        <v>25</v>
      </c>
      <c r="G2" s="391" t="s">
        <v>26</v>
      </c>
      <c r="H2" s="389" t="s">
        <v>27</v>
      </c>
      <c r="I2" s="389" t="s">
        <v>28</v>
      </c>
      <c r="J2" s="389" t="s">
        <v>29</v>
      </c>
      <c r="K2" s="389" t="s">
        <v>30</v>
      </c>
      <c r="L2" s="391" t="s">
        <v>31</v>
      </c>
      <c r="M2" s="391" t="s">
        <v>32</v>
      </c>
      <c r="N2" s="391" t="s">
        <v>33</v>
      </c>
      <c r="O2" s="391" t="s">
        <v>34</v>
      </c>
      <c r="P2" s="391" t="s">
        <v>35</v>
      </c>
      <c r="Q2" s="390" t="s">
        <v>36</v>
      </c>
      <c r="R2" s="390" t="s">
        <v>37</v>
      </c>
      <c r="S2" s="390" t="s">
        <v>38</v>
      </c>
      <c r="T2" s="447" t="s">
        <v>39</v>
      </c>
      <c r="U2" s="389" t="s">
        <v>40</v>
      </c>
      <c r="V2" s="389" t="s">
        <v>41</v>
      </c>
      <c r="W2" s="392">
        <f ca="1">TODAY()</f>
        <v>46172</v>
      </c>
      <c r="X2" s="389" t="s">
        <v>42</v>
      </c>
      <c r="Y2" s="389" t="s">
        <v>43</v>
      </c>
      <c r="Z2" s="393" t="s">
        <v>44</v>
      </c>
      <c r="AA2" s="389" t="s">
        <v>45</v>
      </c>
      <c r="AB2" s="389" t="s">
        <v>46</v>
      </c>
      <c r="AC2" s="393" t="s">
        <v>47</v>
      </c>
      <c r="AD2" s="393" t="s">
        <v>48</v>
      </c>
      <c r="AE2" s="394" t="s">
        <v>49</v>
      </c>
      <c r="AF2" s="395" t="s">
        <v>50</v>
      </c>
      <c r="AG2" s="395" t="s">
        <v>51</v>
      </c>
      <c r="AH2" s="389" t="s">
        <v>52</v>
      </c>
      <c r="AI2" s="396" t="s">
        <v>53</v>
      </c>
      <c r="AJ2" s="396" t="s">
        <v>54</v>
      </c>
      <c r="AK2" s="389" t="s">
        <v>55</v>
      </c>
      <c r="AL2" s="389" t="s">
        <v>56</v>
      </c>
      <c r="AM2" s="389" t="s">
        <v>57</v>
      </c>
      <c r="AN2" s="389" t="s">
        <v>58</v>
      </c>
      <c r="AO2" s="389" t="s">
        <v>59</v>
      </c>
      <c r="AP2" s="397" t="s">
        <v>60</v>
      </c>
      <c r="AQ2" s="389" t="s">
        <v>61</v>
      </c>
      <c r="AR2" s="389" t="s">
        <v>62</v>
      </c>
      <c r="AS2" s="398" t="s">
        <v>63</v>
      </c>
      <c r="AT2" s="389" t="s">
        <v>64</v>
      </c>
      <c r="AU2" s="389" t="s">
        <v>65</v>
      </c>
      <c r="AV2" s="389" t="s">
        <v>66</v>
      </c>
      <c r="AW2" s="393" t="s">
        <v>67</v>
      </c>
      <c r="AX2" s="389" t="s">
        <v>68</v>
      </c>
      <c r="AY2" s="389" t="s">
        <v>69</v>
      </c>
      <c r="AZ2" s="395" t="s">
        <v>70</v>
      </c>
      <c r="BA2" s="391" t="s">
        <v>71</v>
      </c>
      <c r="BB2" s="391" t="s">
        <v>72</v>
      </c>
      <c r="BC2" s="391" t="s">
        <v>73</v>
      </c>
      <c r="BD2" s="391" t="s">
        <v>74</v>
      </c>
      <c r="BE2" s="391" t="s">
        <v>75</v>
      </c>
      <c r="BF2" s="391" t="s">
        <v>72</v>
      </c>
      <c r="BG2" s="391" t="s">
        <v>74</v>
      </c>
      <c r="BH2" s="391" t="s">
        <v>75</v>
      </c>
      <c r="BI2" s="391" t="s">
        <v>76</v>
      </c>
      <c r="BJ2" s="400" t="s">
        <v>77</v>
      </c>
      <c r="BK2" s="400" t="s">
        <v>78</v>
      </c>
      <c r="BL2" s="402" t="s">
        <v>79</v>
      </c>
      <c r="BM2" s="399" t="s">
        <v>80</v>
      </c>
      <c r="BN2" s="395" t="s">
        <v>81</v>
      </c>
      <c r="BO2" s="403" t="s">
        <v>82</v>
      </c>
      <c r="BP2" s="404" t="s">
        <v>83</v>
      </c>
      <c r="BQ2" s="405" t="s">
        <v>30</v>
      </c>
      <c r="BR2" s="405" t="s">
        <v>84</v>
      </c>
      <c r="BS2" s="391" t="s">
        <v>85</v>
      </c>
      <c r="BT2" s="391" t="s">
        <v>86</v>
      </c>
      <c r="BU2" s="391" t="s">
        <v>87</v>
      </c>
      <c r="BV2" s="399" t="s">
        <v>88</v>
      </c>
      <c r="BW2" s="399" t="s">
        <v>89</v>
      </c>
      <c r="BX2" s="400" t="s">
        <v>90</v>
      </c>
      <c r="BY2" s="395" t="s">
        <v>91</v>
      </c>
      <c r="BZ2" s="389" t="s">
        <v>92</v>
      </c>
      <c r="CA2" s="391" t="s">
        <v>93</v>
      </c>
      <c r="CB2" s="391" t="s">
        <v>94</v>
      </c>
      <c r="CC2" s="391" t="s">
        <v>95</v>
      </c>
      <c r="CD2" s="391" t="s">
        <v>96</v>
      </c>
      <c r="CE2" s="391" t="s">
        <v>97</v>
      </c>
      <c r="CF2" s="406" t="s">
        <v>98</v>
      </c>
      <c r="CG2" s="406" t="s">
        <v>99</v>
      </c>
      <c r="CH2" s="389" t="s">
        <v>100</v>
      </c>
      <c r="CI2" s="404" t="s">
        <v>101</v>
      </c>
      <c r="CJ2" s="404" t="s">
        <v>102</v>
      </c>
      <c r="CK2" s="404" t="s">
        <v>103</v>
      </c>
      <c r="CL2" s="399" t="s">
        <v>104</v>
      </c>
      <c r="CM2" s="391" t="s">
        <v>105</v>
      </c>
      <c r="CN2" s="407" t="s">
        <v>106</v>
      </c>
      <c r="CO2" s="407" t="s">
        <v>107</v>
      </c>
      <c r="CP2" s="407" t="s">
        <v>108</v>
      </c>
      <c r="CQ2" s="407" t="s">
        <v>109</v>
      </c>
      <c r="CR2" s="408" t="s">
        <v>110</v>
      </c>
      <c r="CS2" s="409" t="s">
        <v>111</v>
      </c>
      <c r="CT2" s="409" t="s">
        <v>112</v>
      </c>
      <c r="CU2" s="409" t="s">
        <v>113</v>
      </c>
      <c r="CV2" s="409" t="s">
        <v>114</v>
      </c>
      <c r="CW2" s="409" t="s">
        <v>115</v>
      </c>
      <c r="CX2" s="409" t="s">
        <v>116</v>
      </c>
      <c r="CY2" s="410" t="s">
        <v>117</v>
      </c>
      <c r="CZ2" s="410" t="s">
        <v>118</v>
      </c>
      <c r="DA2" s="410" t="s">
        <v>119</v>
      </c>
      <c r="DB2" s="409" t="s">
        <v>120</v>
      </c>
      <c r="DC2" s="409" t="s">
        <v>121</v>
      </c>
      <c r="DD2" s="411" t="s">
        <v>122</v>
      </c>
      <c r="DE2" s="409" t="s">
        <v>123</v>
      </c>
      <c r="DF2" s="409" t="s">
        <v>124</v>
      </c>
      <c r="DG2" s="409" t="s">
        <v>125</v>
      </c>
      <c r="DH2" s="409" t="s">
        <v>126</v>
      </c>
      <c r="DI2" s="409" t="s">
        <v>127</v>
      </c>
      <c r="DJ2" s="409" t="s">
        <v>128</v>
      </c>
      <c r="DK2" s="409" t="s">
        <v>129</v>
      </c>
      <c r="DL2" s="389" t="s">
        <v>130</v>
      </c>
      <c r="DM2" s="389" t="s">
        <v>131</v>
      </c>
      <c r="DN2" s="409" t="s">
        <v>132</v>
      </c>
      <c r="DO2" s="409" t="s">
        <v>133</v>
      </c>
      <c r="DP2" s="409" t="s">
        <v>134</v>
      </c>
      <c r="DQ2" s="410" t="s">
        <v>135</v>
      </c>
      <c r="DR2" s="410" t="s">
        <v>136</v>
      </c>
      <c r="DS2" s="409" t="s">
        <v>137</v>
      </c>
      <c r="DT2" s="412" t="s">
        <v>138</v>
      </c>
      <c r="DU2" s="409" t="s">
        <v>139</v>
      </c>
      <c r="DV2" s="409" t="s">
        <v>140</v>
      </c>
      <c r="DW2" s="409" t="s">
        <v>141</v>
      </c>
      <c r="DX2" s="409" t="s">
        <v>142</v>
      </c>
      <c r="DY2" s="409" t="s">
        <v>143</v>
      </c>
      <c r="DZ2" s="409" t="s">
        <v>144</v>
      </c>
      <c r="EA2" s="409" t="s">
        <v>145</v>
      </c>
      <c r="EB2" s="496" t="s">
        <v>146</v>
      </c>
      <c r="EC2" s="496" t="s">
        <v>147</v>
      </c>
      <c r="ED2" s="496" t="s">
        <v>148</v>
      </c>
      <c r="EE2" s="389" t="s">
        <v>149</v>
      </c>
      <c r="EF2" s="389" t="s">
        <v>150</v>
      </c>
      <c r="EG2" s="389" t="s">
        <v>151</v>
      </c>
      <c r="EH2" s="389" t="s">
        <v>152</v>
      </c>
      <c r="EI2" s="389" t="s">
        <v>153</v>
      </c>
      <c r="EJ2" s="389" t="s">
        <v>154</v>
      </c>
      <c r="EK2" s="389" t="s">
        <v>155</v>
      </c>
      <c r="EL2" s="413" t="s">
        <v>156</v>
      </c>
      <c r="EM2" s="413" t="s">
        <v>157</v>
      </c>
      <c r="EN2" s="389" t="s">
        <v>158</v>
      </c>
      <c r="EO2" s="389" t="s">
        <v>159</v>
      </c>
      <c r="EP2" s="389" t="s">
        <v>160</v>
      </c>
      <c r="EQ2" s="389" t="s">
        <v>161</v>
      </c>
      <c r="ER2" s="389" t="s">
        <v>162</v>
      </c>
      <c r="ES2" s="389" t="s">
        <v>163</v>
      </c>
      <c r="ET2" s="389" t="s">
        <v>164</v>
      </c>
      <c r="EU2" s="389" t="s">
        <v>165</v>
      </c>
      <c r="EV2" s="389" t="s">
        <v>166</v>
      </c>
      <c r="EW2" s="391" t="s">
        <v>167</v>
      </c>
      <c r="EX2" s="391" t="s">
        <v>168</v>
      </c>
      <c r="EY2" s="391" t="s">
        <v>169</v>
      </c>
      <c r="EZ2" s="391" t="s">
        <v>170</v>
      </c>
      <c r="FA2" s="389" t="s">
        <v>171</v>
      </c>
      <c r="FB2" s="393" t="s">
        <v>172</v>
      </c>
      <c r="FC2" s="414" t="s">
        <v>173</v>
      </c>
      <c r="FD2" s="391" t="s">
        <v>174</v>
      </c>
      <c r="FE2" s="391" t="s">
        <v>175</v>
      </c>
      <c r="FF2" s="391" t="s">
        <v>176</v>
      </c>
      <c r="FG2" s="391" t="s">
        <v>177</v>
      </c>
      <c r="FH2" s="415" t="s">
        <v>178</v>
      </c>
      <c r="FI2" s="415" t="s">
        <v>179</v>
      </c>
      <c r="FJ2" s="415"/>
      <c r="FK2" s="415"/>
      <c r="FL2" s="415" t="s">
        <v>180</v>
      </c>
      <c r="FM2" s="415" t="s">
        <v>181</v>
      </c>
      <c r="FN2" s="415" t="s">
        <v>182</v>
      </c>
      <c r="FO2" s="415" t="s">
        <v>183</v>
      </c>
      <c r="FP2" s="415" t="s">
        <v>184</v>
      </c>
      <c r="FQ2" s="415" t="s">
        <v>185</v>
      </c>
      <c r="FR2" s="415" t="s">
        <v>186</v>
      </c>
      <c r="FS2" s="416" t="s">
        <v>187</v>
      </c>
      <c r="FT2" s="416" t="s">
        <v>188</v>
      </c>
      <c r="FU2" s="416" t="s">
        <v>189</v>
      </c>
      <c r="FV2" s="416" t="s">
        <v>190</v>
      </c>
      <c r="FW2" s="416" t="s">
        <v>191</v>
      </c>
      <c r="FX2" s="416" t="s">
        <v>192</v>
      </c>
      <c r="FY2" s="416" t="s">
        <v>193</v>
      </c>
      <c r="FZ2" s="416" t="s">
        <v>193</v>
      </c>
      <c r="GA2" s="416" t="s">
        <v>194</v>
      </c>
      <c r="GB2" s="416" t="s">
        <v>195</v>
      </c>
      <c r="GC2" s="416" t="s">
        <v>196</v>
      </c>
      <c r="GD2" s="416" t="s">
        <v>197</v>
      </c>
      <c r="GE2" s="416" t="s">
        <v>198</v>
      </c>
      <c r="GF2" s="416" t="s">
        <v>199</v>
      </c>
      <c r="GG2" s="416" t="s">
        <v>200</v>
      </c>
      <c r="GH2" s="389" t="s">
        <v>201</v>
      </c>
      <c r="GI2" s="389" t="s">
        <v>202</v>
      </c>
      <c r="GJ2" s="389" t="s">
        <v>203</v>
      </c>
      <c r="GK2" s="389" t="s">
        <v>204</v>
      </c>
      <c r="GL2" s="389" t="s">
        <v>205</v>
      </c>
      <c r="GM2" s="389" t="s">
        <v>206</v>
      </c>
      <c r="GN2" s="417" t="s">
        <v>207</v>
      </c>
    </row>
    <row r="3" spans="1:196" s="418" customFormat="1" ht="55.5">
      <c r="A3" s="2" t="str">
        <f t="shared" ref="A3:A5" si="0">IF(DZ3="CLOSE","Trade closed",IF(DZ3="PMT Pending","FNF Settlement is Due",IF(CS3&lt;&gt;0,"FNF Reconcillation Onging",IF(CR3&lt;&gt;0," Final Pmt Recd , FNF Pending",IF(CM3&lt;&gt;0,"Exp Dox Presented to Bank, Pmt Pending",IF(BZ3&lt;&gt;0,"OBL Scan Recd, Nego Pending",IF(BM3&lt;&gt;0,"Sailed, OBL &amp; Certs Pending",IF(BJ3&lt;&gt;0,"Stuffed, Yet to Sail",IF(BB3&lt;&gt;0,"SI Sent, Shipment Awaited",IF(BA3&lt;&gt;0,"Advance Rcvd, SI Pending",IF(Z3&lt;&gt;0,"SC Raised, Advance Pending",IF(X3&lt;&gt;0,"Deal Ticket Rcvd SC Pending", "Entry Pending"))))))))))))</f>
        <v>Exp Dox Presented to Bank, Pmt Pending</v>
      </c>
      <c r="B3" s="281">
        <v>51</v>
      </c>
      <c r="C3" s="281">
        <v>190</v>
      </c>
      <c r="D3" s="182" t="s">
        <v>208</v>
      </c>
      <c r="E3" s="2" t="str">
        <f t="shared" ref="E3:E5" si="1">IF(AND(LEFT(TRIM(AA3&amp;""),1)="3",BI3&lt;&gt;""),"CLOSE POSITION",
IF(AND(LEFT(TRIM(AA3&amp;""),1)="3",BI3=""),"SHORT POSITION",
IF(AND(LEFT(TRIM(AA3&amp;""),1)&lt;&gt;"3",BI3&lt;&gt;""),"LONG POSITION","ENTRY PENDING")))</f>
        <v>CLOSE POSITION</v>
      </c>
      <c r="F3" s="271">
        <f t="shared" ref="F3:F5" si="2">AA3</f>
        <v>32014425</v>
      </c>
      <c r="G3" s="271"/>
      <c r="H3" s="2" t="str">
        <f t="shared" ref="H3:H5" si="3">AB3</f>
        <v>VALENCY AGRO // HSS // ORGANIC FOODS INDIA EXIM</v>
      </c>
      <c r="I3" s="3" t="s">
        <v>209</v>
      </c>
      <c r="J3" s="2" t="s">
        <v>210</v>
      </c>
      <c r="K3" s="2" t="str">
        <f t="shared" ref="K3:K5" si="4">IF(BQ3&lt;&gt;0,BQ3,"")</f>
        <v xml:space="preserve">TUTICORIN, INDIA </v>
      </c>
      <c r="L3" s="2" t="str">
        <f t="shared" ref="L3:L5" si="5">IF(BI3&lt;&gt;0,BI3,"")</f>
        <v>MEDULG618084</v>
      </c>
      <c r="M3" s="2">
        <f t="shared" ref="M3:M5" si="6">IF(BJ3&lt;&gt;0,BJ3,"")</f>
        <v>107.05</v>
      </c>
      <c r="N3" s="22">
        <f t="shared" ref="N3:N5" si="7">IF(BM3&lt;&gt;0,BM3,"")</f>
        <v>46090</v>
      </c>
      <c r="O3" s="22">
        <f t="shared" ref="O3:O5" si="8">IF(BO3&lt;&gt;0,BO3,"")</f>
        <v>46143</v>
      </c>
      <c r="P3" s="22" t="str">
        <f t="shared" ref="P3:P5" si="9">CE3</f>
        <v>OBL In Destination - INDIA</v>
      </c>
      <c r="Q3" s="2"/>
      <c r="R3" s="2" t="str">
        <f t="shared" ref="R3:R5" si="10">CK3</f>
        <v>CERTS in Destination - INDIA</v>
      </c>
      <c r="S3" s="2" t="str">
        <f t="shared" ref="S3:S5" si="11">CP3</f>
        <v>Docs in Buyer's Nego Bank</v>
      </c>
      <c r="T3" s="2" t="str">
        <f>IFERROR(_xlfn.XLOOKUP(F3,
'[2]Data 2026'!$H$12:$H$111,
'[2]Data 2026'!$CL$12:$CL$111),"")</f>
        <v/>
      </c>
      <c r="U3" s="3" t="s">
        <v>211</v>
      </c>
      <c r="V3" s="272" t="s">
        <v>212</v>
      </c>
      <c r="W3" s="3"/>
      <c r="X3" s="24">
        <v>46380</v>
      </c>
      <c r="Y3" s="273">
        <v>20009386</v>
      </c>
      <c r="Z3" s="24">
        <v>46380</v>
      </c>
      <c r="AA3" s="182">
        <v>32014425</v>
      </c>
      <c r="AB3" s="182" t="s">
        <v>213</v>
      </c>
      <c r="AC3" s="182" t="s">
        <v>214</v>
      </c>
      <c r="AD3" s="181">
        <v>46096</v>
      </c>
      <c r="AE3" s="44">
        <v>0.1</v>
      </c>
      <c r="AF3" s="276">
        <v>100</v>
      </c>
      <c r="AG3" s="35">
        <f t="shared" ref="AG3:AG5" si="12">AF3*(1-AE3)</f>
        <v>90</v>
      </c>
      <c r="AH3" s="3" t="s">
        <v>215</v>
      </c>
      <c r="AI3" s="35">
        <v>1615</v>
      </c>
      <c r="AJ3" s="35">
        <v>161500</v>
      </c>
      <c r="AK3" s="3" t="s">
        <v>216</v>
      </c>
      <c r="AL3" s="3" t="s">
        <v>217</v>
      </c>
      <c r="AM3" s="30">
        <v>0</v>
      </c>
      <c r="AN3" s="183">
        <v>1</v>
      </c>
      <c r="AO3" s="183">
        <v>0</v>
      </c>
      <c r="AP3" s="28" t="s">
        <v>218</v>
      </c>
      <c r="AQ3" s="18" t="s">
        <v>219</v>
      </c>
      <c r="AR3" s="18"/>
      <c r="AS3" s="18"/>
      <c r="AT3" s="3" t="s">
        <v>220</v>
      </c>
      <c r="AU3" s="3" t="s">
        <v>220</v>
      </c>
      <c r="AV3" s="3" t="s">
        <v>220</v>
      </c>
      <c r="AW3" s="9"/>
      <c r="AX3" s="3"/>
      <c r="AY3" s="47"/>
      <c r="AZ3" s="275">
        <f>AF3*AI3*AM3</f>
        <v>0</v>
      </c>
      <c r="BA3" s="18"/>
      <c r="BB3" s="22">
        <v>46030</v>
      </c>
      <c r="BC3" s="22"/>
      <c r="BD3" s="22"/>
      <c r="BE3" s="22"/>
      <c r="BF3" s="22">
        <v>46030</v>
      </c>
      <c r="BG3" s="18"/>
      <c r="BH3" s="18"/>
      <c r="BI3" s="3" t="s">
        <v>221</v>
      </c>
      <c r="BJ3" s="43">
        <v>107.05</v>
      </c>
      <c r="BK3" s="46" t="s">
        <v>222</v>
      </c>
      <c r="BL3" s="498">
        <v>4</v>
      </c>
      <c r="BM3" s="18">
        <v>46090</v>
      </c>
      <c r="BN3" s="4" t="s">
        <v>223</v>
      </c>
      <c r="BO3" s="18">
        <v>46143</v>
      </c>
      <c r="BP3" s="3" t="s">
        <v>224</v>
      </c>
      <c r="BQ3" s="21" t="s">
        <v>225</v>
      </c>
      <c r="BR3" s="2" t="s">
        <v>226</v>
      </c>
      <c r="BS3" s="2"/>
      <c r="BT3" s="2" t="s">
        <v>227</v>
      </c>
      <c r="BU3" s="3" t="s">
        <v>228</v>
      </c>
      <c r="BV3" s="20">
        <v>90083238</v>
      </c>
      <c r="BW3" s="19"/>
      <c r="BX3" s="46">
        <f t="shared" ref="BX3:BX5" si="13">BJ3*AI3</f>
        <v>172885.75</v>
      </c>
      <c r="BY3" s="22">
        <v>46126</v>
      </c>
      <c r="BZ3" s="22">
        <v>46122</v>
      </c>
      <c r="CA3" s="418">
        <v>4213158176</v>
      </c>
      <c r="CB3" s="22">
        <v>46126</v>
      </c>
      <c r="CC3" s="22"/>
      <c r="CD3" s="22"/>
      <c r="CE3" s="22" t="str">
        <f t="shared" ref="CE3:CE5" si="14">IF(J3="VIETNAM",
IF(CG3&lt;&gt;"","OBL in Vietnam Office",
IF(CF3&lt;&gt;"","OBL in Transit from Vietnam Office",
IF(CD3&lt;&gt;0,"OBL In Destination - "&amp;J3,
IF(CC3&lt;&gt;0,"OBL in Transit to Destination - "&amp;J3,
IF(CB3&lt;&gt;0,"OBL in SIG Office",
IF(CA3&lt;&gt;0,"OBL in Transit from Origin to SIG",
IF(BZ3&lt;&gt;0,"OBL in Origin - "&amp;I3,
IF(BY3&lt;&gt;0,"Draft Rcvd","No OBL Yet")))))))),
IF(CO3&lt;&gt;0,"OBL In Destination - "&amp;J3,
IF(CM3&lt;&gt;0,"OBL in Transit with Nego Docs - "&amp;J3,
IF(CB3&lt;&gt;0,"OBL in SIG Office",
IF(CA3&lt;&gt;0,"OBL in Transit from Origin to SIG",
IF(BZ3&lt;&gt;0,"OBL in Origin - "&amp;I3,
IF(BY3&lt;&gt;0,"Draft Rcvd","No OBL Yet")))))))</f>
        <v>OBL In Destination - INDIA</v>
      </c>
      <c r="CF3" s="22"/>
      <c r="CG3" s="22"/>
      <c r="CH3" s="22">
        <v>46126</v>
      </c>
      <c r="CI3" s="2">
        <v>7012074694</v>
      </c>
      <c r="CJ3" s="22">
        <v>46125</v>
      </c>
      <c r="CK3" s="2" t="str">
        <f t="shared" ref="CK3:CK5" si="15">IF(CJ3&lt;&gt;0,"CERTS in Destination - "&amp;J3,IF(CI3&lt;&gt;0,"CERT in Transit to -"&amp;J3,IF(CH3&lt;&gt;0,"CERT in Origin - "&amp;I3,IF(CH3="","No CERTS Yet"))))</f>
        <v>CERTS in Destination - INDIA</v>
      </c>
      <c r="CL3" s="48" t="s">
        <v>229</v>
      </c>
      <c r="CM3" s="22">
        <v>46126</v>
      </c>
      <c r="CN3" s="55">
        <v>5993795931</v>
      </c>
      <c r="CO3" s="436">
        <v>43922</v>
      </c>
      <c r="CP3" s="55" t="str">
        <f t="shared" ref="CP3:CP5" si="16">IF(CO3&lt;&gt;0,"Docs in Buyer's Nego Bank",IF(CN3&lt;&gt;0,"Docs in Transit to Buyer's Nego Bank",IF(CM3&lt;&gt;0,"Docs in Our Nego Bank",IF(CL3="TT PAYMENT","Not Applicable",""))))</f>
        <v>Docs in Buyer's Nego Bank</v>
      </c>
      <c r="CQ3" s="50">
        <f t="shared" ref="CQ3:CQ5" si="17">(AN3*AI3*BJ3)-AZ3</f>
        <v>172885.75</v>
      </c>
      <c r="CR3" s="54"/>
      <c r="CS3" s="2"/>
      <c r="CT3" s="2"/>
      <c r="CU3" s="14" t="str">
        <f t="shared" ref="CU3:CU5" si="18">IF(CS3="","",BJ3-CT3)</f>
        <v/>
      </c>
      <c r="CV3" s="42" t="str">
        <f t="shared" ref="CV3:CV5" si="19">IF(CS3="","",CU3/BJ3)</f>
        <v/>
      </c>
      <c r="CW3" s="14" t="str">
        <f t="shared" ref="CW3:CW5" si="20">IF(CS3="","",AZ3+CQ3)</f>
        <v/>
      </c>
      <c r="CX3" s="14" t="str">
        <f t="shared" ref="CX3:CX5" si="21">IF(CS3="","",BX3*2%)</f>
        <v/>
      </c>
      <c r="CY3" s="15" t="str">
        <f t="shared" ref="CY3:CY5" si="22">IF(CS3="","",AI3/B3)</f>
        <v/>
      </c>
      <c r="CZ3" s="2"/>
      <c r="DA3" s="41" t="str">
        <f t="shared" ref="DA3:DA5" si="23">IF(CS3="","",B3-CZ3)</f>
        <v/>
      </c>
      <c r="DB3" s="2"/>
      <c r="DC3" s="39" t="str">
        <f t="shared" ref="DC3:DC5" si="24">IF(CS3="","",IF(CS3="","",DB3-C3))</f>
        <v/>
      </c>
      <c r="DD3" s="40"/>
      <c r="DE3" s="16" t="str">
        <f t="shared" ref="DE3:DE5" si="25">IF(CS3="","",10%-DD3)</f>
        <v/>
      </c>
      <c r="DF3" s="2" t="str">
        <f t="shared" ref="DF3:DF5" si="26">IF(CS3="","",CU3*AI3)</f>
        <v/>
      </c>
      <c r="DG3" s="14" t="str">
        <f t="shared" ref="DG3:DG5" si="27">IF(CS3="","",IF(DA3&gt;2,2*DA3*CT3*CY3,DA3*CT3*CY3))</f>
        <v/>
      </c>
      <c r="DH3" s="2" t="str">
        <f t="shared" ref="DH3:DH5" si="28">IF(CS3="","",IF(DA3&gt;2,2*(DA3-2*CT3*CY3),0))</f>
        <v/>
      </c>
      <c r="DI3" s="39" t="str">
        <f t="shared" ref="DI3:DI5" si="29">IF(CS3="","",IF(DC3&gt;0,DC3*0.5*CT3,0))</f>
        <v/>
      </c>
      <c r="DJ3" s="2" t="str">
        <f t="shared" ref="DJ3:DJ5" si="30">IF(CS3="","",IF(DE3&lt;0,DE3*CT3*AI3*1%,0))</f>
        <v/>
      </c>
      <c r="DK3" s="15" t="str">
        <f t="shared" ref="DK3:DK5" si="31">IF(CS3="","",SUM(DF3:DJ3))</f>
        <v/>
      </c>
      <c r="DL3" s="2"/>
      <c r="DM3" s="2"/>
      <c r="DN3" s="15" t="str">
        <f t="shared" ref="DN3:DN5" si="32">IF(CS3="","",SUM(DK3:DL3))</f>
        <v/>
      </c>
      <c r="DO3" s="14" t="str">
        <f t="shared" ref="DO3:DO5" si="33">IF(CS3="","",BJ3*AI3-DN3)</f>
        <v/>
      </c>
      <c r="DP3" s="14" t="str">
        <f t="shared" ref="DP3:DP5" si="34">IF(CS3="","",AZ3+CQ3)</f>
        <v/>
      </c>
      <c r="DQ3" s="15" t="str">
        <f t="shared" ref="DQ3:DQ5" si="35">IF(CS3="","",IF((DP3-DO3)&gt;0,DP3-DO3,""))</f>
        <v/>
      </c>
      <c r="DR3" s="15" t="str">
        <f t="shared" ref="DR3:DR5" si="36">IF(CS3="","",IF((DO3-DP3)&gt;0,(DO3-DP3),""))</f>
        <v/>
      </c>
      <c r="DS3" s="2" t="str">
        <f t="shared" ref="DS3:DS5" si="37">IF(CS3="","",IF(DQ3="",H3,"VALENCY"))</f>
        <v/>
      </c>
      <c r="DT3" s="2" t="str">
        <f t="shared" ref="DT3:DT5" si="38">IF(DN3="","",IF(DN3&gt;0,"CN", "DN"))</f>
        <v/>
      </c>
      <c r="DU3" s="2"/>
      <c r="DV3" s="2"/>
      <c r="DW3" s="2"/>
      <c r="DX3" s="2"/>
      <c r="DY3" s="2" t="s">
        <v>230</v>
      </c>
      <c r="DZ3" s="2"/>
      <c r="EA3" s="2" t="str">
        <f t="shared" ref="EA3:EA5" si="39">IF(CS3="","",
   MIN(0,(IF(DA3&gt;2,2,1)*DA3*CT3*CY3))
)</f>
        <v/>
      </c>
      <c r="EB3" s="2">
        <v>46.854999999999997</v>
      </c>
      <c r="EC3" s="2">
        <v>197</v>
      </c>
      <c r="ED3" s="2">
        <v>9</v>
      </c>
      <c r="EE3" s="3">
        <v>4900009449</v>
      </c>
      <c r="EF3" s="37"/>
      <c r="EG3" s="3"/>
      <c r="EH3" s="2" t="s">
        <v>231</v>
      </c>
      <c r="EI3" s="3"/>
      <c r="EJ3" s="35">
        <f>BJ3</f>
        <v>107.05</v>
      </c>
      <c r="EK3" s="35">
        <v>2010</v>
      </c>
      <c r="EL3" s="36" t="s">
        <v>220</v>
      </c>
      <c r="EM3" s="7"/>
      <c r="EN3" s="46">
        <f t="shared" ref="EN3:EN5" si="40">EK3*EJ3</f>
        <v>215170.5</v>
      </c>
      <c r="EO3" s="3" t="s">
        <v>232</v>
      </c>
      <c r="EP3" s="3"/>
      <c r="EQ3" s="3"/>
      <c r="ER3" s="3"/>
      <c r="ES3" s="7"/>
      <c r="ET3" s="3"/>
      <c r="EU3" s="3"/>
      <c r="EV3" s="2" t="str">
        <f t="shared" ref="EV3:EV5" si="41">IF(CR3&lt;&gt;0,"Final Pmt Recd",IF(CM3&lt;&gt;0,"Export Loan",IF(BZ3&lt;&gt;0,"Nego Pending",IF(Z3&lt;&gt;0,"Yet to load","Yet to load"))))</f>
        <v>Export Loan</v>
      </c>
      <c r="EW3" s="46"/>
      <c r="EX3" s="46">
        <f t="shared" ref="EX3:EX5" si="42">EW3/BJ3</f>
        <v>0</v>
      </c>
      <c r="EY3" s="46" t="s">
        <v>233</v>
      </c>
      <c r="EZ3" s="24"/>
      <c r="FA3" s="2"/>
      <c r="FB3" s="24"/>
      <c r="FC3" s="53"/>
      <c r="FD3" s="46">
        <f t="shared" ref="FD3:FD5" si="43">FC3*BJ3</f>
        <v>0</v>
      </c>
      <c r="FE3" s="52"/>
      <c r="FF3" s="52"/>
      <c r="FG3" s="49"/>
      <c r="FH3" s="49"/>
      <c r="FI3" s="49"/>
      <c r="FJ3" s="49"/>
      <c r="FK3" s="49"/>
      <c r="FL3" s="49">
        <f t="shared" ref="FL3:FL34" si="44">IFERROR(EZ3-BY3,"")</f>
        <v>-46126</v>
      </c>
      <c r="FM3" s="180">
        <f t="shared" ref="FM3:FM34" si="45">IFERROR(BM3-FB3,"")</f>
        <v>46090</v>
      </c>
      <c r="FN3" s="49"/>
      <c r="FO3" s="49"/>
      <c r="FP3" s="49"/>
      <c r="FQ3" s="49"/>
      <c r="FR3" s="49"/>
      <c r="FS3" s="6">
        <v>20009386</v>
      </c>
      <c r="FT3" s="3">
        <v>32014425</v>
      </c>
      <c r="FU3" s="420">
        <v>4900009449</v>
      </c>
      <c r="FV3" s="3">
        <v>5000271563</v>
      </c>
      <c r="FW3" s="3" t="s">
        <v>234</v>
      </c>
      <c r="FX3" s="3">
        <v>5105710238</v>
      </c>
      <c r="FY3" s="3"/>
      <c r="FZ3" s="3"/>
      <c r="GA3" s="3"/>
      <c r="GB3" s="3"/>
      <c r="GC3" s="3">
        <v>40081687</v>
      </c>
      <c r="GD3" s="3">
        <v>90083238</v>
      </c>
      <c r="GE3" s="3"/>
      <c r="GF3" s="3" t="s">
        <v>235</v>
      </c>
      <c r="GG3" s="3"/>
      <c r="GH3" s="3"/>
      <c r="GI3" s="3"/>
      <c r="GJ3" s="3"/>
      <c r="GK3" s="3"/>
      <c r="GL3" s="3"/>
      <c r="GM3" s="3"/>
      <c r="GN3" s="35"/>
    </row>
    <row r="4" spans="1:196" s="1" customFormat="1" ht="55.5">
      <c r="A4" s="2" t="str">
        <f t="shared" si="0"/>
        <v xml:space="preserve"> Final Pmt Recd , FNF Pending</v>
      </c>
      <c r="B4" s="281">
        <v>51</v>
      </c>
      <c r="C4" s="281">
        <v>190</v>
      </c>
      <c r="D4" s="182" t="s">
        <v>208</v>
      </c>
      <c r="E4" s="2" t="str">
        <f t="shared" si="1"/>
        <v>CLOSE POSITION</v>
      </c>
      <c r="F4" s="271">
        <f t="shared" si="2"/>
        <v>32013748</v>
      </c>
      <c r="G4" s="271"/>
      <c r="H4" s="2" t="str">
        <f t="shared" si="3"/>
        <v>ST. PAULS CASHEW FACTORY</v>
      </c>
      <c r="I4" s="3" t="s">
        <v>209</v>
      </c>
      <c r="J4" s="2" t="s">
        <v>210</v>
      </c>
      <c r="K4" s="2" t="str">
        <f t="shared" si="4"/>
        <v xml:space="preserve">TUTICORIN, INDIA </v>
      </c>
      <c r="L4" s="2" t="str">
        <f t="shared" si="5"/>
        <v>MEDULG619041</v>
      </c>
      <c r="M4" s="2">
        <f t="shared" si="6"/>
        <v>50.45</v>
      </c>
      <c r="N4" s="22">
        <f t="shared" si="7"/>
        <v>46099</v>
      </c>
      <c r="O4" s="22">
        <f t="shared" si="8"/>
        <v>46158</v>
      </c>
      <c r="P4" s="22" t="str">
        <f t="shared" si="9"/>
        <v>OBL In Destination - INDIA</v>
      </c>
      <c r="Q4" s="2"/>
      <c r="R4" s="2" t="str">
        <f t="shared" si="10"/>
        <v>CERTS in Destination - INDIA</v>
      </c>
      <c r="S4" s="2" t="str">
        <f t="shared" si="11"/>
        <v>Docs in Buyer's Nego Bank</v>
      </c>
      <c r="T4" s="2" t="str">
        <f>IFERROR(_xlfn.XLOOKUP(F4,
'[2]Data 2026'!$H$12:$H$111,
'[2]Data 2026'!$CL$12:$CL$111),"")</f>
        <v/>
      </c>
      <c r="U4" s="3" t="s">
        <v>236</v>
      </c>
      <c r="V4" s="272" t="s">
        <v>212</v>
      </c>
      <c r="W4" s="3"/>
      <c r="X4" s="24">
        <v>46380</v>
      </c>
      <c r="Y4" s="273">
        <v>20009014</v>
      </c>
      <c r="Z4" s="24">
        <v>46017</v>
      </c>
      <c r="AA4" s="182">
        <v>32013748</v>
      </c>
      <c r="AB4" s="182" t="s">
        <v>237</v>
      </c>
      <c r="AC4" s="182" t="s">
        <v>214</v>
      </c>
      <c r="AD4" s="181">
        <v>46096</v>
      </c>
      <c r="AE4" s="44">
        <v>0.1</v>
      </c>
      <c r="AF4" s="35">
        <v>50</v>
      </c>
      <c r="AG4" s="35">
        <f t="shared" si="12"/>
        <v>45</v>
      </c>
      <c r="AH4" s="3" t="s">
        <v>215</v>
      </c>
      <c r="AI4" s="35">
        <v>1610</v>
      </c>
      <c r="AJ4" s="35">
        <f>AI4*AF4</f>
        <v>80500</v>
      </c>
      <c r="AK4" s="3" t="s">
        <v>216</v>
      </c>
      <c r="AL4" s="3" t="s">
        <v>238</v>
      </c>
      <c r="AM4" s="183">
        <v>0</v>
      </c>
      <c r="AN4" s="183">
        <v>1</v>
      </c>
      <c r="AO4" s="183">
        <v>0</v>
      </c>
      <c r="AP4" s="28" t="s">
        <v>218</v>
      </c>
      <c r="AQ4" s="18" t="s">
        <v>239</v>
      </c>
      <c r="AR4" s="2"/>
      <c r="AS4" s="274"/>
      <c r="AT4" s="3" t="s">
        <v>220</v>
      </c>
      <c r="AU4" s="3" t="s">
        <v>220</v>
      </c>
      <c r="AV4" s="3" t="s">
        <v>220</v>
      </c>
      <c r="AW4" s="9"/>
      <c r="AX4" s="3"/>
      <c r="AY4" s="47"/>
      <c r="AZ4" s="275"/>
      <c r="BA4" s="18">
        <v>46382</v>
      </c>
      <c r="BB4" s="22">
        <v>46030</v>
      </c>
      <c r="BC4" s="22"/>
      <c r="BD4" s="22"/>
      <c r="BE4" s="22"/>
      <c r="BF4" s="22">
        <v>46030</v>
      </c>
      <c r="BG4" s="18"/>
      <c r="BH4" s="18"/>
      <c r="BI4" s="3" t="s">
        <v>240</v>
      </c>
      <c r="BJ4" s="43">
        <v>50.45</v>
      </c>
      <c r="BK4" s="46" t="s">
        <v>222</v>
      </c>
      <c r="BL4" s="498">
        <v>2</v>
      </c>
      <c r="BM4" s="18">
        <v>46099</v>
      </c>
      <c r="BN4" s="4" t="s">
        <v>241</v>
      </c>
      <c r="BO4" s="18">
        <v>46158</v>
      </c>
      <c r="BP4" s="3" t="s">
        <v>224</v>
      </c>
      <c r="BQ4" s="21" t="s">
        <v>225</v>
      </c>
      <c r="BR4" s="3" t="s">
        <v>226</v>
      </c>
      <c r="BS4" s="3"/>
      <c r="BT4" s="3" t="s">
        <v>242</v>
      </c>
      <c r="BU4" s="3" t="s">
        <v>243</v>
      </c>
      <c r="BV4" s="20">
        <v>90083303</v>
      </c>
      <c r="BW4" s="19"/>
      <c r="BX4" s="189">
        <f t="shared" si="13"/>
        <v>81224.5</v>
      </c>
      <c r="BY4" s="22"/>
      <c r="BZ4" s="22">
        <v>46120</v>
      </c>
      <c r="CA4" s="418">
        <v>4213158176</v>
      </c>
      <c r="CB4" s="22">
        <v>46126</v>
      </c>
      <c r="CC4" s="22"/>
      <c r="CD4" s="22"/>
      <c r="CE4" s="22" t="str">
        <f t="shared" si="14"/>
        <v>OBL In Destination - INDIA</v>
      </c>
      <c r="CF4" s="22"/>
      <c r="CG4" s="22"/>
      <c r="CH4" s="22">
        <v>46127</v>
      </c>
      <c r="CI4" s="2">
        <v>2574551980</v>
      </c>
      <c r="CJ4" s="22">
        <v>46133</v>
      </c>
      <c r="CK4" s="2" t="str">
        <f t="shared" si="15"/>
        <v>CERTS in Destination - INDIA</v>
      </c>
      <c r="CL4" s="48" t="s">
        <v>244</v>
      </c>
      <c r="CM4" s="22">
        <v>46128</v>
      </c>
      <c r="CN4" s="55">
        <v>4920872821</v>
      </c>
      <c r="CO4" s="436">
        <v>45017</v>
      </c>
      <c r="CP4" s="55" t="str">
        <f t="shared" si="16"/>
        <v>Docs in Buyer's Nego Bank</v>
      </c>
      <c r="CQ4" s="50">
        <f t="shared" si="17"/>
        <v>81224.5</v>
      </c>
      <c r="CR4" s="54">
        <v>46156</v>
      </c>
      <c r="CS4" s="2"/>
      <c r="CT4" s="2"/>
      <c r="CU4" s="14" t="str">
        <f t="shared" si="18"/>
        <v/>
      </c>
      <c r="CV4" s="42" t="str">
        <f t="shared" si="19"/>
        <v/>
      </c>
      <c r="CW4" s="14" t="str">
        <f t="shared" si="20"/>
        <v/>
      </c>
      <c r="CX4" s="14" t="str">
        <f t="shared" si="21"/>
        <v/>
      </c>
      <c r="CY4" s="15" t="str">
        <f t="shared" si="22"/>
        <v/>
      </c>
      <c r="CZ4" s="2"/>
      <c r="DA4" s="41" t="str">
        <f t="shared" si="23"/>
        <v/>
      </c>
      <c r="DB4" s="2"/>
      <c r="DC4" s="39" t="str">
        <f t="shared" si="24"/>
        <v/>
      </c>
      <c r="DD4" s="40"/>
      <c r="DE4" s="16" t="str">
        <f t="shared" si="25"/>
        <v/>
      </c>
      <c r="DF4" s="2" t="str">
        <f t="shared" si="26"/>
        <v/>
      </c>
      <c r="DG4" s="14" t="str">
        <f t="shared" si="27"/>
        <v/>
      </c>
      <c r="DH4" s="2" t="str">
        <f t="shared" si="28"/>
        <v/>
      </c>
      <c r="DI4" s="39" t="str">
        <f t="shared" si="29"/>
        <v/>
      </c>
      <c r="DJ4" s="2" t="str">
        <f t="shared" si="30"/>
        <v/>
      </c>
      <c r="DK4" s="15" t="str">
        <f t="shared" si="31"/>
        <v/>
      </c>
      <c r="DL4" s="2"/>
      <c r="DM4" s="2"/>
      <c r="DN4" s="15" t="str">
        <f t="shared" si="32"/>
        <v/>
      </c>
      <c r="DO4" s="14" t="str">
        <f t="shared" si="33"/>
        <v/>
      </c>
      <c r="DP4" s="14" t="str">
        <f t="shared" si="34"/>
        <v/>
      </c>
      <c r="DQ4" s="15" t="str">
        <f t="shared" si="35"/>
        <v/>
      </c>
      <c r="DR4" s="15" t="str">
        <f t="shared" si="36"/>
        <v/>
      </c>
      <c r="DS4" s="2" t="str">
        <f t="shared" si="37"/>
        <v/>
      </c>
      <c r="DT4" s="2" t="str">
        <f t="shared" si="38"/>
        <v/>
      </c>
      <c r="DU4" s="2"/>
      <c r="DV4" s="2"/>
      <c r="DW4" s="2"/>
      <c r="DX4" s="2"/>
      <c r="DY4" s="2" t="s">
        <v>230</v>
      </c>
      <c r="DZ4" s="2"/>
      <c r="EA4" s="2" t="str">
        <f t="shared" si="39"/>
        <v/>
      </c>
      <c r="EB4" s="2">
        <v>46.734999999999999</v>
      </c>
      <c r="EC4" s="2">
        <v>197</v>
      </c>
      <c r="ED4" s="2">
        <v>8.9499999999999993</v>
      </c>
      <c r="EE4" s="3">
        <v>4900009467</v>
      </c>
      <c r="EF4" s="37"/>
      <c r="EG4" s="3"/>
      <c r="EH4" s="2" t="s">
        <v>231</v>
      </c>
      <c r="EI4" s="3"/>
      <c r="EJ4" s="35">
        <f>BJ4</f>
        <v>50.45</v>
      </c>
      <c r="EK4" s="35">
        <v>2010</v>
      </c>
      <c r="EL4" s="36" t="s">
        <v>220</v>
      </c>
      <c r="EM4" s="7"/>
      <c r="EN4" s="46">
        <f t="shared" si="40"/>
        <v>101404.5</v>
      </c>
      <c r="EO4" s="3"/>
      <c r="EP4" s="3"/>
      <c r="EQ4" s="3"/>
      <c r="ER4" s="3"/>
      <c r="ES4" s="7"/>
      <c r="ET4" s="3"/>
      <c r="EU4" s="3"/>
      <c r="EV4" s="2" t="str">
        <f t="shared" si="41"/>
        <v>Final Pmt Recd</v>
      </c>
      <c r="EW4" s="46"/>
      <c r="EX4" s="46">
        <f t="shared" si="42"/>
        <v>0</v>
      </c>
      <c r="EY4" s="46" t="s">
        <v>233</v>
      </c>
      <c r="EZ4" s="24"/>
      <c r="FA4" s="2"/>
      <c r="FB4" s="24"/>
      <c r="FC4" s="53"/>
      <c r="FD4" s="46">
        <f t="shared" si="43"/>
        <v>0</v>
      </c>
      <c r="FE4" s="52"/>
      <c r="FF4" s="52"/>
      <c r="FG4" s="49"/>
      <c r="FH4" s="49"/>
      <c r="FI4" s="49"/>
      <c r="FJ4" s="49"/>
      <c r="FK4" s="49"/>
      <c r="FL4" s="49">
        <f t="shared" si="44"/>
        <v>0</v>
      </c>
      <c r="FM4" s="180">
        <f t="shared" si="45"/>
        <v>46099</v>
      </c>
      <c r="FN4" s="49"/>
      <c r="FO4" s="49"/>
      <c r="FP4" s="49"/>
      <c r="FQ4" s="49"/>
      <c r="FR4" s="49"/>
      <c r="FS4" s="6">
        <v>20009014</v>
      </c>
      <c r="FT4" s="3">
        <v>32013748</v>
      </c>
      <c r="FU4" s="3">
        <v>0</v>
      </c>
      <c r="FV4" s="3"/>
      <c r="FW4" s="3"/>
      <c r="FX4" s="3"/>
      <c r="FY4" s="3"/>
      <c r="FZ4" s="3"/>
      <c r="GA4" s="3"/>
      <c r="GB4" s="3"/>
      <c r="GC4" s="3"/>
      <c r="GD4" s="3">
        <v>90083303</v>
      </c>
      <c r="GE4" s="3"/>
      <c r="GF4" s="3" t="s">
        <v>235</v>
      </c>
      <c r="GG4" s="3"/>
      <c r="GH4" s="3"/>
      <c r="GI4" s="3"/>
      <c r="GJ4" s="3"/>
      <c r="GK4" s="3"/>
      <c r="GL4" s="3"/>
      <c r="GM4" s="3"/>
      <c r="GN4" s="35"/>
    </row>
    <row r="5" spans="1:196" s="1" customFormat="1" ht="33.950000000000003">
      <c r="A5" s="2" t="str">
        <f t="shared" si="0"/>
        <v>Exp Dox Presented to Bank, Pmt Pending</v>
      </c>
      <c r="B5" s="282">
        <v>47</v>
      </c>
      <c r="C5" s="282">
        <v>185</v>
      </c>
      <c r="D5" s="182" t="s">
        <v>208</v>
      </c>
      <c r="E5" s="2" t="str">
        <f t="shared" si="1"/>
        <v>CLOSE POSITION</v>
      </c>
      <c r="F5" s="271" t="str">
        <f t="shared" si="2"/>
        <v>32015281-1</v>
      </c>
      <c r="G5" s="271"/>
      <c r="H5" s="2" t="str">
        <f t="shared" si="3"/>
        <v>Valency Agro (Processing)</v>
      </c>
      <c r="I5" s="3" t="s">
        <v>245</v>
      </c>
      <c r="J5" s="2" t="s">
        <v>210</v>
      </c>
      <c r="K5" s="2" t="str">
        <f t="shared" si="4"/>
        <v>MUNDRA, INDIA</v>
      </c>
      <c r="L5" s="2" t="str">
        <f t="shared" si="5"/>
        <v>TMA0158642</v>
      </c>
      <c r="M5" s="2">
        <f t="shared" si="6"/>
        <v>100</v>
      </c>
      <c r="N5" s="22">
        <f t="shared" si="7"/>
        <v>46099</v>
      </c>
      <c r="O5" s="22">
        <f t="shared" si="8"/>
        <v>46146</v>
      </c>
      <c r="P5" s="22" t="str">
        <f t="shared" si="9"/>
        <v>OBL In Destination - INDIA</v>
      </c>
      <c r="Q5" s="2"/>
      <c r="R5" s="2" t="str">
        <f t="shared" si="10"/>
        <v>CERTS in Destination - INDIA</v>
      </c>
      <c r="S5" s="2" t="str">
        <f t="shared" si="11"/>
        <v>Docs in Buyer's Nego Bank</v>
      </c>
      <c r="T5" s="2" t="str">
        <f>IFERROR(_xlfn.XLOOKUP(F5,
'[2]Data 2026'!$H$12:$H$111,
'[2]Data 2026'!$CL$12:$CL$111),"")</f>
        <v/>
      </c>
      <c r="U5" s="3" t="s">
        <v>211</v>
      </c>
      <c r="V5" s="272"/>
      <c r="W5" s="3"/>
      <c r="X5" s="24">
        <v>46093</v>
      </c>
      <c r="Y5" s="273">
        <v>20009747</v>
      </c>
      <c r="Z5" s="24">
        <f>X5</f>
        <v>46093</v>
      </c>
      <c r="AA5" s="182" t="s">
        <v>246</v>
      </c>
      <c r="AB5" s="182" t="s">
        <v>247</v>
      </c>
      <c r="AC5" s="182" t="s">
        <v>248</v>
      </c>
      <c r="AD5" s="181">
        <v>46112</v>
      </c>
      <c r="AE5" s="30">
        <v>0.1</v>
      </c>
      <c r="AF5" s="277">
        <v>100</v>
      </c>
      <c r="AG5" s="35">
        <f t="shared" si="12"/>
        <v>90</v>
      </c>
      <c r="AH5" s="3" t="s">
        <v>215</v>
      </c>
      <c r="AI5" s="4">
        <v>1585</v>
      </c>
      <c r="AJ5" s="4">
        <f>AI5*AF5</f>
        <v>158500</v>
      </c>
      <c r="AK5" s="3" t="s">
        <v>249</v>
      </c>
      <c r="AL5" s="3" t="s">
        <v>217</v>
      </c>
      <c r="AM5" s="30">
        <v>0</v>
      </c>
      <c r="AN5" s="183">
        <v>1</v>
      </c>
      <c r="AO5" s="183">
        <v>0</v>
      </c>
      <c r="AP5" s="28" t="s">
        <v>218</v>
      </c>
      <c r="AQ5" s="18" t="s">
        <v>250</v>
      </c>
      <c r="AR5" s="18" t="s">
        <v>251</v>
      </c>
      <c r="AS5" s="27"/>
      <c r="AT5" s="3" t="s">
        <v>220</v>
      </c>
      <c r="AU5" s="3" t="s">
        <v>220</v>
      </c>
      <c r="AV5" s="3" t="s">
        <v>220</v>
      </c>
      <c r="AW5" s="9"/>
      <c r="AX5" s="3"/>
      <c r="AY5" s="47"/>
      <c r="AZ5" s="278">
        <f t="shared" ref="AZ5" si="46">AF5*AI5*AM5</f>
        <v>0</v>
      </c>
      <c r="BA5" s="18">
        <f>Z5</f>
        <v>46093</v>
      </c>
      <c r="BB5" s="22">
        <v>46078</v>
      </c>
      <c r="BC5" s="22"/>
      <c r="BD5" s="22"/>
      <c r="BE5" s="22"/>
      <c r="BF5" s="22">
        <v>46078</v>
      </c>
      <c r="BG5" s="18"/>
      <c r="BH5" s="18"/>
      <c r="BI5" s="3" t="s">
        <v>252</v>
      </c>
      <c r="BJ5" s="25">
        <v>100</v>
      </c>
      <c r="BK5" s="189" t="s">
        <v>222</v>
      </c>
      <c r="BL5" s="497">
        <v>4</v>
      </c>
      <c r="BM5" s="18">
        <v>46099</v>
      </c>
      <c r="BN5" s="4"/>
      <c r="BO5" s="18">
        <v>46146</v>
      </c>
      <c r="BP5" s="3" t="s">
        <v>245</v>
      </c>
      <c r="BQ5" s="21" t="s">
        <v>253</v>
      </c>
      <c r="BR5" s="2" t="s">
        <v>254</v>
      </c>
      <c r="BS5" s="2"/>
      <c r="BT5" s="2" t="s">
        <v>255</v>
      </c>
      <c r="BU5" s="2" t="s">
        <v>256</v>
      </c>
      <c r="BV5" s="20">
        <v>90082901</v>
      </c>
      <c r="BW5" s="19"/>
      <c r="BX5" s="189">
        <f t="shared" si="13"/>
        <v>158500</v>
      </c>
      <c r="BY5" s="22"/>
      <c r="BZ5" s="22">
        <v>46121</v>
      </c>
      <c r="CA5" s="284">
        <v>5548360370</v>
      </c>
      <c r="CB5" s="22">
        <v>46126</v>
      </c>
      <c r="CC5" s="22"/>
      <c r="CD5" s="22"/>
      <c r="CE5" s="22" t="str">
        <f t="shared" si="14"/>
        <v>OBL In Destination - INDIA</v>
      </c>
      <c r="CF5" s="22"/>
      <c r="CG5" s="22"/>
      <c r="CH5" s="181">
        <v>46146</v>
      </c>
      <c r="CI5" s="182">
        <v>2243774470</v>
      </c>
      <c r="CJ5" s="181">
        <v>46153</v>
      </c>
      <c r="CK5" s="2" t="str">
        <f t="shared" si="15"/>
        <v>CERTS in Destination - INDIA</v>
      </c>
      <c r="CL5" s="48" t="s">
        <v>229</v>
      </c>
      <c r="CM5" s="22">
        <v>46126</v>
      </c>
      <c r="CN5" s="55">
        <v>5993795931</v>
      </c>
      <c r="CO5" s="436">
        <v>43922</v>
      </c>
      <c r="CP5" s="55" t="str">
        <f t="shared" si="16"/>
        <v>Docs in Buyer's Nego Bank</v>
      </c>
      <c r="CQ5" s="190">
        <f t="shared" si="17"/>
        <v>158500</v>
      </c>
      <c r="CR5" s="54"/>
      <c r="CS5" s="2"/>
      <c r="CT5" s="2"/>
      <c r="CU5" s="14" t="str">
        <f t="shared" si="18"/>
        <v/>
      </c>
      <c r="CV5" s="191" t="str">
        <f t="shared" si="19"/>
        <v/>
      </c>
      <c r="CW5" s="14" t="str">
        <f t="shared" si="20"/>
        <v/>
      </c>
      <c r="CX5" s="14" t="str">
        <f t="shared" si="21"/>
        <v/>
      </c>
      <c r="CY5" s="15" t="str">
        <f t="shared" si="22"/>
        <v/>
      </c>
      <c r="CZ5" s="2"/>
      <c r="DA5" s="41" t="str">
        <f t="shared" si="23"/>
        <v/>
      </c>
      <c r="DB5" s="2"/>
      <c r="DC5" s="192" t="str">
        <f t="shared" si="24"/>
        <v/>
      </c>
      <c r="DD5" s="40"/>
      <c r="DE5" s="16" t="str">
        <f t="shared" si="25"/>
        <v/>
      </c>
      <c r="DF5" s="2" t="str">
        <f t="shared" si="26"/>
        <v/>
      </c>
      <c r="DG5" s="14" t="str">
        <f t="shared" si="27"/>
        <v/>
      </c>
      <c r="DH5" s="2" t="str">
        <f t="shared" si="28"/>
        <v/>
      </c>
      <c r="DI5" s="192" t="str">
        <f t="shared" si="29"/>
        <v/>
      </c>
      <c r="DJ5" s="2" t="str">
        <f t="shared" si="30"/>
        <v/>
      </c>
      <c r="DK5" s="15" t="str">
        <f t="shared" si="31"/>
        <v/>
      </c>
      <c r="DL5" s="2"/>
      <c r="DM5" s="2"/>
      <c r="DN5" s="15" t="str">
        <f t="shared" si="32"/>
        <v/>
      </c>
      <c r="DO5" s="14" t="str">
        <f t="shared" si="33"/>
        <v/>
      </c>
      <c r="DP5" s="14" t="str">
        <f t="shared" si="34"/>
        <v/>
      </c>
      <c r="DQ5" s="15" t="str">
        <f t="shared" si="35"/>
        <v/>
      </c>
      <c r="DR5" s="15" t="str">
        <f t="shared" si="36"/>
        <v/>
      </c>
      <c r="DS5" s="2" t="str">
        <f t="shared" si="37"/>
        <v/>
      </c>
      <c r="DT5" s="2" t="str">
        <f t="shared" si="38"/>
        <v/>
      </c>
      <c r="DU5" s="2"/>
      <c r="DV5" s="2"/>
      <c r="DW5" s="2"/>
      <c r="DX5" s="2"/>
      <c r="DY5" s="2" t="s">
        <v>230</v>
      </c>
      <c r="DZ5" s="2"/>
      <c r="EA5" s="2" t="str">
        <f t="shared" si="39"/>
        <v/>
      </c>
      <c r="EB5" s="2" t="e" vm="1">
        <f>_xleta.IF</f>
        <v>#VALUE!</v>
      </c>
      <c r="EC5" s="2"/>
      <c r="ED5" s="2"/>
      <c r="EE5" s="3"/>
      <c r="EF5" s="7"/>
      <c r="EG5" s="3"/>
      <c r="EH5" s="3" t="s">
        <v>257</v>
      </c>
      <c r="EI5" s="3" t="s">
        <v>258</v>
      </c>
      <c r="EJ5" s="189"/>
      <c r="EK5" s="4"/>
      <c r="EL5" s="9"/>
      <c r="EM5" s="9"/>
      <c r="EN5" s="189">
        <f t="shared" si="40"/>
        <v>0</v>
      </c>
      <c r="EO5" s="9"/>
      <c r="EP5" s="8"/>
      <c r="EQ5" s="4"/>
      <c r="ER5" s="4"/>
      <c r="ES5" s="7"/>
      <c r="ET5" s="7"/>
      <c r="EU5" s="6"/>
      <c r="EV5" s="2" t="str">
        <f t="shared" si="41"/>
        <v>Export Loan</v>
      </c>
      <c r="EW5" s="189"/>
      <c r="EX5" s="189">
        <f t="shared" si="42"/>
        <v>0</v>
      </c>
      <c r="EY5" s="189" t="s">
        <v>233</v>
      </c>
      <c r="EZ5" s="24"/>
      <c r="FA5" s="2"/>
      <c r="FB5" s="24"/>
      <c r="FC5" s="193"/>
      <c r="FD5" s="189">
        <f t="shared" si="43"/>
        <v>0</v>
      </c>
      <c r="FE5" s="52"/>
      <c r="FF5" s="52"/>
      <c r="FG5" s="49"/>
      <c r="FH5" s="49"/>
      <c r="FI5" s="49"/>
      <c r="FJ5" s="49"/>
      <c r="FK5" s="49"/>
      <c r="FL5" s="49">
        <f t="shared" si="44"/>
        <v>0</v>
      </c>
      <c r="FM5" s="180">
        <f t="shared" si="45"/>
        <v>46099</v>
      </c>
      <c r="FN5" s="49"/>
      <c r="FO5" s="49"/>
      <c r="FP5" s="49"/>
      <c r="FQ5" s="49"/>
      <c r="FR5" s="49"/>
      <c r="FS5" s="34">
        <f t="shared" ref="FS5:FS14" si="47">Y5</f>
        <v>20009747</v>
      </c>
      <c r="FT5" s="34" t="str">
        <f t="shared" ref="FT5:FT14" si="48">AA5</f>
        <v>32015281-1</v>
      </c>
      <c r="FU5" s="3"/>
      <c r="FV5" s="3"/>
      <c r="FW5" s="3"/>
      <c r="FX5" s="3"/>
      <c r="FY5" s="3"/>
      <c r="FZ5" s="3"/>
      <c r="GA5" s="3"/>
      <c r="GB5" s="4"/>
      <c r="GC5" s="3"/>
      <c r="GD5" s="20">
        <v>90082901</v>
      </c>
      <c r="GE5" s="2"/>
      <c r="GF5" s="2" t="s">
        <v>235</v>
      </c>
      <c r="GG5" s="2"/>
      <c r="GH5" s="2"/>
      <c r="GI5" s="2"/>
      <c r="GJ5" s="2"/>
      <c r="GK5" s="2"/>
      <c r="GL5" s="2"/>
      <c r="GM5" s="2"/>
      <c r="GN5" s="2"/>
    </row>
    <row r="6" spans="1:196" s="1" customFormat="1" ht="33.950000000000003">
      <c r="A6" s="2" t="str">
        <f t="shared" ref="A6:A37" si="49">IF(DZ6="CLOSE","Trade closed",IF(DZ6="PMT Pending","FNF Settlement is Due",IF(CS6&lt;&gt;0,"FNF Reconcillation Onging",IF(CR6&lt;&gt;0," Final Pmt Recd , FNF Pending",IF(CM6&lt;&gt;0,"Exp Dox Presented to Bank, Pmt Pending",IF(BZ6&lt;&gt;0,"OBL Scan Recd, Nego Pending",IF(BM6&lt;&gt;0,"Sailed, OBL &amp; Certs Pending",IF(BJ6&lt;&gt;0,"Stuffed, Yet to Sail",IF(BB6&lt;&gt;0,"SI Sent, Shipment Awaited",IF(BA6&lt;&gt;0,"Advance Rcvd, SI Pending",IF(Z6&lt;&gt;0,"SC Raised, Advance Pending",IF(X6&lt;&gt;0,"Deal Ticket Rcvd SC Pending", "Entry Pending"))))))))))))</f>
        <v>SI Sent, Shipment Awaited</v>
      </c>
      <c r="B6" s="281">
        <v>49</v>
      </c>
      <c r="C6" s="281">
        <v>200</v>
      </c>
      <c r="D6" s="182" t="s">
        <v>208</v>
      </c>
      <c r="E6" s="2" t="str">
        <f t="shared" ref="E6:E37" si="50">IF(AND(LEFT(TRIM(AA6&amp;""),1)="3",BI6&lt;&gt;""),"CLOSE POSITION",
IF(AND(LEFT(TRIM(AA6&amp;""),1)="3",BI6=""),"SHORT POSITION",
IF(AND(LEFT(TRIM(AA6&amp;""),1)&lt;&gt;"3",BI6&lt;&gt;""),"LONG POSITION","ENTRY PENDING")))</f>
        <v>SHORT POSITION</v>
      </c>
      <c r="F6" s="271">
        <f t="shared" ref="F6:F37" si="51">AA6</f>
        <v>32014480</v>
      </c>
      <c r="G6" s="271"/>
      <c r="H6" s="2" t="str">
        <f t="shared" ref="H6:H37" si="52">AB6</f>
        <v>AMITH CASHEWS PVT LTD</v>
      </c>
      <c r="I6" s="3" t="s">
        <v>259</v>
      </c>
      <c r="J6" s="2" t="s">
        <v>210</v>
      </c>
      <c r="K6" s="2" t="str">
        <f t="shared" ref="K6:K37" si="53">IF(BQ6&lt;&gt;0,BQ6,"")</f>
        <v>MANGALORE, INDIA</v>
      </c>
      <c r="L6" s="2" t="str">
        <f t="shared" ref="L6:L14" si="54">IF(BI6&lt;&gt;0,BI6,"")</f>
        <v/>
      </c>
      <c r="M6" s="2" t="str">
        <f t="shared" ref="M6:M14" si="55">IF(BJ6&lt;&gt;0,BJ6,"")</f>
        <v/>
      </c>
      <c r="N6" s="22" t="str">
        <f t="shared" ref="N6:N37" si="56">IF(BM6&lt;&gt;0,BM6,"")</f>
        <v/>
      </c>
      <c r="O6" s="22" t="str">
        <f t="shared" ref="O6:O42" si="57">IF(BO6&lt;&gt;0,BO6,"")</f>
        <v/>
      </c>
      <c r="P6" s="22" t="str">
        <f t="shared" ref="P6:P37" si="58">CE6</f>
        <v>No OBL Yet</v>
      </c>
      <c r="Q6" s="2"/>
      <c r="R6" s="2" t="str">
        <f t="shared" ref="R6:R37" si="59">CK6</f>
        <v>No CERTS Yet</v>
      </c>
      <c r="S6" s="2" t="str">
        <f t="shared" ref="S6:S37" si="60">CP6</f>
        <v/>
      </c>
      <c r="T6" s="2" t="s">
        <v>260</v>
      </c>
      <c r="U6" s="3" t="s">
        <v>261</v>
      </c>
      <c r="V6" s="272"/>
      <c r="W6" s="272"/>
      <c r="X6" s="24">
        <v>46072</v>
      </c>
      <c r="Y6" s="273">
        <v>20009532</v>
      </c>
      <c r="Z6" s="24">
        <v>46072</v>
      </c>
      <c r="AA6" s="182">
        <v>32014480</v>
      </c>
      <c r="AB6" s="182" t="s">
        <v>262</v>
      </c>
      <c r="AC6" s="182" t="s">
        <v>263</v>
      </c>
      <c r="AD6" s="181">
        <v>46142</v>
      </c>
      <c r="AE6" s="30">
        <v>0.1</v>
      </c>
      <c r="AF6" s="277">
        <v>100</v>
      </c>
      <c r="AG6" s="35">
        <f t="shared" ref="AG6:AG37" si="61">AF6*(1-AE6)</f>
        <v>90</v>
      </c>
      <c r="AH6" s="3" t="s">
        <v>215</v>
      </c>
      <c r="AI6" s="4">
        <v>1545</v>
      </c>
      <c r="AJ6" s="4">
        <f>AI6*AF6</f>
        <v>154500</v>
      </c>
      <c r="AK6" s="3" t="s">
        <v>249</v>
      </c>
      <c r="AL6" s="3" t="s">
        <v>238</v>
      </c>
      <c r="AM6" s="183">
        <v>0.1</v>
      </c>
      <c r="AN6" s="183">
        <v>0.9</v>
      </c>
      <c r="AO6" s="183">
        <v>0</v>
      </c>
      <c r="AP6" s="28" t="s">
        <v>218</v>
      </c>
      <c r="AQ6" s="18" t="s">
        <v>239</v>
      </c>
      <c r="AR6" s="18" t="s">
        <v>264</v>
      </c>
      <c r="AS6" s="27">
        <v>5</v>
      </c>
      <c r="AT6" s="3"/>
      <c r="AU6" s="3" t="s">
        <v>220</v>
      </c>
      <c r="AV6" s="3" t="s">
        <v>220</v>
      </c>
      <c r="AW6" s="9"/>
      <c r="AX6" s="3"/>
      <c r="AY6" s="47">
        <v>46078</v>
      </c>
      <c r="AZ6" s="275">
        <f t="shared" ref="AZ6:AZ53" si="62">AF6*AI6*AM6</f>
        <v>15450</v>
      </c>
      <c r="BA6" s="18">
        <v>46086</v>
      </c>
      <c r="BB6" s="22">
        <v>46083</v>
      </c>
      <c r="BC6" s="22"/>
      <c r="BD6" s="22"/>
      <c r="BE6" s="22"/>
      <c r="BF6" s="22">
        <v>46083</v>
      </c>
      <c r="BG6" s="18"/>
      <c r="BH6" s="18"/>
      <c r="BI6" s="3"/>
      <c r="BJ6" s="25"/>
      <c r="BK6" s="46" t="s">
        <v>222</v>
      </c>
      <c r="BL6" s="497"/>
      <c r="BM6" s="18"/>
      <c r="BN6" s="4"/>
      <c r="BO6" s="18"/>
      <c r="BP6" s="3" t="s">
        <v>259</v>
      </c>
      <c r="BQ6" s="21" t="s">
        <v>265</v>
      </c>
      <c r="BR6" s="2"/>
      <c r="BS6" s="2"/>
      <c r="BT6" s="2"/>
      <c r="BU6" s="2"/>
      <c r="BV6" s="20"/>
      <c r="BW6" s="19"/>
      <c r="BX6" s="46">
        <f t="shared" ref="BX6:BX53" si="63">BJ6*AI6</f>
        <v>0</v>
      </c>
      <c r="BY6" s="22"/>
      <c r="BZ6" s="22"/>
      <c r="CA6" s="22"/>
      <c r="CB6" s="22"/>
      <c r="CC6" s="22"/>
      <c r="CD6" s="22"/>
      <c r="CE6" s="22" t="str">
        <f t="shared" ref="CE6:CE37" si="64">IF(J6="VIETNAM",
IF(CG6&lt;&gt;"","OBL in Vietnam Office",
IF(CF6&lt;&gt;"","OBL in Transit from Vietnam Office",
IF(CD6&lt;&gt;0,"OBL In Destination - "&amp;J6,
IF(CC6&lt;&gt;0,"OBL in Transit to Destination - "&amp;J6,
IF(CB6&lt;&gt;0,"OBL in SIG Office",
IF(CA6&lt;&gt;0,"OBL in Transit from Origin to SIG",
IF(BZ6&lt;&gt;0,"OBL in Origin - "&amp;I6,
IF(BY6&lt;&gt;0,"Draft Rcvd","No OBL Yet")))))))),
IF(CO6&lt;&gt;0,"OBL In Destination - "&amp;J6,
IF(CM6&lt;&gt;0,"OBL in Transit with Nego Docs - "&amp;J6,
IF(CB6&lt;&gt;0,"OBL in SIG Office",
IF(CA6&lt;&gt;0,"OBL in Transit from Origin to SIG",
IF(BZ6&lt;&gt;0,"OBL in Origin - "&amp;I6,
IF(BY6&lt;&gt;0,"Draft Rcvd","No OBL Yet")))))))</f>
        <v>No OBL Yet</v>
      </c>
      <c r="CF6" s="22"/>
      <c r="CG6" s="22"/>
      <c r="CH6" s="182"/>
      <c r="CI6" s="182"/>
      <c r="CJ6" s="182"/>
      <c r="CK6" s="2" t="str">
        <f t="shared" ref="CK6:CK37" si="65">IF(CJ6&lt;&gt;0,"CERTS in Destination - "&amp;J6,IF(CI6&lt;&gt;0,"CERT in Transit to -"&amp;J6,IF(CH6&lt;&gt;0,"CERT in Origin - "&amp;I6,IF(CH6="","No CERTS Yet"))))</f>
        <v>No CERTS Yet</v>
      </c>
      <c r="CL6" s="48"/>
      <c r="CM6" s="22"/>
      <c r="CN6" s="55"/>
      <c r="CO6" s="55"/>
      <c r="CP6" s="55" t="str">
        <f t="shared" ref="CP6:CP35" si="66">IF(CO6&lt;&gt;0,"Docs in Buyer's Nego Bank",IF(CN6&lt;&gt;0,"Docs in Transit to Buyer's Nego Bank",IF(CM6&lt;&gt;0,"Docs in Our Nego Bank",IF(CL6="TT PAYMENT","Not Applicable",""))))</f>
        <v/>
      </c>
      <c r="CQ6" s="50">
        <f>(AN6*AI6*BJ6)-AZ6</f>
        <v>-15450</v>
      </c>
      <c r="CR6" s="54"/>
      <c r="CS6" s="2"/>
      <c r="CT6" s="2"/>
      <c r="CU6" s="14" t="str">
        <f t="shared" ref="CU6:CU37" si="67">IF(CS6="","",BJ6-CT6)</f>
        <v/>
      </c>
      <c r="CV6" s="42" t="str">
        <f t="shared" ref="CV6:CV37" si="68">IF(CS6="","",CU6/BJ6)</f>
        <v/>
      </c>
      <c r="CW6" s="14" t="str">
        <f t="shared" ref="CW6:CW37" si="69">IF(CS6="","",AZ6+CQ6)</f>
        <v/>
      </c>
      <c r="CX6" s="14" t="str">
        <f t="shared" ref="CX6:CX37" si="70">IF(CS6="","",BX6*2%)</f>
        <v/>
      </c>
      <c r="CY6" s="15" t="str">
        <f t="shared" ref="CY6:CY37" si="71">IF(CS6="","",AI6/B6)</f>
        <v/>
      </c>
      <c r="CZ6" s="2"/>
      <c r="DA6" s="41" t="str">
        <f t="shared" ref="DA6:DA37" si="72">IF(CS6="","",B6-CZ6)</f>
        <v/>
      </c>
      <c r="DB6" s="2"/>
      <c r="DC6" s="39" t="str">
        <f t="shared" ref="DC6:DC37" si="73">IF(CS6="","",IF(CS6="","",DB6-C6))</f>
        <v/>
      </c>
      <c r="DD6" s="40"/>
      <c r="DE6" s="16" t="str">
        <f t="shared" ref="DE6:DE37" si="74">IF(CS6="","",10%-DD6)</f>
        <v/>
      </c>
      <c r="DF6" s="2" t="str">
        <f t="shared" ref="DF6:DF37" si="75">IF(CS6="","",CU6*AI6)</f>
        <v/>
      </c>
      <c r="DG6" s="14" t="str">
        <f t="shared" ref="DG6:DG37" si="76">IF(CS6="","",IF(DA6&gt;2,2*DA6*CT6*CY6,DA6*CT6*CY6))</f>
        <v/>
      </c>
      <c r="DH6" s="2" t="str">
        <f t="shared" ref="DH6:DH37" si="77">IF(CS6="","",IF(DA6&gt;2,2*(DA6-2*CT6*CY6),0))</f>
        <v/>
      </c>
      <c r="DI6" s="39" t="str">
        <f t="shared" ref="DI6:DI37" si="78">IF(CS6="","",IF(DC6&gt;0,DC6*0.5*CT6,0))</f>
        <v/>
      </c>
      <c r="DJ6" s="2" t="str">
        <f t="shared" ref="DJ6:DJ35" si="79">IF(CS6="","",IF(DE6&lt;0,DE6*CT6*AI6*1%,0))</f>
        <v/>
      </c>
      <c r="DK6" s="15" t="str">
        <f t="shared" ref="DK6:DK37" si="80">IF(CS6="","",SUM(DF6:DJ6))</f>
        <v/>
      </c>
      <c r="DL6" s="2"/>
      <c r="DM6" s="2"/>
      <c r="DN6" s="15" t="str">
        <f t="shared" ref="DN6:DN37" si="81">IF(CS6="","",SUM(DK6:DL6))</f>
        <v/>
      </c>
      <c r="DO6" s="14" t="str">
        <f t="shared" ref="DO6:DO37" si="82">IF(CS6="","",BJ6*AI6-DN6)</f>
        <v/>
      </c>
      <c r="DP6" s="14" t="str">
        <f t="shared" ref="DP6:DP37" si="83">IF(CS6="","",AZ6+CQ6)</f>
        <v/>
      </c>
      <c r="DQ6" s="15" t="str">
        <f t="shared" ref="DQ6:DQ37" si="84">IF(CS6="","",IF((DP6-DO6)&gt;0,DP6-DO6,""))</f>
        <v/>
      </c>
      <c r="DR6" s="15" t="str">
        <f t="shared" ref="DR6:DR37" si="85">IF(CS6="","",IF((DO6-DP6)&gt;0,(DO6-DP6),""))</f>
        <v/>
      </c>
      <c r="DS6" s="2" t="str">
        <f t="shared" ref="DS6:DS37" si="86">IF(CS6="","",IF(DQ6="",H6,"VALENCY"))</f>
        <v/>
      </c>
      <c r="DT6" s="2" t="str">
        <f t="shared" ref="DT6:DT37" si="87">IF(DN6="","",IF(DN6&gt;0,"CN", "DN"))</f>
        <v/>
      </c>
      <c r="DU6" s="2"/>
      <c r="DV6" s="2"/>
      <c r="DW6" s="2"/>
      <c r="DX6" s="2"/>
      <c r="DY6" s="2" t="s">
        <v>230</v>
      </c>
      <c r="DZ6" s="2"/>
      <c r="EA6" s="2" t="str">
        <f t="shared" ref="EA6:EA37" si="88">IF(CS6="","",
   MIN(0,(IF(DA6&gt;2,2,1)*DA6*CT6*CY6))
)</f>
        <v/>
      </c>
      <c r="EB6" s="2"/>
      <c r="EC6" s="2"/>
      <c r="ED6" s="2"/>
      <c r="EE6" s="3"/>
      <c r="EF6" s="7"/>
      <c r="EG6" s="3"/>
      <c r="EH6" s="3" t="s">
        <v>266</v>
      </c>
      <c r="EI6" s="3"/>
      <c r="EJ6" s="189"/>
      <c r="EK6" s="4"/>
      <c r="EL6" s="9"/>
      <c r="EM6" s="9"/>
      <c r="EN6" s="46">
        <f t="shared" ref="EN6:EN37" si="89">EK6*EJ6</f>
        <v>0</v>
      </c>
      <c r="EO6" s="9"/>
      <c r="EP6" s="8"/>
      <c r="EQ6" s="4"/>
      <c r="ER6" s="4"/>
      <c r="ES6" s="7"/>
      <c r="ET6" s="7"/>
      <c r="EU6" s="6"/>
      <c r="EV6" s="2" t="str">
        <f t="shared" ref="EV6:EV37" si="90">IF(CR6&lt;&gt;0,"Final Pmt Recd",IF(CM6&lt;&gt;0,"Export Loan",IF(BZ6&lt;&gt;0,"Nego Pending",IF(Z6&lt;&gt;0,"Yet to load","Yet to load"))))</f>
        <v>Yet to load</v>
      </c>
      <c r="EW6" s="46"/>
      <c r="EX6" s="46" t="e">
        <f t="shared" ref="EX6:EX37" si="91">EW6/BJ6</f>
        <v>#DIV/0!</v>
      </c>
      <c r="EY6" s="46" t="s">
        <v>233</v>
      </c>
      <c r="EZ6" s="24"/>
      <c r="FA6" s="2"/>
      <c r="FB6" s="24"/>
      <c r="FC6" s="53"/>
      <c r="FD6" s="46">
        <f t="shared" ref="FD6:FD37" si="92">FC6*BJ6</f>
        <v>0</v>
      </c>
      <c r="FE6" s="52"/>
      <c r="FF6" s="52"/>
      <c r="FG6" s="49"/>
      <c r="FH6" s="49"/>
      <c r="FI6" s="49"/>
      <c r="FJ6" s="49"/>
      <c r="FK6" s="49"/>
      <c r="FL6" s="49">
        <f t="shared" si="44"/>
        <v>0</v>
      </c>
      <c r="FM6" s="180">
        <f t="shared" si="45"/>
        <v>0</v>
      </c>
      <c r="FN6" s="49"/>
      <c r="FO6" s="49"/>
      <c r="FP6" s="49"/>
      <c r="FQ6" s="49"/>
      <c r="FR6" s="49"/>
      <c r="FS6" s="34">
        <f t="shared" si="47"/>
        <v>20009532</v>
      </c>
      <c r="FT6" s="34">
        <f t="shared" si="48"/>
        <v>32014480</v>
      </c>
      <c r="FU6" s="3"/>
      <c r="FV6" s="3"/>
      <c r="FW6" s="3"/>
      <c r="FX6" s="3"/>
      <c r="FY6" s="3"/>
      <c r="FZ6" s="3"/>
      <c r="GA6" s="3"/>
      <c r="GB6" s="4"/>
      <c r="GC6" s="3"/>
      <c r="GD6" s="182"/>
      <c r="GE6" s="2"/>
      <c r="GF6" s="2"/>
      <c r="GG6" s="2"/>
      <c r="GH6" s="2"/>
      <c r="GI6" s="2"/>
      <c r="GJ6" s="2"/>
      <c r="GK6" s="2"/>
      <c r="GL6" s="2"/>
      <c r="GM6" s="2"/>
      <c r="GN6" s="2"/>
    </row>
    <row r="7" spans="1:196" s="1" customFormat="1" ht="33.950000000000003">
      <c r="A7" s="2" t="str">
        <f t="shared" si="49"/>
        <v>SI Sent, Shipment Awaited</v>
      </c>
      <c r="B7" s="281">
        <v>48</v>
      </c>
      <c r="C7" s="281">
        <v>200</v>
      </c>
      <c r="D7" s="182" t="s">
        <v>208</v>
      </c>
      <c r="E7" s="2" t="str">
        <f t="shared" si="50"/>
        <v>CLOSE POSITION</v>
      </c>
      <c r="F7" s="271">
        <f t="shared" si="51"/>
        <v>32014497</v>
      </c>
      <c r="G7" s="271"/>
      <c r="H7" s="2" t="str">
        <f t="shared" si="52"/>
        <v>FAVOURITE CASHEWS</v>
      </c>
      <c r="I7" s="3" t="s">
        <v>259</v>
      </c>
      <c r="J7" s="2" t="s">
        <v>210</v>
      </c>
      <c r="K7" s="2" t="str">
        <f t="shared" si="53"/>
        <v>MANGALORE, INDIA</v>
      </c>
      <c r="L7" s="2">
        <f t="shared" si="54"/>
        <v>267489852</v>
      </c>
      <c r="M7" s="2" t="str">
        <f t="shared" si="55"/>
        <v/>
      </c>
      <c r="N7" s="22" t="str">
        <f t="shared" si="56"/>
        <v/>
      </c>
      <c r="O7" s="22">
        <f t="shared" si="57"/>
        <v>46202</v>
      </c>
      <c r="P7" s="22" t="str">
        <f t="shared" si="58"/>
        <v>No OBL Yet</v>
      </c>
      <c r="Q7" s="2"/>
      <c r="R7" s="2" t="str">
        <f t="shared" si="59"/>
        <v>No CERTS Yet</v>
      </c>
      <c r="S7" s="2" t="str">
        <f t="shared" si="60"/>
        <v/>
      </c>
      <c r="T7" s="2" t="s">
        <v>260</v>
      </c>
      <c r="U7" s="3" t="s">
        <v>267</v>
      </c>
      <c r="V7" s="272"/>
      <c r="W7" s="272"/>
      <c r="X7" s="24">
        <v>46076</v>
      </c>
      <c r="Y7" s="273">
        <v>20009551</v>
      </c>
      <c r="Z7" s="24">
        <v>46074</v>
      </c>
      <c r="AA7" s="182">
        <v>32014497</v>
      </c>
      <c r="AB7" s="182" t="s">
        <v>268</v>
      </c>
      <c r="AC7" s="182" t="s">
        <v>263</v>
      </c>
      <c r="AD7" s="181">
        <v>46142</v>
      </c>
      <c r="AE7" s="30">
        <v>0.1</v>
      </c>
      <c r="AF7" s="277">
        <v>200</v>
      </c>
      <c r="AG7" s="35">
        <f t="shared" si="61"/>
        <v>180</v>
      </c>
      <c r="AH7" s="3" t="s">
        <v>215</v>
      </c>
      <c r="AI7" s="4">
        <v>1510</v>
      </c>
      <c r="AJ7" s="4">
        <f>AI7*AF7</f>
        <v>302000</v>
      </c>
      <c r="AK7" s="3" t="s">
        <v>249</v>
      </c>
      <c r="AL7" s="3" t="s">
        <v>238</v>
      </c>
      <c r="AM7" s="183">
        <v>0.1</v>
      </c>
      <c r="AN7" s="183">
        <v>0.9</v>
      </c>
      <c r="AO7" s="183">
        <v>0</v>
      </c>
      <c r="AP7" s="28" t="s">
        <v>218</v>
      </c>
      <c r="AQ7" s="18" t="s">
        <v>239</v>
      </c>
      <c r="AR7" s="18" t="s">
        <v>264</v>
      </c>
      <c r="AS7" s="27">
        <v>5</v>
      </c>
      <c r="AT7" s="3" t="s">
        <v>220</v>
      </c>
      <c r="AU7" s="3" t="s">
        <v>220</v>
      </c>
      <c r="AV7" s="3" t="s">
        <v>220</v>
      </c>
      <c r="AW7" s="9"/>
      <c r="AX7" s="3"/>
      <c r="AY7" s="47"/>
      <c r="AZ7" s="275">
        <f t="shared" si="62"/>
        <v>30200</v>
      </c>
      <c r="BA7" s="18">
        <v>46091</v>
      </c>
      <c r="BB7" s="22">
        <v>46083</v>
      </c>
      <c r="BC7" s="22"/>
      <c r="BD7" s="22"/>
      <c r="BE7" s="22"/>
      <c r="BF7" s="22">
        <v>46083</v>
      </c>
      <c r="BG7" s="18"/>
      <c r="BH7" s="18"/>
      <c r="BI7" s="3">
        <v>267489852</v>
      </c>
      <c r="BJ7" s="25"/>
      <c r="BK7" s="46" t="s">
        <v>222</v>
      </c>
      <c r="BL7" s="497"/>
      <c r="BM7" s="18"/>
      <c r="BN7" s="4"/>
      <c r="BO7" s="18">
        <v>46202</v>
      </c>
      <c r="BP7" s="3" t="s">
        <v>259</v>
      </c>
      <c r="BQ7" s="21" t="s">
        <v>265</v>
      </c>
      <c r="BR7" s="2"/>
      <c r="BS7" s="2"/>
      <c r="BT7" s="2"/>
      <c r="BU7" s="2"/>
      <c r="BV7" s="20"/>
      <c r="BW7" s="19"/>
      <c r="BX7" s="46">
        <f t="shared" si="63"/>
        <v>0</v>
      </c>
      <c r="BY7" s="22"/>
      <c r="BZ7" s="22"/>
      <c r="CA7" s="22"/>
      <c r="CB7" s="22"/>
      <c r="CC7" s="22"/>
      <c r="CD7" s="22"/>
      <c r="CE7" s="22" t="str">
        <f t="shared" si="64"/>
        <v>No OBL Yet</v>
      </c>
      <c r="CF7" s="22"/>
      <c r="CG7" s="22"/>
      <c r="CH7" s="182"/>
      <c r="CI7" s="182"/>
      <c r="CJ7" s="182"/>
      <c r="CK7" s="2" t="str">
        <f t="shared" si="65"/>
        <v>No CERTS Yet</v>
      </c>
      <c r="CL7" s="48"/>
      <c r="CM7" s="22"/>
      <c r="CN7" s="55"/>
      <c r="CO7" s="55"/>
      <c r="CP7" s="55" t="str">
        <f t="shared" si="66"/>
        <v/>
      </c>
      <c r="CQ7" s="50">
        <f>(AN7*AI7*BJ7)-AZ7</f>
        <v>-30200</v>
      </c>
      <c r="CR7" s="54"/>
      <c r="CS7" s="2"/>
      <c r="CT7" s="2"/>
      <c r="CU7" s="14" t="str">
        <f t="shared" si="67"/>
        <v/>
      </c>
      <c r="CV7" s="42" t="str">
        <f t="shared" si="68"/>
        <v/>
      </c>
      <c r="CW7" s="14" t="str">
        <f t="shared" si="69"/>
        <v/>
      </c>
      <c r="CX7" s="14" t="str">
        <f t="shared" si="70"/>
        <v/>
      </c>
      <c r="CY7" s="15" t="str">
        <f t="shared" si="71"/>
        <v/>
      </c>
      <c r="CZ7" s="2"/>
      <c r="DA7" s="41" t="str">
        <f t="shared" si="72"/>
        <v/>
      </c>
      <c r="DB7" s="2"/>
      <c r="DC7" s="39" t="str">
        <f t="shared" si="73"/>
        <v/>
      </c>
      <c r="DD7" s="40"/>
      <c r="DE7" s="16" t="str">
        <f t="shared" si="74"/>
        <v/>
      </c>
      <c r="DF7" s="2" t="str">
        <f t="shared" si="75"/>
        <v/>
      </c>
      <c r="DG7" s="14" t="str">
        <f t="shared" si="76"/>
        <v/>
      </c>
      <c r="DH7" s="2" t="str">
        <f t="shared" si="77"/>
        <v/>
      </c>
      <c r="DI7" s="39" t="str">
        <f t="shared" si="78"/>
        <v/>
      </c>
      <c r="DJ7" s="2" t="str">
        <f t="shared" si="79"/>
        <v/>
      </c>
      <c r="DK7" s="15" t="str">
        <f t="shared" si="80"/>
        <v/>
      </c>
      <c r="DL7" s="2"/>
      <c r="DM7" s="2"/>
      <c r="DN7" s="15" t="str">
        <f t="shared" si="81"/>
        <v/>
      </c>
      <c r="DO7" s="14" t="str">
        <f t="shared" si="82"/>
        <v/>
      </c>
      <c r="DP7" s="14" t="str">
        <f t="shared" si="83"/>
        <v/>
      </c>
      <c r="DQ7" s="15" t="str">
        <f t="shared" si="84"/>
        <v/>
      </c>
      <c r="DR7" s="15" t="str">
        <f t="shared" si="85"/>
        <v/>
      </c>
      <c r="DS7" s="2" t="str">
        <f t="shared" si="86"/>
        <v/>
      </c>
      <c r="DT7" s="2" t="str">
        <f t="shared" si="87"/>
        <v/>
      </c>
      <c r="DU7" s="2"/>
      <c r="DV7" s="2"/>
      <c r="DW7" s="2"/>
      <c r="DX7" s="2"/>
      <c r="DY7" s="2" t="s">
        <v>230</v>
      </c>
      <c r="DZ7" s="2"/>
      <c r="EA7" s="2" t="str">
        <f t="shared" si="88"/>
        <v/>
      </c>
      <c r="EB7" s="2"/>
      <c r="EC7" s="2"/>
      <c r="ED7" s="2"/>
      <c r="EE7" s="3"/>
      <c r="EF7" s="7"/>
      <c r="EG7" s="3"/>
      <c r="EH7" s="3" t="s">
        <v>266</v>
      </c>
      <c r="EI7" s="3"/>
      <c r="EJ7" s="189"/>
      <c r="EK7" s="4"/>
      <c r="EL7" s="9"/>
      <c r="EM7" s="9"/>
      <c r="EN7" s="46">
        <f t="shared" si="89"/>
        <v>0</v>
      </c>
      <c r="EO7" s="9"/>
      <c r="EP7" s="8"/>
      <c r="EQ7" s="4"/>
      <c r="ER7" s="4"/>
      <c r="ES7" s="7"/>
      <c r="ET7" s="7"/>
      <c r="EU7" s="6"/>
      <c r="EV7" s="2" t="str">
        <f t="shared" si="90"/>
        <v>Yet to load</v>
      </c>
      <c r="EW7" s="46"/>
      <c r="EX7" s="46" t="e">
        <f t="shared" si="91"/>
        <v>#DIV/0!</v>
      </c>
      <c r="EY7" s="46" t="s">
        <v>233</v>
      </c>
      <c r="EZ7" s="24"/>
      <c r="FA7" s="2"/>
      <c r="FB7" s="24"/>
      <c r="FC7" s="53"/>
      <c r="FD7" s="46">
        <f t="shared" si="92"/>
        <v>0</v>
      </c>
      <c r="FE7" s="52"/>
      <c r="FF7" s="52"/>
      <c r="FG7" s="49"/>
      <c r="FH7" s="49"/>
      <c r="FI7" s="49"/>
      <c r="FJ7" s="49"/>
      <c r="FK7" s="49"/>
      <c r="FL7" s="49">
        <f t="shared" si="44"/>
        <v>0</v>
      </c>
      <c r="FM7" s="180">
        <f t="shared" si="45"/>
        <v>0</v>
      </c>
      <c r="FN7" s="49"/>
      <c r="FO7" s="49"/>
      <c r="FP7" s="49"/>
      <c r="FQ7" s="49"/>
      <c r="FR7" s="49"/>
      <c r="FS7" s="34">
        <f t="shared" si="47"/>
        <v>20009551</v>
      </c>
      <c r="FT7" s="34">
        <f t="shared" si="48"/>
        <v>32014497</v>
      </c>
      <c r="FU7" s="3"/>
      <c r="FV7" s="3"/>
      <c r="FW7" s="3"/>
      <c r="FX7" s="3"/>
      <c r="FY7" s="3"/>
      <c r="FZ7" s="3"/>
      <c r="GA7" s="3"/>
      <c r="GB7" s="4"/>
      <c r="GC7" s="3"/>
      <c r="GD7" s="182"/>
      <c r="GE7" s="3"/>
      <c r="GF7" s="3"/>
      <c r="GG7" s="3"/>
      <c r="GH7" s="3"/>
      <c r="GI7" s="3"/>
      <c r="GJ7" s="3"/>
      <c r="GK7" s="3"/>
      <c r="GL7" s="3"/>
      <c r="GM7" s="3"/>
      <c r="GN7" s="3"/>
    </row>
    <row r="8" spans="1:196" s="1" customFormat="1" ht="55.5">
      <c r="A8" s="2" t="str">
        <f t="shared" si="49"/>
        <v>OBL Scan Recd, Nego Pending</v>
      </c>
      <c r="B8" s="281">
        <v>49</v>
      </c>
      <c r="C8" s="281">
        <v>185</v>
      </c>
      <c r="D8" s="182" t="s">
        <v>208</v>
      </c>
      <c r="E8" s="2" t="str">
        <f t="shared" si="50"/>
        <v>CLOSE POSITION</v>
      </c>
      <c r="F8" s="271" t="str">
        <f t="shared" si="51"/>
        <v>32015806-1</v>
      </c>
      <c r="G8" s="271"/>
      <c r="H8" s="2" t="str">
        <f t="shared" si="52"/>
        <v>INDIA ENTERPRISES</v>
      </c>
      <c r="I8" s="3" t="s">
        <v>269</v>
      </c>
      <c r="J8" s="2" t="s">
        <v>210</v>
      </c>
      <c r="K8" s="2" t="str">
        <f t="shared" si="53"/>
        <v>MANGALORE, INDIA</v>
      </c>
      <c r="L8" s="2" t="str">
        <f t="shared" si="54"/>
        <v>MEDULG632861</v>
      </c>
      <c r="M8" s="2">
        <f t="shared" si="55"/>
        <v>100.48</v>
      </c>
      <c r="N8" s="22">
        <f t="shared" si="56"/>
        <v>46158</v>
      </c>
      <c r="O8" s="22">
        <f t="shared" si="57"/>
        <v>46193</v>
      </c>
      <c r="P8" s="22" t="str">
        <f t="shared" si="58"/>
        <v>OBL in Origin - NIGERIA(SAKI)</v>
      </c>
      <c r="Q8" s="2"/>
      <c r="R8" s="2" t="str">
        <f t="shared" si="59"/>
        <v>No CERTS Yet</v>
      </c>
      <c r="S8" s="2" t="str">
        <f t="shared" si="60"/>
        <v/>
      </c>
      <c r="T8" s="330" t="s">
        <v>270</v>
      </c>
      <c r="U8" s="438" t="s">
        <v>271</v>
      </c>
      <c r="V8" s="272" t="s">
        <v>272</v>
      </c>
      <c r="W8" s="438" t="s">
        <v>273</v>
      </c>
      <c r="X8" s="24">
        <v>46090</v>
      </c>
      <c r="Y8" s="273">
        <v>20009815</v>
      </c>
      <c r="Z8" s="24">
        <v>46104</v>
      </c>
      <c r="AA8" s="182" t="s">
        <v>274</v>
      </c>
      <c r="AB8" s="182" t="s">
        <v>275</v>
      </c>
      <c r="AC8" s="182" t="s">
        <v>263</v>
      </c>
      <c r="AD8" s="181">
        <v>46157</v>
      </c>
      <c r="AE8" s="30">
        <v>0.1</v>
      </c>
      <c r="AF8" s="277">
        <v>100</v>
      </c>
      <c r="AG8" s="35">
        <f t="shared" si="61"/>
        <v>90</v>
      </c>
      <c r="AH8" s="3" t="s">
        <v>215</v>
      </c>
      <c r="AI8" s="4">
        <v>1575</v>
      </c>
      <c r="AJ8" s="4">
        <v>315000</v>
      </c>
      <c r="AK8" s="3" t="s">
        <v>249</v>
      </c>
      <c r="AL8" s="3" t="s">
        <v>238</v>
      </c>
      <c r="AM8" s="183">
        <v>0.1</v>
      </c>
      <c r="AN8" s="183">
        <v>0.9</v>
      </c>
      <c r="AO8" s="183">
        <v>0</v>
      </c>
      <c r="AP8" s="28" t="s">
        <v>218</v>
      </c>
      <c r="AQ8" s="18" t="s">
        <v>239</v>
      </c>
      <c r="AR8" s="18"/>
      <c r="AS8" s="27"/>
      <c r="AT8" s="3" t="s">
        <v>220</v>
      </c>
      <c r="AU8" s="3" t="s">
        <v>220</v>
      </c>
      <c r="AV8" s="3" t="s">
        <v>220</v>
      </c>
      <c r="AW8" s="9"/>
      <c r="AX8" s="3"/>
      <c r="AY8" s="47">
        <v>46094</v>
      </c>
      <c r="AZ8" s="275">
        <f t="shared" si="62"/>
        <v>15750</v>
      </c>
      <c r="BA8" s="18">
        <v>46106</v>
      </c>
      <c r="BB8" s="22">
        <v>46094</v>
      </c>
      <c r="BC8" s="22"/>
      <c r="BD8" s="22"/>
      <c r="BE8" s="22"/>
      <c r="BF8" s="22"/>
      <c r="BG8" s="18"/>
      <c r="BH8" s="18"/>
      <c r="BI8" s="3" t="s">
        <v>276</v>
      </c>
      <c r="BJ8" s="25">
        <v>100.48</v>
      </c>
      <c r="BK8" s="46" t="s">
        <v>222</v>
      </c>
      <c r="BL8" s="497"/>
      <c r="BM8" s="18">
        <v>46158</v>
      </c>
      <c r="BN8" s="4" t="s">
        <v>277</v>
      </c>
      <c r="BO8" s="18">
        <v>46193</v>
      </c>
      <c r="BP8" s="3" t="s">
        <v>278</v>
      </c>
      <c r="BQ8" s="21" t="s">
        <v>265</v>
      </c>
      <c r="BR8" s="2" t="s">
        <v>226</v>
      </c>
      <c r="BS8" s="2"/>
      <c r="BT8" s="2"/>
      <c r="BU8" s="2"/>
      <c r="BV8" s="20"/>
      <c r="BW8" s="19"/>
      <c r="BX8" s="46">
        <f t="shared" si="63"/>
        <v>158256</v>
      </c>
      <c r="BY8" s="22"/>
      <c r="BZ8" s="22">
        <v>46168</v>
      </c>
      <c r="CA8" s="22"/>
      <c r="CB8" s="22"/>
      <c r="CC8" s="22"/>
      <c r="CD8" s="22"/>
      <c r="CE8" s="22" t="str">
        <f t="shared" si="64"/>
        <v>OBL in Origin - NIGERIA(SAKI)</v>
      </c>
      <c r="CF8" s="22"/>
      <c r="CG8" s="22"/>
      <c r="CH8" s="182"/>
      <c r="CI8" s="182"/>
      <c r="CJ8" s="182"/>
      <c r="CK8" s="2" t="str">
        <f t="shared" si="65"/>
        <v>No CERTS Yet</v>
      </c>
      <c r="CL8" s="48"/>
      <c r="CM8" s="22"/>
      <c r="CN8" s="55"/>
      <c r="CO8" s="55"/>
      <c r="CP8" s="55" t="str">
        <f t="shared" si="66"/>
        <v/>
      </c>
      <c r="CQ8" s="50">
        <f>(AN8*AI8*BJ8)-AZ8</f>
        <v>126680.4</v>
      </c>
      <c r="CR8" s="54"/>
      <c r="CS8" s="2"/>
      <c r="CT8" s="2"/>
      <c r="CU8" s="14" t="str">
        <f t="shared" si="67"/>
        <v/>
      </c>
      <c r="CV8" s="42" t="str">
        <f t="shared" si="68"/>
        <v/>
      </c>
      <c r="CW8" s="14" t="str">
        <f t="shared" si="69"/>
        <v/>
      </c>
      <c r="CX8" s="14" t="str">
        <f t="shared" si="70"/>
        <v/>
      </c>
      <c r="CY8" s="15" t="str">
        <f t="shared" si="71"/>
        <v/>
      </c>
      <c r="CZ8" s="2"/>
      <c r="DA8" s="41" t="str">
        <f t="shared" si="72"/>
        <v/>
      </c>
      <c r="DB8" s="2"/>
      <c r="DC8" s="39" t="str">
        <f t="shared" si="73"/>
        <v/>
      </c>
      <c r="DD8" s="40"/>
      <c r="DE8" s="16" t="str">
        <f t="shared" si="74"/>
        <v/>
      </c>
      <c r="DF8" s="2" t="str">
        <f t="shared" si="75"/>
        <v/>
      </c>
      <c r="DG8" s="14" t="str">
        <f t="shared" si="76"/>
        <v/>
      </c>
      <c r="DH8" s="2" t="str">
        <f t="shared" si="77"/>
        <v/>
      </c>
      <c r="DI8" s="39" t="str">
        <f t="shared" si="78"/>
        <v/>
      </c>
      <c r="DJ8" s="2" t="str">
        <f t="shared" si="79"/>
        <v/>
      </c>
      <c r="DK8" s="15" t="str">
        <f t="shared" si="80"/>
        <v/>
      </c>
      <c r="DL8" s="2"/>
      <c r="DM8" s="2"/>
      <c r="DN8" s="15" t="str">
        <f t="shared" si="81"/>
        <v/>
      </c>
      <c r="DO8" s="14" t="str">
        <f t="shared" si="82"/>
        <v/>
      </c>
      <c r="DP8" s="14" t="str">
        <f t="shared" si="83"/>
        <v/>
      </c>
      <c r="DQ8" s="15" t="str">
        <f t="shared" si="84"/>
        <v/>
      </c>
      <c r="DR8" s="15" t="str">
        <f t="shared" si="85"/>
        <v/>
      </c>
      <c r="DS8" s="2" t="str">
        <f t="shared" si="86"/>
        <v/>
      </c>
      <c r="DT8" s="2" t="str">
        <f t="shared" si="87"/>
        <v/>
      </c>
      <c r="DU8" s="2"/>
      <c r="DV8" s="2"/>
      <c r="DW8" s="2"/>
      <c r="DX8" s="2"/>
      <c r="DY8" s="2" t="s">
        <v>230</v>
      </c>
      <c r="DZ8" s="2"/>
      <c r="EA8" s="2" t="str">
        <f t="shared" si="88"/>
        <v/>
      </c>
      <c r="EB8" s="2"/>
      <c r="EC8" s="2"/>
      <c r="ED8" s="2"/>
      <c r="EE8" s="3"/>
      <c r="EF8" s="7"/>
      <c r="EG8" s="3"/>
      <c r="EH8" s="3" t="s">
        <v>231</v>
      </c>
      <c r="EI8" s="3"/>
      <c r="EJ8" s="189"/>
      <c r="EK8" s="4"/>
      <c r="EL8" s="9"/>
      <c r="EM8" s="9"/>
      <c r="EN8" s="46">
        <f t="shared" si="89"/>
        <v>0</v>
      </c>
      <c r="EO8" s="9"/>
      <c r="EP8" s="8"/>
      <c r="EQ8" s="4"/>
      <c r="ER8" s="4"/>
      <c r="ES8" s="7"/>
      <c r="ET8" s="7"/>
      <c r="EU8" s="6"/>
      <c r="EV8" s="2" t="str">
        <f t="shared" si="90"/>
        <v>Nego Pending</v>
      </c>
      <c r="EW8" s="46"/>
      <c r="EX8" s="46">
        <f t="shared" si="91"/>
        <v>0</v>
      </c>
      <c r="EY8" s="46" t="s">
        <v>233</v>
      </c>
      <c r="EZ8" s="24"/>
      <c r="FA8" s="2"/>
      <c r="FB8" s="24"/>
      <c r="FC8" s="53"/>
      <c r="FD8" s="46">
        <f t="shared" si="92"/>
        <v>0</v>
      </c>
      <c r="FE8" s="52"/>
      <c r="FF8" s="52"/>
      <c r="FG8" s="49"/>
      <c r="FH8" s="49"/>
      <c r="FI8" s="49"/>
      <c r="FJ8" s="49"/>
      <c r="FK8" s="49"/>
      <c r="FL8" s="49">
        <f t="shared" si="44"/>
        <v>0</v>
      </c>
      <c r="FM8" s="180">
        <f t="shared" si="45"/>
        <v>46158</v>
      </c>
      <c r="FN8" s="49"/>
      <c r="FO8" s="49"/>
      <c r="FP8" s="49"/>
      <c r="FQ8" s="49"/>
      <c r="FR8" s="49"/>
      <c r="FS8" s="34">
        <f t="shared" si="47"/>
        <v>20009815</v>
      </c>
      <c r="FT8" s="34" t="str">
        <f t="shared" si="48"/>
        <v>32015806-1</v>
      </c>
      <c r="FU8" s="3"/>
      <c r="FV8" s="3"/>
      <c r="FW8" s="3"/>
      <c r="FX8" s="3"/>
      <c r="FY8" s="3"/>
      <c r="FZ8" s="3"/>
      <c r="GA8" s="3"/>
      <c r="GB8" s="4"/>
      <c r="GC8" s="3"/>
      <c r="GD8" s="182"/>
      <c r="GE8" s="3"/>
      <c r="GF8" s="3"/>
      <c r="GG8" s="3"/>
      <c r="GH8" s="3"/>
      <c r="GI8" s="3"/>
      <c r="GJ8" s="3"/>
      <c r="GK8" s="3"/>
      <c r="GL8" s="3"/>
      <c r="GM8" s="3"/>
      <c r="GN8" s="3"/>
    </row>
    <row r="9" spans="1:196" s="1" customFormat="1" ht="55.5">
      <c r="A9" s="2" t="str">
        <f t="shared" si="49"/>
        <v>Sailed, OBL &amp; Certs Pending</v>
      </c>
      <c r="B9" s="281">
        <v>49</v>
      </c>
      <c r="C9" s="281">
        <v>185</v>
      </c>
      <c r="D9" s="182" t="s">
        <v>208</v>
      </c>
      <c r="E9" s="2" t="str">
        <f t="shared" si="50"/>
        <v>CLOSE POSITION</v>
      </c>
      <c r="F9" s="271" t="str">
        <f t="shared" si="51"/>
        <v>32015806-2</v>
      </c>
      <c r="G9" s="271"/>
      <c r="H9" s="2" t="str">
        <f t="shared" si="52"/>
        <v>INDIA ENTERPRISES</v>
      </c>
      <c r="I9" s="3" t="s">
        <v>269</v>
      </c>
      <c r="J9" s="2" t="s">
        <v>210</v>
      </c>
      <c r="K9" s="2" t="str">
        <f t="shared" si="53"/>
        <v>MANGALORE, INDIA</v>
      </c>
      <c r="L9" s="330" t="str">
        <f t="shared" si="54"/>
        <v>MEDULG632812</v>
      </c>
      <c r="M9" s="2">
        <f t="shared" si="55"/>
        <v>99.989000000000004</v>
      </c>
      <c r="N9" s="22">
        <f t="shared" si="56"/>
        <v>46158</v>
      </c>
      <c r="O9" s="22">
        <f t="shared" si="57"/>
        <v>46193</v>
      </c>
      <c r="P9" s="22" t="str">
        <f t="shared" si="58"/>
        <v>No OBL Yet</v>
      </c>
      <c r="Q9" s="2"/>
      <c r="R9" s="2" t="str">
        <f t="shared" si="59"/>
        <v>No CERTS Yet</v>
      </c>
      <c r="S9" s="2" t="str">
        <f t="shared" si="60"/>
        <v/>
      </c>
      <c r="T9" s="330" t="s">
        <v>270</v>
      </c>
      <c r="U9" s="438" t="s">
        <v>279</v>
      </c>
      <c r="V9" s="272" t="s">
        <v>272</v>
      </c>
      <c r="W9" s="438" t="s">
        <v>280</v>
      </c>
      <c r="X9" s="24">
        <v>46090</v>
      </c>
      <c r="Y9" s="273">
        <v>20009815</v>
      </c>
      <c r="Z9" s="24">
        <v>46104</v>
      </c>
      <c r="AA9" s="182" t="s">
        <v>281</v>
      </c>
      <c r="AB9" s="182" t="s">
        <v>275</v>
      </c>
      <c r="AC9" s="182" t="s">
        <v>263</v>
      </c>
      <c r="AD9" s="181">
        <v>46157</v>
      </c>
      <c r="AE9" s="30">
        <v>0.1</v>
      </c>
      <c r="AF9" s="277">
        <v>100</v>
      </c>
      <c r="AG9" s="35">
        <f t="shared" si="61"/>
        <v>90</v>
      </c>
      <c r="AH9" s="3" t="s">
        <v>215</v>
      </c>
      <c r="AI9" s="4">
        <v>1575</v>
      </c>
      <c r="AJ9" s="4">
        <v>315000</v>
      </c>
      <c r="AK9" s="3" t="s">
        <v>249</v>
      </c>
      <c r="AL9" s="3" t="s">
        <v>238</v>
      </c>
      <c r="AM9" s="183">
        <v>0.1</v>
      </c>
      <c r="AN9" s="183">
        <v>0.9</v>
      </c>
      <c r="AO9" s="183">
        <v>0</v>
      </c>
      <c r="AP9" s="28" t="s">
        <v>218</v>
      </c>
      <c r="AQ9" s="18" t="s">
        <v>239</v>
      </c>
      <c r="AR9" s="18"/>
      <c r="AS9" s="27"/>
      <c r="AT9" s="3" t="s">
        <v>220</v>
      </c>
      <c r="AU9" s="3" t="s">
        <v>220</v>
      </c>
      <c r="AV9" s="3" t="s">
        <v>220</v>
      </c>
      <c r="AW9" s="9"/>
      <c r="AX9" s="3"/>
      <c r="AY9" s="47">
        <v>46094</v>
      </c>
      <c r="AZ9" s="275">
        <f t="shared" si="62"/>
        <v>15750</v>
      </c>
      <c r="BA9" s="18">
        <v>46106</v>
      </c>
      <c r="BB9" s="22">
        <v>46094</v>
      </c>
      <c r="BC9" s="22"/>
      <c r="BD9" s="22"/>
      <c r="BE9" s="22"/>
      <c r="BF9" s="22"/>
      <c r="BG9" s="18"/>
      <c r="BH9" s="18"/>
      <c r="BI9" s="3" t="s">
        <v>282</v>
      </c>
      <c r="BJ9" s="25">
        <v>99.989000000000004</v>
      </c>
      <c r="BK9" s="46" t="s">
        <v>222</v>
      </c>
      <c r="BL9" s="497"/>
      <c r="BM9" s="18">
        <v>46158</v>
      </c>
      <c r="BN9" s="4" t="s">
        <v>283</v>
      </c>
      <c r="BO9" s="18">
        <v>46193</v>
      </c>
      <c r="BP9" s="3" t="s">
        <v>278</v>
      </c>
      <c r="BQ9" s="21" t="s">
        <v>265</v>
      </c>
      <c r="BR9" s="2" t="s">
        <v>226</v>
      </c>
      <c r="BS9" s="2"/>
      <c r="BT9" s="2"/>
      <c r="BU9" s="2"/>
      <c r="BV9" s="20"/>
      <c r="BW9" s="19"/>
      <c r="BX9" s="46">
        <f t="shared" si="63"/>
        <v>157482.67500000002</v>
      </c>
      <c r="BY9" s="22"/>
      <c r="BZ9" s="22"/>
      <c r="CA9" s="22"/>
      <c r="CB9" s="22"/>
      <c r="CC9" s="22"/>
      <c r="CD9" s="22"/>
      <c r="CE9" s="22" t="str">
        <f t="shared" si="64"/>
        <v>No OBL Yet</v>
      </c>
      <c r="CF9" s="22"/>
      <c r="CG9" s="22"/>
      <c r="CH9" s="182"/>
      <c r="CI9" s="182"/>
      <c r="CJ9" s="182"/>
      <c r="CK9" s="2" t="str">
        <f t="shared" si="65"/>
        <v>No CERTS Yet</v>
      </c>
      <c r="CL9" s="48"/>
      <c r="CM9" s="22"/>
      <c r="CN9" s="55"/>
      <c r="CO9" s="55"/>
      <c r="CP9" s="55" t="str">
        <f t="shared" si="66"/>
        <v/>
      </c>
      <c r="CQ9" s="50">
        <f>(AN9*AI9*BJ9)-AZ9</f>
        <v>125984.4075</v>
      </c>
      <c r="CR9" s="54"/>
      <c r="CS9" s="2"/>
      <c r="CT9" s="2"/>
      <c r="CU9" s="14" t="str">
        <f t="shared" si="67"/>
        <v/>
      </c>
      <c r="CV9" s="42" t="str">
        <f t="shared" si="68"/>
        <v/>
      </c>
      <c r="CW9" s="14" t="str">
        <f t="shared" si="69"/>
        <v/>
      </c>
      <c r="CX9" s="14" t="str">
        <f t="shared" si="70"/>
        <v/>
      </c>
      <c r="CY9" s="15" t="str">
        <f t="shared" si="71"/>
        <v/>
      </c>
      <c r="CZ9" s="2"/>
      <c r="DA9" s="41" t="str">
        <f t="shared" si="72"/>
        <v/>
      </c>
      <c r="DB9" s="2"/>
      <c r="DC9" s="39" t="str">
        <f t="shared" si="73"/>
        <v/>
      </c>
      <c r="DD9" s="40"/>
      <c r="DE9" s="16" t="str">
        <f t="shared" si="74"/>
        <v/>
      </c>
      <c r="DF9" s="2" t="str">
        <f t="shared" si="75"/>
        <v/>
      </c>
      <c r="DG9" s="14" t="str">
        <f t="shared" si="76"/>
        <v/>
      </c>
      <c r="DH9" s="2" t="str">
        <f t="shared" si="77"/>
        <v/>
      </c>
      <c r="DI9" s="39" t="str">
        <f t="shared" si="78"/>
        <v/>
      </c>
      <c r="DJ9" s="2" t="str">
        <f t="shared" si="79"/>
        <v/>
      </c>
      <c r="DK9" s="15" t="str">
        <f t="shared" si="80"/>
        <v/>
      </c>
      <c r="DL9" s="2"/>
      <c r="DM9" s="2"/>
      <c r="DN9" s="15" t="str">
        <f t="shared" si="81"/>
        <v/>
      </c>
      <c r="DO9" s="14" t="str">
        <f t="shared" si="82"/>
        <v/>
      </c>
      <c r="DP9" s="14" t="str">
        <f t="shared" si="83"/>
        <v/>
      </c>
      <c r="DQ9" s="15" t="str">
        <f t="shared" si="84"/>
        <v/>
      </c>
      <c r="DR9" s="15" t="str">
        <f t="shared" si="85"/>
        <v/>
      </c>
      <c r="DS9" s="2" t="str">
        <f t="shared" si="86"/>
        <v/>
      </c>
      <c r="DT9" s="2" t="str">
        <f t="shared" si="87"/>
        <v/>
      </c>
      <c r="DU9" s="2"/>
      <c r="DV9" s="2"/>
      <c r="DW9" s="2"/>
      <c r="DX9" s="2"/>
      <c r="DY9" s="2" t="s">
        <v>230</v>
      </c>
      <c r="DZ9" s="2"/>
      <c r="EA9" s="2" t="str">
        <f t="shared" si="88"/>
        <v/>
      </c>
      <c r="EB9" s="2"/>
      <c r="EC9" s="2"/>
      <c r="ED9" s="2"/>
      <c r="EE9" s="3"/>
      <c r="EF9" s="7"/>
      <c r="EG9" s="3"/>
      <c r="EH9" s="3" t="s">
        <v>231</v>
      </c>
      <c r="EI9" s="3"/>
      <c r="EJ9" s="189"/>
      <c r="EK9" s="4"/>
      <c r="EL9" s="9"/>
      <c r="EM9" s="9"/>
      <c r="EN9" s="46">
        <f t="shared" si="89"/>
        <v>0</v>
      </c>
      <c r="EO9" s="9"/>
      <c r="EP9" s="8"/>
      <c r="EQ9" s="4"/>
      <c r="ER9" s="4"/>
      <c r="ES9" s="7"/>
      <c r="ET9" s="7"/>
      <c r="EU9" s="6"/>
      <c r="EV9" s="2" t="str">
        <f t="shared" si="90"/>
        <v>Yet to load</v>
      </c>
      <c r="EW9" s="46"/>
      <c r="EX9" s="46">
        <f t="shared" si="91"/>
        <v>0</v>
      </c>
      <c r="EY9" s="46" t="s">
        <v>233</v>
      </c>
      <c r="EZ9" s="24"/>
      <c r="FA9" s="2"/>
      <c r="FB9" s="24"/>
      <c r="FC9" s="53"/>
      <c r="FD9" s="46">
        <f t="shared" si="92"/>
        <v>0</v>
      </c>
      <c r="FE9" s="52"/>
      <c r="FF9" s="52"/>
      <c r="FG9" s="49"/>
      <c r="FH9" s="49"/>
      <c r="FI9" s="49"/>
      <c r="FJ9" s="49"/>
      <c r="FK9" s="49"/>
      <c r="FL9" s="49">
        <f t="shared" si="44"/>
        <v>0</v>
      </c>
      <c r="FM9" s="180">
        <f t="shared" si="45"/>
        <v>46158</v>
      </c>
      <c r="FN9" s="49"/>
      <c r="FO9" s="49"/>
      <c r="FP9" s="49"/>
      <c r="FQ9" s="49"/>
      <c r="FR9" s="49"/>
      <c r="FS9" s="34">
        <f t="shared" si="47"/>
        <v>20009815</v>
      </c>
      <c r="FT9" s="34" t="str">
        <f t="shared" si="48"/>
        <v>32015806-2</v>
      </c>
      <c r="FU9" s="3"/>
      <c r="FV9" s="3"/>
      <c r="FW9" s="3"/>
      <c r="FX9" s="3"/>
      <c r="FY9" s="3"/>
      <c r="FZ9" s="3"/>
      <c r="GA9" s="3"/>
      <c r="GB9" s="4"/>
      <c r="GC9" s="3"/>
      <c r="GD9" s="182"/>
      <c r="GE9" s="3"/>
      <c r="GF9" s="3"/>
      <c r="GG9" s="3"/>
      <c r="GH9" s="3"/>
      <c r="GI9" s="3"/>
      <c r="GJ9" s="3"/>
      <c r="GK9" s="3"/>
      <c r="GL9" s="3"/>
      <c r="GM9" s="3"/>
      <c r="GN9" s="3"/>
    </row>
    <row r="10" spans="1:196" s="1" customFormat="1" ht="33.950000000000003">
      <c r="A10" s="2" t="str">
        <f t="shared" si="49"/>
        <v>Exp Dox Presented to Bank, Pmt Pending</v>
      </c>
      <c r="B10" s="282">
        <v>47</v>
      </c>
      <c r="C10" s="282">
        <v>185</v>
      </c>
      <c r="D10" s="182" t="s">
        <v>208</v>
      </c>
      <c r="E10" s="2" t="str">
        <f t="shared" si="50"/>
        <v>CLOSE POSITION</v>
      </c>
      <c r="F10" s="271" t="str">
        <f t="shared" si="51"/>
        <v>32015281-4</v>
      </c>
      <c r="G10" s="271"/>
      <c r="H10" s="2" t="str">
        <f t="shared" si="52"/>
        <v>Valency Agro (Processing)</v>
      </c>
      <c r="I10" s="3" t="s">
        <v>245</v>
      </c>
      <c r="J10" s="2" t="s">
        <v>210</v>
      </c>
      <c r="K10" s="2" t="str">
        <f t="shared" si="53"/>
        <v>MUNDRA, INDIA</v>
      </c>
      <c r="L10" s="2" t="str">
        <f t="shared" si="54"/>
        <v>ONEYTEMG00306400</v>
      </c>
      <c r="M10" s="2">
        <f t="shared" si="55"/>
        <v>103.59</v>
      </c>
      <c r="N10" s="22">
        <f t="shared" si="56"/>
        <v>46103</v>
      </c>
      <c r="O10" s="22">
        <f t="shared" si="57"/>
        <v>46146</v>
      </c>
      <c r="P10" s="22" t="str">
        <f t="shared" si="58"/>
        <v>OBL In Destination - INDIA</v>
      </c>
      <c r="Q10" s="2"/>
      <c r="R10" s="2" t="str">
        <f t="shared" si="59"/>
        <v>CERTS in Destination - INDIA</v>
      </c>
      <c r="S10" s="2" t="str">
        <f t="shared" si="60"/>
        <v>Docs in Buyer's Nego Bank</v>
      </c>
      <c r="T10" s="2" t="str">
        <f>IFERROR(_xlfn.XLOOKUP(F10,
'[2]Data 2026'!$H$12:$H$111,
'[2]Data 2026'!$CL$12:$CL$111),"")</f>
        <v/>
      </c>
      <c r="U10" s="3" t="s">
        <v>284</v>
      </c>
      <c r="V10" s="272"/>
      <c r="W10" s="3"/>
      <c r="X10" s="24">
        <v>46093</v>
      </c>
      <c r="Y10" s="273">
        <v>20009747</v>
      </c>
      <c r="Z10" s="24">
        <f>X10</f>
        <v>46093</v>
      </c>
      <c r="AA10" s="182" t="s">
        <v>285</v>
      </c>
      <c r="AB10" s="182" t="s">
        <v>247</v>
      </c>
      <c r="AC10" s="182" t="s">
        <v>248</v>
      </c>
      <c r="AD10" s="181">
        <v>46112</v>
      </c>
      <c r="AE10" s="30">
        <v>0.1</v>
      </c>
      <c r="AF10" s="277">
        <v>100</v>
      </c>
      <c r="AG10" s="35">
        <f t="shared" si="61"/>
        <v>90</v>
      </c>
      <c r="AH10" s="3" t="s">
        <v>215</v>
      </c>
      <c r="AI10" s="4">
        <v>1585</v>
      </c>
      <c r="AJ10" s="4">
        <f>AI10*AF10</f>
        <v>158500</v>
      </c>
      <c r="AK10" s="3" t="s">
        <v>249</v>
      </c>
      <c r="AL10" s="3" t="s">
        <v>286</v>
      </c>
      <c r="AM10" s="30">
        <v>0</v>
      </c>
      <c r="AN10" s="183">
        <v>1</v>
      </c>
      <c r="AO10" s="183">
        <v>0</v>
      </c>
      <c r="AP10" s="28" t="s">
        <v>218</v>
      </c>
      <c r="AQ10" s="18" t="s">
        <v>250</v>
      </c>
      <c r="AR10" s="18" t="s">
        <v>251</v>
      </c>
      <c r="AS10" s="27"/>
      <c r="AT10" s="3" t="s">
        <v>220</v>
      </c>
      <c r="AU10" s="3" t="s">
        <v>220</v>
      </c>
      <c r="AV10" s="3" t="s">
        <v>220</v>
      </c>
      <c r="AW10" s="9"/>
      <c r="AX10" s="3"/>
      <c r="AY10" s="47"/>
      <c r="AZ10" s="278">
        <f t="shared" si="62"/>
        <v>0</v>
      </c>
      <c r="BA10" s="18">
        <f>Z10</f>
        <v>46093</v>
      </c>
      <c r="BB10" s="22">
        <v>46078</v>
      </c>
      <c r="BC10" s="22"/>
      <c r="BD10" s="22"/>
      <c r="BE10" s="22"/>
      <c r="BF10" s="22">
        <v>46078</v>
      </c>
      <c r="BG10" s="18"/>
      <c r="BH10" s="18"/>
      <c r="BI10" s="3" t="s">
        <v>287</v>
      </c>
      <c r="BJ10" s="25">
        <v>103.59</v>
      </c>
      <c r="BK10" s="189" t="s">
        <v>222</v>
      </c>
      <c r="BL10" s="497">
        <v>4</v>
      </c>
      <c r="BM10" s="18">
        <v>46103</v>
      </c>
      <c r="BN10" s="4"/>
      <c r="BO10" s="18">
        <v>46146</v>
      </c>
      <c r="BP10" s="3" t="s">
        <v>245</v>
      </c>
      <c r="BQ10" s="21" t="s">
        <v>253</v>
      </c>
      <c r="BR10" s="2" t="s">
        <v>288</v>
      </c>
      <c r="BS10" s="2"/>
      <c r="BT10" s="2" t="s">
        <v>289</v>
      </c>
      <c r="BU10" s="2" t="s">
        <v>290</v>
      </c>
      <c r="BV10" s="20">
        <v>90082920</v>
      </c>
      <c r="BW10" s="19"/>
      <c r="BX10" s="189">
        <f t="shared" si="63"/>
        <v>164190.15</v>
      </c>
      <c r="BY10" s="22"/>
      <c r="BZ10" s="22">
        <v>46122</v>
      </c>
      <c r="CA10" s="22"/>
      <c r="CB10" s="22">
        <v>46125</v>
      </c>
      <c r="CC10" s="284">
        <v>9016936213</v>
      </c>
      <c r="CD10" s="22">
        <v>46128</v>
      </c>
      <c r="CE10" s="22" t="str">
        <f t="shared" si="64"/>
        <v>OBL In Destination - INDIA</v>
      </c>
      <c r="CF10" s="22"/>
      <c r="CG10" s="22"/>
      <c r="CH10" s="182"/>
      <c r="CI10" s="284">
        <v>9016936213</v>
      </c>
      <c r="CJ10" s="181">
        <v>46128</v>
      </c>
      <c r="CK10" s="2" t="str">
        <f t="shared" si="65"/>
        <v>CERTS in Destination - INDIA</v>
      </c>
      <c r="CL10" s="48" t="s">
        <v>229</v>
      </c>
      <c r="CM10" s="22">
        <v>46125</v>
      </c>
      <c r="CN10" s="55">
        <v>9016936213</v>
      </c>
      <c r="CO10" s="54">
        <v>46128</v>
      </c>
      <c r="CP10" s="55" t="str">
        <f t="shared" si="66"/>
        <v>Docs in Buyer's Nego Bank</v>
      </c>
      <c r="CQ10" s="190">
        <f>(AN10*AI10*BJ10)-AZ10</f>
        <v>164190.15</v>
      </c>
      <c r="CR10" s="54"/>
      <c r="CS10" s="2"/>
      <c r="CT10" s="2"/>
      <c r="CU10" s="14" t="str">
        <f t="shared" si="67"/>
        <v/>
      </c>
      <c r="CV10" s="191" t="str">
        <f t="shared" si="68"/>
        <v/>
      </c>
      <c r="CW10" s="14" t="str">
        <f t="shared" si="69"/>
        <v/>
      </c>
      <c r="CX10" s="14" t="str">
        <f t="shared" si="70"/>
        <v/>
      </c>
      <c r="CY10" s="15" t="str">
        <f t="shared" si="71"/>
        <v/>
      </c>
      <c r="CZ10" s="2"/>
      <c r="DA10" s="41" t="str">
        <f t="shared" si="72"/>
        <v/>
      </c>
      <c r="DB10" s="2"/>
      <c r="DC10" s="192" t="str">
        <f t="shared" si="73"/>
        <v/>
      </c>
      <c r="DD10" s="40"/>
      <c r="DE10" s="16" t="str">
        <f t="shared" si="74"/>
        <v/>
      </c>
      <c r="DF10" s="2" t="str">
        <f t="shared" si="75"/>
        <v/>
      </c>
      <c r="DG10" s="14" t="str">
        <f t="shared" si="76"/>
        <v/>
      </c>
      <c r="DH10" s="2" t="str">
        <f t="shared" si="77"/>
        <v/>
      </c>
      <c r="DI10" s="192" t="str">
        <f t="shared" si="78"/>
        <v/>
      </c>
      <c r="DJ10" s="2" t="str">
        <f t="shared" si="79"/>
        <v/>
      </c>
      <c r="DK10" s="15" t="str">
        <f t="shared" si="80"/>
        <v/>
      </c>
      <c r="DL10" s="2"/>
      <c r="DM10" s="2"/>
      <c r="DN10" s="15" t="str">
        <f t="shared" si="81"/>
        <v/>
      </c>
      <c r="DO10" s="14" t="str">
        <f t="shared" si="82"/>
        <v/>
      </c>
      <c r="DP10" s="14" t="str">
        <f t="shared" si="83"/>
        <v/>
      </c>
      <c r="DQ10" s="15" t="str">
        <f t="shared" si="84"/>
        <v/>
      </c>
      <c r="DR10" s="15" t="str">
        <f t="shared" si="85"/>
        <v/>
      </c>
      <c r="DS10" s="2" t="str">
        <f t="shared" si="86"/>
        <v/>
      </c>
      <c r="DT10" s="2" t="str">
        <f t="shared" si="87"/>
        <v/>
      </c>
      <c r="DU10" s="2"/>
      <c r="DV10" s="2"/>
      <c r="DW10" s="2"/>
      <c r="DX10" s="2"/>
      <c r="DY10" s="2" t="s">
        <v>230</v>
      </c>
      <c r="DZ10" s="2"/>
      <c r="EA10" s="2" t="str">
        <f t="shared" si="88"/>
        <v/>
      </c>
      <c r="EB10" s="2"/>
      <c r="EC10" s="2"/>
      <c r="ED10" s="2"/>
      <c r="EE10" s="3"/>
      <c r="EF10" s="7"/>
      <c r="EG10" s="3"/>
      <c r="EH10" s="3" t="s">
        <v>257</v>
      </c>
      <c r="EI10" s="3" t="s">
        <v>258</v>
      </c>
      <c r="EJ10" s="189"/>
      <c r="EK10" s="4"/>
      <c r="EL10" s="9"/>
      <c r="EM10" s="9"/>
      <c r="EN10" s="189">
        <f t="shared" si="89"/>
        <v>0</v>
      </c>
      <c r="EO10" s="9"/>
      <c r="EP10" s="8"/>
      <c r="EQ10" s="4"/>
      <c r="ER10" s="4"/>
      <c r="ES10" s="7"/>
      <c r="ET10" s="7"/>
      <c r="EU10" s="6"/>
      <c r="EV10" s="2" t="str">
        <f t="shared" si="90"/>
        <v>Export Loan</v>
      </c>
      <c r="EW10" s="189"/>
      <c r="EX10" s="189">
        <f t="shared" si="91"/>
        <v>0</v>
      </c>
      <c r="EY10" s="189" t="s">
        <v>233</v>
      </c>
      <c r="EZ10" s="24"/>
      <c r="FA10" s="2"/>
      <c r="FB10" s="24"/>
      <c r="FC10" s="193"/>
      <c r="FD10" s="189">
        <f t="shared" si="92"/>
        <v>0</v>
      </c>
      <c r="FE10" s="52"/>
      <c r="FF10" s="52"/>
      <c r="FG10" s="49"/>
      <c r="FH10" s="49"/>
      <c r="FI10" s="49"/>
      <c r="FJ10" s="49"/>
      <c r="FK10" s="49"/>
      <c r="FL10" s="49">
        <f t="shared" si="44"/>
        <v>0</v>
      </c>
      <c r="FM10" s="180">
        <f t="shared" si="45"/>
        <v>46103</v>
      </c>
      <c r="FN10" s="49"/>
      <c r="FO10" s="49"/>
      <c r="FP10" s="49"/>
      <c r="FQ10" s="49"/>
      <c r="FR10" s="49"/>
      <c r="FS10" s="34">
        <f t="shared" si="47"/>
        <v>20009747</v>
      </c>
      <c r="FT10" s="34" t="str">
        <f t="shared" si="48"/>
        <v>32015281-4</v>
      </c>
      <c r="FU10" s="3"/>
      <c r="FV10" s="3"/>
      <c r="FW10" s="3"/>
      <c r="FX10" s="3"/>
      <c r="FY10" s="3"/>
      <c r="FZ10" s="3"/>
      <c r="GA10" s="3"/>
      <c r="GB10" s="4"/>
      <c r="GC10" s="3"/>
      <c r="GD10" s="182">
        <v>90082920</v>
      </c>
      <c r="GE10" s="2"/>
      <c r="GF10" s="2" t="s">
        <v>235</v>
      </c>
      <c r="GG10" s="2"/>
      <c r="GH10" s="2"/>
      <c r="GI10" s="2"/>
      <c r="GJ10" s="2"/>
      <c r="GK10" s="2"/>
      <c r="GL10" s="2"/>
      <c r="GM10" s="2"/>
      <c r="GN10" s="2"/>
    </row>
    <row r="11" spans="1:196" s="1" customFormat="1" ht="68.099999999999994">
      <c r="A11" s="2" t="str">
        <f t="shared" si="49"/>
        <v xml:space="preserve"> Final Pmt Recd , FNF Pending</v>
      </c>
      <c r="B11" s="282">
        <v>47</v>
      </c>
      <c r="C11" s="282">
        <v>205</v>
      </c>
      <c r="D11" s="182" t="s">
        <v>208</v>
      </c>
      <c r="E11" s="2" t="str">
        <f t="shared" si="50"/>
        <v>CLOSE POSITION</v>
      </c>
      <c r="F11" s="271">
        <f t="shared" si="51"/>
        <v>32015286</v>
      </c>
      <c r="G11" s="271"/>
      <c r="H11" s="2" t="str">
        <f t="shared" si="52"/>
        <v>MOI COMMODITIES INDIA PVT LTD</v>
      </c>
      <c r="I11" s="3" t="s">
        <v>291</v>
      </c>
      <c r="J11" s="2" t="s">
        <v>210</v>
      </c>
      <c r="K11" s="2" t="str">
        <f t="shared" si="53"/>
        <v>MUNDRA, INDIA</v>
      </c>
      <c r="L11" s="2" t="str">
        <f t="shared" si="54"/>
        <v>ONEYTEMG00307500</v>
      </c>
      <c r="M11" s="2">
        <f t="shared" si="55"/>
        <v>182.57</v>
      </c>
      <c r="N11" s="22">
        <f t="shared" si="56"/>
        <v>46125</v>
      </c>
      <c r="O11" s="22">
        <f t="shared" si="57"/>
        <v>46163</v>
      </c>
      <c r="P11" s="22" t="str">
        <f t="shared" si="58"/>
        <v>OBL In Destination - INDIA</v>
      </c>
      <c r="Q11" s="2"/>
      <c r="R11" s="2" t="str">
        <f t="shared" si="59"/>
        <v>CERT in Transit to -INDIA</v>
      </c>
      <c r="S11" s="2" t="str">
        <f t="shared" si="60"/>
        <v>Docs in Buyer's Nego Bank</v>
      </c>
      <c r="T11" s="2"/>
      <c r="U11" s="438" t="s">
        <v>292</v>
      </c>
      <c r="V11" s="272"/>
      <c r="W11" s="438" t="s">
        <v>293</v>
      </c>
      <c r="X11" s="24">
        <v>46134</v>
      </c>
      <c r="Y11" s="273">
        <v>20009765</v>
      </c>
      <c r="Z11" s="24">
        <v>46098</v>
      </c>
      <c r="AA11" s="182">
        <v>32015286</v>
      </c>
      <c r="AB11" s="182" t="s">
        <v>294</v>
      </c>
      <c r="AC11" s="182" t="s">
        <v>295</v>
      </c>
      <c r="AD11" s="181">
        <v>46127</v>
      </c>
      <c r="AE11" s="30">
        <v>0.1</v>
      </c>
      <c r="AF11" s="277">
        <v>200</v>
      </c>
      <c r="AG11" s="35">
        <f t="shared" si="61"/>
        <v>180</v>
      </c>
      <c r="AH11" s="3" t="s">
        <v>215</v>
      </c>
      <c r="AI11" s="4">
        <v>1485</v>
      </c>
      <c r="AJ11" s="4">
        <f>AI11*AF11</f>
        <v>297000</v>
      </c>
      <c r="AK11" s="3" t="s">
        <v>249</v>
      </c>
      <c r="AL11" s="3" t="s">
        <v>296</v>
      </c>
      <c r="AM11" s="30">
        <v>0.1</v>
      </c>
      <c r="AN11" s="183">
        <v>0.9</v>
      </c>
      <c r="AO11" s="183">
        <v>0</v>
      </c>
      <c r="AP11" s="28" t="s">
        <v>218</v>
      </c>
      <c r="AQ11" s="18" t="s">
        <v>239</v>
      </c>
      <c r="AR11" s="18" t="s">
        <v>251</v>
      </c>
      <c r="AS11" s="27"/>
      <c r="AT11" s="3" t="s">
        <v>220</v>
      </c>
      <c r="AU11" s="3" t="s">
        <v>220</v>
      </c>
      <c r="AV11" s="3" t="s">
        <v>220</v>
      </c>
      <c r="AW11" s="9"/>
      <c r="AX11" s="3"/>
      <c r="AY11" s="47"/>
      <c r="AZ11" s="278">
        <f t="shared" si="62"/>
        <v>29700</v>
      </c>
      <c r="BA11" s="18">
        <v>46105</v>
      </c>
      <c r="BB11" s="22">
        <v>46099</v>
      </c>
      <c r="BC11" s="22"/>
      <c r="BD11" s="22"/>
      <c r="BE11" s="22"/>
      <c r="BF11" s="22">
        <v>46099</v>
      </c>
      <c r="BG11" s="18"/>
      <c r="BH11" s="18"/>
      <c r="BI11" s="3" t="s">
        <v>297</v>
      </c>
      <c r="BJ11" s="25">
        <v>182.57</v>
      </c>
      <c r="BK11" s="189" t="s">
        <v>222</v>
      </c>
      <c r="BL11" s="497">
        <v>7</v>
      </c>
      <c r="BM11" s="18">
        <v>46125</v>
      </c>
      <c r="BN11" s="290"/>
      <c r="BO11" s="18">
        <v>46163</v>
      </c>
      <c r="BP11" s="3" t="s">
        <v>298</v>
      </c>
      <c r="BQ11" s="21" t="s">
        <v>253</v>
      </c>
      <c r="BR11" s="2" t="s">
        <v>288</v>
      </c>
      <c r="BS11" s="2"/>
      <c r="BT11" s="2" t="s">
        <v>299</v>
      </c>
      <c r="BU11" s="2" t="s">
        <v>300</v>
      </c>
      <c r="BV11" s="20">
        <v>90085007</v>
      </c>
      <c r="BW11" s="7">
        <v>46125</v>
      </c>
      <c r="BX11" s="189">
        <f t="shared" si="63"/>
        <v>271116.45</v>
      </c>
      <c r="BY11" s="22"/>
      <c r="BZ11" s="22">
        <v>46137</v>
      </c>
      <c r="CA11" s="2">
        <v>5182275906</v>
      </c>
      <c r="CB11" s="22">
        <v>46146</v>
      </c>
      <c r="CC11" s="22"/>
      <c r="CD11" s="22"/>
      <c r="CE11" s="22" t="str">
        <f t="shared" si="64"/>
        <v>OBL In Destination - INDIA</v>
      </c>
      <c r="CF11" s="22"/>
      <c r="CG11" s="22"/>
      <c r="CH11" s="181">
        <v>46164</v>
      </c>
      <c r="CI11" s="182" t="s">
        <v>301</v>
      </c>
      <c r="CJ11" s="182"/>
      <c r="CK11" s="2" t="str">
        <f t="shared" si="65"/>
        <v>CERT in Transit to -INDIA</v>
      </c>
      <c r="CL11" s="48" t="s">
        <v>244</v>
      </c>
      <c r="CM11" s="22">
        <v>46146</v>
      </c>
      <c r="CN11" s="55">
        <v>6065372143</v>
      </c>
      <c r="CO11" s="54">
        <v>46148</v>
      </c>
      <c r="CP11" s="55" t="str">
        <f t="shared" si="66"/>
        <v>Docs in Buyer's Nego Bank</v>
      </c>
      <c r="CQ11" s="190">
        <v>241416.45</v>
      </c>
      <c r="CR11" s="54">
        <v>46169</v>
      </c>
      <c r="CS11" s="2"/>
      <c r="CT11" s="2"/>
      <c r="CU11" s="14" t="str">
        <f t="shared" si="67"/>
        <v/>
      </c>
      <c r="CV11" s="191" t="str">
        <f t="shared" si="68"/>
        <v/>
      </c>
      <c r="CW11" s="14" t="str">
        <f t="shared" si="69"/>
        <v/>
      </c>
      <c r="CX11" s="14" t="str">
        <f t="shared" si="70"/>
        <v/>
      </c>
      <c r="CY11" s="15" t="str">
        <f t="shared" si="71"/>
        <v/>
      </c>
      <c r="CZ11" s="2"/>
      <c r="DA11" s="41" t="str">
        <f t="shared" si="72"/>
        <v/>
      </c>
      <c r="DB11" s="2"/>
      <c r="DC11" s="192" t="str">
        <f t="shared" si="73"/>
        <v/>
      </c>
      <c r="DD11" s="40"/>
      <c r="DE11" s="16" t="str">
        <f t="shared" si="74"/>
        <v/>
      </c>
      <c r="DF11" s="2" t="str">
        <f t="shared" si="75"/>
        <v/>
      </c>
      <c r="DG11" s="14" t="str">
        <f t="shared" si="76"/>
        <v/>
      </c>
      <c r="DH11" s="2" t="str">
        <f t="shared" si="77"/>
        <v/>
      </c>
      <c r="DI11" s="192" t="str">
        <f t="shared" si="78"/>
        <v/>
      </c>
      <c r="DJ11" s="2" t="str">
        <f t="shared" si="79"/>
        <v/>
      </c>
      <c r="DK11" s="15" t="str">
        <f t="shared" si="80"/>
        <v/>
      </c>
      <c r="DL11" s="2"/>
      <c r="DM11" s="2"/>
      <c r="DN11" s="15" t="str">
        <f t="shared" si="81"/>
        <v/>
      </c>
      <c r="DO11" s="14" t="str">
        <f t="shared" si="82"/>
        <v/>
      </c>
      <c r="DP11" s="14" t="str">
        <f t="shared" si="83"/>
        <v/>
      </c>
      <c r="DQ11" s="15" t="str">
        <f t="shared" si="84"/>
        <v/>
      </c>
      <c r="DR11" s="15" t="str">
        <f t="shared" si="85"/>
        <v/>
      </c>
      <c r="DS11" s="2" t="str">
        <f t="shared" si="86"/>
        <v/>
      </c>
      <c r="DT11" s="2" t="str">
        <f t="shared" si="87"/>
        <v/>
      </c>
      <c r="DU11" s="2"/>
      <c r="DV11" s="2"/>
      <c r="DW11" s="2"/>
      <c r="DX11" s="2"/>
      <c r="DY11" s="2" t="s">
        <v>230</v>
      </c>
      <c r="DZ11" s="2"/>
      <c r="EA11" s="2" t="str">
        <f t="shared" si="88"/>
        <v/>
      </c>
      <c r="EB11" s="2"/>
      <c r="EC11" s="2"/>
      <c r="ED11" s="2"/>
      <c r="EE11" s="3">
        <v>4900009632</v>
      </c>
      <c r="EF11" s="7"/>
      <c r="EG11" s="3"/>
      <c r="EH11" s="3" t="s">
        <v>302</v>
      </c>
      <c r="EI11" s="3"/>
      <c r="EJ11" s="25">
        <f>BJ11</f>
        <v>182.57</v>
      </c>
      <c r="EK11" s="4">
        <v>1200</v>
      </c>
      <c r="EL11" s="9"/>
      <c r="EM11" s="9"/>
      <c r="EN11" s="189">
        <f t="shared" si="89"/>
        <v>219084</v>
      </c>
      <c r="EO11" s="9"/>
      <c r="EP11" s="8"/>
      <c r="EQ11" s="4"/>
      <c r="ER11" s="4"/>
      <c r="ES11" s="7"/>
      <c r="ET11" s="7"/>
      <c r="EU11" s="6"/>
      <c r="EV11" s="2" t="str">
        <f t="shared" si="90"/>
        <v>Final Pmt Recd</v>
      </c>
      <c r="EW11" s="189"/>
      <c r="EX11" s="189">
        <f t="shared" si="91"/>
        <v>0</v>
      </c>
      <c r="EY11" s="189" t="s">
        <v>233</v>
      </c>
      <c r="EZ11" s="24"/>
      <c r="FA11" s="2">
        <v>22141468</v>
      </c>
      <c r="FB11" s="24"/>
      <c r="FC11" s="193"/>
      <c r="FD11" s="189">
        <f t="shared" si="92"/>
        <v>0</v>
      </c>
      <c r="FE11" s="52"/>
      <c r="FF11" s="52"/>
      <c r="FG11" s="49"/>
      <c r="FH11" s="49"/>
      <c r="FI11" s="49"/>
      <c r="FJ11" s="49"/>
      <c r="FK11" s="49"/>
      <c r="FL11" s="49">
        <f t="shared" si="44"/>
        <v>0</v>
      </c>
      <c r="FM11" s="180">
        <f t="shared" si="45"/>
        <v>46125</v>
      </c>
      <c r="FN11" s="49"/>
      <c r="FO11" s="49"/>
      <c r="FP11" s="49"/>
      <c r="FQ11" s="49"/>
      <c r="FR11" s="49"/>
      <c r="FS11" s="34">
        <f t="shared" si="47"/>
        <v>20009765</v>
      </c>
      <c r="FT11" s="34">
        <f t="shared" si="48"/>
        <v>32015286</v>
      </c>
      <c r="FU11" s="3"/>
      <c r="FV11" s="3"/>
      <c r="FW11" s="3"/>
      <c r="FX11" s="3"/>
      <c r="FY11" s="3"/>
      <c r="FZ11" s="3"/>
      <c r="GA11" s="3"/>
      <c r="GB11" s="4"/>
      <c r="GC11" s="3"/>
      <c r="GD11" s="182"/>
      <c r="GE11" s="3"/>
      <c r="GF11" s="3"/>
      <c r="GG11" s="3"/>
      <c r="GH11" s="3"/>
      <c r="GI11" s="3"/>
      <c r="GJ11" s="3"/>
      <c r="GK11" s="3"/>
      <c r="GL11" s="3"/>
      <c r="GM11" s="3"/>
      <c r="GN11" s="3"/>
    </row>
    <row r="12" spans="1:196" s="1" customFormat="1" ht="84.95">
      <c r="A12" s="2" t="str">
        <f t="shared" si="49"/>
        <v>Exp Dox Presented to Bank, Pmt Pending</v>
      </c>
      <c r="B12" s="281">
        <v>50</v>
      </c>
      <c r="C12" s="281">
        <v>185</v>
      </c>
      <c r="D12" s="182" t="s">
        <v>208</v>
      </c>
      <c r="E12" s="2" t="str">
        <f t="shared" si="50"/>
        <v>CLOSE POSITION</v>
      </c>
      <c r="F12" s="271" t="str">
        <f t="shared" si="51"/>
        <v>32014448-3</v>
      </c>
      <c r="G12" s="271"/>
      <c r="H12" s="2" t="str">
        <f t="shared" si="52"/>
        <v>Valency Agro (Processing)</v>
      </c>
      <c r="I12" s="3" t="s">
        <v>209</v>
      </c>
      <c r="J12" s="2" t="s">
        <v>210</v>
      </c>
      <c r="K12" s="2" t="str">
        <f t="shared" si="53"/>
        <v>MANGALORE, INDIA</v>
      </c>
      <c r="L12" s="2" t="str">
        <f t="shared" si="54"/>
        <v>MEDULG626012</v>
      </c>
      <c r="M12" s="2">
        <f t="shared" si="55"/>
        <v>105.235</v>
      </c>
      <c r="N12" s="22">
        <f t="shared" si="56"/>
        <v>46110</v>
      </c>
      <c r="O12" s="22">
        <f t="shared" si="57"/>
        <v>46157</v>
      </c>
      <c r="P12" s="22" t="str">
        <f t="shared" si="58"/>
        <v>OBL In Destination - INDIA</v>
      </c>
      <c r="Q12" s="2"/>
      <c r="R12" s="2" t="str">
        <f t="shared" si="59"/>
        <v>CERTS in Destination - INDIA</v>
      </c>
      <c r="S12" s="2" t="str">
        <f t="shared" si="60"/>
        <v>Docs in Buyer's Nego Bank</v>
      </c>
      <c r="T12" s="2" t="str">
        <f>IFERROR(_xlfn.XLOOKUP(F12,
'[2]Data 2026'!$H$12:$H$111,
'[2]Data 2026'!$CL$12:$CL$111),"")</f>
        <v/>
      </c>
      <c r="U12" s="3" t="s">
        <v>211</v>
      </c>
      <c r="V12" s="272"/>
      <c r="W12" s="3"/>
      <c r="X12" s="24">
        <v>46066</v>
      </c>
      <c r="Y12" s="273">
        <v>20009485</v>
      </c>
      <c r="Z12" s="24">
        <v>46066</v>
      </c>
      <c r="AA12" s="182" t="s">
        <v>303</v>
      </c>
      <c r="AB12" s="182" t="s">
        <v>247</v>
      </c>
      <c r="AC12" s="203">
        <v>46082</v>
      </c>
      <c r="AD12" s="203">
        <v>46112</v>
      </c>
      <c r="AE12" s="30">
        <v>0.1</v>
      </c>
      <c r="AF12" s="277">
        <f>BJ12</f>
        <v>105.235</v>
      </c>
      <c r="AG12" s="35">
        <f t="shared" si="61"/>
        <v>94.711500000000001</v>
      </c>
      <c r="AH12" s="3" t="s">
        <v>215</v>
      </c>
      <c r="AI12" s="4">
        <v>1683</v>
      </c>
      <c r="AJ12" s="4">
        <v>1700000</v>
      </c>
      <c r="AK12" s="3" t="s">
        <v>249</v>
      </c>
      <c r="AL12" s="3" t="s">
        <v>217</v>
      </c>
      <c r="AM12" s="30">
        <v>0</v>
      </c>
      <c r="AN12" s="183">
        <v>1</v>
      </c>
      <c r="AO12" s="183">
        <v>0</v>
      </c>
      <c r="AP12" s="28" t="s">
        <v>218</v>
      </c>
      <c r="AQ12" s="18" t="s">
        <v>250</v>
      </c>
      <c r="AR12" s="18" t="s">
        <v>251</v>
      </c>
      <c r="AS12" s="27"/>
      <c r="AT12" s="3" t="s">
        <v>220</v>
      </c>
      <c r="AU12" s="3" t="s">
        <v>220</v>
      </c>
      <c r="AV12" s="3" t="s">
        <v>220</v>
      </c>
      <c r="AW12" s="9"/>
      <c r="AX12" s="3"/>
      <c r="AY12" s="47"/>
      <c r="AZ12" s="275">
        <f t="shared" si="62"/>
        <v>0</v>
      </c>
      <c r="BA12" s="18">
        <v>46069</v>
      </c>
      <c r="BB12" s="22">
        <v>46073</v>
      </c>
      <c r="BC12" s="22"/>
      <c r="BD12" s="22"/>
      <c r="BE12" s="22"/>
      <c r="BF12" s="22">
        <v>46073</v>
      </c>
      <c r="BG12" s="18"/>
      <c r="BH12" s="18"/>
      <c r="BI12" s="3" t="s">
        <v>304</v>
      </c>
      <c r="BJ12" s="25">
        <v>105.235</v>
      </c>
      <c r="BK12" s="46" t="s">
        <v>222</v>
      </c>
      <c r="BL12" s="497">
        <v>4</v>
      </c>
      <c r="BM12" s="18">
        <v>46110</v>
      </c>
      <c r="BN12" s="4" t="s">
        <v>305</v>
      </c>
      <c r="BO12" s="18">
        <v>46157</v>
      </c>
      <c r="BP12" s="3" t="s">
        <v>278</v>
      </c>
      <c r="BQ12" s="21" t="s">
        <v>265</v>
      </c>
      <c r="BR12" s="2" t="s">
        <v>226</v>
      </c>
      <c r="BS12" s="2" t="s">
        <v>306</v>
      </c>
      <c r="BT12" s="2"/>
      <c r="BU12" s="2"/>
      <c r="BV12" s="20">
        <v>90084574</v>
      </c>
      <c r="BW12" s="19"/>
      <c r="BX12" s="46">
        <f t="shared" si="63"/>
        <v>177110.505</v>
      </c>
      <c r="BY12" s="22"/>
      <c r="BZ12" s="22">
        <v>46129</v>
      </c>
      <c r="CA12" s="418">
        <v>4567280594</v>
      </c>
      <c r="CB12" s="22">
        <v>46132</v>
      </c>
      <c r="CC12" s="22"/>
      <c r="CD12" s="22"/>
      <c r="CE12" s="22" t="str">
        <f t="shared" si="64"/>
        <v>OBL In Destination - INDIA</v>
      </c>
      <c r="CF12" s="22"/>
      <c r="CG12" s="22"/>
      <c r="CH12" s="22">
        <v>46141</v>
      </c>
      <c r="CI12" s="2">
        <v>1335828874</v>
      </c>
      <c r="CJ12" s="22">
        <v>46157</v>
      </c>
      <c r="CK12" s="2" t="str">
        <f t="shared" si="65"/>
        <v>CERTS in Destination - INDIA</v>
      </c>
      <c r="CL12" s="48" t="s">
        <v>229</v>
      </c>
      <c r="CM12" s="22">
        <v>46139</v>
      </c>
      <c r="CN12" s="55">
        <v>8585994476</v>
      </c>
      <c r="CO12" s="54">
        <v>46147</v>
      </c>
      <c r="CP12" s="55" t="str">
        <f t="shared" si="66"/>
        <v>Docs in Buyer's Nego Bank</v>
      </c>
      <c r="CQ12" s="50">
        <f t="shared" ref="CQ12:CQ29" si="93">(AN12*AI12*BJ12)-AZ12</f>
        <v>177110.505</v>
      </c>
      <c r="CR12" s="54"/>
      <c r="CS12" s="2"/>
      <c r="CT12" s="2"/>
      <c r="CU12" s="14" t="str">
        <f t="shared" si="67"/>
        <v/>
      </c>
      <c r="CV12" s="42" t="str">
        <f t="shared" si="68"/>
        <v/>
      </c>
      <c r="CW12" s="14" t="str">
        <f t="shared" si="69"/>
        <v/>
      </c>
      <c r="CX12" s="14" t="str">
        <f t="shared" si="70"/>
        <v/>
      </c>
      <c r="CY12" s="15" t="str">
        <f t="shared" si="71"/>
        <v/>
      </c>
      <c r="CZ12" s="2"/>
      <c r="DA12" s="41" t="str">
        <f t="shared" si="72"/>
        <v/>
      </c>
      <c r="DB12" s="2"/>
      <c r="DC12" s="39" t="str">
        <f t="shared" si="73"/>
        <v/>
      </c>
      <c r="DD12" s="40"/>
      <c r="DE12" s="16" t="str">
        <f t="shared" si="74"/>
        <v/>
      </c>
      <c r="DF12" s="2" t="str">
        <f t="shared" si="75"/>
        <v/>
      </c>
      <c r="DG12" s="14" t="str">
        <f t="shared" si="76"/>
        <v/>
      </c>
      <c r="DH12" s="2" t="str">
        <f t="shared" si="77"/>
        <v/>
      </c>
      <c r="DI12" s="39" t="str">
        <f t="shared" si="78"/>
        <v/>
      </c>
      <c r="DJ12" s="2" t="str">
        <f t="shared" si="79"/>
        <v/>
      </c>
      <c r="DK12" s="15" t="str">
        <f t="shared" si="80"/>
        <v/>
      </c>
      <c r="DL12" s="2"/>
      <c r="DM12" s="2"/>
      <c r="DN12" s="15" t="str">
        <f t="shared" si="81"/>
        <v/>
      </c>
      <c r="DO12" s="14" t="str">
        <f t="shared" si="82"/>
        <v/>
      </c>
      <c r="DP12" s="14" t="str">
        <f t="shared" si="83"/>
        <v/>
      </c>
      <c r="DQ12" s="15" t="str">
        <f t="shared" si="84"/>
        <v/>
      </c>
      <c r="DR12" s="15" t="str">
        <f t="shared" si="85"/>
        <v/>
      </c>
      <c r="DS12" s="2" t="str">
        <f t="shared" si="86"/>
        <v/>
      </c>
      <c r="DT12" s="2" t="str">
        <f t="shared" si="87"/>
        <v/>
      </c>
      <c r="DU12" s="2"/>
      <c r="DV12" s="2"/>
      <c r="DW12" s="2"/>
      <c r="DX12" s="2"/>
      <c r="DY12" s="2" t="s">
        <v>230</v>
      </c>
      <c r="DZ12" s="2"/>
      <c r="EA12" s="2" t="str">
        <f t="shared" si="88"/>
        <v/>
      </c>
      <c r="EB12" s="2">
        <v>47.38</v>
      </c>
      <c r="EC12" s="2">
        <v>191</v>
      </c>
      <c r="ED12" s="2">
        <v>8.9499999999999993</v>
      </c>
      <c r="EE12" s="3">
        <v>4900009113</v>
      </c>
      <c r="EF12" s="7"/>
      <c r="EG12" s="3"/>
      <c r="EH12" s="3" t="s">
        <v>307</v>
      </c>
      <c r="EI12" s="3" t="s">
        <v>258</v>
      </c>
      <c r="EJ12" s="189">
        <f>BJ12</f>
        <v>105.235</v>
      </c>
      <c r="EK12" s="4">
        <v>1600</v>
      </c>
      <c r="EL12" s="280"/>
      <c r="EM12" s="9"/>
      <c r="EN12" s="46">
        <f t="shared" si="89"/>
        <v>168376</v>
      </c>
      <c r="EO12" s="9" t="s">
        <v>232</v>
      </c>
      <c r="EP12" s="8"/>
      <c r="EQ12" s="4"/>
      <c r="ER12" s="4">
        <v>165008.48000000001</v>
      </c>
      <c r="ES12" s="7"/>
      <c r="ET12" s="7"/>
      <c r="EU12" s="6"/>
      <c r="EV12" s="2" t="str">
        <f t="shared" si="90"/>
        <v>Export Loan</v>
      </c>
      <c r="EW12" s="46"/>
      <c r="EX12" s="46">
        <f t="shared" si="91"/>
        <v>0</v>
      </c>
      <c r="EY12" s="46" t="s">
        <v>233</v>
      </c>
      <c r="EZ12" s="24"/>
      <c r="FA12" s="2"/>
      <c r="FB12" s="24"/>
      <c r="FC12" s="53"/>
      <c r="FD12" s="46">
        <f t="shared" si="92"/>
        <v>0</v>
      </c>
      <c r="FE12" s="52"/>
      <c r="FF12" s="52"/>
      <c r="FG12" s="49"/>
      <c r="FH12" s="49"/>
      <c r="FI12" s="49"/>
      <c r="FJ12" s="49"/>
      <c r="FK12" s="49"/>
      <c r="FL12" s="49">
        <f t="shared" si="44"/>
        <v>0</v>
      </c>
      <c r="FM12" s="180">
        <f t="shared" si="45"/>
        <v>46110</v>
      </c>
      <c r="FN12" s="49"/>
      <c r="FO12" s="49"/>
      <c r="FP12" s="49"/>
      <c r="FQ12" s="49"/>
      <c r="FR12" s="49"/>
      <c r="FS12" s="34">
        <f t="shared" si="47"/>
        <v>20009485</v>
      </c>
      <c r="FT12" s="34" t="str">
        <f t="shared" si="48"/>
        <v>32014448-3</v>
      </c>
      <c r="FU12" s="3"/>
      <c r="FV12" s="3"/>
      <c r="FW12" s="3"/>
      <c r="FX12" s="3"/>
      <c r="FY12" s="3"/>
      <c r="FZ12" s="3"/>
      <c r="GA12" s="3"/>
      <c r="GB12" s="4"/>
      <c r="GC12" s="3"/>
      <c r="GD12" s="182"/>
      <c r="GE12" s="2"/>
      <c r="GF12" s="2"/>
      <c r="GG12" s="2"/>
      <c r="GH12" s="2"/>
      <c r="GI12" s="2"/>
      <c r="GJ12" s="2"/>
      <c r="GK12" s="2"/>
      <c r="GL12" s="2"/>
      <c r="GM12" s="2"/>
      <c r="GN12" s="2"/>
    </row>
    <row r="13" spans="1:196" s="1" customFormat="1" ht="51">
      <c r="A13" s="2" t="str">
        <f t="shared" si="49"/>
        <v>SI Sent, Shipment Awaited</v>
      </c>
      <c r="B13" s="281">
        <v>49</v>
      </c>
      <c r="C13" s="281">
        <v>200</v>
      </c>
      <c r="D13" s="182" t="s">
        <v>208</v>
      </c>
      <c r="E13" s="2" t="str">
        <f t="shared" si="50"/>
        <v>SHORT POSITION</v>
      </c>
      <c r="F13" s="271">
        <f t="shared" si="51"/>
        <v>32014482</v>
      </c>
      <c r="G13" s="271"/>
      <c r="H13" s="2" t="str">
        <f t="shared" si="52"/>
        <v>MADHAVARAYA PRABHU</v>
      </c>
      <c r="I13" s="3" t="s">
        <v>259</v>
      </c>
      <c r="J13" s="2" t="s">
        <v>210</v>
      </c>
      <c r="K13" s="2" t="str">
        <f t="shared" si="53"/>
        <v>MANGALORE, INDIA</v>
      </c>
      <c r="L13" s="2" t="str">
        <f t="shared" si="54"/>
        <v/>
      </c>
      <c r="M13" s="2" t="str">
        <f t="shared" si="55"/>
        <v/>
      </c>
      <c r="N13" s="22" t="str">
        <f t="shared" si="56"/>
        <v/>
      </c>
      <c r="O13" s="22" t="str">
        <f t="shared" si="57"/>
        <v/>
      </c>
      <c r="P13" s="22" t="str">
        <f t="shared" si="58"/>
        <v>No OBL Yet</v>
      </c>
      <c r="Q13" s="2"/>
      <c r="R13" s="2" t="str">
        <f t="shared" si="59"/>
        <v>No CERTS Yet</v>
      </c>
      <c r="S13" s="2" t="str">
        <f t="shared" si="60"/>
        <v/>
      </c>
      <c r="T13" s="2" t="s">
        <v>260</v>
      </c>
      <c r="U13" s="3" t="s">
        <v>308</v>
      </c>
      <c r="V13" s="272"/>
      <c r="W13" s="272"/>
      <c r="X13" s="24">
        <v>46073</v>
      </c>
      <c r="Y13" s="273">
        <v>20009534</v>
      </c>
      <c r="Z13" s="24">
        <v>46073</v>
      </c>
      <c r="AA13" s="182">
        <v>32014482</v>
      </c>
      <c r="AB13" s="182" t="s">
        <v>309</v>
      </c>
      <c r="AC13" s="182" t="s">
        <v>263</v>
      </c>
      <c r="AD13" s="181">
        <v>46142</v>
      </c>
      <c r="AE13" s="30">
        <v>0.1</v>
      </c>
      <c r="AF13" s="277">
        <v>200</v>
      </c>
      <c r="AG13" s="35">
        <f t="shared" si="61"/>
        <v>180</v>
      </c>
      <c r="AH13" s="3" t="s">
        <v>215</v>
      </c>
      <c r="AI13" s="4">
        <v>1545</v>
      </c>
      <c r="AJ13" s="4">
        <f>AI13*AF13</f>
        <v>309000</v>
      </c>
      <c r="AK13" s="3" t="s">
        <v>249</v>
      </c>
      <c r="AL13" s="3" t="s">
        <v>238</v>
      </c>
      <c r="AM13" s="30">
        <v>0</v>
      </c>
      <c r="AN13" s="183">
        <v>1</v>
      </c>
      <c r="AO13" s="183">
        <v>0</v>
      </c>
      <c r="AP13" s="28" t="s">
        <v>218</v>
      </c>
      <c r="AQ13" s="18" t="s">
        <v>239</v>
      </c>
      <c r="AR13" s="18" t="s">
        <v>264</v>
      </c>
      <c r="AS13" s="27">
        <v>5</v>
      </c>
      <c r="AT13" s="3" t="s">
        <v>220</v>
      </c>
      <c r="AU13" s="3" t="s">
        <v>220</v>
      </c>
      <c r="AV13" s="3" t="s">
        <v>220</v>
      </c>
      <c r="AW13" s="9"/>
      <c r="AX13" s="3"/>
      <c r="AY13" s="47"/>
      <c r="AZ13" s="275">
        <f t="shared" si="62"/>
        <v>0</v>
      </c>
      <c r="BA13" s="18">
        <v>46076</v>
      </c>
      <c r="BB13" s="22">
        <v>46083</v>
      </c>
      <c r="BC13" s="22"/>
      <c r="BD13" s="22"/>
      <c r="BE13" s="22"/>
      <c r="BF13" s="22">
        <v>46083</v>
      </c>
      <c r="BG13" s="18"/>
      <c r="BH13" s="18"/>
      <c r="BI13" s="3"/>
      <c r="BJ13" s="25"/>
      <c r="BK13" s="46" t="s">
        <v>222</v>
      </c>
      <c r="BL13" s="497"/>
      <c r="BM13" s="18"/>
      <c r="BN13" s="4"/>
      <c r="BO13" s="18"/>
      <c r="BP13" s="3" t="s">
        <v>259</v>
      </c>
      <c r="BQ13" s="21" t="s">
        <v>265</v>
      </c>
      <c r="BR13" s="2"/>
      <c r="BS13" s="2"/>
      <c r="BT13" s="2"/>
      <c r="BU13" s="2"/>
      <c r="BV13" s="20"/>
      <c r="BW13" s="19"/>
      <c r="BX13" s="46">
        <f t="shared" si="63"/>
        <v>0</v>
      </c>
      <c r="BY13" s="22"/>
      <c r="BZ13" s="22"/>
      <c r="CA13" s="2"/>
      <c r="CB13" s="22"/>
      <c r="CC13" s="22"/>
      <c r="CD13" s="22"/>
      <c r="CE13" s="22" t="str">
        <f t="shared" si="64"/>
        <v>No OBL Yet</v>
      </c>
      <c r="CF13" s="22"/>
      <c r="CG13" s="22"/>
      <c r="CH13" s="182"/>
      <c r="CI13" s="182"/>
      <c r="CJ13" s="182"/>
      <c r="CK13" s="2" t="str">
        <f t="shared" si="65"/>
        <v>No CERTS Yet</v>
      </c>
      <c r="CL13" s="48"/>
      <c r="CM13" s="22"/>
      <c r="CN13" s="55"/>
      <c r="CO13" s="55"/>
      <c r="CP13" s="55" t="str">
        <f t="shared" si="66"/>
        <v/>
      </c>
      <c r="CQ13" s="50">
        <f t="shared" si="93"/>
        <v>0</v>
      </c>
      <c r="CR13" s="54"/>
      <c r="CS13" s="2"/>
      <c r="CT13" s="2"/>
      <c r="CU13" s="14" t="str">
        <f t="shared" si="67"/>
        <v/>
      </c>
      <c r="CV13" s="42" t="str">
        <f t="shared" si="68"/>
        <v/>
      </c>
      <c r="CW13" s="14" t="str">
        <f t="shared" si="69"/>
        <v/>
      </c>
      <c r="CX13" s="14" t="str">
        <f t="shared" si="70"/>
        <v/>
      </c>
      <c r="CY13" s="15" t="str">
        <f t="shared" si="71"/>
        <v/>
      </c>
      <c r="CZ13" s="2"/>
      <c r="DA13" s="41" t="str">
        <f t="shared" si="72"/>
        <v/>
      </c>
      <c r="DB13" s="2"/>
      <c r="DC13" s="39" t="str">
        <f t="shared" si="73"/>
        <v/>
      </c>
      <c r="DD13" s="40"/>
      <c r="DE13" s="16" t="str">
        <f t="shared" si="74"/>
        <v/>
      </c>
      <c r="DF13" s="2" t="str">
        <f t="shared" si="75"/>
        <v/>
      </c>
      <c r="DG13" s="14" t="str">
        <f t="shared" si="76"/>
        <v/>
      </c>
      <c r="DH13" s="2" t="str">
        <f t="shared" si="77"/>
        <v/>
      </c>
      <c r="DI13" s="39" t="str">
        <f t="shared" si="78"/>
        <v/>
      </c>
      <c r="DJ13" s="2" t="str">
        <f t="shared" si="79"/>
        <v/>
      </c>
      <c r="DK13" s="15" t="str">
        <f t="shared" si="80"/>
        <v/>
      </c>
      <c r="DL13" s="2"/>
      <c r="DM13" s="2"/>
      <c r="DN13" s="15" t="str">
        <f t="shared" si="81"/>
        <v/>
      </c>
      <c r="DO13" s="14" t="str">
        <f t="shared" si="82"/>
        <v/>
      </c>
      <c r="DP13" s="14" t="str">
        <f t="shared" si="83"/>
        <v/>
      </c>
      <c r="DQ13" s="15" t="str">
        <f t="shared" si="84"/>
        <v/>
      </c>
      <c r="DR13" s="15" t="str">
        <f t="shared" si="85"/>
        <v/>
      </c>
      <c r="DS13" s="2" t="str">
        <f t="shared" si="86"/>
        <v/>
      </c>
      <c r="DT13" s="2" t="str">
        <f t="shared" si="87"/>
        <v/>
      </c>
      <c r="DU13" s="2"/>
      <c r="DV13" s="2"/>
      <c r="DW13" s="2"/>
      <c r="DX13" s="2"/>
      <c r="DY13" s="2" t="s">
        <v>230</v>
      </c>
      <c r="DZ13" s="2"/>
      <c r="EA13" s="2" t="str">
        <f t="shared" si="88"/>
        <v/>
      </c>
      <c r="EB13" s="2"/>
      <c r="EC13" s="2"/>
      <c r="ED13" s="2"/>
      <c r="EE13" s="3"/>
      <c r="EF13" s="7"/>
      <c r="EG13" s="3"/>
      <c r="EH13" s="3" t="s">
        <v>266</v>
      </c>
      <c r="EI13" s="3"/>
      <c r="EJ13" s="189"/>
      <c r="EK13" s="4"/>
      <c r="EL13" s="4"/>
      <c r="EM13" s="9"/>
      <c r="EN13" s="46">
        <f t="shared" si="89"/>
        <v>0</v>
      </c>
      <c r="EO13" s="9"/>
      <c r="EP13" s="8"/>
      <c r="EQ13" s="4"/>
      <c r="ER13" s="4"/>
      <c r="ES13" s="7"/>
      <c r="ET13" s="7"/>
      <c r="EU13" s="6"/>
      <c r="EV13" s="2" t="str">
        <f t="shared" si="90"/>
        <v>Yet to load</v>
      </c>
      <c r="EW13" s="46"/>
      <c r="EX13" s="46" t="e">
        <f t="shared" si="91"/>
        <v>#DIV/0!</v>
      </c>
      <c r="EY13" s="46" t="s">
        <v>233</v>
      </c>
      <c r="EZ13" s="24"/>
      <c r="FA13" s="2"/>
      <c r="FB13" s="24"/>
      <c r="FC13" s="53"/>
      <c r="FD13" s="46">
        <f t="shared" si="92"/>
        <v>0</v>
      </c>
      <c r="FE13" s="52"/>
      <c r="FF13" s="52"/>
      <c r="FG13" s="49"/>
      <c r="FH13" s="49"/>
      <c r="FI13" s="49"/>
      <c r="FJ13" s="49"/>
      <c r="FK13" s="49"/>
      <c r="FL13" s="49">
        <f t="shared" si="44"/>
        <v>0</v>
      </c>
      <c r="FM13" s="180">
        <f t="shared" si="45"/>
        <v>0</v>
      </c>
      <c r="FN13" s="49"/>
      <c r="FO13" s="49"/>
      <c r="FP13" s="49"/>
      <c r="FQ13" s="49"/>
      <c r="FR13" s="49"/>
      <c r="FS13" s="34">
        <f t="shared" si="47"/>
        <v>20009534</v>
      </c>
      <c r="FT13" s="34">
        <f t="shared" si="48"/>
        <v>32014482</v>
      </c>
      <c r="FU13" s="3"/>
      <c r="FV13" s="3"/>
      <c r="FW13" s="3"/>
      <c r="FX13" s="3"/>
      <c r="FY13" s="3"/>
      <c r="FZ13" s="3"/>
      <c r="GA13" s="3"/>
      <c r="GB13" s="4"/>
      <c r="GC13" s="3"/>
      <c r="GD13" s="182"/>
      <c r="GE13" s="3"/>
      <c r="GF13" s="3"/>
      <c r="GG13" s="3"/>
      <c r="GH13" s="3"/>
      <c r="GI13" s="3"/>
      <c r="GJ13" s="3"/>
      <c r="GK13" s="3"/>
      <c r="GL13" s="3"/>
      <c r="GM13" s="3"/>
      <c r="GN13" s="3"/>
    </row>
    <row r="14" spans="1:196" s="1" customFormat="1" ht="84.95">
      <c r="A14" s="2" t="str">
        <f t="shared" si="49"/>
        <v>Exp Dox Presented to Bank, Pmt Pending</v>
      </c>
      <c r="B14" s="281">
        <v>50</v>
      </c>
      <c r="C14" s="281">
        <v>185</v>
      </c>
      <c r="D14" s="182" t="s">
        <v>208</v>
      </c>
      <c r="E14" s="2" t="str">
        <f t="shared" si="50"/>
        <v>CLOSE POSITION</v>
      </c>
      <c r="F14" s="271" t="str">
        <f t="shared" si="51"/>
        <v>32014448-5</v>
      </c>
      <c r="G14" s="271"/>
      <c r="H14" s="2" t="str">
        <f t="shared" si="52"/>
        <v>Valency Agro (Processing)</v>
      </c>
      <c r="I14" s="3" t="s">
        <v>209</v>
      </c>
      <c r="J14" s="2" t="s">
        <v>210</v>
      </c>
      <c r="K14" s="2" t="str">
        <f t="shared" si="53"/>
        <v>MANGALORE, INDIA</v>
      </c>
      <c r="L14" s="2" t="str">
        <f t="shared" si="54"/>
        <v>MEDULG625659</v>
      </c>
      <c r="M14" s="2">
        <f t="shared" si="55"/>
        <v>104.27</v>
      </c>
      <c r="N14" s="22">
        <f t="shared" si="56"/>
        <v>46108</v>
      </c>
      <c r="O14" s="22">
        <f t="shared" si="57"/>
        <v>46157</v>
      </c>
      <c r="P14" s="22" t="str">
        <f t="shared" si="58"/>
        <v>OBL In Destination - INDIA</v>
      </c>
      <c r="Q14" s="2"/>
      <c r="R14" s="2" t="str">
        <f t="shared" si="59"/>
        <v>CERTS in Destination - INDIA</v>
      </c>
      <c r="S14" s="2" t="str">
        <f t="shared" si="60"/>
        <v>Docs in Buyer's Nego Bank</v>
      </c>
      <c r="T14" s="2" t="str">
        <f>IFERROR(_xlfn.XLOOKUP(F14,
'[2]Data 2026'!$H$12:$H$111,
'[2]Data 2026'!$CL$12:$CL$111),"")</f>
        <v/>
      </c>
      <c r="U14" s="3" t="s">
        <v>211</v>
      </c>
      <c r="V14" s="272"/>
      <c r="W14" s="3"/>
      <c r="X14" s="24">
        <v>46066</v>
      </c>
      <c r="Y14" s="273">
        <v>20009485</v>
      </c>
      <c r="Z14" s="24">
        <v>46066</v>
      </c>
      <c r="AA14" s="182" t="s">
        <v>310</v>
      </c>
      <c r="AB14" s="182" t="s">
        <v>247</v>
      </c>
      <c r="AC14" s="203">
        <v>46082</v>
      </c>
      <c r="AD14" s="203">
        <v>46112</v>
      </c>
      <c r="AE14" s="30">
        <v>0.1</v>
      </c>
      <c r="AF14" s="277">
        <f>BJ14</f>
        <v>104.27</v>
      </c>
      <c r="AG14" s="35">
        <f t="shared" si="61"/>
        <v>93.843000000000004</v>
      </c>
      <c r="AH14" s="3" t="s">
        <v>215</v>
      </c>
      <c r="AI14" s="4">
        <v>1683</v>
      </c>
      <c r="AJ14" s="4">
        <v>1700000</v>
      </c>
      <c r="AK14" s="3" t="s">
        <v>249</v>
      </c>
      <c r="AL14" s="3" t="s">
        <v>217</v>
      </c>
      <c r="AM14" s="30">
        <v>0</v>
      </c>
      <c r="AN14" s="183">
        <v>1</v>
      </c>
      <c r="AO14" s="183">
        <v>0</v>
      </c>
      <c r="AP14" s="28" t="s">
        <v>218</v>
      </c>
      <c r="AQ14" s="18" t="s">
        <v>250</v>
      </c>
      <c r="AR14" s="18" t="s">
        <v>251</v>
      </c>
      <c r="AS14" s="27"/>
      <c r="AT14" s="3" t="s">
        <v>220</v>
      </c>
      <c r="AU14" s="3" t="s">
        <v>220</v>
      </c>
      <c r="AV14" s="3" t="s">
        <v>220</v>
      </c>
      <c r="AW14" s="9"/>
      <c r="AX14" s="3"/>
      <c r="AY14" s="47"/>
      <c r="AZ14" s="275">
        <f t="shared" si="62"/>
        <v>0</v>
      </c>
      <c r="BA14" s="18">
        <v>46069</v>
      </c>
      <c r="BB14" s="22">
        <v>46073</v>
      </c>
      <c r="BC14" s="22"/>
      <c r="BD14" s="22"/>
      <c r="BE14" s="22"/>
      <c r="BF14" s="22">
        <v>46073</v>
      </c>
      <c r="BG14" s="18"/>
      <c r="BH14" s="18"/>
      <c r="BI14" s="3" t="s">
        <v>311</v>
      </c>
      <c r="BJ14" s="25">
        <v>104.27</v>
      </c>
      <c r="BK14" s="46" t="s">
        <v>222</v>
      </c>
      <c r="BL14" s="497">
        <v>4</v>
      </c>
      <c r="BM14" s="18">
        <v>46108</v>
      </c>
      <c r="BN14" s="4" t="s">
        <v>312</v>
      </c>
      <c r="BO14" s="18">
        <v>46157</v>
      </c>
      <c r="BP14" s="3" t="s">
        <v>278</v>
      </c>
      <c r="BQ14" s="21" t="s">
        <v>265</v>
      </c>
      <c r="BR14" s="2" t="s">
        <v>226</v>
      </c>
      <c r="BS14" s="2" t="s">
        <v>306</v>
      </c>
      <c r="BT14" s="2"/>
      <c r="BU14" s="2"/>
      <c r="BV14" s="20">
        <v>90084573</v>
      </c>
      <c r="BW14" s="19"/>
      <c r="BX14" s="46">
        <f t="shared" si="63"/>
        <v>175486.41</v>
      </c>
      <c r="BY14" s="22"/>
      <c r="BZ14" s="22">
        <v>46129</v>
      </c>
      <c r="CA14" s="418">
        <v>4567280594</v>
      </c>
      <c r="CB14" s="22">
        <v>46134</v>
      </c>
      <c r="CC14" s="22"/>
      <c r="CD14" s="22"/>
      <c r="CE14" s="22" t="str">
        <f t="shared" si="64"/>
        <v>OBL In Destination - INDIA</v>
      </c>
      <c r="CF14" s="22"/>
      <c r="CG14" s="22"/>
      <c r="CH14" s="22">
        <v>46141</v>
      </c>
      <c r="CI14" s="2">
        <v>1335828874</v>
      </c>
      <c r="CJ14" s="22">
        <v>46157</v>
      </c>
      <c r="CK14" s="2" t="str">
        <f t="shared" si="65"/>
        <v>CERTS in Destination - INDIA</v>
      </c>
      <c r="CL14" s="48" t="s">
        <v>229</v>
      </c>
      <c r="CM14" s="22">
        <v>46139</v>
      </c>
      <c r="CN14" s="55">
        <v>8585994476</v>
      </c>
      <c r="CO14" s="54">
        <v>46147</v>
      </c>
      <c r="CP14" s="55" t="str">
        <f t="shared" si="66"/>
        <v>Docs in Buyer's Nego Bank</v>
      </c>
      <c r="CQ14" s="50">
        <f t="shared" si="93"/>
        <v>175486.41</v>
      </c>
      <c r="CR14" s="54"/>
      <c r="CS14" s="2"/>
      <c r="CT14" s="2"/>
      <c r="CU14" s="14" t="str">
        <f t="shared" si="67"/>
        <v/>
      </c>
      <c r="CV14" s="42" t="str">
        <f t="shared" si="68"/>
        <v/>
      </c>
      <c r="CW14" s="14" t="str">
        <f t="shared" si="69"/>
        <v/>
      </c>
      <c r="CX14" s="14" t="str">
        <f t="shared" si="70"/>
        <v/>
      </c>
      <c r="CY14" s="15" t="str">
        <f t="shared" si="71"/>
        <v/>
      </c>
      <c r="CZ14" s="2"/>
      <c r="DA14" s="41" t="str">
        <f t="shared" si="72"/>
        <v/>
      </c>
      <c r="DB14" s="2"/>
      <c r="DC14" s="39" t="str">
        <f t="shared" si="73"/>
        <v/>
      </c>
      <c r="DD14" s="40"/>
      <c r="DE14" s="16" t="str">
        <f t="shared" si="74"/>
        <v/>
      </c>
      <c r="DF14" s="2" t="str">
        <f t="shared" si="75"/>
        <v/>
      </c>
      <c r="DG14" s="14" t="str">
        <f t="shared" si="76"/>
        <v/>
      </c>
      <c r="DH14" s="2" t="str">
        <f t="shared" si="77"/>
        <v/>
      </c>
      <c r="DI14" s="39" t="str">
        <f t="shared" si="78"/>
        <v/>
      </c>
      <c r="DJ14" s="2" t="str">
        <f t="shared" si="79"/>
        <v/>
      </c>
      <c r="DK14" s="15" t="str">
        <f t="shared" si="80"/>
        <v/>
      </c>
      <c r="DL14" s="2"/>
      <c r="DM14" s="2"/>
      <c r="DN14" s="15" t="str">
        <f t="shared" si="81"/>
        <v/>
      </c>
      <c r="DO14" s="14" t="str">
        <f t="shared" si="82"/>
        <v/>
      </c>
      <c r="DP14" s="14" t="str">
        <f t="shared" si="83"/>
        <v/>
      </c>
      <c r="DQ14" s="15" t="str">
        <f t="shared" si="84"/>
        <v/>
      </c>
      <c r="DR14" s="15" t="str">
        <f t="shared" si="85"/>
        <v/>
      </c>
      <c r="DS14" s="2" t="str">
        <f t="shared" si="86"/>
        <v/>
      </c>
      <c r="DT14" s="2" t="str">
        <f t="shared" si="87"/>
        <v/>
      </c>
      <c r="DU14" s="2"/>
      <c r="DV14" s="2"/>
      <c r="DW14" s="2"/>
      <c r="DX14" s="2"/>
      <c r="DY14" s="2" t="s">
        <v>230</v>
      </c>
      <c r="DZ14" s="2"/>
      <c r="EA14" s="2" t="str">
        <f t="shared" si="88"/>
        <v/>
      </c>
      <c r="EB14" s="2">
        <v>47.95</v>
      </c>
      <c r="EC14" s="2">
        <v>192</v>
      </c>
      <c r="ED14" s="2">
        <v>8.58</v>
      </c>
      <c r="EE14" s="3">
        <v>4900009113</v>
      </c>
      <c r="EF14" s="7"/>
      <c r="EG14" s="3"/>
      <c r="EH14" s="3" t="s">
        <v>307</v>
      </c>
      <c r="EI14" s="3" t="s">
        <v>258</v>
      </c>
      <c r="EJ14" s="189">
        <f>BJ14</f>
        <v>104.27</v>
      </c>
      <c r="EK14" s="4">
        <v>1600</v>
      </c>
      <c r="EL14" s="4"/>
      <c r="EM14" s="9"/>
      <c r="EN14" s="46">
        <f t="shared" si="89"/>
        <v>166832</v>
      </c>
      <c r="EO14" s="9" t="s">
        <v>232</v>
      </c>
      <c r="EP14" s="8"/>
      <c r="EQ14" s="4"/>
      <c r="ER14" s="4">
        <v>163495.35999999999</v>
      </c>
      <c r="ES14" s="7"/>
      <c r="ET14" s="7"/>
      <c r="EU14" s="6"/>
      <c r="EV14" s="2" t="str">
        <f t="shared" si="90"/>
        <v>Export Loan</v>
      </c>
      <c r="EW14" s="46"/>
      <c r="EX14" s="46">
        <f t="shared" si="91"/>
        <v>0</v>
      </c>
      <c r="EY14" s="46" t="s">
        <v>233</v>
      </c>
      <c r="EZ14" s="24"/>
      <c r="FA14" s="2"/>
      <c r="FB14" s="24"/>
      <c r="FC14" s="53"/>
      <c r="FD14" s="46">
        <f t="shared" si="92"/>
        <v>0</v>
      </c>
      <c r="FE14" s="52"/>
      <c r="FF14" s="52"/>
      <c r="FG14" s="49"/>
      <c r="FH14" s="49"/>
      <c r="FI14" s="49"/>
      <c r="FJ14" s="49"/>
      <c r="FK14" s="49"/>
      <c r="FL14" s="49">
        <f t="shared" si="44"/>
        <v>0</v>
      </c>
      <c r="FM14" s="180">
        <f t="shared" si="45"/>
        <v>46108</v>
      </c>
      <c r="FN14" s="49"/>
      <c r="FO14" s="49"/>
      <c r="FP14" s="49"/>
      <c r="FQ14" s="49"/>
      <c r="FR14" s="49"/>
      <c r="FS14" s="34">
        <f t="shared" si="47"/>
        <v>20009485</v>
      </c>
      <c r="FT14" s="34" t="str">
        <f t="shared" si="48"/>
        <v>32014448-5</v>
      </c>
      <c r="FU14" s="3"/>
      <c r="FV14" s="3"/>
      <c r="FW14" s="3"/>
      <c r="FX14" s="3"/>
      <c r="FY14" s="3"/>
      <c r="FZ14" s="3"/>
      <c r="GA14" s="3"/>
      <c r="GB14" s="4"/>
      <c r="GC14" s="3"/>
      <c r="GD14" s="182"/>
      <c r="GE14" s="2"/>
      <c r="GF14" s="2"/>
      <c r="GG14" s="2"/>
      <c r="GH14" s="2"/>
      <c r="GI14" s="2"/>
      <c r="GJ14" s="2"/>
      <c r="GK14" s="2"/>
      <c r="GL14" s="2"/>
      <c r="GM14" s="2"/>
      <c r="GN14" s="2"/>
    </row>
    <row r="15" spans="1:196" s="1" customFormat="1" ht="55.5">
      <c r="A15" s="2" t="str">
        <f t="shared" si="49"/>
        <v xml:space="preserve"> Final Pmt Recd , FNF Pending</v>
      </c>
      <c r="B15" s="281">
        <v>51</v>
      </c>
      <c r="C15" s="281">
        <v>190</v>
      </c>
      <c r="D15" s="182" t="s">
        <v>208</v>
      </c>
      <c r="E15" s="2" t="str">
        <f t="shared" si="50"/>
        <v>CLOSE POSITION</v>
      </c>
      <c r="F15" s="271">
        <f t="shared" si="51"/>
        <v>32013748</v>
      </c>
      <c r="G15" s="271"/>
      <c r="H15" s="2" t="str">
        <f t="shared" si="52"/>
        <v>ST. PAULS CASHEW FACTORY</v>
      </c>
      <c r="I15" s="3" t="s">
        <v>209</v>
      </c>
      <c r="J15" s="2" t="s">
        <v>210</v>
      </c>
      <c r="K15" s="2" t="str">
        <f t="shared" si="53"/>
        <v xml:space="preserve">TUTICORIN, INDIA </v>
      </c>
      <c r="L15" s="2" t="s">
        <v>313</v>
      </c>
      <c r="M15" s="2">
        <f t="shared" ref="M15:M42" si="94">IF(BJ15&lt;&gt;0,BJ15,"")</f>
        <v>50.634999999999998</v>
      </c>
      <c r="N15" s="22">
        <f t="shared" si="56"/>
        <v>46105</v>
      </c>
      <c r="O15" s="22">
        <f t="shared" si="57"/>
        <v>46161</v>
      </c>
      <c r="P15" s="22" t="str">
        <f t="shared" si="58"/>
        <v>OBL In Destination - INDIA</v>
      </c>
      <c r="Q15" s="2"/>
      <c r="R15" s="2" t="str">
        <f t="shared" si="59"/>
        <v>CERTS in Destination - INDIA</v>
      </c>
      <c r="S15" s="2" t="str">
        <f t="shared" si="60"/>
        <v>Docs in Buyer's Nego Bank</v>
      </c>
      <c r="T15" s="2" t="str">
        <f>IFERROR(_xlfn.XLOOKUP(F15,
'[2]Data 2026'!$H$12:$H$111,
'[2]Data 2026'!$CL$12:$CL$111),"")</f>
        <v/>
      </c>
      <c r="U15" s="3" t="s">
        <v>314</v>
      </c>
      <c r="V15" s="272" t="s">
        <v>212</v>
      </c>
      <c r="W15" s="3"/>
      <c r="X15" s="24">
        <v>46380</v>
      </c>
      <c r="Y15" s="273">
        <v>20009014</v>
      </c>
      <c r="Z15" s="24">
        <v>46017</v>
      </c>
      <c r="AA15" s="182">
        <v>32013748</v>
      </c>
      <c r="AB15" s="182" t="s">
        <v>237</v>
      </c>
      <c r="AC15" s="182" t="s">
        <v>214</v>
      </c>
      <c r="AD15" s="571">
        <v>46096</v>
      </c>
      <c r="AE15" s="44">
        <v>0.1</v>
      </c>
      <c r="AF15" s="35">
        <v>50</v>
      </c>
      <c r="AG15" s="35">
        <f t="shared" si="61"/>
        <v>45</v>
      </c>
      <c r="AH15" s="3" t="s">
        <v>215</v>
      </c>
      <c r="AI15" s="35">
        <v>1610</v>
      </c>
      <c r="AJ15" s="35">
        <f>AI15*AF15</f>
        <v>80500</v>
      </c>
      <c r="AK15" s="3" t="s">
        <v>216</v>
      </c>
      <c r="AL15" s="3" t="s">
        <v>238</v>
      </c>
      <c r="AM15" s="183">
        <v>0</v>
      </c>
      <c r="AN15" s="183">
        <v>1</v>
      </c>
      <c r="AO15" s="183">
        <v>0</v>
      </c>
      <c r="AP15" s="28" t="s">
        <v>218</v>
      </c>
      <c r="AQ15" s="18" t="s">
        <v>239</v>
      </c>
      <c r="AR15" s="2"/>
      <c r="AS15" s="274"/>
      <c r="AT15" s="3" t="s">
        <v>220</v>
      </c>
      <c r="AU15" s="3" t="s">
        <v>220</v>
      </c>
      <c r="AV15" s="3" t="s">
        <v>220</v>
      </c>
      <c r="AW15" s="9"/>
      <c r="AX15" s="3"/>
      <c r="AY15" s="47"/>
      <c r="AZ15" s="275">
        <f t="shared" si="62"/>
        <v>0</v>
      </c>
      <c r="BA15" s="18">
        <v>46382</v>
      </c>
      <c r="BB15" s="22">
        <v>46030</v>
      </c>
      <c r="BC15" s="22"/>
      <c r="BD15" s="22"/>
      <c r="BE15" s="22"/>
      <c r="BF15" s="22">
        <v>46030</v>
      </c>
      <c r="BG15" s="18"/>
      <c r="BH15" s="18"/>
      <c r="BI15" s="3" t="s">
        <v>313</v>
      </c>
      <c r="BJ15" s="43">
        <v>50.634999999999998</v>
      </c>
      <c r="BK15" s="46" t="s">
        <v>222</v>
      </c>
      <c r="BL15" s="498">
        <v>2</v>
      </c>
      <c r="BM15" s="18">
        <v>46105</v>
      </c>
      <c r="BN15" s="4" t="s">
        <v>315</v>
      </c>
      <c r="BO15" s="18">
        <v>46161</v>
      </c>
      <c r="BP15" s="3" t="s">
        <v>224</v>
      </c>
      <c r="BQ15" s="21" t="s">
        <v>225</v>
      </c>
      <c r="BR15" s="3" t="s">
        <v>226</v>
      </c>
      <c r="BS15" s="3"/>
      <c r="BT15" s="287" t="s">
        <v>316</v>
      </c>
      <c r="BU15" s="3" t="s">
        <v>243</v>
      </c>
      <c r="BV15" s="20">
        <v>90083900</v>
      </c>
      <c r="BW15" s="7">
        <v>46120</v>
      </c>
      <c r="BX15" s="46">
        <f t="shared" si="63"/>
        <v>81522.349999999991</v>
      </c>
      <c r="BY15" s="22"/>
      <c r="BZ15" s="22">
        <v>46129</v>
      </c>
      <c r="CA15" s="2">
        <v>46130</v>
      </c>
      <c r="CB15" s="22">
        <v>46134</v>
      </c>
      <c r="CC15" s="22"/>
      <c r="CD15" s="22"/>
      <c r="CE15" s="22" t="str">
        <f t="shared" si="64"/>
        <v>OBL In Destination - INDIA</v>
      </c>
      <c r="CF15" s="22"/>
      <c r="CG15" s="22"/>
      <c r="CH15" s="22">
        <v>46139</v>
      </c>
      <c r="CI15" s="2">
        <v>5775433856</v>
      </c>
      <c r="CJ15" s="22">
        <v>46157</v>
      </c>
      <c r="CK15" s="2" t="str">
        <f t="shared" si="65"/>
        <v>CERTS in Destination - INDIA</v>
      </c>
      <c r="CL15" s="48" t="s">
        <v>244</v>
      </c>
      <c r="CM15" s="22">
        <v>46140</v>
      </c>
      <c r="CN15" s="55" t="s">
        <v>317</v>
      </c>
      <c r="CO15" s="54">
        <v>46142</v>
      </c>
      <c r="CP15" s="55" t="str">
        <f t="shared" si="66"/>
        <v>Docs in Buyer's Nego Bank</v>
      </c>
      <c r="CQ15" s="50">
        <f t="shared" si="93"/>
        <v>81522.349999999991</v>
      </c>
      <c r="CR15" s="54">
        <v>46156</v>
      </c>
      <c r="CS15" s="2"/>
      <c r="CT15" s="2"/>
      <c r="CU15" s="14" t="str">
        <f t="shared" si="67"/>
        <v/>
      </c>
      <c r="CV15" s="42" t="str">
        <f t="shared" si="68"/>
        <v/>
      </c>
      <c r="CW15" s="14" t="str">
        <f t="shared" si="69"/>
        <v/>
      </c>
      <c r="CX15" s="14" t="str">
        <f t="shared" si="70"/>
        <v/>
      </c>
      <c r="CY15" s="15" t="str">
        <f t="shared" si="71"/>
        <v/>
      </c>
      <c r="CZ15" s="2"/>
      <c r="DA15" s="41" t="str">
        <f t="shared" si="72"/>
        <v/>
      </c>
      <c r="DB15" s="2"/>
      <c r="DC15" s="39" t="str">
        <f t="shared" si="73"/>
        <v/>
      </c>
      <c r="DD15" s="40"/>
      <c r="DE15" s="16" t="str">
        <f t="shared" si="74"/>
        <v/>
      </c>
      <c r="DF15" s="2" t="str">
        <f t="shared" si="75"/>
        <v/>
      </c>
      <c r="DG15" s="14" t="str">
        <f t="shared" si="76"/>
        <v/>
      </c>
      <c r="DH15" s="2" t="str">
        <f t="shared" si="77"/>
        <v/>
      </c>
      <c r="DI15" s="39" t="str">
        <f t="shared" si="78"/>
        <v/>
      </c>
      <c r="DJ15" s="2" t="str">
        <f t="shared" si="79"/>
        <v/>
      </c>
      <c r="DK15" s="15" t="str">
        <f t="shared" si="80"/>
        <v/>
      </c>
      <c r="DL15" s="2"/>
      <c r="DM15" s="2"/>
      <c r="DN15" s="15" t="str">
        <f t="shared" si="81"/>
        <v/>
      </c>
      <c r="DO15" s="14" t="str">
        <f t="shared" si="82"/>
        <v/>
      </c>
      <c r="DP15" s="14" t="str">
        <f t="shared" si="83"/>
        <v/>
      </c>
      <c r="DQ15" s="15" t="str">
        <f t="shared" si="84"/>
        <v/>
      </c>
      <c r="DR15" s="15" t="str">
        <f t="shared" si="85"/>
        <v/>
      </c>
      <c r="DS15" s="2" t="str">
        <f t="shared" si="86"/>
        <v/>
      </c>
      <c r="DT15" s="2" t="str">
        <f t="shared" si="87"/>
        <v/>
      </c>
      <c r="DU15" s="2"/>
      <c r="DV15" s="2"/>
      <c r="DW15" s="2"/>
      <c r="DX15" s="2"/>
      <c r="DY15" s="2" t="s">
        <v>230</v>
      </c>
      <c r="DZ15" s="2"/>
      <c r="EA15" s="2" t="str">
        <f t="shared" si="88"/>
        <v/>
      </c>
      <c r="EB15" s="2">
        <v>47.91</v>
      </c>
      <c r="EC15" s="2">
        <v>196</v>
      </c>
      <c r="ED15" s="2">
        <v>7.85</v>
      </c>
      <c r="EE15" s="3">
        <v>4900009486</v>
      </c>
      <c r="EF15" s="37"/>
      <c r="EG15" s="3"/>
      <c r="EH15" s="3" t="s">
        <v>318</v>
      </c>
      <c r="EI15" s="3"/>
      <c r="EJ15" s="35"/>
      <c r="EK15" s="35"/>
      <c r="EL15" s="4" t="s">
        <v>220</v>
      </c>
      <c r="EM15" s="7"/>
      <c r="EN15" s="46">
        <f t="shared" si="89"/>
        <v>0</v>
      </c>
      <c r="EO15" s="3"/>
      <c r="EP15" s="3"/>
      <c r="EQ15" s="3"/>
      <c r="ER15" s="3"/>
      <c r="ES15" s="7"/>
      <c r="ET15" s="3"/>
      <c r="EU15" s="3"/>
      <c r="EV15" s="2" t="str">
        <f t="shared" si="90"/>
        <v>Final Pmt Recd</v>
      </c>
      <c r="EW15" s="46"/>
      <c r="EX15" s="46">
        <f t="shared" si="91"/>
        <v>0</v>
      </c>
      <c r="EY15" s="46" t="s">
        <v>233</v>
      </c>
      <c r="EZ15" s="24"/>
      <c r="FA15" s="2"/>
      <c r="FB15" s="24"/>
      <c r="FC15" s="53"/>
      <c r="FD15" s="46">
        <f t="shared" si="92"/>
        <v>0</v>
      </c>
      <c r="FE15" s="52"/>
      <c r="FF15" s="52"/>
      <c r="FG15" s="49"/>
      <c r="FH15" s="49"/>
      <c r="FI15" s="49"/>
      <c r="FJ15" s="49"/>
      <c r="FK15" s="49"/>
      <c r="FL15" s="49">
        <f t="shared" si="44"/>
        <v>0</v>
      </c>
      <c r="FM15" s="180">
        <f t="shared" si="45"/>
        <v>46105</v>
      </c>
      <c r="FN15" s="49"/>
      <c r="FO15" s="49"/>
      <c r="FP15" s="49"/>
      <c r="FQ15" s="49"/>
      <c r="FR15" s="49"/>
      <c r="FS15" s="6">
        <v>20009014</v>
      </c>
      <c r="FT15" s="3">
        <v>32013748</v>
      </c>
      <c r="FU15" s="3">
        <v>0</v>
      </c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5"/>
    </row>
    <row r="16" spans="1:196" s="1" customFormat="1" ht="33.950000000000003">
      <c r="A16" s="2" t="str">
        <f t="shared" si="49"/>
        <v xml:space="preserve"> Final Pmt Recd , FNF Pending</v>
      </c>
      <c r="B16" s="281">
        <v>51</v>
      </c>
      <c r="C16" s="281">
        <v>185</v>
      </c>
      <c r="D16" s="182" t="s">
        <v>208</v>
      </c>
      <c r="E16" s="2" t="str">
        <f t="shared" si="50"/>
        <v>CLOSE POSITION</v>
      </c>
      <c r="F16" s="271">
        <f t="shared" si="51"/>
        <v>32014391</v>
      </c>
      <c r="G16" s="271"/>
      <c r="H16" s="2" t="str">
        <f t="shared" si="52"/>
        <v>SRI VIJAYALAXMI CASHEW INDUSTRIES</v>
      </c>
      <c r="I16" s="3" t="s">
        <v>209</v>
      </c>
      <c r="J16" s="2" t="s">
        <v>210</v>
      </c>
      <c r="K16" s="2" t="str">
        <f t="shared" si="53"/>
        <v>MANGALORE, INDIA</v>
      </c>
      <c r="L16" s="2" t="str">
        <f t="shared" ref="L16:L42" si="95">IF(BI16&lt;&gt;0,BI16,"")</f>
        <v>MEDULG626988</v>
      </c>
      <c r="M16" s="2">
        <f t="shared" si="94"/>
        <v>104.563</v>
      </c>
      <c r="N16" s="22">
        <f t="shared" si="56"/>
        <v>46110</v>
      </c>
      <c r="O16" s="22">
        <f t="shared" si="57"/>
        <v>46160</v>
      </c>
      <c r="P16" s="22" t="str">
        <f t="shared" si="58"/>
        <v>OBL In Destination - INDIA</v>
      </c>
      <c r="Q16" s="2"/>
      <c r="R16" s="2" t="str">
        <f t="shared" si="59"/>
        <v>CERTS in Destination - INDIA</v>
      </c>
      <c r="S16" s="2" t="str">
        <f t="shared" si="60"/>
        <v>Docs in Buyer's Nego Bank</v>
      </c>
      <c r="T16" s="2" t="str">
        <f>IFERROR(_xlfn.XLOOKUP(F16,
'[2]Data 2026'!$H$12:$H$111,
'[2]Data 2026'!$CL$12:$CL$111),"")</f>
        <v/>
      </c>
      <c r="U16" s="3" t="s">
        <v>319</v>
      </c>
      <c r="V16" s="272"/>
      <c r="W16" s="3" t="s">
        <v>320</v>
      </c>
      <c r="X16" s="24">
        <v>46052</v>
      </c>
      <c r="Y16" s="273">
        <v>20009356</v>
      </c>
      <c r="Z16" s="24">
        <v>46052</v>
      </c>
      <c r="AA16" s="182">
        <v>32014391</v>
      </c>
      <c r="AB16" s="182" t="s">
        <v>321</v>
      </c>
      <c r="AC16" s="203">
        <v>46082</v>
      </c>
      <c r="AD16" s="203">
        <v>46112</v>
      </c>
      <c r="AE16" s="30">
        <v>0.1</v>
      </c>
      <c r="AF16" s="277">
        <f>EJ16</f>
        <v>104.563</v>
      </c>
      <c r="AG16" s="35">
        <f t="shared" si="61"/>
        <v>94.106700000000004</v>
      </c>
      <c r="AH16" s="3" t="s">
        <v>215</v>
      </c>
      <c r="AI16" s="4">
        <v>1635</v>
      </c>
      <c r="AJ16" s="4">
        <v>163500</v>
      </c>
      <c r="AK16" s="3" t="s">
        <v>249</v>
      </c>
      <c r="AL16" s="3" t="s">
        <v>238</v>
      </c>
      <c r="AM16" s="30">
        <v>0</v>
      </c>
      <c r="AN16" s="183">
        <v>1</v>
      </c>
      <c r="AO16" s="183">
        <v>0</v>
      </c>
      <c r="AP16" s="28" t="s">
        <v>218</v>
      </c>
      <c r="AQ16" s="18" t="s">
        <v>239</v>
      </c>
      <c r="AR16" s="18" t="s">
        <v>251</v>
      </c>
      <c r="AS16" s="27"/>
      <c r="AT16" s="3" t="s">
        <v>220</v>
      </c>
      <c r="AU16" s="3" t="s">
        <v>220</v>
      </c>
      <c r="AV16" s="3" t="s">
        <v>220</v>
      </c>
      <c r="AW16" s="9"/>
      <c r="AX16" s="3"/>
      <c r="AY16" s="47"/>
      <c r="AZ16" s="275">
        <f t="shared" si="62"/>
        <v>0</v>
      </c>
      <c r="BA16" s="18">
        <v>46056</v>
      </c>
      <c r="BB16" s="22">
        <v>46062</v>
      </c>
      <c r="BC16" s="22"/>
      <c r="BD16" s="22"/>
      <c r="BE16" s="22"/>
      <c r="BF16" s="22">
        <v>46062</v>
      </c>
      <c r="BG16" s="18"/>
      <c r="BH16" s="18"/>
      <c r="BI16" s="3" t="s">
        <v>322</v>
      </c>
      <c r="BJ16" s="25">
        <v>104.563</v>
      </c>
      <c r="BK16" s="46" t="s">
        <v>222</v>
      </c>
      <c r="BL16" s="497">
        <v>4</v>
      </c>
      <c r="BM16" s="18">
        <v>46110</v>
      </c>
      <c r="BN16" s="4" t="s">
        <v>323</v>
      </c>
      <c r="BO16" s="18">
        <v>46160</v>
      </c>
      <c r="BP16" s="3" t="s">
        <v>278</v>
      </c>
      <c r="BQ16" s="21" t="s">
        <v>265</v>
      </c>
      <c r="BR16" s="2" t="s">
        <v>226</v>
      </c>
      <c r="BS16" s="2"/>
      <c r="BT16" s="2" t="s">
        <v>324</v>
      </c>
      <c r="BU16" s="2" t="s">
        <v>325</v>
      </c>
      <c r="BV16" s="20">
        <v>90084810</v>
      </c>
      <c r="BW16" s="7">
        <v>46141</v>
      </c>
      <c r="BX16" s="46">
        <f t="shared" si="63"/>
        <v>170960.505</v>
      </c>
      <c r="BY16" s="22">
        <v>46128</v>
      </c>
      <c r="BZ16" s="22">
        <v>46128</v>
      </c>
      <c r="CA16" s="2">
        <v>9763609273</v>
      </c>
      <c r="CB16" s="22">
        <v>46134</v>
      </c>
      <c r="CC16" s="22"/>
      <c r="CD16" s="22"/>
      <c r="CE16" s="22" t="str">
        <f t="shared" si="64"/>
        <v>OBL In Destination - INDIA</v>
      </c>
      <c r="CF16" s="22"/>
      <c r="CG16" s="22"/>
      <c r="CH16" s="22">
        <v>46141</v>
      </c>
      <c r="CI16" s="2">
        <v>1335828874</v>
      </c>
      <c r="CJ16" s="22">
        <v>46157</v>
      </c>
      <c r="CK16" s="2" t="str">
        <f t="shared" si="65"/>
        <v>CERTS in Destination - INDIA</v>
      </c>
      <c r="CL16" s="48" t="s">
        <v>244</v>
      </c>
      <c r="CM16" s="22">
        <v>46141</v>
      </c>
      <c r="CN16" s="55">
        <v>9672115106</v>
      </c>
      <c r="CO16" s="437">
        <v>46149</v>
      </c>
      <c r="CP16" s="55" t="str">
        <f t="shared" si="66"/>
        <v>Docs in Buyer's Nego Bank</v>
      </c>
      <c r="CQ16" s="50">
        <f t="shared" si="93"/>
        <v>170960.505</v>
      </c>
      <c r="CR16" s="54">
        <v>46163</v>
      </c>
      <c r="CS16" s="2"/>
      <c r="CT16" s="2"/>
      <c r="CU16" s="14" t="str">
        <f t="shared" si="67"/>
        <v/>
      </c>
      <c r="CV16" s="42" t="str">
        <f t="shared" si="68"/>
        <v/>
      </c>
      <c r="CW16" s="14" t="str">
        <f t="shared" si="69"/>
        <v/>
      </c>
      <c r="CX16" s="14" t="str">
        <f t="shared" si="70"/>
        <v/>
      </c>
      <c r="CY16" s="15" t="str">
        <f t="shared" si="71"/>
        <v/>
      </c>
      <c r="CZ16" s="2"/>
      <c r="DA16" s="41" t="str">
        <f t="shared" si="72"/>
        <v/>
      </c>
      <c r="DB16" s="2"/>
      <c r="DC16" s="39" t="str">
        <f t="shared" si="73"/>
        <v/>
      </c>
      <c r="DD16" s="40"/>
      <c r="DE16" s="16" t="str">
        <f t="shared" si="74"/>
        <v/>
      </c>
      <c r="DF16" s="2" t="str">
        <f t="shared" si="75"/>
        <v/>
      </c>
      <c r="DG16" s="14" t="str">
        <f t="shared" si="76"/>
        <v/>
      </c>
      <c r="DH16" s="2" t="str">
        <f t="shared" si="77"/>
        <v/>
      </c>
      <c r="DI16" s="39" t="str">
        <f t="shared" si="78"/>
        <v/>
      </c>
      <c r="DJ16" s="2" t="str">
        <f t="shared" si="79"/>
        <v/>
      </c>
      <c r="DK16" s="15" t="str">
        <f t="shared" si="80"/>
        <v/>
      </c>
      <c r="DL16" s="2"/>
      <c r="DM16" s="2"/>
      <c r="DN16" s="15" t="str">
        <f t="shared" si="81"/>
        <v/>
      </c>
      <c r="DO16" s="14" t="str">
        <f t="shared" si="82"/>
        <v/>
      </c>
      <c r="DP16" s="14" t="str">
        <f t="shared" si="83"/>
        <v/>
      </c>
      <c r="DQ16" s="15" t="str">
        <f t="shared" si="84"/>
        <v/>
      </c>
      <c r="DR16" s="15" t="str">
        <f t="shared" si="85"/>
        <v/>
      </c>
      <c r="DS16" s="2" t="str">
        <f t="shared" si="86"/>
        <v/>
      </c>
      <c r="DT16" s="2" t="str">
        <f t="shared" si="87"/>
        <v/>
      </c>
      <c r="DU16" s="2"/>
      <c r="DV16" s="2"/>
      <c r="DW16" s="2"/>
      <c r="DX16" s="2"/>
      <c r="DY16" s="2" t="s">
        <v>230</v>
      </c>
      <c r="DZ16" s="2"/>
      <c r="EA16" s="2" t="str">
        <f t="shared" si="88"/>
        <v/>
      </c>
      <c r="EB16" s="2">
        <v>49.81</v>
      </c>
      <c r="EC16" s="2">
        <v>178</v>
      </c>
      <c r="ED16" s="2">
        <v>8.7799999999999994</v>
      </c>
      <c r="EE16" s="3">
        <v>4900008912</v>
      </c>
      <c r="EF16" s="7"/>
      <c r="EG16" s="3"/>
      <c r="EH16" s="3" t="s">
        <v>326</v>
      </c>
      <c r="EI16" s="3" t="s">
        <v>258</v>
      </c>
      <c r="EJ16" s="189">
        <v>104.563</v>
      </c>
      <c r="EK16" s="4">
        <v>1500</v>
      </c>
      <c r="EL16" s="4"/>
      <c r="EM16" s="9"/>
      <c r="EN16" s="46">
        <f t="shared" si="89"/>
        <v>156844.5</v>
      </c>
      <c r="EO16" s="9" t="s">
        <v>232</v>
      </c>
      <c r="EP16" s="8"/>
      <c r="EQ16" s="4"/>
      <c r="ER16" s="4">
        <v>141160.05000000002</v>
      </c>
      <c r="ES16" s="7"/>
      <c r="ET16" s="7"/>
      <c r="EU16" s="6"/>
      <c r="EV16" s="2" t="str">
        <f t="shared" si="90"/>
        <v>Final Pmt Recd</v>
      </c>
      <c r="EW16" s="46"/>
      <c r="EX16" s="46">
        <f t="shared" si="91"/>
        <v>0</v>
      </c>
      <c r="EY16" s="46" t="s">
        <v>233</v>
      </c>
      <c r="EZ16" s="24"/>
      <c r="FA16" s="2">
        <v>22138870</v>
      </c>
      <c r="FB16" s="24"/>
      <c r="FC16" s="53"/>
      <c r="FD16" s="46">
        <f t="shared" si="92"/>
        <v>0</v>
      </c>
      <c r="FE16" s="52"/>
      <c r="FF16" s="52"/>
      <c r="FG16" s="49"/>
      <c r="FH16" s="49"/>
      <c r="FI16" s="49"/>
      <c r="FJ16" s="49"/>
      <c r="FK16" s="49"/>
      <c r="FL16" s="49">
        <f t="shared" si="44"/>
        <v>-46128</v>
      </c>
      <c r="FM16" s="180">
        <f t="shared" si="45"/>
        <v>46110</v>
      </c>
      <c r="FN16" s="49"/>
      <c r="FO16" s="49"/>
      <c r="FP16" s="49"/>
      <c r="FQ16" s="49"/>
      <c r="FR16" s="49"/>
      <c r="FS16" s="34">
        <f>Y16</f>
        <v>20009356</v>
      </c>
      <c r="FT16" s="34">
        <f>AA16</f>
        <v>32014391</v>
      </c>
      <c r="FU16" s="3"/>
      <c r="FV16" s="3"/>
      <c r="FW16" s="3"/>
      <c r="FX16" s="3"/>
      <c r="FY16" s="3"/>
      <c r="FZ16" s="3"/>
      <c r="GA16" s="3"/>
      <c r="GB16" s="4"/>
      <c r="GC16" s="3"/>
      <c r="GD16" s="182"/>
      <c r="GE16" s="3"/>
      <c r="GF16" s="3"/>
      <c r="GG16" s="3"/>
      <c r="GH16" s="3"/>
      <c r="GI16" s="3"/>
      <c r="GJ16" s="3"/>
      <c r="GK16" s="3"/>
      <c r="GL16" s="3"/>
      <c r="GM16" s="3"/>
      <c r="GN16" s="3"/>
    </row>
    <row r="17" spans="1:196" s="1" customFormat="1" ht="33.950000000000003">
      <c r="A17" s="2" t="str">
        <f t="shared" si="49"/>
        <v xml:space="preserve"> Final Pmt Recd , FNF Pending</v>
      </c>
      <c r="B17" s="275">
        <v>51</v>
      </c>
      <c r="C17" s="275">
        <v>190</v>
      </c>
      <c r="D17" s="2" t="s">
        <v>208</v>
      </c>
      <c r="E17" s="2" t="str">
        <f t="shared" si="50"/>
        <v>CLOSE POSITION</v>
      </c>
      <c r="F17" s="271" t="str">
        <f t="shared" si="51"/>
        <v>32013750-1</v>
      </c>
      <c r="G17" s="271"/>
      <c r="H17" s="2" t="str">
        <f t="shared" si="52"/>
        <v>MAA TARA TARINI CASHEW INDUSTRIES</v>
      </c>
      <c r="I17" s="3" t="s">
        <v>209</v>
      </c>
      <c r="J17" s="2" t="s">
        <v>210</v>
      </c>
      <c r="K17" s="2" t="str">
        <f t="shared" si="53"/>
        <v>GANGAVARAM, INDIA</v>
      </c>
      <c r="L17" s="2" t="str">
        <f t="shared" si="95"/>
        <v>MEDULG617839</v>
      </c>
      <c r="M17" s="2">
        <f t="shared" si="94"/>
        <v>103.6</v>
      </c>
      <c r="N17" s="22">
        <f t="shared" si="56"/>
        <v>46099</v>
      </c>
      <c r="O17" s="22">
        <f t="shared" si="57"/>
        <v>46161</v>
      </c>
      <c r="P17" s="22" t="str">
        <f t="shared" si="58"/>
        <v>OBL In Destination - INDIA</v>
      </c>
      <c r="Q17" s="2"/>
      <c r="R17" s="2" t="str">
        <f t="shared" si="59"/>
        <v>CERTS in Destination - INDIA</v>
      </c>
      <c r="S17" s="2" t="str">
        <f t="shared" si="60"/>
        <v>Docs in Buyer's Nego Bank</v>
      </c>
      <c r="T17" s="2" t="str">
        <f>IFERROR(_xlfn.XLOOKUP(F17,
'[2]Data 2026'!$H$12:$H$111,
'[2]Data 2026'!$CL$12:$CL$111),"")</f>
        <v/>
      </c>
      <c r="U17" s="3" t="s">
        <v>327</v>
      </c>
      <c r="V17" s="3" t="s">
        <v>212</v>
      </c>
      <c r="W17" s="3"/>
      <c r="X17" s="24">
        <v>46014</v>
      </c>
      <c r="Y17" s="271" t="s">
        <v>328</v>
      </c>
      <c r="Z17" s="24">
        <v>46017</v>
      </c>
      <c r="AA17" s="2" t="s">
        <v>329</v>
      </c>
      <c r="AB17" s="2" t="s">
        <v>330</v>
      </c>
      <c r="AC17" s="52" t="s">
        <v>214</v>
      </c>
      <c r="AD17" s="571">
        <v>46096</v>
      </c>
      <c r="AE17" s="44">
        <v>0.1</v>
      </c>
      <c r="AF17" s="35">
        <v>100</v>
      </c>
      <c r="AG17" s="35">
        <f t="shared" si="61"/>
        <v>90</v>
      </c>
      <c r="AH17" s="3" t="s">
        <v>215</v>
      </c>
      <c r="AI17" s="35">
        <v>1610</v>
      </c>
      <c r="AJ17" s="35">
        <v>161000</v>
      </c>
      <c r="AK17" s="3" t="s">
        <v>216</v>
      </c>
      <c r="AL17" s="3" t="s">
        <v>238</v>
      </c>
      <c r="AM17" s="183">
        <v>0.1</v>
      </c>
      <c r="AN17" s="183">
        <v>0.9</v>
      </c>
      <c r="AO17" s="183">
        <v>0</v>
      </c>
      <c r="AP17" s="28" t="s">
        <v>218</v>
      </c>
      <c r="AQ17" s="18" t="s">
        <v>331</v>
      </c>
      <c r="AR17" s="2"/>
      <c r="AS17" s="274"/>
      <c r="AT17" s="3" t="s">
        <v>220</v>
      </c>
      <c r="AU17" s="3" t="s">
        <v>220</v>
      </c>
      <c r="AV17" s="3" t="s">
        <v>220</v>
      </c>
      <c r="AW17" s="9"/>
      <c r="AX17" s="3"/>
      <c r="AY17" s="47"/>
      <c r="AZ17" s="275">
        <f t="shared" si="62"/>
        <v>16100</v>
      </c>
      <c r="BA17" s="47">
        <v>46024</v>
      </c>
      <c r="BB17" s="22">
        <v>46030</v>
      </c>
      <c r="BC17" s="22"/>
      <c r="BD17" s="22"/>
      <c r="BE17" s="22"/>
      <c r="BF17" s="22">
        <v>46030</v>
      </c>
      <c r="BG17" s="18"/>
      <c r="BH17" s="18"/>
      <c r="BI17" s="3" t="s">
        <v>332</v>
      </c>
      <c r="BJ17" s="43">
        <v>103.6</v>
      </c>
      <c r="BK17" s="46" t="s">
        <v>222</v>
      </c>
      <c r="BL17" s="498">
        <v>4</v>
      </c>
      <c r="BM17" s="18">
        <v>46099</v>
      </c>
      <c r="BN17" s="35" t="s">
        <v>333</v>
      </c>
      <c r="BO17" s="18">
        <v>46161</v>
      </c>
      <c r="BP17" s="3" t="s">
        <v>224</v>
      </c>
      <c r="BQ17" s="21" t="s">
        <v>334</v>
      </c>
      <c r="BR17" s="3" t="s">
        <v>226</v>
      </c>
      <c r="BS17" s="3"/>
      <c r="BT17" s="3" t="s">
        <v>335</v>
      </c>
      <c r="BU17" s="3" t="s">
        <v>243</v>
      </c>
      <c r="BV17" s="20">
        <v>90083332</v>
      </c>
      <c r="BW17" s="19"/>
      <c r="BX17" s="46">
        <f t="shared" si="63"/>
        <v>166796</v>
      </c>
      <c r="BY17" s="22"/>
      <c r="BZ17" s="22">
        <v>46120</v>
      </c>
      <c r="CA17" s="2">
        <v>6876239156</v>
      </c>
      <c r="CB17" s="22">
        <v>46120</v>
      </c>
      <c r="CC17" s="55">
        <v>1564805443</v>
      </c>
      <c r="CD17" s="22">
        <v>46127</v>
      </c>
      <c r="CE17" s="22" t="str">
        <f t="shared" si="64"/>
        <v>OBL In Destination - INDIA</v>
      </c>
      <c r="CF17" s="22"/>
      <c r="CG17" s="22"/>
      <c r="CH17" s="22">
        <v>46120</v>
      </c>
      <c r="CI17" s="2">
        <v>7144679555</v>
      </c>
      <c r="CJ17" s="22">
        <v>46125</v>
      </c>
      <c r="CK17" s="2" t="str">
        <f t="shared" si="65"/>
        <v>CERTS in Destination - INDIA</v>
      </c>
      <c r="CL17" s="48" t="s">
        <v>244</v>
      </c>
      <c r="CM17" s="22">
        <v>46120</v>
      </c>
      <c r="CN17" s="55">
        <v>1564805443</v>
      </c>
      <c r="CO17" s="54">
        <v>46127</v>
      </c>
      <c r="CP17" s="55" t="str">
        <f t="shared" si="66"/>
        <v>Docs in Buyer's Nego Bank</v>
      </c>
      <c r="CQ17" s="50">
        <f t="shared" si="93"/>
        <v>134016.4</v>
      </c>
      <c r="CR17" s="54">
        <v>46154</v>
      </c>
      <c r="CS17" s="2"/>
      <c r="CT17" s="2"/>
      <c r="CU17" s="14" t="str">
        <f t="shared" si="67"/>
        <v/>
      </c>
      <c r="CV17" s="42" t="str">
        <f t="shared" si="68"/>
        <v/>
      </c>
      <c r="CW17" s="14" t="str">
        <f t="shared" si="69"/>
        <v/>
      </c>
      <c r="CX17" s="14" t="str">
        <f t="shared" si="70"/>
        <v/>
      </c>
      <c r="CY17" s="15" t="str">
        <f t="shared" si="71"/>
        <v/>
      </c>
      <c r="CZ17" s="2"/>
      <c r="DA17" s="41" t="str">
        <f t="shared" si="72"/>
        <v/>
      </c>
      <c r="DB17" s="2"/>
      <c r="DC17" s="39" t="str">
        <f t="shared" si="73"/>
        <v/>
      </c>
      <c r="DD17" s="40"/>
      <c r="DE17" s="16" t="str">
        <f t="shared" si="74"/>
        <v/>
      </c>
      <c r="DF17" s="2" t="str">
        <f t="shared" si="75"/>
        <v/>
      </c>
      <c r="DG17" s="14" t="str">
        <f t="shared" si="76"/>
        <v/>
      </c>
      <c r="DH17" s="2" t="str">
        <f t="shared" si="77"/>
        <v/>
      </c>
      <c r="DI17" s="39" t="str">
        <f t="shared" si="78"/>
        <v/>
      </c>
      <c r="DJ17" s="2" t="str">
        <f t="shared" si="79"/>
        <v/>
      </c>
      <c r="DK17" s="15" t="str">
        <f t="shared" si="80"/>
        <v/>
      </c>
      <c r="DL17" s="2"/>
      <c r="DM17" s="2"/>
      <c r="DN17" s="15" t="str">
        <f t="shared" si="81"/>
        <v/>
      </c>
      <c r="DO17" s="14" t="str">
        <f t="shared" si="82"/>
        <v/>
      </c>
      <c r="DP17" s="14" t="str">
        <f t="shared" si="83"/>
        <v/>
      </c>
      <c r="DQ17" s="15" t="str">
        <f t="shared" si="84"/>
        <v/>
      </c>
      <c r="DR17" s="15" t="str">
        <f t="shared" si="85"/>
        <v/>
      </c>
      <c r="DS17" s="2" t="str">
        <f t="shared" si="86"/>
        <v/>
      </c>
      <c r="DT17" s="2" t="str">
        <f t="shared" si="87"/>
        <v/>
      </c>
      <c r="DU17" s="2"/>
      <c r="DV17" s="2"/>
      <c r="DW17" s="2"/>
      <c r="DX17" s="2"/>
      <c r="DY17" s="2" t="s">
        <v>230</v>
      </c>
      <c r="DZ17" s="2"/>
      <c r="EA17" s="2" t="str">
        <f t="shared" si="88"/>
        <v/>
      </c>
      <c r="EB17" s="2"/>
      <c r="EC17" s="2"/>
      <c r="ED17" s="2"/>
      <c r="EE17" s="3">
        <v>4900009471</v>
      </c>
      <c r="EF17" s="37"/>
      <c r="EG17" s="3"/>
      <c r="EH17" s="2" t="s">
        <v>231</v>
      </c>
      <c r="EI17" s="3"/>
      <c r="EJ17" s="35"/>
      <c r="EK17" s="35"/>
      <c r="EL17" s="4" t="s">
        <v>220</v>
      </c>
      <c r="EM17" s="7"/>
      <c r="EN17" s="46">
        <f t="shared" si="89"/>
        <v>0</v>
      </c>
      <c r="EO17" s="3"/>
      <c r="EP17" s="3"/>
      <c r="EQ17" s="3"/>
      <c r="ER17" s="3"/>
      <c r="ES17" s="7"/>
      <c r="ET17" s="3"/>
      <c r="EU17" s="3"/>
      <c r="EV17" s="2" t="str">
        <f t="shared" si="90"/>
        <v>Final Pmt Recd</v>
      </c>
      <c r="EW17" s="46"/>
      <c r="EX17" s="46">
        <f t="shared" si="91"/>
        <v>0</v>
      </c>
      <c r="EY17" s="46" t="s">
        <v>233</v>
      </c>
      <c r="EZ17" s="24"/>
      <c r="FA17" s="2"/>
      <c r="FB17" s="24"/>
      <c r="FC17" s="53"/>
      <c r="FD17" s="46">
        <f t="shared" si="92"/>
        <v>0</v>
      </c>
      <c r="FE17" s="52"/>
      <c r="FF17" s="52"/>
      <c r="FG17" s="49"/>
      <c r="FH17" s="49"/>
      <c r="FI17" s="49"/>
      <c r="FJ17" s="49"/>
      <c r="FK17" s="49"/>
      <c r="FL17" s="49">
        <f t="shared" si="44"/>
        <v>0</v>
      </c>
      <c r="FM17" s="180">
        <f t="shared" si="45"/>
        <v>46099</v>
      </c>
      <c r="FN17" s="49"/>
      <c r="FO17" s="49"/>
      <c r="FP17" s="49"/>
      <c r="FQ17" s="49"/>
      <c r="FR17" s="49"/>
      <c r="FS17" s="6" t="s">
        <v>328</v>
      </c>
      <c r="FT17" s="3" t="s">
        <v>329</v>
      </c>
      <c r="FU17" s="3">
        <v>4900009471</v>
      </c>
      <c r="FV17" s="3">
        <v>5000271818</v>
      </c>
      <c r="FW17" s="3" t="s">
        <v>336</v>
      </c>
      <c r="FX17" s="3">
        <v>5105710577</v>
      </c>
      <c r="FY17" s="3"/>
      <c r="FZ17" s="3"/>
      <c r="GA17" s="3"/>
      <c r="GB17" s="3"/>
      <c r="GC17" s="3">
        <v>40081770</v>
      </c>
      <c r="GD17" s="3">
        <v>90083332</v>
      </c>
      <c r="GE17" s="3"/>
      <c r="GF17" s="3" t="s">
        <v>235</v>
      </c>
      <c r="GG17" s="3"/>
      <c r="GH17" s="3"/>
      <c r="GI17" s="3"/>
      <c r="GJ17" s="3"/>
      <c r="GK17" s="3"/>
      <c r="GL17" s="3"/>
      <c r="GM17" s="3"/>
      <c r="GN17" s="35"/>
    </row>
    <row r="18" spans="1:196" s="1" customFormat="1" ht="55.5">
      <c r="A18" s="2" t="str">
        <f t="shared" si="49"/>
        <v xml:space="preserve"> Final Pmt Recd , FNF Pending</v>
      </c>
      <c r="B18" s="281">
        <v>51</v>
      </c>
      <c r="C18" s="281">
        <v>190</v>
      </c>
      <c r="D18" s="182" t="s">
        <v>208</v>
      </c>
      <c r="E18" s="2" t="str">
        <f t="shared" si="50"/>
        <v>CLOSE POSITION</v>
      </c>
      <c r="F18" s="271" t="str">
        <f t="shared" si="51"/>
        <v>32013750-2</v>
      </c>
      <c r="G18" s="271"/>
      <c r="H18" s="2" t="str">
        <f t="shared" si="52"/>
        <v>MAA TARA TARINI CASHEW INDUSTRIES</v>
      </c>
      <c r="I18" s="3" t="s">
        <v>209</v>
      </c>
      <c r="J18" s="2" t="s">
        <v>210</v>
      </c>
      <c r="K18" s="2" t="str">
        <f t="shared" si="53"/>
        <v>GANGAVARAM, INDIA</v>
      </c>
      <c r="L18" s="2" t="str">
        <f t="shared" si="95"/>
        <v>MEDULG618159</v>
      </c>
      <c r="M18" s="2">
        <f t="shared" si="94"/>
        <v>50.65</v>
      </c>
      <c r="N18" s="22">
        <f t="shared" si="56"/>
        <v>46098</v>
      </c>
      <c r="O18" s="22">
        <f t="shared" si="57"/>
        <v>46156</v>
      </c>
      <c r="P18" s="22" t="str">
        <f t="shared" si="58"/>
        <v>OBL In Destination - INDIA</v>
      </c>
      <c r="Q18" s="2"/>
      <c r="R18" s="2" t="str">
        <f t="shared" si="59"/>
        <v>CERTS in Destination - INDIA</v>
      </c>
      <c r="S18" s="2" t="str">
        <f t="shared" si="60"/>
        <v>Docs in Buyer's Nego Bank</v>
      </c>
      <c r="T18" s="2" t="str">
        <f>IFERROR(_xlfn.XLOOKUP(F18,
'[2]Data 2026'!$H$12:$H$111,
'[2]Data 2026'!$CL$12:$CL$111),"")</f>
        <v/>
      </c>
      <c r="U18" s="3" t="s">
        <v>337</v>
      </c>
      <c r="V18" s="272" t="s">
        <v>212</v>
      </c>
      <c r="W18" s="3"/>
      <c r="X18" s="24">
        <v>46014</v>
      </c>
      <c r="Y18" s="273" t="s">
        <v>338</v>
      </c>
      <c r="Z18" s="24">
        <v>46017</v>
      </c>
      <c r="AA18" s="182" t="s">
        <v>339</v>
      </c>
      <c r="AB18" s="182" t="s">
        <v>330</v>
      </c>
      <c r="AC18" s="182" t="s">
        <v>214</v>
      </c>
      <c r="AD18" s="203">
        <v>46096</v>
      </c>
      <c r="AE18" s="44">
        <v>0.1</v>
      </c>
      <c r="AF18" s="35">
        <v>50</v>
      </c>
      <c r="AG18" s="35">
        <f t="shared" si="61"/>
        <v>45</v>
      </c>
      <c r="AH18" s="3" t="s">
        <v>215</v>
      </c>
      <c r="AI18" s="35">
        <v>1610</v>
      </c>
      <c r="AJ18" s="35">
        <v>161000</v>
      </c>
      <c r="AK18" s="3" t="s">
        <v>216</v>
      </c>
      <c r="AL18" s="3" t="s">
        <v>238</v>
      </c>
      <c r="AM18" s="183">
        <v>0.1</v>
      </c>
      <c r="AN18" s="183">
        <v>0.9</v>
      </c>
      <c r="AO18" s="183">
        <v>0</v>
      </c>
      <c r="AP18" s="28" t="s">
        <v>218</v>
      </c>
      <c r="AQ18" s="18" t="s">
        <v>331</v>
      </c>
      <c r="AR18" s="2"/>
      <c r="AS18" s="274"/>
      <c r="AT18" s="3" t="s">
        <v>220</v>
      </c>
      <c r="AU18" s="3" t="s">
        <v>220</v>
      </c>
      <c r="AV18" s="3" t="s">
        <v>220</v>
      </c>
      <c r="AW18" s="9"/>
      <c r="AX18" s="3"/>
      <c r="AY18" s="47"/>
      <c r="AZ18" s="275">
        <f t="shared" si="62"/>
        <v>8050</v>
      </c>
      <c r="BA18" s="47">
        <v>46024</v>
      </c>
      <c r="BB18" s="22">
        <v>46030</v>
      </c>
      <c r="BC18" s="22"/>
      <c r="BD18" s="22"/>
      <c r="BE18" s="22"/>
      <c r="BF18" s="22">
        <v>46030</v>
      </c>
      <c r="BG18" s="18"/>
      <c r="BH18" s="18"/>
      <c r="BI18" s="3" t="s">
        <v>340</v>
      </c>
      <c r="BJ18" s="43">
        <v>50.65</v>
      </c>
      <c r="BK18" s="46" t="s">
        <v>222</v>
      </c>
      <c r="BL18" s="498">
        <v>2</v>
      </c>
      <c r="BM18" s="18">
        <v>46098</v>
      </c>
      <c r="BN18" s="4" t="s">
        <v>341</v>
      </c>
      <c r="BO18" s="18">
        <v>46156</v>
      </c>
      <c r="BP18" s="3" t="s">
        <v>224</v>
      </c>
      <c r="BQ18" s="21" t="s">
        <v>334</v>
      </c>
      <c r="BR18" s="3" t="s">
        <v>226</v>
      </c>
      <c r="BS18" s="3"/>
      <c r="BT18" s="3" t="s">
        <v>335</v>
      </c>
      <c r="BU18" s="3" t="s">
        <v>243</v>
      </c>
      <c r="BV18" s="20">
        <v>90083412</v>
      </c>
      <c r="BW18" s="7">
        <v>46115</v>
      </c>
      <c r="BX18" s="46">
        <f t="shared" si="63"/>
        <v>81546.5</v>
      </c>
      <c r="BY18" s="22"/>
      <c r="BZ18" s="22">
        <v>46120</v>
      </c>
      <c r="CA18" s="2">
        <v>6876239156</v>
      </c>
      <c r="CB18" s="22">
        <v>46120</v>
      </c>
      <c r="CC18" s="284">
        <v>1564805443</v>
      </c>
      <c r="CD18" s="22">
        <v>46127</v>
      </c>
      <c r="CE18" s="22" t="str">
        <f t="shared" si="64"/>
        <v>OBL In Destination - INDIA</v>
      </c>
      <c r="CF18" s="22"/>
      <c r="CG18" s="22"/>
      <c r="CH18" s="22">
        <v>46120</v>
      </c>
      <c r="CI18" s="2">
        <v>7144679555</v>
      </c>
      <c r="CJ18" s="22">
        <v>46125</v>
      </c>
      <c r="CK18" s="2" t="str">
        <f t="shared" si="65"/>
        <v>CERTS in Destination - INDIA</v>
      </c>
      <c r="CL18" s="48" t="s">
        <v>244</v>
      </c>
      <c r="CM18" s="22">
        <v>46120</v>
      </c>
      <c r="CN18" s="55">
        <v>1564805443</v>
      </c>
      <c r="CO18" s="54">
        <v>46127</v>
      </c>
      <c r="CP18" s="55" t="str">
        <f t="shared" si="66"/>
        <v>Docs in Buyer's Nego Bank</v>
      </c>
      <c r="CQ18" s="50">
        <f t="shared" si="93"/>
        <v>65341.849999999991</v>
      </c>
      <c r="CR18" s="54">
        <v>46154</v>
      </c>
      <c r="CS18" s="2"/>
      <c r="CT18" s="2"/>
      <c r="CU18" s="14" t="str">
        <f t="shared" si="67"/>
        <v/>
      </c>
      <c r="CV18" s="42" t="str">
        <f t="shared" si="68"/>
        <v/>
      </c>
      <c r="CW18" s="14" t="str">
        <f t="shared" si="69"/>
        <v/>
      </c>
      <c r="CX18" s="14" t="str">
        <f t="shared" si="70"/>
        <v/>
      </c>
      <c r="CY18" s="15" t="str">
        <f t="shared" si="71"/>
        <v/>
      </c>
      <c r="CZ18" s="2"/>
      <c r="DA18" s="41" t="str">
        <f t="shared" si="72"/>
        <v/>
      </c>
      <c r="DB18" s="2"/>
      <c r="DC18" s="39" t="str">
        <f t="shared" si="73"/>
        <v/>
      </c>
      <c r="DD18" s="40"/>
      <c r="DE18" s="16" t="str">
        <f t="shared" si="74"/>
        <v/>
      </c>
      <c r="DF18" s="2" t="str">
        <f t="shared" si="75"/>
        <v/>
      </c>
      <c r="DG18" s="14" t="str">
        <f t="shared" si="76"/>
        <v/>
      </c>
      <c r="DH18" s="2" t="str">
        <f t="shared" si="77"/>
        <v/>
      </c>
      <c r="DI18" s="39" t="str">
        <f t="shared" si="78"/>
        <v/>
      </c>
      <c r="DJ18" s="2" t="str">
        <f t="shared" si="79"/>
        <v/>
      </c>
      <c r="DK18" s="15" t="str">
        <f t="shared" si="80"/>
        <v/>
      </c>
      <c r="DL18" s="2"/>
      <c r="DM18" s="2"/>
      <c r="DN18" s="15" t="str">
        <f t="shared" si="81"/>
        <v/>
      </c>
      <c r="DO18" s="14" t="str">
        <f t="shared" si="82"/>
        <v/>
      </c>
      <c r="DP18" s="14" t="str">
        <f t="shared" si="83"/>
        <v/>
      </c>
      <c r="DQ18" s="15" t="str">
        <f t="shared" si="84"/>
        <v/>
      </c>
      <c r="DR18" s="15" t="str">
        <f t="shared" si="85"/>
        <v/>
      </c>
      <c r="DS18" s="2" t="str">
        <f t="shared" si="86"/>
        <v/>
      </c>
      <c r="DT18" s="2" t="str">
        <f t="shared" si="87"/>
        <v/>
      </c>
      <c r="DU18" s="2"/>
      <c r="DV18" s="2"/>
      <c r="DW18" s="2"/>
      <c r="DX18" s="2"/>
      <c r="DY18" s="2" t="s">
        <v>230</v>
      </c>
      <c r="DZ18" s="2"/>
      <c r="EA18" s="2" t="str">
        <f t="shared" si="88"/>
        <v/>
      </c>
      <c r="EB18" s="2"/>
      <c r="EC18" s="2"/>
      <c r="ED18" s="2"/>
      <c r="EE18" s="3"/>
      <c r="EF18" s="37"/>
      <c r="EG18" s="3"/>
      <c r="EH18" s="2" t="s">
        <v>231</v>
      </c>
      <c r="EI18" s="3"/>
      <c r="EJ18" s="35"/>
      <c r="EK18" s="35"/>
      <c r="EL18" s="4" t="s">
        <v>220</v>
      </c>
      <c r="EM18" s="7"/>
      <c r="EN18" s="46">
        <f t="shared" si="89"/>
        <v>0</v>
      </c>
      <c r="EO18" s="3"/>
      <c r="EP18" s="3"/>
      <c r="EQ18" s="3"/>
      <c r="ER18" s="3"/>
      <c r="ES18" s="7"/>
      <c r="ET18" s="3"/>
      <c r="EU18" s="3"/>
      <c r="EV18" s="2" t="str">
        <f t="shared" si="90"/>
        <v>Final Pmt Recd</v>
      </c>
      <c r="EW18" s="46"/>
      <c r="EX18" s="46">
        <f t="shared" si="91"/>
        <v>0</v>
      </c>
      <c r="EY18" s="46" t="s">
        <v>233</v>
      </c>
      <c r="EZ18" s="24"/>
      <c r="FA18" s="2"/>
      <c r="FB18" s="24"/>
      <c r="FC18" s="53"/>
      <c r="FD18" s="46">
        <f t="shared" si="92"/>
        <v>0</v>
      </c>
      <c r="FE18" s="52"/>
      <c r="FF18" s="52"/>
      <c r="FG18" s="49"/>
      <c r="FH18" s="49"/>
      <c r="FI18" s="49"/>
      <c r="FJ18" s="49"/>
      <c r="FK18" s="49"/>
      <c r="FL18" s="49">
        <f t="shared" si="44"/>
        <v>0</v>
      </c>
      <c r="FM18" s="180">
        <f t="shared" si="45"/>
        <v>46098</v>
      </c>
      <c r="FN18" s="49"/>
      <c r="FO18" s="49"/>
      <c r="FP18" s="49"/>
      <c r="FQ18" s="49"/>
      <c r="FR18" s="49"/>
      <c r="FS18" s="6" t="s">
        <v>338</v>
      </c>
      <c r="FT18" s="3" t="s">
        <v>339</v>
      </c>
      <c r="FU18" s="3">
        <v>0</v>
      </c>
      <c r="FV18" s="3"/>
      <c r="FW18" s="3"/>
      <c r="FX18" s="3"/>
      <c r="FY18" s="3"/>
      <c r="FZ18" s="3"/>
      <c r="GA18" s="3"/>
      <c r="GB18" s="3"/>
      <c r="GC18" s="3"/>
      <c r="GD18" s="3">
        <v>90083412</v>
      </c>
      <c r="GE18" s="3"/>
      <c r="GF18" s="3" t="s">
        <v>235</v>
      </c>
      <c r="GG18" s="3"/>
      <c r="GH18" s="3"/>
      <c r="GI18" s="3"/>
      <c r="GJ18" s="3"/>
      <c r="GK18" s="3"/>
      <c r="GL18" s="3"/>
      <c r="GM18" s="3"/>
      <c r="GN18" s="35"/>
    </row>
    <row r="19" spans="1:196" s="1" customFormat="1" ht="33.950000000000003">
      <c r="A19" s="2" t="str">
        <f t="shared" si="49"/>
        <v>Exp Dox Presented to Bank, Pmt Pending</v>
      </c>
      <c r="B19" s="281">
        <v>50</v>
      </c>
      <c r="C19" s="281">
        <v>190</v>
      </c>
      <c r="D19" s="182" t="s">
        <v>208</v>
      </c>
      <c r="E19" s="2" t="str">
        <f t="shared" si="50"/>
        <v>CLOSE POSITION</v>
      </c>
      <c r="F19" s="271">
        <f t="shared" si="51"/>
        <v>32014578</v>
      </c>
      <c r="G19" s="271"/>
      <c r="H19" s="2" t="str">
        <f t="shared" si="52"/>
        <v>VALENCY AGRO //HSS//SABAH ENTERPRISES</v>
      </c>
      <c r="I19" s="3" t="s">
        <v>209</v>
      </c>
      <c r="J19" s="2" t="s">
        <v>210</v>
      </c>
      <c r="K19" s="2" t="str">
        <f t="shared" si="53"/>
        <v>TUTICORIN, INDIA</v>
      </c>
      <c r="L19" s="2" t="str">
        <f t="shared" si="95"/>
        <v>ONEYLOSG01235800</v>
      </c>
      <c r="M19" s="2">
        <f t="shared" si="94"/>
        <v>101.91500000000001</v>
      </c>
      <c r="N19" s="22">
        <f t="shared" si="56"/>
        <v>46108</v>
      </c>
      <c r="O19" s="22">
        <f t="shared" si="57"/>
        <v>46157</v>
      </c>
      <c r="P19" s="22" t="str">
        <f t="shared" si="58"/>
        <v>OBL In Destination - INDIA</v>
      </c>
      <c r="Q19" s="2"/>
      <c r="R19" s="2" t="str">
        <f t="shared" si="59"/>
        <v>CERTS in Destination - INDIA</v>
      </c>
      <c r="S19" s="2" t="str">
        <f t="shared" si="60"/>
        <v>Docs in Buyer's Nego Bank</v>
      </c>
      <c r="T19" s="2" t="str">
        <f>IFERROR(_xlfn.XLOOKUP(F19,
'[2]Data 2026'!$H$12:$H$111,
'[2]Data 2026'!$CL$12:$CL$111),"")</f>
        <v/>
      </c>
      <c r="U19" s="3" t="s">
        <v>342</v>
      </c>
      <c r="V19" s="272"/>
      <c r="W19" s="3" t="s">
        <v>343</v>
      </c>
      <c r="X19" s="24">
        <v>46077</v>
      </c>
      <c r="Y19" s="273">
        <v>20009587</v>
      </c>
      <c r="Z19" s="24">
        <v>46077</v>
      </c>
      <c r="AA19" s="182">
        <v>32014578</v>
      </c>
      <c r="AB19" s="182" t="s">
        <v>344</v>
      </c>
      <c r="AC19" s="203">
        <v>46082</v>
      </c>
      <c r="AD19" s="203">
        <v>46112</v>
      </c>
      <c r="AE19" s="30">
        <v>0.1</v>
      </c>
      <c r="AF19" s="277">
        <v>100</v>
      </c>
      <c r="AG19" s="35">
        <f t="shared" si="61"/>
        <v>90</v>
      </c>
      <c r="AH19" s="3" t="s">
        <v>215</v>
      </c>
      <c r="AI19" s="4">
        <v>1610</v>
      </c>
      <c r="AJ19" s="4">
        <v>161000</v>
      </c>
      <c r="AK19" s="3" t="s">
        <v>249</v>
      </c>
      <c r="AL19" s="3" t="s">
        <v>217</v>
      </c>
      <c r="AM19" s="30">
        <v>0</v>
      </c>
      <c r="AN19" s="183">
        <v>1</v>
      </c>
      <c r="AO19" s="183">
        <v>0</v>
      </c>
      <c r="AP19" s="28" t="s">
        <v>218</v>
      </c>
      <c r="AQ19" s="18" t="s">
        <v>239</v>
      </c>
      <c r="AR19" s="18" t="s">
        <v>251</v>
      </c>
      <c r="AS19" s="27"/>
      <c r="AT19" s="3" t="s">
        <v>220</v>
      </c>
      <c r="AU19" s="3" t="s">
        <v>220</v>
      </c>
      <c r="AV19" s="3" t="s">
        <v>220</v>
      </c>
      <c r="AW19" s="9"/>
      <c r="AX19" s="3"/>
      <c r="AY19" s="47"/>
      <c r="AZ19" s="275">
        <f t="shared" si="62"/>
        <v>0</v>
      </c>
      <c r="BA19" s="18">
        <v>46077</v>
      </c>
      <c r="BB19" s="22">
        <v>46078</v>
      </c>
      <c r="BC19" s="22"/>
      <c r="BD19" s="22"/>
      <c r="BE19" s="22"/>
      <c r="BF19" s="22">
        <v>46078</v>
      </c>
      <c r="BG19" s="18"/>
      <c r="BH19" s="18"/>
      <c r="BI19" s="3" t="s">
        <v>345</v>
      </c>
      <c r="BJ19" s="25">
        <v>101.91500000000001</v>
      </c>
      <c r="BK19" s="46" t="s">
        <v>222</v>
      </c>
      <c r="BL19" s="497">
        <v>4</v>
      </c>
      <c r="BM19" s="18">
        <v>46108</v>
      </c>
      <c r="BN19" s="4"/>
      <c r="BO19" s="18">
        <v>46157</v>
      </c>
      <c r="BP19" s="3" t="s">
        <v>278</v>
      </c>
      <c r="BQ19" s="21" t="s">
        <v>346</v>
      </c>
      <c r="BR19" s="2" t="s">
        <v>288</v>
      </c>
      <c r="BS19" s="2"/>
      <c r="BT19" s="2"/>
      <c r="BU19" s="2"/>
      <c r="BV19" s="20">
        <v>90083899</v>
      </c>
      <c r="BW19" s="7">
        <v>46120</v>
      </c>
      <c r="BX19" s="46">
        <f t="shared" si="63"/>
        <v>164083.15000000002</v>
      </c>
      <c r="BY19" s="22"/>
      <c r="BZ19" s="22">
        <v>46127</v>
      </c>
      <c r="CA19" s="2">
        <v>9617295796</v>
      </c>
      <c r="CB19" s="22">
        <v>46132</v>
      </c>
      <c r="CC19" s="22"/>
      <c r="CD19" s="22"/>
      <c r="CE19" s="22" t="str">
        <f t="shared" si="64"/>
        <v>OBL In Destination - INDIA</v>
      </c>
      <c r="CF19" s="22"/>
      <c r="CG19" s="22"/>
      <c r="CH19" s="181">
        <v>46133</v>
      </c>
      <c r="CI19" s="182">
        <v>2185630370</v>
      </c>
      <c r="CJ19" s="181">
        <v>46151</v>
      </c>
      <c r="CK19" s="2" t="str">
        <f t="shared" si="65"/>
        <v>CERTS in Destination - INDIA</v>
      </c>
      <c r="CL19" s="48" t="s">
        <v>229</v>
      </c>
      <c r="CM19" s="22">
        <v>46134</v>
      </c>
      <c r="CN19" s="55">
        <v>3686961994</v>
      </c>
      <c r="CO19" s="54">
        <v>46141</v>
      </c>
      <c r="CP19" s="55" t="str">
        <f t="shared" si="66"/>
        <v>Docs in Buyer's Nego Bank</v>
      </c>
      <c r="CQ19" s="50">
        <f t="shared" si="93"/>
        <v>164083.15000000002</v>
      </c>
      <c r="CR19" s="54"/>
      <c r="CS19" s="2"/>
      <c r="CT19" s="2"/>
      <c r="CU19" s="14" t="str">
        <f t="shared" si="67"/>
        <v/>
      </c>
      <c r="CV19" s="42" t="str">
        <f t="shared" si="68"/>
        <v/>
      </c>
      <c r="CW19" s="14" t="str">
        <f t="shared" si="69"/>
        <v/>
      </c>
      <c r="CX19" s="14" t="str">
        <f t="shared" si="70"/>
        <v/>
      </c>
      <c r="CY19" s="15" t="str">
        <f t="shared" si="71"/>
        <v/>
      </c>
      <c r="CZ19" s="2"/>
      <c r="DA19" s="41" t="str">
        <f t="shared" si="72"/>
        <v/>
      </c>
      <c r="DB19" s="2"/>
      <c r="DC19" s="39" t="str">
        <f t="shared" si="73"/>
        <v/>
      </c>
      <c r="DD19" s="40"/>
      <c r="DE19" s="16" t="str">
        <f t="shared" si="74"/>
        <v/>
      </c>
      <c r="DF19" s="2" t="str">
        <f t="shared" si="75"/>
        <v/>
      </c>
      <c r="DG19" s="14" t="str">
        <f t="shared" si="76"/>
        <v/>
      </c>
      <c r="DH19" s="2" t="str">
        <f t="shared" si="77"/>
        <v/>
      </c>
      <c r="DI19" s="39" t="str">
        <f t="shared" si="78"/>
        <v/>
      </c>
      <c r="DJ19" s="2" t="str">
        <f t="shared" si="79"/>
        <v/>
      </c>
      <c r="DK19" s="15" t="str">
        <f t="shared" si="80"/>
        <v/>
      </c>
      <c r="DL19" s="2"/>
      <c r="DM19" s="2"/>
      <c r="DN19" s="15" t="str">
        <f t="shared" si="81"/>
        <v/>
      </c>
      <c r="DO19" s="14" t="str">
        <f t="shared" si="82"/>
        <v/>
      </c>
      <c r="DP19" s="14" t="str">
        <f t="shared" si="83"/>
        <v/>
      </c>
      <c r="DQ19" s="15" t="str">
        <f t="shared" si="84"/>
        <v/>
      </c>
      <c r="DR19" s="15" t="str">
        <f t="shared" si="85"/>
        <v/>
      </c>
      <c r="DS19" s="2" t="str">
        <f t="shared" si="86"/>
        <v/>
      </c>
      <c r="DT19" s="2" t="str">
        <f t="shared" si="87"/>
        <v/>
      </c>
      <c r="DU19" s="2"/>
      <c r="DV19" s="2"/>
      <c r="DW19" s="2"/>
      <c r="DX19" s="2"/>
      <c r="DY19" s="2" t="s">
        <v>230</v>
      </c>
      <c r="DZ19" s="2"/>
      <c r="EA19" s="2" t="str">
        <f t="shared" si="88"/>
        <v/>
      </c>
      <c r="EB19" s="2">
        <v>49.274999999999999</v>
      </c>
      <c r="EC19" s="2">
        <v>181</v>
      </c>
      <c r="ED19" s="2">
        <v>8.6</v>
      </c>
      <c r="EE19" s="3">
        <v>4900009485</v>
      </c>
      <c r="EF19" s="7"/>
      <c r="EG19" s="3"/>
      <c r="EH19" s="3" t="s">
        <v>318</v>
      </c>
      <c r="EI19" s="3"/>
      <c r="EJ19" s="189"/>
      <c r="EK19" s="4"/>
      <c r="EL19" s="4"/>
      <c r="EM19" s="9"/>
      <c r="EN19" s="46">
        <f t="shared" si="89"/>
        <v>0</v>
      </c>
      <c r="EO19" s="9"/>
      <c r="EP19" s="8"/>
      <c r="EQ19" s="4"/>
      <c r="ER19" s="4"/>
      <c r="ES19" s="7"/>
      <c r="ET19" s="7"/>
      <c r="EU19" s="6"/>
      <c r="EV19" s="2" t="str">
        <f t="shared" si="90"/>
        <v>Export Loan</v>
      </c>
      <c r="EW19" s="46"/>
      <c r="EX19" s="46">
        <f t="shared" si="91"/>
        <v>0</v>
      </c>
      <c r="EY19" s="46" t="s">
        <v>233</v>
      </c>
      <c r="EZ19" s="24"/>
      <c r="FA19" s="2">
        <v>22138889</v>
      </c>
      <c r="FB19" s="24"/>
      <c r="FC19" s="53"/>
      <c r="FD19" s="46">
        <f t="shared" si="92"/>
        <v>0</v>
      </c>
      <c r="FE19" s="52"/>
      <c r="FF19" s="52"/>
      <c r="FG19" s="49"/>
      <c r="FH19" s="49"/>
      <c r="FI19" s="49"/>
      <c r="FJ19" s="49"/>
      <c r="FK19" s="49"/>
      <c r="FL19" s="49">
        <f t="shared" si="44"/>
        <v>0</v>
      </c>
      <c r="FM19" s="180">
        <f t="shared" si="45"/>
        <v>46108</v>
      </c>
      <c r="FN19" s="49"/>
      <c r="FO19" s="49"/>
      <c r="FP19" s="49"/>
      <c r="FQ19" s="49"/>
      <c r="FR19" s="49"/>
      <c r="FS19" s="34">
        <f t="shared" ref="FS19:FS45" si="96">Y19</f>
        <v>20009587</v>
      </c>
      <c r="FT19" s="34">
        <f t="shared" ref="FT19:FT45" si="97">AA19</f>
        <v>32014578</v>
      </c>
      <c r="FU19" s="3"/>
      <c r="FV19" s="3"/>
      <c r="FW19" s="3"/>
      <c r="FX19" s="3"/>
      <c r="FY19" s="3"/>
      <c r="FZ19" s="3"/>
      <c r="GA19" s="3"/>
      <c r="GB19" s="4"/>
      <c r="GC19" s="3"/>
      <c r="GD19" s="182">
        <v>90083899</v>
      </c>
      <c r="GE19" s="3"/>
      <c r="GF19" s="3"/>
      <c r="GG19" s="3"/>
      <c r="GH19" s="3"/>
      <c r="GI19" s="3"/>
      <c r="GJ19" s="3"/>
      <c r="GK19" s="3"/>
      <c r="GL19" s="3"/>
      <c r="GM19" s="3"/>
      <c r="GN19" s="3"/>
    </row>
    <row r="20" spans="1:196" s="1" customFormat="1" ht="33.950000000000003">
      <c r="A20" s="2" t="str">
        <f t="shared" si="49"/>
        <v>Sailed, OBL &amp; Certs Pending</v>
      </c>
      <c r="B20" s="281">
        <v>48</v>
      </c>
      <c r="C20" s="281">
        <v>200</v>
      </c>
      <c r="D20" s="182" t="s">
        <v>208</v>
      </c>
      <c r="E20" s="2" t="str">
        <f t="shared" si="50"/>
        <v>CLOSE POSITION</v>
      </c>
      <c r="F20" s="271">
        <f t="shared" si="51"/>
        <v>32015058</v>
      </c>
      <c r="G20" s="271"/>
      <c r="H20" s="2" t="str">
        <f t="shared" si="52"/>
        <v xml:space="preserve">THAO NGUYEN COMPANY LIMITED  </v>
      </c>
      <c r="I20" s="3" t="s">
        <v>259</v>
      </c>
      <c r="J20" s="2" t="s">
        <v>347</v>
      </c>
      <c r="K20" s="2" t="str">
        <f t="shared" si="53"/>
        <v>CAT LAI HCMC, Vietnam</v>
      </c>
      <c r="L20" s="2" t="str">
        <f t="shared" si="95"/>
        <v>ONEYABJG00281500</v>
      </c>
      <c r="M20" s="2">
        <f t="shared" si="94"/>
        <v>250</v>
      </c>
      <c r="N20" s="22">
        <f t="shared" si="56"/>
        <v>46159</v>
      </c>
      <c r="O20" s="22">
        <f t="shared" si="57"/>
        <v>46178</v>
      </c>
      <c r="P20" s="22" t="str">
        <f t="shared" si="58"/>
        <v>No OBL Yet</v>
      </c>
      <c r="Q20" s="2" t="s">
        <v>348</v>
      </c>
      <c r="R20" s="2" t="str">
        <f t="shared" si="59"/>
        <v>No CERTS Yet</v>
      </c>
      <c r="S20" s="2" t="str">
        <f t="shared" si="60"/>
        <v/>
      </c>
      <c r="T20" s="2" t="s">
        <v>349</v>
      </c>
      <c r="U20" s="3" t="s">
        <v>350</v>
      </c>
      <c r="V20" s="272"/>
      <c r="W20" s="3" t="s">
        <v>351</v>
      </c>
      <c r="X20" s="24">
        <v>46086</v>
      </c>
      <c r="Y20" s="273">
        <v>20009669</v>
      </c>
      <c r="Z20" s="24">
        <v>46086</v>
      </c>
      <c r="AA20" s="182">
        <v>32015058</v>
      </c>
      <c r="AB20" s="182" t="s">
        <v>352</v>
      </c>
      <c r="AC20" s="182" t="s">
        <v>353</v>
      </c>
      <c r="AD20" s="181">
        <v>46173</v>
      </c>
      <c r="AE20" s="30">
        <v>0.1</v>
      </c>
      <c r="AF20" s="277">
        <v>250</v>
      </c>
      <c r="AG20" s="35">
        <f t="shared" si="61"/>
        <v>225</v>
      </c>
      <c r="AH20" s="3" t="s">
        <v>215</v>
      </c>
      <c r="AI20" s="4">
        <v>1520</v>
      </c>
      <c r="AJ20" s="4">
        <f>AI20*AF20</f>
        <v>380000</v>
      </c>
      <c r="AK20" s="3" t="s">
        <v>216</v>
      </c>
      <c r="AL20" s="3" t="s">
        <v>238</v>
      </c>
      <c r="AM20" s="183">
        <v>0.1</v>
      </c>
      <c r="AN20" s="183">
        <v>0.88</v>
      </c>
      <c r="AO20" s="183">
        <v>0.02</v>
      </c>
      <c r="AP20" s="28" t="s">
        <v>218</v>
      </c>
      <c r="AQ20" s="3" t="s">
        <v>354</v>
      </c>
      <c r="AR20" s="18" t="s">
        <v>355</v>
      </c>
      <c r="AS20" s="27">
        <v>5</v>
      </c>
      <c r="AT20" s="3" t="s">
        <v>220</v>
      </c>
      <c r="AU20" s="3" t="s">
        <v>220</v>
      </c>
      <c r="AV20" s="3" t="s">
        <v>220</v>
      </c>
      <c r="AW20" s="9"/>
      <c r="AX20" s="3"/>
      <c r="AY20" s="47">
        <v>46097</v>
      </c>
      <c r="AZ20" s="275">
        <f t="shared" si="62"/>
        <v>38000</v>
      </c>
      <c r="BA20" s="18">
        <v>46097</v>
      </c>
      <c r="BB20" s="22"/>
      <c r="BC20" s="22"/>
      <c r="BD20" s="22"/>
      <c r="BE20" s="22"/>
      <c r="BF20" s="22"/>
      <c r="BG20" s="18"/>
      <c r="BH20" s="18"/>
      <c r="BI20" s="3" t="s">
        <v>356</v>
      </c>
      <c r="BJ20" s="25">
        <v>250</v>
      </c>
      <c r="BK20" s="46" t="s">
        <v>222</v>
      </c>
      <c r="BL20" s="497">
        <v>10</v>
      </c>
      <c r="BM20" s="18">
        <v>46159</v>
      </c>
      <c r="BN20" s="4"/>
      <c r="BO20" s="18">
        <v>46178</v>
      </c>
      <c r="BP20" s="3" t="s">
        <v>259</v>
      </c>
      <c r="BQ20" s="21" t="s">
        <v>357</v>
      </c>
      <c r="BR20" s="2" t="s">
        <v>288</v>
      </c>
      <c r="BS20" s="2"/>
      <c r="BT20" s="2"/>
      <c r="BU20" s="2"/>
      <c r="BV20" s="20"/>
      <c r="BW20" s="19"/>
      <c r="BX20" s="46">
        <f t="shared" si="63"/>
        <v>380000</v>
      </c>
      <c r="BY20" s="22"/>
      <c r="BZ20" s="22"/>
      <c r="CA20" s="2"/>
      <c r="CB20" s="22"/>
      <c r="CC20" s="22"/>
      <c r="CD20" s="22"/>
      <c r="CE20" s="22" t="str">
        <f t="shared" si="64"/>
        <v>No OBL Yet</v>
      </c>
      <c r="CF20" s="22"/>
      <c r="CG20" s="22"/>
      <c r="CH20" s="182"/>
      <c r="CI20" s="182"/>
      <c r="CJ20" s="182"/>
      <c r="CK20" s="2" t="str">
        <f t="shared" si="65"/>
        <v>No CERTS Yet</v>
      </c>
      <c r="CL20" s="48"/>
      <c r="CM20" s="22"/>
      <c r="CN20" s="55"/>
      <c r="CO20" s="55"/>
      <c r="CP20" s="55" t="str">
        <f t="shared" si="66"/>
        <v/>
      </c>
      <c r="CQ20" s="50">
        <f t="shared" si="93"/>
        <v>296400</v>
      </c>
      <c r="CR20" s="54"/>
      <c r="CS20" s="2"/>
      <c r="CT20" s="2"/>
      <c r="CU20" s="14" t="str">
        <f t="shared" si="67"/>
        <v/>
      </c>
      <c r="CV20" s="42" t="str">
        <f t="shared" si="68"/>
        <v/>
      </c>
      <c r="CW20" s="14" t="str">
        <f t="shared" si="69"/>
        <v/>
      </c>
      <c r="CX20" s="14" t="str">
        <f t="shared" si="70"/>
        <v/>
      </c>
      <c r="CY20" s="15" t="str">
        <f t="shared" si="71"/>
        <v/>
      </c>
      <c r="CZ20" s="2"/>
      <c r="DA20" s="41" t="str">
        <f t="shared" si="72"/>
        <v/>
      </c>
      <c r="DB20" s="2"/>
      <c r="DC20" s="39" t="str">
        <f t="shared" si="73"/>
        <v/>
      </c>
      <c r="DD20" s="40"/>
      <c r="DE20" s="16" t="str">
        <f t="shared" si="74"/>
        <v/>
      </c>
      <c r="DF20" s="2" t="str">
        <f t="shared" si="75"/>
        <v/>
      </c>
      <c r="DG20" s="14" t="str">
        <f t="shared" si="76"/>
        <v/>
      </c>
      <c r="DH20" s="2" t="str">
        <f t="shared" si="77"/>
        <v/>
      </c>
      <c r="DI20" s="39" t="str">
        <f t="shared" si="78"/>
        <v/>
      </c>
      <c r="DJ20" s="2" t="str">
        <f t="shared" si="79"/>
        <v/>
      </c>
      <c r="DK20" s="15" t="str">
        <f t="shared" si="80"/>
        <v/>
      </c>
      <c r="DL20" s="2"/>
      <c r="DM20" s="2"/>
      <c r="DN20" s="15" t="str">
        <f t="shared" si="81"/>
        <v/>
      </c>
      <c r="DO20" s="14" t="str">
        <f t="shared" si="82"/>
        <v/>
      </c>
      <c r="DP20" s="14" t="str">
        <f t="shared" si="83"/>
        <v/>
      </c>
      <c r="DQ20" s="15" t="str">
        <f t="shared" si="84"/>
        <v/>
      </c>
      <c r="DR20" s="15" t="str">
        <f t="shared" si="85"/>
        <v/>
      </c>
      <c r="DS20" s="2" t="str">
        <f t="shared" si="86"/>
        <v/>
      </c>
      <c r="DT20" s="2" t="str">
        <f t="shared" si="87"/>
        <v/>
      </c>
      <c r="DU20" s="2"/>
      <c r="DV20" s="2"/>
      <c r="DW20" s="2"/>
      <c r="DX20" s="2"/>
      <c r="DY20" s="2" t="s">
        <v>230</v>
      </c>
      <c r="DZ20" s="2"/>
      <c r="EA20" s="2" t="str">
        <f t="shared" si="88"/>
        <v/>
      </c>
      <c r="EB20" s="2"/>
      <c r="EC20" s="2"/>
      <c r="ED20" s="2"/>
      <c r="EE20" s="3"/>
      <c r="EF20" s="7"/>
      <c r="EG20" s="3"/>
      <c r="EH20" s="3" t="s">
        <v>266</v>
      </c>
      <c r="EI20" s="3"/>
      <c r="EJ20" s="189"/>
      <c r="EK20" s="4"/>
      <c r="EL20" s="9"/>
      <c r="EM20" s="9"/>
      <c r="EN20" s="46">
        <f t="shared" si="89"/>
        <v>0</v>
      </c>
      <c r="EO20" s="9"/>
      <c r="EP20" s="8"/>
      <c r="EQ20" s="4"/>
      <c r="ER20" s="4"/>
      <c r="ES20" s="7"/>
      <c r="ET20" s="7"/>
      <c r="EU20" s="6"/>
      <c r="EV20" s="2" t="str">
        <f t="shared" si="90"/>
        <v>Yet to load</v>
      </c>
      <c r="EW20" s="46"/>
      <c r="EX20" s="46">
        <f t="shared" si="91"/>
        <v>0</v>
      </c>
      <c r="EY20" s="46" t="s">
        <v>233</v>
      </c>
      <c r="EZ20" s="24"/>
      <c r="FA20" s="2"/>
      <c r="FB20" s="24"/>
      <c r="FC20" s="53"/>
      <c r="FD20" s="46">
        <f t="shared" si="92"/>
        <v>0</v>
      </c>
      <c r="FE20" s="52"/>
      <c r="FF20" s="52"/>
      <c r="FG20" s="49"/>
      <c r="FH20" s="49"/>
      <c r="FI20" s="49"/>
      <c r="FJ20" s="49"/>
      <c r="FK20" s="49"/>
      <c r="FL20" s="49">
        <f t="shared" si="44"/>
        <v>0</v>
      </c>
      <c r="FM20" s="180">
        <f t="shared" si="45"/>
        <v>46159</v>
      </c>
      <c r="FN20" s="49"/>
      <c r="FO20" s="49"/>
      <c r="FP20" s="49"/>
      <c r="FQ20" s="49"/>
      <c r="FR20" s="49"/>
      <c r="FS20" s="34">
        <f t="shared" si="96"/>
        <v>20009669</v>
      </c>
      <c r="FT20" s="34">
        <f t="shared" si="97"/>
        <v>32015058</v>
      </c>
      <c r="FU20" s="3"/>
      <c r="FV20" s="3"/>
      <c r="FW20" s="3"/>
      <c r="FX20" s="3"/>
      <c r="FY20" s="3"/>
      <c r="FZ20" s="3"/>
      <c r="GA20" s="3"/>
      <c r="GB20" s="4"/>
      <c r="GC20" s="3"/>
      <c r="GD20" s="182"/>
      <c r="GE20" s="2"/>
      <c r="GF20" s="2"/>
      <c r="GG20" s="2"/>
      <c r="GH20" s="2"/>
      <c r="GI20" s="2"/>
      <c r="GJ20" s="2"/>
      <c r="GK20" s="2"/>
      <c r="GL20" s="2"/>
      <c r="GM20" s="2"/>
      <c r="GN20" s="2"/>
    </row>
    <row r="21" spans="1:196" s="1" customFormat="1" ht="33.950000000000003">
      <c r="A21" s="2" t="str">
        <f t="shared" si="49"/>
        <v>Stuffed, Yet to Sail</v>
      </c>
      <c r="B21" s="281">
        <v>48</v>
      </c>
      <c r="C21" s="281">
        <v>200</v>
      </c>
      <c r="D21" s="182" t="s">
        <v>208</v>
      </c>
      <c r="E21" s="2" t="str">
        <f t="shared" si="50"/>
        <v>CLOSE POSITION</v>
      </c>
      <c r="F21" s="271">
        <f t="shared" si="51"/>
        <v>32014495</v>
      </c>
      <c r="G21" s="271"/>
      <c r="H21" s="2" t="str">
        <f t="shared" si="52"/>
        <v>MAHALASA EXPORTS</v>
      </c>
      <c r="I21" s="3" t="s">
        <v>259</v>
      </c>
      <c r="J21" s="2" t="s">
        <v>210</v>
      </c>
      <c r="K21" s="2" t="str">
        <f t="shared" si="53"/>
        <v>MANGALORE, INDIA</v>
      </c>
      <c r="L21" s="2">
        <f t="shared" si="95"/>
        <v>267489886</v>
      </c>
      <c r="M21" s="2">
        <f t="shared" si="94"/>
        <v>95.4</v>
      </c>
      <c r="N21" s="22" t="str">
        <f t="shared" si="56"/>
        <v/>
      </c>
      <c r="O21" s="22">
        <f t="shared" si="57"/>
        <v>46202</v>
      </c>
      <c r="P21" s="22" t="str">
        <f t="shared" si="58"/>
        <v>No OBL Yet</v>
      </c>
      <c r="Q21" s="2"/>
      <c r="R21" s="2" t="str">
        <f t="shared" si="59"/>
        <v>No CERTS Yet</v>
      </c>
      <c r="S21" s="2" t="str">
        <f t="shared" si="60"/>
        <v/>
      </c>
      <c r="T21" s="2" t="s">
        <v>260</v>
      </c>
      <c r="U21" s="3" t="s">
        <v>358</v>
      </c>
      <c r="V21" s="272"/>
      <c r="W21" s="272"/>
      <c r="X21" s="24">
        <v>46076</v>
      </c>
      <c r="Y21" s="273">
        <v>20009553</v>
      </c>
      <c r="Z21" s="24">
        <v>46074</v>
      </c>
      <c r="AA21" s="182">
        <v>32014495</v>
      </c>
      <c r="AB21" s="182" t="s">
        <v>359</v>
      </c>
      <c r="AC21" s="182" t="s">
        <v>263</v>
      </c>
      <c r="AD21" s="181">
        <v>46142</v>
      </c>
      <c r="AE21" s="30">
        <v>0.1</v>
      </c>
      <c r="AF21" s="277">
        <v>100</v>
      </c>
      <c r="AG21" s="35">
        <f t="shared" si="61"/>
        <v>90</v>
      </c>
      <c r="AH21" s="3" t="s">
        <v>215</v>
      </c>
      <c r="AI21" s="4">
        <v>1510</v>
      </c>
      <c r="AJ21" s="4">
        <f>AI21*AF21</f>
        <v>151000</v>
      </c>
      <c r="AK21" s="3" t="s">
        <v>249</v>
      </c>
      <c r="AL21" s="3" t="s">
        <v>238</v>
      </c>
      <c r="AM21" s="30">
        <v>0</v>
      </c>
      <c r="AN21" s="183">
        <v>1</v>
      </c>
      <c r="AO21" s="183">
        <v>0</v>
      </c>
      <c r="AP21" s="28" t="s">
        <v>218</v>
      </c>
      <c r="AQ21" s="18" t="s">
        <v>239</v>
      </c>
      <c r="AR21" s="18" t="s">
        <v>264</v>
      </c>
      <c r="AS21" s="27">
        <v>5</v>
      </c>
      <c r="AT21" s="3" t="s">
        <v>220</v>
      </c>
      <c r="AU21" s="3" t="s">
        <v>220</v>
      </c>
      <c r="AV21" s="3" t="s">
        <v>220</v>
      </c>
      <c r="AW21" s="9"/>
      <c r="AX21" s="3"/>
      <c r="AY21" s="47"/>
      <c r="AZ21" s="275">
        <f t="shared" si="62"/>
        <v>0</v>
      </c>
      <c r="BA21" s="18"/>
      <c r="BB21" s="22">
        <v>46083</v>
      </c>
      <c r="BC21" s="22"/>
      <c r="BD21" s="22"/>
      <c r="BE21" s="22"/>
      <c r="BF21" s="22">
        <v>46083</v>
      </c>
      <c r="BG21" s="18"/>
      <c r="BH21" s="18"/>
      <c r="BI21" s="3">
        <v>267489886</v>
      </c>
      <c r="BJ21" s="25">
        <v>95.4</v>
      </c>
      <c r="BK21" s="46" t="s">
        <v>222</v>
      </c>
      <c r="BL21" s="497">
        <v>4</v>
      </c>
      <c r="BM21" s="18"/>
      <c r="BN21" s="4"/>
      <c r="BO21" s="18">
        <v>46202</v>
      </c>
      <c r="BP21" s="3" t="s">
        <v>259</v>
      </c>
      <c r="BQ21" s="21" t="s">
        <v>265</v>
      </c>
      <c r="BR21" s="2"/>
      <c r="BS21" s="2"/>
      <c r="BT21" s="2"/>
      <c r="BU21" s="2"/>
      <c r="BV21" s="20"/>
      <c r="BW21" s="19"/>
      <c r="BX21" s="46">
        <f t="shared" si="63"/>
        <v>144054</v>
      </c>
      <c r="BY21" s="22"/>
      <c r="BZ21" s="22"/>
      <c r="CA21" s="2"/>
      <c r="CB21" s="22"/>
      <c r="CC21" s="22"/>
      <c r="CD21" s="22"/>
      <c r="CE21" s="22" t="str">
        <f t="shared" si="64"/>
        <v>No OBL Yet</v>
      </c>
      <c r="CF21" s="22"/>
      <c r="CG21" s="22"/>
      <c r="CH21" s="182"/>
      <c r="CI21" s="182"/>
      <c r="CJ21" s="182"/>
      <c r="CK21" s="2" t="str">
        <f t="shared" si="65"/>
        <v>No CERTS Yet</v>
      </c>
      <c r="CL21" s="48"/>
      <c r="CM21" s="22"/>
      <c r="CN21" s="55"/>
      <c r="CO21" s="55"/>
      <c r="CP21" s="55" t="str">
        <f t="shared" si="66"/>
        <v/>
      </c>
      <c r="CQ21" s="50">
        <f t="shared" si="93"/>
        <v>144054</v>
      </c>
      <c r="CR21" s="54"/>
      <c r="CS21" s="2"/>
      <c r="CT21" s="2"/>
      <c r="CU21" s="14" t="str">
        <f t="shared" si="67"/>
        <v/>
      </c>
      <c r="CV21" s="42" t="str">
        <f t="shared" si="68"/>
        <v/>
      </c>
      <c r="CW21" s="14" t="str">
        <f t="shared" si="69"/>
        <v/>
      </c>
      <c r="CX21" s="14" t="str">
        <f t="shared" si="70"/>
        <v/>
      </c>
      <c r="CY21" s="15" t="str">
        <f t="shared" si="71"/>
        <v/>
      </c>
      <c r="CZ21" s="2"/>
      <c r="DA21" s="41" t="str">
        <f t="shared" si="72"/>
        <v/>
      </c>
      <c r="DB21" s="2"/>
      <c r="DC21" s="39" t="str">
        <f t="shared" si="73"/>
        <v/>
      </c>
      <c r="DD21" s="40"/>
      <c r="DE21" s="16" t="str">
        <f t="shared" si="74"/>
        <v/>
      </c>
      <c r="DF21" s="2" t="str">
        <f t="shared" si="75"/>
        <v/>
      </c>
      <c r="DG21" s="14" t="str">
        <f t="shared" si="76"/>
        <v/>
      </c>
      <c r="DH21" s="2" t="str">
        <f t="shared" si="77"/>
        <v/>
      </c>
      <c r="DI21" s="39" t="str">
        <f t="shared" si="78"/>
        <v/>
      </c>
      <c r="DJ21" s="2" t="str">
        <f t="shared" si="79"/>
        <v/>
      </c>
      <c r="DK21" s="15" t="str">
        <f t="shared" si="80"/>
        <v/>
      </c>
      <c r="DL21" s="2"/>
      <c r="DM21" s="2"/>
      <c r="DN21" s="15" t="str">
        <f t="shared" si="81"/>
        <v/>
      </c>
      <c r="DO21" s="14" t="str">
        <f t="shared" si="82"/>
        <v/>
      </c>
      <c r="DP21" s="14" t="str">
        <f t="shared" si="83"/>
        <v/>
      </c>
      <c r="DQ21" s="15" t="str">
        <f t="shared" si="84"/>
        <v/>
      </c>
      <c r="DR21" s="15" t="str">
        <f t="shared" si="85"/>
        <v/>
      </c>
      <c r="DS21" s="2" t="str">
        <f t="shared" si="86"/>
        <v/>
      </c>
      <c r="DT21" s="2" t="str">
        <f t="shared" si="87"/>
        <v/>
      </c>
      <c r="DU21" s="2"/>
      <c r="DV21" s="2"/>
      <c r="DW21" s="2"/>
      <c r="DX21" s="2"/>
      <c r="DY21" s="2" t="s">
        <v>230</v>
      </c>
      <c r="DZ21" s="2"/>
      <c r="EA21" s="2" t="str">
        <f t="shared" si="88"/>
        <v/>
      </c>
      <c r="EB21" s="2"/>
      <c r="EC21" s="2"/>
      <c r="ED21" s="2"/>
      <c r="EE21" s="3"/>
      <c r="EF21" s="7"/>
      <c r="EG21" s="3"/>
      <c r="EH21" s="3" t="s">
        <v>266</v>
      </c>
      <c r="EI21" s="3"/>
      <c r="EJ21" s="189"/>
      <c r="EK21" s="4"/>
      <c r="EL21" s="4"/>
      <c r="EM21" s="9"/>
      <c r="EN21" s="46">
        <f t="shared" si="89"/>
        <v>0</v>
      </c>
      <c r="EO21" s="9"/>
      <c r="EP21" s="8"/>
      <c r="EQ21" s="4"/>
      <c r="ER21" s="4"/>
      <c r="ES21" s="7"/>
      <c r="ET21" s="7"/>
      <c r="EU21" s="6"/>
      <c r="EV21" s="2" t="str">
        <f t="shared" si="90"/>
        <v>Yet to load</v>
      </c>
      <c r="EW21" s="46"/>
      <c r="EX21" s="46">
        <f t="shared" si="91"/>
        <v>0</v>
      </c>
      <c r="EY21" s="46" t="s">
        <v>233</v>
      </c>
      <c r="EZ21" s="24"/>
      <c r="FA21" s="2"/>
      <c r="FB21" s="24"/>
      <c r="FC21" s="53"/>
      <c r="FD21" s="46">
        <f t="shared" si="92"/>
        <v>0</v>
      </c>
      <c r="FE21" s="52"/>
      <c r="FF21" s="52"/>
      <c r="FG21" s="49"/>
      <c r="FH21" s="49"/>
      <c r="FI21" s="49"/>
      <c r="FJ21" s="49"/>
      <c r="FK21" s="49"/>
      <c r="FL21" s="49">
        <f t="shared" si="44"/>
        <v>0</v>
      </c>
      <c r="FM21" s="180">
        <f t="shared" si="45"/>
        <v>0</v>
      </c>
      <c r="FN21" s="49"/>
      <c r="FO21" s="49"/>
      <c r="FP21" s="49"/>
      <c r="FQ21" s="49"/>
      <c r="FR21" s="49"/>
      <c r="FS21" s="34">
        <f t="shared" si="96"/>
        <v>20009553</v>
      </c>
      <c r="FT21" s="34">
        <f t="shared" si="97"/>
        <v>32014495</v>
      </c>
      <c r="FU21" s="3"/>
      <c r="FV21" s="3"/>
      <c r="FW21" s="3"/>
      <c r="FX21" s="3"/>
      <c r="FY21" s="3"/>
      <c r="FZ21" s="3"/>
      <c r="GA21" s="3"/>
      <c r="GB21" s="4"/>
      <c r="GC21" s="3"/>
      <c r="GD21" s="182"/>
      <c r="GE21" s="3"/>
      <c r="GF21" s="3"/>
      <c r="GG21" s="3"/>
      <c r="GH21" s="3"/>
      <c r="GI21" s="3"/>
      <c r="GJ21" s="3"/>
      <c r="GK21" s="3"/>
      <c r="GL21" s="3"/>
      <c r="GM21" s="3"/>
      <c r="GN21" s="3"/>
    </row>
    <row r="22" spans="1:196" s="1" customFormat="1" ht="84.95">
      <c r="A22" s="2" t="str">
        <f t="shared" si="49"/>
        <v>Exp Dox Presented to Bank, Pmt Pending</v>
      </c>
      <c r="B22" s="281">
        <v>50</v>
      </c>
      <c r="C22" s="281">
        <v>185</v>
      </c>
      <c r="D22" s="182" t="s">
        <v>208</v>
      </c>
      <c r="E22" s="2" t="str">
        <f t="shared" si="50"/>
        <v>CLOSE POSITION</v>
      </c>
      <c r="F22" s="271" t="str">
        <f t="shared" si="51"/>
        <v>32014448-6</v>
      </c>
      <c r="G22" s="271"/>
      <c r="H22" s="2" t="str">
        <f t="shared" si="52"/>
        <v>Valency Agro (Processing)</v>
      </c>
      <c r="I22" s="3" t="s">
        <v>209</v>
      </c>
      <c r="J22" s="2" t="s">
        <v>210</v>
      </c>
      <c r="K22" s="2" t="str">
        <f t="shared" si="53"/>
        <v>MANGALORE INDIA</v>
      </c>
      <c r="L22" s="2" t="str">
        <f t="shared" si="95"/>
        <v>MEDULG622805</v>
      </c>
      <c r="M22" s="2">
        <f t="shared" si="94"/>
        <v>102.96</v>
      </c>
      <c r="N22" s="22">
        <f t="shared" si="56"/>
        <v>46110</v>
      </c>
      <c r="O22" s="22">
        <f t="shared" si="57"/>
        <v>46158</v>
      </c>
      <c r="P22" s="22" t="str">
        <f t="shared" si="58"/>
        <v>OBL In Destination - INDIA</v>
      </c>
      <c r="Q22" s="2"/>
      <c r="R22" s="2" t="str">
        <f t="shared" si="59"/>
        <v>CERTS in Destination - INDIA</v>
      </c>
      <c r="S22" s="2" t="str">
        <f t="shared" si="60"/>
        <v>Docs in Buyer's Nego Bank</v>
      </c>
      <c r="T22" s="2" t="str">
        <f>IFERROR(_xlfn.XLOOKUP(F22,
'[2]Data 2026'!$H$12:$H$111,
'[2]Data 2026'!$CL$12:$CL$111),"")</f>
        <v/>
      </c>
      <c r="U22" s="3" t="s">
        <v>211</v>
      </c>
      <c r="V22" s="272"/>
      <c r="W22" s="3"/>
      <c r="X22" s="24">
        <v>46066</v>
      </c>
      <c r="Y22" s="273">
        <v>20009485</v>
      </c>
      <c r="Z22" s="24">
        <v>46066</v>
      </c>
      <c r="AA22" s="182" t="s">
        <v>360</v>
      </c>
      <c r="AB22" s="182" t="s">
        <v>247</v>
      </c>
      <c r="AC22" s="203">
        <v>46082</v>
      </c>
      <c r="AD22" s="203">
        <v>46112</v>
      </c>
      <c r="AE22" s="30">
        <v>0.1</v>
      </c>
      <c r="AF22" s="277">
        <f>BJ22</f>
        <v>102.96</v>
      </c>
      <c r="AG22" s="35">
        <f t="shared" si="61"/>
        <v>92.664000000000001</v>
      </c>
      <c r="AH22" s="3" t="s">
        <v>215</v>
      </c>
      <c r="AI22" s="4">
        <v>1683</v>
      </c>
      <c r="AJ22" s="4">
        <v>1700000</v>
      </c>
      <c r="AK22" s="3" t="s">
        <v>249</v>
      </c>
      <c r="AL22" s="3" t="s">
        <v>217</v>
      </c>
      <c r="AM22" s="30">
        <v>0</v>
      </c>
      <c r="AN22" s="183">
        <v>1</v>
      </c>
      <c r="AO22" s="183">
        <v>0</v>
      </c>
      <c r="AP22" s="28" t="s">
        <v>218</v>
      </c>
      <c r="AQ22" s="18" t="s">
        <v>250</v>
      </c>
      <c r="AR22" s="18" t="s">
        <v>251</v>
      </c>
      <c r="AS22" s="27"/>
      <c r="AT22" s="3" t="s">
        <v>220</v>
      </c>
      <c r="AU22" s="3" t="s">
        <v>220</v>
      </c>
      <c r="AV22" s="3" t="s">
        <v>220</v>
      </c>
      <c r="AW22" s="9"/>
      <c r="AX22" s="3"/>
      <c r="AY22" s="47"/>
      <c r="AZ22" s="275">
        <f t="shared" si="62"/>
        <v>0</v>
      </c>
      <c r="BA22" s="18">
        <v>46069</v>
      </c>
      <c r="BB22" s="22">
        <v>46073</v>
      </c>
      <c r="BC22" s="22"/>
      <c r="BD22" s="22"/>
      <c r="BE22" s="22"/>
      <c r="BF22" s="22">
        <v>46073</v>
      </c>
      <c r="BG22" s="18"/>
      <c r="BH22" s="18"/>
      <c r="BI22" s="3" t="s">
        <v>361</v>
      </c>
      <c r="BJ22" s="25">
        <v>102.96</v>
      </c>
      <c r="BK22" s="46" t="s">
        <v>222</v>
      </c>
      <c r="BL22" s="497">
        <v>4</v>
      </c>
      <c r="BM22" s="18">
        <v>46110</v>
      </c>
      <c r="BN22" s="4" t="s">
        <v>362</v>
      </c>
      <c r="BO22" s="18">
        <v>46158</v>
      </c>
      <c r="BP22" s="3" t="s">
        <v>278</v>
      </c>
      <c r="BQ22" s="21" t="s">
        <v>363</v>
      </c>
      <c r="BR22" s="2" t="s">
        <v>226</v>
      </c>
      <c r="BS22" s="2" t="s">
        <v>306</v>
      </c>
      <c r="BT22" s="2"/>
      <c r="BU22" s="2"/>
      <c r="BV22" s="20">
        <v>90084572</v>
      </c>
      <c r="BW22" s="19"/>
      <c r="BX22" s="46">
        <f t="shared" si="63"/>
        <v>173281.68</v>
      </c>
      <c r="BY22" s="22"/>
      <c r="BZ22" s="22">
        <v>46129</v>
      </c>
      <c r="CA22" s="2">
        <v>4567280594</v>
      </c>
      <c r="CB22" s="22">
        <v>46134</v>
      </c>
      <c r="CC22" s="22"/>
      <c r="CD22" s="22"/>
      <c r="CE22" s="22" t="str">
        <f t="shared" si="64"/>
        <v>OBL In Destination - INDIA</v>
      </c>
      <c r="CF22" s="22"/>
      <c r="CG22" s="22"/>
      <c r="CH22" s="22">
        <v>46141</v>
      </c>
      <c r="CI22" s="2">
        <v>1335828874</v>
      </c>
      <c r="CJ22" s="22">
        <v>46157</v>
      </c>
      <c r="CK22" s="2" t="str">
        <f t="shared" si="65"/>
        <v>CERTS in Destination - INDIA</v>
      </c>
      <c r="CL22" s="48" t="s">
        <v>229</v>
      </c>
      <c r="CM22" s="22">
        <v>46139</v>
      </c>
      <c r="CN22" s="55">
        <v>8585994476</v>
      </c>
      <c r="CO22" s="54">
        <v>46147</v>
      </c>
      <c r="CP22" s="55" t="str">
        <f t="shared" si="66"/>
        <v>Docs in Buyer's Nego Bank</v>
      </c>
      <c r="CQ22" s="50">
        <f t="shared" si="93"/>
        <v>173281.68</v>
      </c>
      <c r="CR22" s="54"/>
      <c r="CS22" s="2"/>
      <c r="CT22" s="2"/>
      <c r="CU22" s="14" t="str">
        <f t="shared" si="67"/>
        <v/>
      </c>
      <c r="CV22" s="42" t="str">
        <f t="shared" si="68"/>
        <v/>
      </c>
      <c r="CW22" s="14" t="str">
        <f t="shared" si="69"/>
        <v/>
      </c>
      <c r="CX22" s="14" t="str">
        <f t="shared" si="70"/>
        <v/>
      </c>
      <c r="CY22" s="15" t="str">
        <f t="shared" si="71"/>
        <v/>
      </c>
      <c r="CZ22" s="2"/>
      <c r="DA22" s="41" t="str">
        <f t="shared" si="72"/>
        <v/>
      </c>
      <c r="DB22" s="2"/>
      <c r="DC22" s="39" t="str">
        <f t="shared" si="73"/>
        <v/>
      </c>
      <c r="DD22" s="40"/>
      <c r="DE22" s="16" t="str">
        <f t="shared" si="74"/>
        <v/>
      </c>
      <c r="DF22" s="2" t="str">
        <f t="shared" si="75"/>
        <v/>
      </c>
      <c r="DG22" s="14" t="str">
        <f t="shared" si="76"/>
        <v/>
      </c>
      <c r="DH22" s="2" t="str">
        <f t="shared" si="77"/>
        <v/>
      </c>
      <c r="DI22" s="39" t="str">
        <f t="shared" si="78"/>
        <v/>
      </c>
      <c r="DJ22" s="2" t="str">
        <f t="shared" si="79"/>
        <v/>
      </c>
      <c r="DK22" s="15" t="str">
        <f t="shared" si="80"/>
        <v/>
      </c>
      <c r="DL22" s="2"/>
      <c r="DM22" s="2"/>
      <c r="DN22" s="15" t="str">
        <f t="shared" si="81"/>
        <v/>
      </c>
      <c r="DO22" s="14" t="str">
        <f t="shared" si="82"/>
        <v/>
      </c>
      <c r="DP22" s="14" t="str">
        <f t="shared" si="83"/>
        <v/>
      </c>
      <c r="DQ22" s="15" t="str">
        <f t="shared" si="84"/>
        <v/>
      </c>
      <c r="DR22" s="15" t="str">
        <f t="shared" si="85"/>
        <v/>
      </c>
      <c r="DS22" s="2" t="str">
        <f t="shared" si="86"/>
        <v/>
      </c>
      <c r="DT22" s="2" t="str">
        <f t="shared" si="87"/>
        <v/>
      </c>
      <c r="DU22" s="2"/>
      <c r="DV22" s="2"/>
      <c r="DW22" s="2"/>
      <c r="DX22" s="2"/>
      <c r="DY22" s="2" t="s">
        <v>230</v>
      </c>
      <c r="DZ22" s="2"/>
      <c r="EA22" s="2" t="str">
        <f t="shared" si="88"/>
        <v/>
      </c>
      <c r="EB22" s="2">
        <v>48.16</v>
      </c>
      <c r="EC22" s="2">
        <v>182</v>
      </c>
      <c r="ED22" s="2">
        <v>7.95</v>
      </c>
      <c r="EE22" s="3">
        <v>4900009113</v>
      </c>
      <c r="EF22" s="7"/>
      <c r="EG22" s="3"/>
      <c r="EH22" s="3" t="s">
        <v>307</v>
      </c>
      <c r="EI22" s="3" t="s">
        <v>258</v>
      </c>
      <c r="EJ22" s="189">
        <f>BJ22</f>
        <v>102.96</v>
      </c>
      <c r="EK22" s="4">
        <v>1600</v>
      </c>
      <c r="EL22" s="4"/>
      <c r="EM22" s="9"/>
      <c r="EN22" s="46">
        <f t="shared" si="89"/>
        <v>164736</v>
      </c>
      <c r="EO22" s="9" t="s">
        <v>232</v>
      </c>
      <c r="EP22" s="8"/>
      <c r="EQ22" s="4"/>
      <c r="ER22" s="4">
        <v>161441.28</v>
      </c>
      <c r="ES22" s="7"/>
      <c r="ET22" s="7"/>
      <c r="EU22" s="6"/>
      <c r="EV22" s="2" t="str">
        <f t="shared" si="90"/>
        <v>Export Loan</v>
      </c>
      <c r="EW22" s="46"/>
      <c r="EX22" s="46">
        <f t="shared" si="91"/>
        <v>0</v>
      </c>
      <c r="EY22" s="46" t="s">
        <v>233</v>
      </c>
      <c r="EZ22" s="24"/>
      <c r="FA22" s="2"/>
      <c r="FB22" s="24"/>
      <c r="FC22" s="53"/>
      <c r="FD22" s="46">
        <f t="shared" si="92"/>
        <v>0</v>
      </c>
      <c r="FE22" s="52"/>
      <c r="FF22" s="52"/>
      <c r="FG22" s="49"/>
      <c r="FH22" s="49"/>
      <c r="FI22" s="49"/>
      <c r="FJ22" s="49"/>
      <c r="FK22" s="49"/>
      <c r="FL22" s="49">
        <f t="shared" si="44"/>
        <v>0</v>
      </c>
      <c r="FM22" s="180">
        <f t="shared" si="45"/>
        <v>46110</v>
      </c>
      <c r="FN22" s="49"/>
      <c r="FO22" s="49"/>
      <c r="FP22" s="49"/>
      <c r="FQ22" s="49"/>
      <c r="FR22" s="49"/>
      <c r="FS22" s="34">
        <f t="shared" si="96"/>
        <v>20009485</v>
      </c>
      <c r="FT22" s="34" t="str">
        <f t="shared" si="97"/>
        <v>32014448-6</v>
      </c>
      <c r="FU22" s="3"/>
      <c r="FV22" s="3"/>
      <c r="FW22" s="3"/>
      <c r="FX22" s="3"/>
      <c r="FY22" s="3"/>
      <c r="FZ22" s="3"/>
      <c r="GA22" s="3"/>
      <c r="GB22" s="4"/>
      <c r="GC22" s="3"/>
      <c r="GD22" s="182"/>
      <c r="GE22" s="2"/>
      <c r="GF22" s="2"/>
      <c r="GG22" s="2"/>
      <c r="GH22" s="2"/>
      <c r="GI22" s="2"/>
      <c r="GJ22" s="2"/>
      <c r="GK22" s="2"/>
      <c r="GL22" s="2"/>
      <c r="GM22" s="2"/>
      <c r="GN22" s="2"/>
    </row>
    <row r="23" spans="1:196" s="1" customFormat="1" ht="33.950000000000003">
      <c r="A23" s="2" t="str">
        <f t="shared" si="49"/>
        <v>SI Sent, Shipment Awaited</v>
      </c>
      <c r="B23" s="281">
        <v>48</v>
      </c>
      <c r="C23" s="281">
        <v>200</v>
      </c>
      <c r="D23" s="182" t="s">
        <v>208</v>
      </c>
      <c r="E23" s="2" t="str">
        <f t="shared" si="50"/>
        <v>CLOSE POSITION</v>
      </c>
      <c r="F23" s="271">
        <f t="shared" si="51"/>
        <v>32014496</v>
      </c>
      <c r="G23" s="271"/>
      <c r="H23" s="2" t="str">
        <f t="shared" si="52"/>
        <v>MALNAD CASHEWS</v>
      </c>
      <c r="I23" s="3" t="s">
        <v>259</v>
      </c>
      <c r="J23" s="2" t="s">
        <v>210</v>
      </c>
      <c r="K23" s="2" t="str">
        <f t="shared" si="53"/>
        <v>MANGALORE, INDIA</v>
      </c>
      <c r="L23" s="2">
        <f t="shared" si="95"/>
        <v>267490071</v>
      </c>
      <c r="M23" s="2" t="str">
        <f t="shared" si="94"/>
        <v/>
      </c>
      <c r="N23" s="22" t="str">
        <f t="shared" si="56"/>
        <v/>
      </c>
      <c r="O23" s="22">
        <f t="shared" si="57"/>
        <v>46202</v>
      </c>
      <c r="P23" s="22" t="str">
        <f t="shared" si="58"/>
        <v>No OBL Yet</v>
      </c>
      <c r="Q23" s="2"/>
      <c r="R23" s="2" t="str">
        <f t="shared" si="59"/>
        <v>No CERTS Yet</v>
      </c>
      <c r="S23" s="2" t="str">
        <f t="shared" si="60"/>
        <v/>
      </c>
      <c r="T23" s="2" t="s">
        <v>260</v>
      </c>
      <c r="U23" s="3" t="s">
        <v>364</v>
      </c>
      <c r="V23" s="272"/>
      <c r="W23" s="272"/>
      <c r="X23" s="24">
        <v>46134</v>
      </c>
      <c r="Y23" s="273">
        <v>20009552</v>
      </c>
      <c r="Z23" s="24">
        <v>46074</v>
      </c>
      <c r="AA23" s="182">
        <v>32014496</v>
      </c>
      <c r="AB23" s="182" t="s">
        <v>365</v>
      </c>
      <c r="AC23" s="182" t="s">
        <v>263</v>
      </c>
      <c r="AD23" s="181">
        <v>46142</v>
      </c>
      <c r="AE23" s="30">
        <v>0.1</v>
      </c>
      <c r="AF23" s="277">
        <v>100</v>
      </c>
      <c r="AG23" s="35">
        <f t="shared" si="61"/>
        <v>90</v>
      </c>
      <c r="AH23" s="3" t="s">
        <v>215</v>
      </c>
      <c r="AI23" s="4">
        <v>1510</v>
      </c>
      <c r="AJ23" s="4">
        <f>AI23*AF23</f>
        <v>151000</v>
      </c>
      <c r="AK23" s="3" t="s">
        <v>249</v>
      </c>
      <c r="AL23" s="3" t="s">
        <v>238</v>
      </c>
      <c r="AM23" s="183">
        <v>0.1</v>
      </c>
      <c r="AN23" s="183">
        <v>0.9</v>
      </c>
      <c r="AO23" s="183">
        <v>0</v>
      </c>
      <c r="AP23" s="28" t="s">
        <v>218</v>
      </c>
      <c r="AQ23" s="18" t="s">
        <v>239</v>
      </c>
      <c r="AR23" s="18" t="s">
        <v>264</v>
      </c>
      <c r="AS23" s="27">
        <v>5</v>
      </c>
      <c r="AT23" s="3" t="s">
        <v>220</v>
      </c>
      <c r="AU23" s="3" t="s">
        <v>220</v>
      </c>
      <c r="AV23" s="3" t="s">
        <v>220</v>
      </c>
      <c r="AW23" s="9"/>
      <c r="AX23" s="3"/>
      <c r="AY23" s="47"/>
      <c r="AZ23" s="275">
        <f t="shared" si="62"/>
        <v>15100</v>
      </c>
      <c r="BA23" s="18">
        <v>46079</v>
      </c>
      <c r="BB23" s="22">
        <v>46083</v>
      </c>
      <c r="BC23" s="22"/>
      <c r="BD23" s="22"/>
      <c r="BE23" s="22"/>
      <c r="BF23" s="22">
        <v>46083</v>
      </c>
      <c r="BG23" s="18"/>
      <c r="BH23" s="18"/>
      <c r="BI23" s="3">
        <v>267490071</v>
      </c>
      <c r="BJ23" s="25"/>
      <c r="BK23" s="46" t="s">
        <v>222</v>
      </c>
      <c r="BL23" s="497"/>
      <c r="BM23" s="18"/>
      <c r="BN23" s="4"/>
      <c r="BO23" s="18">
        <v>46202</v>
      </c>
      <c r="BP23" s="3" t="s">
        <v>259</v>
      </c>
      <c r="BQ23" s="21" t="s">
        <v>265</v>
      </c>
      <c r="BR23" s="2"/>
      <c r="BS23" s="2"/>
      <c r="BT23" s="2"/>
      <c r="BU23" s="2"/>
      <c r="BV23" s="20"/>
      <c r="BW23" s="19"/>
      <c r="BX23" s="46">
        <f t="shared" si="63"/>
        <v>0</v>
      </c>
      <c r="BY23" s="22"/>
      <c r="BZ23" s="22"/>
      <c r="CA23" s="2"/>
      <c r="CB23" s="22"/>
      <c r="CC23" s="22"/>
      <c r="CD23" s="22"/>
      <c r="CE23" s="22" t="str">
        <f t="shared" si="64"/>
        <v>No OBL Yet</v>
      </c>
      <c r="CF23" s="22"/>
      <c r="CG23" s="22"/>
      <c r="CH23" s="182"/>
      <c r="CI23" s="182"/>
      <c r="CJ23" s="182"/>
      <c r="CK23" s="2" t="str">
        <f t="shared" si="65"/>
        <v>No CERTS Yet</v>
      </c>
      <c r="CL23" s="48"/>
      <c r="CM23" s="22"/>
      <c r="CN23" s="55"/>
      <c r="CO23" s="55"/>
      <c r="CP23" s="55" t="str">
        <f t="shared" si="66"/>
        <v/>
      </c>
      <c r="CQ23" s="50">
        <f t="shared" si="93"/>
        <v>-15100</v>
      </c>
      <c r="CR23" s="54"/>
      <c r="CS23" s="2"/>
      <c r="CT23" s="2"/>
      <c r="CU23" s="14" t="str">
        <f t="shared" si="67"/>
        <v/>
      </c>
      <c r="CV23" s="42" t="str">
        <f t="shared" si="68"/>
        <v/>
      </c>
      <c r="CW23" s="14" t="str">
        <f t="shared" si="69"/>
        <v/>
      </c>
      <c r="CX23" s="14" t="str">
        <f t="shared" si="70"/>
        <v/>
      </c>
      <c r="CY23" s="15" t="str">
        <f t="shared" si="71"/>
        <v/>
      </c>
      <c r="CZ23" s="2"/>
      <c r="DA23" s="41" t="str">
        <f t="shared" si="72"/>
        <v/>
      </c>
      <c r="DB23" s="2"/>
      <c r="DC23" s="39" t="str">
        <f t="shared" si="73"/>
        <v/>
      </c>
      <c r="DD23" s="40"/>
      <c r="DE23" s="16" t="str">
        <f t="shared" si="74"/>
        <v/>
      </c>
      <c r="DF23" s="2" t="str">
        <f t="shared" si="75"/>
        <v/>
      </c>
      <c r="DG23" s="14" t="str">
        <f t="shared" si="76"/>
        <v/>
      </c>
      <c r="DH23" s="2" t="str">
        <f t="shared" si="77"/>
        <v/>
      </c>
      <c r="DI23" s="39" t="str">
        <f t="shared" si="78"/>
        <v/>
      </c>
      <c r="DJ23" s="2" t="str">
        <f t="shared" si="79"/>
        <v/>
      </c>
      <c r="DK23" s="15" t="str">
        <f t="shared" si="80"/>
        <v/>
      </c>
      <c r="DL23" s="2"/>
      <c r="DM23" s="2"/>
      <c r="DN23" s="15" t="str">
        <f t="shared" si="81"/>
        <v/>
      </c>
      <c r="DO23" s="14" t="str">
        <f t="shared" si="82"/>
        <v/>
      </c>
      <c r="DP23" s="14" t="str">
        <f t="shared" si="83"/>
        <v/>
      </c>
      <c r="DQ23" s="15" t="str">
        <f t="shared" si="84"/>
        <v/>
      </c>
      <c r="DR23" s="15" t="str">
        <f t="shared" si="85"/>
        <v/>
      </c>
      <c r="DS23" s="2" t="str">
        <f t="shared" si="86"/>
        <v/>
      </c>
      <c r="DT23" s="2" t="str">
        <f t="shared" si="87"/>
        <v/>
      </c>
      <c r="DU23" s="2"/>
      <c r="DV23" s="2"/>
      <c r="DW23" s="2"/>
      <c r="DX23" s="2"/>
      <c r="DY23" s="2" t="s">
        <v>230</v>
      </c>
      <c r="DZ23" s="2"/>
      <c r="EA23" s="2" t="str">
        <f t="shared" si="88"/>
        <v/>
      </c>
      <c r="EB23" s="2"/>
      <c r="EC23" s="2"/>
      <c r="ED23" s="2"/>
      <c r="EE23" s="3"/>
      <c r="EF23" s="7"/>
      <c r="EG23" s="3"/>
      <c r="EH23" s="3" t="s">
        <v>266</v>
      </c>
      <c r="EI23" s="3"/>
      <c r="EJ23" s="189"/>
      <c r="EK23" s="4"/>
      <c r="EL23" s="4"/>
      <c r="EM23" s="9"/>
      <c r="EN23" s="46">
        <f t="shared" si="89"/>
        <v>0</v>
      </c>
      <c r="EO23" s="9"/>
      <c r="EP23" s="8"/>
      <c r="EQ23" s="4"/>
      <c r="ER23" s="4"/>
      <c r="ES23" s="7"/>
      <c r="ET23" s="7"/>
      <c r="EU23" s="6"/>
      <c r="EV23" s="2" t="str">
        <f t="shared" si="90"/>
        <v>Yet to load</v>
      </c>
      <c r="EW23" s="46"/>
      <c r="EX23" s="46" t="e">
        <f t="shared" si="91"/>
        <v>#DIV/0!</v>
      </c>
      <c r="EY23" s="46" t="s">
        <v>233</v>
      </c>
      <c r="EZ23" s="24"/>
      <c r="FA23" s="2"/>
      <c r="FB23" s="24"/>
      <c r="FC23" s="53"/>
      <c r="FD23" s="46">
        <f t="shared" si="92"/>
        <v>0</v>
      </c>
      <c r="FE23" s="52"/>
      <c r="FF23" s="52"/>
      <c r="FG23" s="49"/>
      <c r="FH23" s="49"/>
      <c r="FI23" s="49"/>
      <c r="FJ23" s="49"/>
      <c r="FK23" s="49"/>
      <c r="FL23" s="49">
        <f t="shared" si="44"/>
        <v>0</v>
      </c>
      <c r="FM23" s="180">
        <f t="shared" si="45"/>
        <v>0</v>
      </c>
      <c r="FN23" s="49"/>
      <c r="FO23" s="49"/>
      <c r="FP23" s="49"/>
      <c r="FQ23" s="49"/>
      <c r="FR23" s="49"/>
      <c r="FS23" s="34">
        <f t="shared" si="96"/>
        <v>20009552</v>
      </c>
      <c r="FT23" s="34">
        <f t="shared" si="97"/>
        <v>32014496</v>
      </c>
      <c r="FU23" s="3"/>
      <c r="FV23" s="3"/>
      <c r="FW23" s="3"/>
      <c r="FX23" s="3"/>
      <c r="FY23" s="3"/>
      <c r="FZ23" s="3"/>
      <c r="GA23" s="3"/>
      <c r="GB23" s="4"/>
      <c r="GC23" s="3"/>
      <c r="GD23" s="182"/>
      <c r="GE23" s="3"/>
      <c r="GF23" s="3"/>
      <c r="GG23" s="3"/>
      <c r="GH23" s="3"/>
      <c r="GI23" s="3"/>
      <c r="GJ23" s="3"/>
      <c r="GK23" s="3"/>
      <c r="GL23" s="3"/>
      <c r="GM23" s="3"/>
      <c r="GN23" s="3"/>
    </row>
    <row r="24" spans="1:196" s="1" customFormat="1" ht="33.950000000000003">
      <c r="A24" s="2" t="str">
        <f t="shared" si="49"/>
        <v>Stuffed, Yet to Sail</v>
      </c>
      <c r="B24" s="282">
        <v>48</v>
      </c>
      <c r="C24" s="282">
        <v>185</v>
      </c>
      <c r="D24" s="182" t="s">
        <v>208</v>
      </c>
      <c r="E24" s="2" t="str">
        <f t="shared" si="50"/>
        <v>CLOSE POSITION</v>
      </c>
      <c r="F24" s="271">
        <f t="shared" si="51"/>
        <v>32016180</v>
      </c>
      <c r="G24" s="271"/>
      <c r="H24" s="2" t="str">
        <f t="shared" si="52"/>
        <v>QUOC DUY IMPORT EXPORT TRADING PRODUCTION CO., LTD</v>
      </c>
      <c r="I24" s="3" t="s">
        <v>269</v>
      </c>
      <c r="J24" s="2" t="s">
        <v>347</v>
      </c>
      <c r="K24" s="2" t="str">
        <f t="shared" si="53"/>
        <v xml:space="preserve"> CAT LAI PORT HCMC, VIETNAM</v>
      </c>
      <c r="L24" s="2" t="str">
        <f t="shared" si="95"/>
        <v>MEDULG637035</v>
      </c>
      <c r="M24" s="2">
        <f t="shared" si="94"/>
        <v>251.768</v>
      </c>
      <c r="N24" s="22" t="str">
        <f t="shared" si="56"/>
        <v/>
      </c>
      <c r="O24" s="22">
        <f t="shared" si="57"/>
        <v>46198</v>
      </c>
      <c r="P24" s="22" t="str">
        <f t="shared" si="58"/>
        <v>No OBL Yet</v>
      </c>
      <c r="Q24" s="2" t="s">
        <v>366</v>
      </c>
      <c r="R24" s="2" t="str">
        <f t="shared" si="59"/>
        <v>No CERTS Yet</v>
      </c>
      <c r="S24" s="2" t="str">
        <f t="shared" si="60"/>
        <v/>
      </c>
      <c r="T24" s="2" t="s">
        <v>367</v>
      </c>
      <c r="U24" s="3" t="s">
        <v>368</v>
      </c>
      <c r="V24" s="272"/>
      <c r="W24" s="3"/>
      <c r="X24" s="24"/>
      <c r="Y24" s="273">
        <v>20010002</v>
      </c>
      <c r="Z24" s="24">
        <v>46112</v>
      </c>
      <c r="AA24" s="182">
        <v>32016180</v>
      </c>
      <c r="AB24" s="182" t="s">
        <v>369</v>
      </c>
      <c r="AC24" s="182" t="s">
        <v>263</v>
      </c>
      <c r="AD24" s="181">
        <v>46142</v>
      </c>
      <c r="AE24" s="30">
        <v>0.1</v>
      </c>
      <c r="AF24" s="277">
        <v>250</v>
      </c>
      <c r="AG24" s="4">
        <f t="shared" si="61"/>
        <v>225</v>
      </c>
      <c r="AH24" s="3" t="s">
        <v>215</v>
      </c>
      <c r="AI24" s="4">
        <v>1590</v>
      </c>
      <c r="AJ24" s="4">
        <f>AI24*AF24</f>
        <v>397500</v>
      </c>
      <c r="AK24" s="3" t="s">
        <v>249</v>
      </c>
      <c r="AL24" s="3" t="s">
        <v>238</v>
      </c>
      <c r="AM24" s="183">
        <v>0.1</v>
      </c>
      <c r="AN24" s="183">
        <v>0.9</v>
      </c>
      <c r="AO24" s="183">
        <v>0</v>
      </c>
      <c r="AP24" s="28" t="s">
        <v>218</v>
      </c>
      <c r="AQ24" s="18" t="s">
        <v>370</v>
      </c>
      <c r="AR24" s="18" t="s">
        <v>251</v>
      </c>
      <c r="AS24" s="27"/>
      <c r="AT24" s="3" t="s">
        <v>220</v>
      </c>
      <c r="AU24" s="3" t="s">
        <v>220</v>
      </c>
      <c r="AV24" s="3" t="s">
        <v>220</v>
      </c>
      <c r="AW24" s="9"/>
      <c r="AX24" s="3"/>
      <c r="AY24" s="47">
        <v>46116</v>
      </c>
      <c r="AZ24" s="278">
        <f t="shared" si="62"/>
        <v>39750</v>
      </c>
      <c r="BA24" s="18">
        <v>46120</v>
      </c>
      <c r="BB24" s="22">
        <v>46116</v>
      </c>
      <c r="BC24" s="22"/>
      <c r="BD24" s="22"/>
      <c r="BE24" s="22"/>
      <c r="BF24" s="22">
        <v>46116</v>
      </c>
      <c r="BG24" s="18"/>
      <c r="BH24" s="18"/>
      <c r="BI24" s="33" t="s">
        <v>371</v>
      </c>
      <c r="BJ24" s="419">
        <v>251.768</v>
      </c>
      <c r="BK24" s="189" t="s">
        <v>222</v>
      </c>
      <c r="BL24" s="497">
        <v>10</v>
      </c>
      <c r="BM24" s="18"/>
      <c r="BN24" s="4" t="s">
        <v>372</v>
      </c>
      <c r="BO24" s="18">
        <v>46198</v>
      </c>
      <c r="BP24" s="3" t="s">
        <v>278</v>
      </c>
      <c r="BQ24" s="21" t="s">
        <v>373</v>
      </c>
      <c r="BR24" s="2" t="s">
        <v>226</v>
      </c>
      <c r="BS24" s="2"/>
      <c r="BT24" s="2" t="s">
        <v>374</v>
      </c>
      <c r="BU24" s="2"/>
      <c r="BV24" s="20"/>
      <c r="BW24" s="19"/>
      <c r="BX24" s="189">
        <f t="shared" si="63"/>
        <v>400311.12</v>
      </c>
      <c r="BY24" s="22"/>
      <c r="BZ24" s="22"/>
      <c r="CA24" s="2"/>
      <c r="CB24" s="22"/>
      <c r="CC24" s="22"/>
      <c r="CD24" s="22"/>
      <c r="CE24" s="22" t="str">
        <f t="shared" si="64"/>
        <v>No OBL Yet</v>
      </c>
      <c r="CF24" s="22"/>
      <c r="CG24" s="22"/>
      <c r="CH24" s="182"/>
      <c r="CI24" s="182"/>
      <c r="CJ24" s="182"/>
      <c r="CK24" s="2" t="str">
        <f t="shared" si="65"/>
        <v>No CERTS Yet</v>
      </c>
      <c r="CL24" s="48"/>
      <c r="CM24" s="22"/>
      <c r="CN24" s="55"/>
      <c r="CO24" s="55"/>
      <c r="CP24" s="55" t="str">
        <f t="shared" si="66"/>
        <v/>
      </c>
      <c r="CQ24" s="190">
        <f t="shared" si="93"/>
        <v>320530.00799999997</v>
      </c>
      <c r="CR24" s="54"/>
      <c r="CS24" s="2"/>
      <c r="CT24" s="2"/>
      <c r="CU24" s="14" t="str">
        <f t="shared" si="67"/>
        <v/>
      </c>
      <c r="CV24" s="191" t="str">
        <f t="shared" si="68"/>
        <v/>
      </c>
      <c r="CW24" s="14" t="str">
        <f t="shared" si="69"/>
        <v/>
      </c>
      <c r="CX24" s="14" t="str">
        <f t="shared" si="70"/>
        <v/>
      </c>
      <c r="CY24" s="15" t="str">
        <f t="shared" si="71"/>
        <v/>
      </c>
      <c r="CZ24" s="2"/>
      <c r="DA24" s="41" t="str">
        <f t="shared" si="72"/>
        <v/>
      </c>
      <c r="DB24" s="2"/>
      <c r="DC24" s="192" t="str">
        <f t="shared" si="73"/>
        <v/>
      </c>
      <c r="DD24" s="40"/>
      <c r="DE24" s="16" t="str">
        <f t="shared" si="74"/>
        <v/>
      </c>
      <c r="DF24" s="2" t="str">
        <f t="shared" si="75"/>
        <v/>
      </c>
      <c r="DG24" s="14" t="str">
        <f t="shared" si="76"/>
        <v/>
      </c>
      <c r="DH24" s="2" t="str">
        <f t="shared" si="77"/>
        <v/>
      </c>
      <c r="DI24" s="192" t="str">
        <f t="shared" si="78"/>
        <v/>
      </c>
      <c r="DJ24" s="2" t="str">
        <f t="shared" si="79"/>
        <v/>
      </c>
      <c r="DK24" s="15" t="str">
        <f t="shared" si="80"/>
        <v/>
      </c>
      <c r="DL24" s="2"/>
      <c r="DM24" s="2"/>
      <c r="DN24" s="15" t="str">
        <f t="shared" si="81"/>
        <v/>
      </c>
      <c r="DO24" s="14" t="str">
        <f t="shared" si="82"/>
        <v/>
      </c>
      <c r="DP24" s="14" t="str">
        <f t="shared" si="83"/>
        <v/>
      </c>
      <c r="DQ24" s="15" t="str">
        <f t="shared" si="84"/>
        <v/>
      </c>
      <c r="DR24" s="15" t="str">
        <f t="shared" si="85"/>
        <v/>
      </c>
      <c r="DS24" s="2" t="str">
        <f t="shared" si="86"/>
        <v/>
      </c>
      <c r="DT24" s="2" t="str">
        <f t="shared" si="87"/>
        <v/>
      </c>
      <c r="DU24" s="2"/>
      <c r="DV24" s="2"/>
      <c r="DW24" s="2"/>
      <c r="DX24" s="2"/>
      <c r="DY24" s="2" t="s">
        <v>230</v>
      </c>
      <c r="DZ24" s="2"/>
      <c r="EA24" s="2" t="str">
        <f t="shared" si="88"/>
        <v/>
      </c>
      <c r="EB24" s="2"/>
      <c r="EC24" s="2"/>
      <c r="ED24" s="2"/>
      <c r="EE24" s="3"/>
      <c r="EF24" s="7"/>
      <c r="EG24" s="3"/>
      <c r="EH24" s="3" t="s">
        <v>231</v>
      </c>
      <c r="EI24" s="3"/>
      <c r="EJ24" s="189"/>
      <c r="EK24" s="4"/>
      <c r="EL24" s="4"/>
      <c r="EM24" s="9"/>
      <c r="EN24" s="189">
        <f t="shared" si="89"/>
        <v>0</v>
      </c>
      <c r="EO24" s="9"/>
      <c r="EP24" s="8"/>
      <c r="EQ24" s="4"/>
      <c r="ER24" s="4"/>
      <c r="ES24" s="7"/>
      <c r="ET24" s="7"/>
      <c r="EU24" s="6"/>
      <c r="EV24" s="2" t="str">
        <f t="shared" si="90"/>
        <v>Yet to load</v>
      </c>
      <c r="EW24" s="189"/>
      <c r="EX24" s="189">
        <f t="shared" si="91"/>
        <v>0</v>
      </c>
      <c r="EY24" s="189" t="s">
        <v>233</v>
      </c>
      <c r="EZ24" s="24"/>
      <c r="FA24" s="2"/>
      <c r="FB24" s="24"/>
      <c r="FC24" s="193"/>
      <c r="FD24" s="189">
        <f t="shared" si="92"/>
        <v>0</v>
      </c>
      <c r="FE24" s="52"/>
      <c r="FF24" s="52"/>
      <c r="FG24" s="49"/>
      <c r="FH24" s="49"/>
      <c r="FI24" s="49"/>
      <c r="FJ24" s="49"/>
      <c r="FK24" s="49"/>
      <c r="FL24" s="49">
        <f t="shared" si="44"/>
        <v>0</v>
      </c>
      <c r="FM24" s="180">
        <f t="shared" si="45"/>
        <v>0</v>
      </c>
      <c r="FN24" s="49"/>
      <c r="FO24" s="49"/>
      <c r="FP24" s="49"/>
      <c r="FQ24" s="49"/>
      <c r="FR24" s="49"/>
      <c r="FS24" s="34">
        <f t="shared" si="96"/>
        <v>20010002</v>
      </c>
      <c r="FT24" s="34">
        <f t="shared" si="97"/>
        <v>32016180</v>
      </c>
      <c r="FU24" s="3"/>
      <c r="FV24" s="3"/>
      <c r="FW24" s="3"/>
      <c r="FX24" s="3"/>
      <c r="FY24" s="3"/>
      <c r="FZ24" s="3"/>
      <c r="GA24" s="3"/>
      <c r="GB24" s="4"/>
      <c r="GC24" s="3"/>
      <c r="GD24" s="182"/>
      <c r="GE24" s="3"/>
      <c r="GF24" s="3"/>
      <c r="GG24" s="3"/>
      <c r="GH24" s="3"/>
      <c r="GI24" s="3"/>
      <c r="GJ24" s="3"/>
      <c r="GK24" s="3"/>
      <c r="GL24" s="3"/>
      <c r="GM24" s="3"/>
      <c r="GN24" s="3"/>
    </row>
    <row r="25" spans="1:196" s="1" customFormat="1" ht="51">
      <c r="A25" s="2" t="str">
        <f t="shared" si="49"/>
        <v>SI Sent, Shipment Awaited</v>
      </c>
      <c r="B25" s="282">
        <v>46</v>
      </c>
      <c r="C25" s="282">
        <v>205</v>
      </c>
      <c r="D25" s="182" t="s">
        <v>208</v>
      </c>
      <c r="E25" s="2" t="str">
        <f t="shared" si="50"/>
        <v>SHORT POSITION</v>
      </c>
      <c r="F25" s="271">
        <f t="shared" si="51"/>
        <v>32016123</v>
      </c>
      <c r="G25" s="271"/>
      <c r="H25" s="2" t="str">
        <f t="shared" si="52"/>
        <v>RED RIVER FOODS</v>
      </c>
      <c r="I25" s="3" t="s">
        <v>375</v>
      </c>
      <c r="J25" s="2" t="s">
        <v>347</v>
      </c>
      <c r="K25" s="2" t="str">
        <f t="shared" si="53"/>
        <v>Qui Nhon, Vietnam</v>
      </c>
      <c r="L25" s="2" t="str">
        <f t="shared" si="95"/>
        <v/>
      </c>
      <c r="M25" s="2" t="str">
        <f t="shared" si="94"/>
        <v/>
      </c>
      <c r="N25" s="22" t="str">
        <f t="shared" si="56"/>
        <v/>
      </c>
      <c r="O25" s="22" t="str">
        <f t="shared" si="57"/>
        <v/>
      </c>
      <c r="P25" s="22" t="str">
        <f t="shared" si="58"/>
        <v>No OBL Yet</v>
      </c>
      <c r="Q25" s="2"/>
      <c r="R25" s="2" t="str">
        <f t="shared" si="59"/>
        <v>No CERTS Yet</v>
      </c>
      <c r="S25" s="2" t="str">
        <f t="shared" si="60"/>
        <v/>
      </c>
      <c r="T25" s="615" t="s">
        <v>376</v>
      </c>
      <c r="U25" s="3" t="s">
        <v>377</v>
      </c>
      <c r="V25" s="272" t="s">
        <v>378</v>
      </c>
      <c r="W25" s="619" t="s">
        <v>379</v>
      </c>
      <c r="X25" s="24">
        <v>46108</v>
      </c>
      <c r="Y25" s="273">
        <v>20009869</v>
      </c>
      <c r="Z25" s="24">
        <v>46108</v>
      </c>
      <c r="AA25" s="182">
        <v>32016123</v>
      </c>
      <c r="AB25" s="182" t="s">
        <v>380</v>
      </c>
      <c r="AC25" s="182" t="s">
        <v>263</v>
      </c>
      <c r="AD25" s="181">
        <v>46142</v>
      </c>
      <c r="AE25" s="30">
        <v>0.05</v>
      </c>
      <c r="AF25" s="277">
        <v>100</v>
      </c>
      <c r="AG25" s="4">
        <f t="shared" si="61"/>
        <v>95</v>
      </c>
      <c r="AH25" s="3" t="s">
        <v>215</v>
      </c>
      <c r="AI25" s="4">
        <v>1535</v>
      </c>
      <c r="AJ25" s="4">
        <f>AI25*AF25</f>
        <v>153500</v>
      </c>
      <c r="AK25" s="3" t="s">
        <v>249</v>
      </c>
      <c r="AL25" s="3" t="s">
        <v>238</v>
      </c>
      <c r="AM25" s="183">
        <v>0.1</v>
      </c>
      <c r="AN25" s="183">
        <v>0.88</v>
      </c>
      <c r="AO25" s="183">
        <v>0.02</v>
      </c>
      <c r="AP25" s="28" t="s">
        <v>218</v>
      </c>
      <c r="AQ25" s="3" t="s">
        <v>354</v>
      </c>
      <c r="AR25" s="18" t="s">
        <v>251</v>
      </c>
      <c r="AS25" s="27"/>
      <c r="AT25" s="3" t="s">
        <v>220</v>
      </c>
      <c r="AU25" s="3" t="s">
        <v>220</v>
      </c>
      <c r="AV25" s="3" t="s">
        <v>220</v>
      </c>
      <c r="AW25" s="9"/>
      <c r="AX25" s="3"/>
      <c r="AY25" s="47">
        <v>46120</v>
      </c>
      <c r="AZ25" s="278">
        <f t="shared" si="62"/>
        <v>15350</v>
      </c>
      <c r="BA25" s="18">
        <v>46120</v>
      </c>
      <c r="BB25" s="22">
        <v>46113</v>
      </c>
      <c r="BC25" s="22"/>
      <c r="BD25" s="22"/>
      <c r="BE25" s="22"/>
      <c r="BF25" s="22">
        <v>46113</v>
      </c>
      <c r="BG25" s="18"/>
      <c r="BH25" s="18"/>
      <c r="BI25" s="33"/>
      <c r="BJ25" s="25"/>
      <c r="BK25" s="189" t="s">
        <v>222</v>
      </c>
      <c r="BL25" s="497"/>
      <c r="BM25" s="18"/>
      <c r="BN25" s="4"/>
      <c r="BO25" s="18"/>
      <c r="BP25" s="3" t="s">
        <v>259</v>
      </c>
      <c r="BQ25" s="21" t="s">
        <v>381</v>
      </c>
      <c r="BR25" s="2"/>
      <c r="BS25" s="2"/>
      <c r="BT25" s="2"/>
      <c r="BU25" s="2"/>
      <c r="BV25" s="20"/>
      <c r="BW25" s="19"/>
      <c r="BX25" s="189">
        <f t="shared" si="63"/>
        <v>0</v>
      </c>
      <c r="BY25" s="22"/>
      <c r="BZ25" s="22"/>
      <c r="CA25" s="2"/>
      <c r="CB25" s="22"/>
      <c r="CC25" s="22"/>
      <c r="CD25" s="22"/>
      <c r="CE25" s="22" t="str">
        <f t="shared" si="64"/>
        <v>No OBL Yet</v>
      </c>
      <c r="CF25" s="22"/>
      <c r="CG25" s="22"/>
      <c r="CH25" s="182"/>
      <c r="CI25" s="182"/>
      <c r="CJ25" s="182"/>
      <c r="CK25" s="2" t="str">
        <f t="shared" si="65"/>
        <v>No CERTS Yet</v>
      </c>
      <c r="CL25" s="48"/>
      <c r="CM25" s="22"/>
      <c r="CN25" s="55"/>
      <c r="CO25" s="55"/>
      <c r="CP25" s="55" t="str">
        <f t="shared" si="66"/>
        <v/>
      </c>
      <c r="CQ25" s="190">
        <f t="shared" si="93"/>
        <v>-15350</v>
      </c>
      <c r="CR25" s="54"/>
      <c r="CS25" s="2"/>
      <c r="CT25" s="2"/>
      <c r="CU25" s="14" t="str">
        <f t="shared" si="67"/>
        <v/>
      </c>
      <c r="CV25" s="191" t="str">
        <f t="shared" si="68"/>
        <v/>
      </c>
      <c r="CW25" s="14" t="str">
        <f t="shared" si="69"/>
        <v/>
      </c>
      <c r="CX25" s="14" t="str">
        <f t="shared" si="70"/>
        <v/>
      </c>
      <c r="CY25" s="15" t="str">
        <f t="shared" si="71"/>
        <v/>
      </c>
      <c r="CZ25" s="2"/>
      <c r="DA25" s="41" t="str">
        <f t="shared" si="72"/>
        <v/>
      </c>
      <c r="DB25" s="2"/>
      <c r="DC25" s="192" t="str">
        <f t="shared" si="73"/>
        <v/>
      </c>
      <c r="DD25" s="40"/>
      <c r="DE25" s="16" t="str">
        <f t="shared" si="74"/>
        <v/>
      </c>
      <c r="DF25" s="2" t="str">
        <f t="shared" si="75"/>
        <v/>
      </c>
      <c r="DG25" s="14" t="str">
        <f t="shared" si="76"/>
        <v/>
      </c>
      <c r="DH25" s="2" t="str">
        <f t="shared" si="77"/>
        <v/>
      </c>
      <c r="DI25" s="192" t="str">
        <f t="shared" si="78"/>
        <v/>
      </c>
      <c r="DJ25" s="2" t="str">
        <f t="shared" si="79"/>
        <v/>
      </c>
      <c r="DK25" s="15" t="str">
        <f t="shared" si="80"/>
        <v/>
      </c>
      <c r="DL25" s="2"/>
      <c r="DM25" s="2"/>
      <c r="DN25" s="15" t="str">
        <f t="shared" si="81"/>
        <v/>
      </c>
      <c r="DO25" s="14" t="str">
        <f t="shared" si="82"/>
        <v/>
      </c>
      <c r="DP25" s="14" t="str">
        <f t="shared" si="83"/>
        <v/>
      </c>
      <c r="DQ25" s="15" t="str">
        <f t="shared" si="84"/>
        <v/>
      </c>
      <c r="DR25" s="15" t="str">
        <f t="shared" si="85"/>
        <v/>
      </c>
      <c r="DS25" s="2" t="str">
        <f t="shared" si="86"/>
        <v/>
      </c>
      <c r="DT25" s="2" t="str">
        <f t="shared" si="87"/>
        <v/>
      </c>
      <c r="DU25" s="2"/>
      <c r="DV25" s="2"/>
      <c r="DW25" s="2"/>
      <c r="DX25" s="2"/>
      <c r="DY25" s="2" t="s">
        <v>230</v>
      </c>
      <c r="DZ25" s="2"/>
      <c r="EA25" s="2" t="str">
        <f t="shared" si="88"/>
        <v/>
      </c>
      <c r="EB25" s="2"/>
      <c r="EC25" s="2"/>
      <c r="ED25" s="2"/>
      <c r="EE25" s="3">
        <v>4900009476</v>
      </c>
      <c r="EF25" s="7"/>
      <c r="EG25" s="3"/>
      <c r="EH25" s="3" t="s">
        <v>382</v>
      </c>
      <c r="EI25" s="3"/>
      <c r="EJ25" s="189">
        <v>100</v>
      </c>
      <c r="EK25" s="4">
        <v>1435</v>
      </c>
      <c r="EL25" s="4"/>
      <c r="EM25" s="9"/>
      <c r="EN25" s="189">
        <f t="shared" si="89"/>
        <v>143500</v>
      </c>
      <c r="EO25" s="9"/>
      <c r="EP25" s="8"/>
      <c r="EQ25" s="4"/>
      <c r="ER25" s="4"/>
      <c r="ES25" s="7"/>
      <c r="ET25" s="7"/>
      <c r="EU25" s="6"/>
      <c r="EV25" s="2" t="str">
        <f t="shared" si="90"/>
        <v>Yet to load</v>
      </c>
      <c r="EW25" s="189"/>
      <c r="EX25" s="189" t="e">
        <f t="shared" si="91"/>
        <v>#DIV/0!</v>
      </c>
      <c r="EY25" s="189" t="s">
        <v>233</v>
      </c>
      <c r="EZ25" s="24"/>
      <c r="FA25" s="2"/>
      <c r="FB25" s="24"/>
      <c r="FC25" s="193"/>
      <c r="FD25" s="189">
        <f t="shared" si="92"/>
        <v>0</v>
      </c>
      <c r="FE25" s="52"/>
      <c r="FF25" s="52"/>
      <c r="FG25" s="49"/>
      <c r="FH25" s="49"/>
      <c r="FI25" s="49"/>
      <c r="FJ25" s="49"/>
      <c r="FK25" s="49"/>
      <c r="FL25" s="49">
        <f t="shared" si="44"/>
        <v>0</v>
      </c>
      <c r="FM25" s="180">
        <f t="shared" si="45"/>
        <v>0</v>
      </c>
      <c r="FN25" s="49"/>
      <c r="FO25" s="49"/>
      <c r="FP25" s="49"/>
      <c r="FQ25" s="49"/>
      <c r="FR25" s="49"/>
      <c r="FS25" s="34">
        <f t="shared" si="96"/>
        <v>20009869</v>
      </c>
      <c r="FT25" s="34">
        <f t="shared" si="97"/>
        <v>32016123</v>
      </c>
      <c r="FU25" s="3"/>
      <c r="FV25" s="3"/>
      <c r="FW25" s="3"/>
      <c r="FX25" s="3"/>
      <c r="FY25" s="3"/>
      <c r="FZ25" s="3"/>
      <c r="GA25" s="3"/>
      <c r="GB25" s="4"/>
      <c r="GC25" s="3"/>
      <c r="GD25" s="182"/>
      <c r="GE25" s="3"/>
      <c r="GF25" s="3"/>
      <c r="GG25" s="3"/>
      <c r="GH25" s="3"/>
      <c r="GI25" s="3"/>
      <c r="GJ25" s="3"/>
      <c r="GK25" s="3"/>
      <c r="GL25" s="3"/>
      <c r="GM25" s="3"/>
      <c r="GN25" s="3"/>
    </row>
    <row r="26" spans="1:196" s="1" customFormat="1" ht="33.950000000000003">
      <c r="A26" s="2" t="str">
        <f t="shared" si="49"/>
        <v>Exp Dox Presented to Bank, Pmt Pending</v>
      </c>
      <c r="B26" s="282">
        <v>48</v>
      </c>
      <c r="C26" s="282">
        <v>200</v>
      </c>
      <c r="D26" s="182" t="s">
        <v>208</v>
      </c>
      <c r="E26" s="2" t="str">
        <f t="shared" si="50"/>
        <v>CLOSE POSITION</v>
      </c>
      <c r="F26" s="271">
        <f t="shared" si="51"/>
        <v>32016283</v>
      </c>
      <c r="G26" s="271"/>
      <c r="H26" s="2" t="str">
        <f t="shared" si="52"/>
        <v xml:space="preserve">VALENCY AGRO //HSS//Jain Cashew Nuts  </v>
      </c>
      <c r="I26" s="3" t="s">
        <v>245</v>
      </c>
      <c r="J26" s="2" t="s">
        <v>210</v>
      </c>
      <c r="K26" s="2" t="str">
        <f t="shared" si="53"/>
        <v>TUTICORIN, INDIA</v>
      </c>
      <c r="L26" s="2" t="str">
        <f t="shared" si="95"/>
        <v>MEDUTM434741</v>
      </c>
      <c r="M26" s="2">
        <f t="shared" si="94"/>
        <v>103.36499999999999</v>
      </c>
      <c r="N26" s="22">
        <f t="shared" si="56"/>
        <v>46107</v>
      </c>
      <c r="O26" s="22">
        <f t="shared" si="57"/>
        <v>46158</v>
      </c>
      <c r="P26" s="22" t="str">
        <f t="shared" si="58"/>
        <v>OBL In Destination - INDIA</v>
      </c>
      <c r="Q26" s="2"/>
      <c r="R26" s="2" t="str">
        <f t="shared" si="59"/>
        <v>CERTS in Destination - INDIA</v>
      </c>
      <c r="S26" s="2" t="str">
        <f t="shared" si="60"/>
        <v>Docs in Buyer's Nego Bank</v>
      </c>
      <c r="T26" s="2" t="str">
        <f>IFERROR(_xlfn.XLOOKUP(F26,
'[2]Data 2026'!$H$12:$H$111,
'[2]Data 2026'!$CL$12:$CL$111),"")</f>
        <v/>
      </c>
      <c r="U26" s="3" t="s">
        <v>383</v>
      </c>
      <c r="V26" s="272"/>
      <c r="W26" s="3"/>
      <c r="X26" s="24">
        <v>46125</v>
      </c>
      <c r="Y26" s="273">
        <v>20010107</v>
      </c>
      <c r="Z26" s="24">
        <v>46126</v>
      </c>
      <c r="AA26" s="182">
        <v>32016283</v>
      </c>
      <c r="AB26" s="182" t="s">
        <v>384</v>
      </c>
      <c r="AC26" s="182" t="s">
        <v>385</v>
      </c>
      <c r="AD26" s="181">
        <v>46142</v>
      </c>
      <c r="AE26" s="30">
        <v>0.05</v>
      </c>
      <c r="AF26" s="277">
        <v>100</v>
      </c>
      <c r="AG26" s="4">
        <f t="shared" si="61"/>
        <v>95</v>
      </c>
      <c r="AH26" s="3" t="s">
        <v>215</v>
      </c>
      <c r="AI26" s="4">
        <v>1600</v>
      </c>
      <c r="AJ26" s="4">
        <f>AI26*AF26</f>
        <v>160000</v>
      </c>
      <c r="AK26" s="3" t="s">
        <v>249</v>
      </c>
      <c r="AL26" s="3" t="s">
        <v>217</v>
      </c>
      <c r="AM26" s="30">
        <v>0</v>
      </c>
      <c r="AN26" s="183">
        <v>1</v>
      </c>
      <c r="AO26" s="183">
        <v>0</v>
      </c>
      <c r="AP26" s="28" t="s">
        <v>218</v>
      </c>
      <c r="AQ26" s="18" t="s">
        <v>331</v>
      </c>
      <c r="AR26" s="18" t="s">
        <v>251</v>
      </c>
      <c r="AS26" s="27"/>
      <c r="AT26" s="3" t="s">
        <v>220</v>
      </c>
      <c r="AU26" s="3" t="s">
        <v>220</v>
      </c>
      <c r="AV26" s="3" t="s">
        <v>220</v>
      </c>
      <c r="AW26" s="9"/>
      <c r="AX26" s="3"/>
      <c r="AY26" s="47"/>
      <c r="AZ26" s="278">
        <f t="shared" si="62"/>
        <v>0</v>
      </c>
      <c r="BA26" s="18">
        <v>46107</v>
      </c>
      <c r="BB26" s="22">
        <v>46105</v>
      </c>
      <c r="BC26" s="22"/>
      <c r="BD26" s="22"/>
      <c r="BE26" s="22"/>
      <c r="BF26" s="22">
        <v>46105</v>
      </c>
      <c r="BG26" s="18"/>
      <c r="BH26" s="18"/>
      <c r="BI26" s="3" t="s">
        <v>386</v>
      </c>
      <c r="BJ26" s="25">
        <v>103.36499999999999</v>
      </c>
      <c r="BK26" s="189" t="s">
        <v>222</v>
      </c>
      <c r="BL26" s="497">
        <v>4</v>
      </c>
      <c r="BM26" s="18">
        <v>46107</v>
      </c>
      <c r="BN26" s="4" t="s">
        <v>387</v>
      </c>
      <c r="BO26" s="18">
        <v>46158</v>
      </c>
      <c r="BP26" s="3" t="s">
        <v>245</v>
      </c>
      <c r="BQ26" s="21" t="s">
        <v>346</v>
      </c>
      <c r="BR26" s="2" t="s">
        <v>226</v>
      </c>
      <c r="BS26" s="2"/>
      <c r="BT26" s="2" t="s">
        <v>388</v>
      </c>
      <c r="BU26" s="2" t="s">
        <v>389</v>
      </c>
      <c r="BV26" s="20">
        <v>90084338</v>
      </c>
      <c r="BW26" s="7">
        <v>46136</v>
      </c>
      <c r="BX26" s="189">
        <f t="shared" si="63"/>
        <v>165384</v>
      </c>
      <c r="BY26" s="22"/>
      <c r="BZ26" s="22">
        <v>46121</v>
      </c>
      <c r="CA26" s="2">
        <v>5548360370</v>
      </c>
      <c r="CB26" s="22">
        <v>46126</v>
      </c>
      <c r="CC26" s="22"/>
      <c r="CD26" s="22"/>
      <c r="CE26" s="22" t="str">
        <f t="shared" si="64"/>
        <v>OBL In Destination - INDIA</v>
      </c>
      <c r="CF26" s="22"/>
      <c r="CG26" s="22"/>
      <c r="CH26" s="22">
        <v>46146</v>
      </c>
      <c r="CI26" s="182">
        <v>2243727452</v>
      </c>
      <c r="CJ26" s="181">
        <v>46153</v>
      </c>
      <c r="CK26" s="2" t="str">
        <f t="shared" si="65"/>
        <v>CERTS in Destination - INDIA</v>
      </c>
      <c r="CL26" s="48" t="s">
        <v>229</v>
      </c>
      <c r="CM26" s="22">
        <v>46136</v>
      </c>
      <c r="CN26" s="55">
        <v>1012283075</v>
      </c>
      <c r="CO26" s="54">
        <v>46142</v>
      </c>
      <c r="CP26" s="55" t="str">
        <f t="shared" si="66"/>
        <v>Docs in Buyer's Nego Bank</v>
      </c>
      <c r="CQ26" s="190">
        <f t="shared" si="93"/>
        <v>165384</v>
      </c>
      <c r="CR26" s="54"/>
      <c r="CS26" s="2"/>
      <c r="CT26" s="2"/>
      <c r="CU26" s="14" t="str">
        <f t="shared" si="67"/>
        <v/>
      </c>
      <c r="CV26" s="191" t="str">
        <f t="shared" si="68"/>
        <v/>
      </c>
      <c r="CW26" s="14" t="str">
        <f t="shared" si="69"/>
        <v/>
      </c>
      <c r="CX26" s="14" t="str">
        <f t="shared" si="70"/>
        <v/>
      </c>
      <c r="CY26" s="15" t="str">
        <f t="shared" si="71"/>
        <v/>
      </c>
      <c r="CZ26" s="2"/>
      <c r="DA26" s="41" t="str">
        <f t="shared" si="72"/>
        <v/>
      </c>
      <c r="DB26" s="2"/>
      <c r="DC26" s="192" t="str">
        <f t="shared" si="73"/>
        <v/>
      </c>
      <c r="DD26" s="40"/>
      <c r="DE26" s="16" t="str">
        <f t="shared" si="74"/>
        <v/>
      </c>
      <c r="DF26" s="2" t="str">
        <f t="shared" si="75"/>
        <v/>
      </c>
      <c r="DG26" s="14" t="str">
        <f t="shared" si="76"/>
        <v/>
      </c>
      <c r="DH26" s="2" t="str">
        <f t="shared" si="77"/>
        <v/>
      </c>
      <c r="DI26" s="192" t="str">
        <f t="shared" si="78"/>
        <v/>
      </c>
      <c r="DJ26" s="2" t="str">
        <f t="shared" si="79"/>
        <v/>
      </c>
      <c r="DK26" s="15" t="str">
        <f t="shared" si="80"/>
        <v/>
      </c>
      <c r="DL26" s="2"/>
      <c r="DM26" s="2"/>
      <c r="DN26" s="15" t="str">
        <f t="shared" si="81"/>
        <v/>
      </c>
      <c r="DO26" s="14" t="str">
        <f t="shared" si="82"/>
        <v/>
      </c>
      <c r="DP26" s="14" t="str">
        <f t="shared" si="83"/>
        <v/>
      </c>
      <c r="DQ26" s="15" t="str">
        <f t="shared" si="84"/>
        <v/>
      </c>
      <c r="DR26" s="15" t="str">
        <f t="shared" si="85"/>
        <v/>
      </c>
      <c r="DS26" s="2" t="str">
        <f t="shared" si="86"/>
        <v/>
      </c>
      <c r="DT26" s="2" t="str">
        <f t="shared" si="87"/>
        <v/>
      </c>
      <c r="DU26" s="2"/>
      <c r="DV26" s="2"/>
      <c r="DW26" s="2"/>
      <c r="DX26" s="2"/>
      <c r="DY26" s="2" t="s">
        <v>230</v>
      </c>
      <c r="DZ26" s="2"/>
      <c r="EA26" s="2" t="str">
        <f t="shared" si="88"/>
        <v/>
      </c>
      <c r="EB26" s="2"/>
      <c r="EC26" s="2"/>
      <c r="ED26" s="2"/>
      <c r="EE26" s="3"/>
      <c r="EF26" s="7"/>
      <c r="EG26" s="3"/>
      <c r="EH26" s="3" t="s">
        <v>257</v>
      </c>
      <c r="EI26" s="3"/>
      <c r="EJ26" s="189"/>
      <c r="EK26" s="4"/>
      <c r="EL26" s="4"/>
      <c r="EM26" s="9"/>
      <c r="EN26" s="189">
        <f t="shared" si="89"/>
        <v>0</v>
      </c>
      <c r="EO26" s="9"/>
      <c r="EP26" s="8"/>
      <c r="EQ26" s="4"/>
      <c r="ER26" s="4"/>
      <c r="ES26" s="7"/>
      <c r="ET26" s="7"/>
      <c r="EU26" s="6"/>
      <c r="EV26" s="2" t="str">
        <f t="shared" si="90"/>
        <v>Export Loan</v>
      </c>
      <c r="EW26" s="189"/>
      <c r="EX26" s="189">
        <f t="shared" si="91"/>
        <v>0</v>
      </c>
      <c r="EY26" s="189" t="s">
        <v>233</v>
      </c>
      <c r="EZ26" s="24"/>
      <c r="FA26" s="2">
        <v>22138897</v>
      </c>
      <c r="FB26" s="24"/>
      <c r="FC26" s="193"/>
      <c r="FD26" s="189">
        <f t="shared" si="92"/>
        <v>0</v>
      </c>
      <c r="FE26" s="52"/>
      <c r="FF26" s="52"/>
      <c r="FG26" s="49"/>
      <c r="FH26" s="49"/>
      <c r="FI26" s="49"/>
      <c r="FJ26" s="49"/>
      <c r="FK26" s="49"/>
      <c r="FL26" s="49">
        <f t="shared" si="44"/>
        <v>0</v>
      </c>
      <c r="FM26" s="180">
        <f t="shared" si="45"/>
        <v>46107</v>
      </c>
      <c r="FN26" s="49"/>
      <c r="FO26" s="49"/>
      <c r="FP26" s="49"/>
      <c r="FQ26" s="49"/>
      <c r="FR26" s="49"/>
      <c r="FS26" s="34">
        <f t="shared" si="96"/>
        <v>20010107</v>
      </c>
      <c r="FT26" s="34">
        <f t="shared" si="97"/>
        <v>32016283</v>
      </c>
      <c r="FU26" s="3"/>
      <c r="FV26" s="3"/>
      <c r="FW26" s="3"/>
      <c r="FX26" s="3"/>
      <c r="FY26" s="3"/>
      <c r="FZ26" s="3"/>
      <c r="GA26" s="3"/>
      <c r="GB26" s="4"/>
      <c r="GC26" s="3"/>
      <c r="GD26" s="182">
        <v>90084338</v>
      </c>
      <c r="GE26" s="3"/>
      <c r="GF26" s="3"/>
      <c r="GG26" s="3"/>
      <c r="GH26" s="3"/>
      <c r="GI26" s="3"/>
      <c r="GJ26" s="3"/>
      <c r="GK26" s="3"/>
      <c r="GL26" s="3"/>
      <c r="GM26" s="3"/>
      <c r="GN26" s="3"/>
    </row>
    <row r="27" spans="1:196" s="1" customFormat="1" ht="33.950000000000003">
      <c r="A27" s="2" t="str">
        <f t="shared" si="49"/>
        <v>Exp Dox Presented to Bank, Pmt Pending</v>
      </c>
      <c r="B27" s="282">
        <v>48</v>
      </c>
      <c r="C27" s="282">
        <v>200</v>
      </c>
      <c r="D27" s="182" t="s">
        <v>208</v>
      </c>
      <c r="E27" s="2" t="str">
        <f t="shared" si="50"/>
        <v>CLOSE POSITION</v>
      </c>
      <c r="F27" s="271">
        <f t="shared" si="51"/>
        <v>32016346</v>
      </c>
      <c r="G27" s="271"/>
      <c r="H27" s="2" t="str">
        <f t="shared" si="52"/>
        <v>Valency Agro (Processing)</v>
      </c>
      <c r="I27" s="3" t="s">
        <v>245</v>
      </c>
      <c r="J27" s="2" t="s">
        <v>210</v>
      </c>
      <c r="K27" s="2" t="str">
        <f t="shared" si="53"/>
        <v>TUTICORIN, INDIA</v>
      </c>
      <c r="L27" s="2" t="str">
        <f t="shared" si="95"/>
        <v>MEDUTM435789</v>
      </c>
      <c r="M27" s="2">
        <f t="shared" si="94"/>
        <v>104.2</v>
      </c>
      <c r="N27" s="22">
        <f t="shared" si="56"/>
        <v>46107</v>
      </c>
      <c r="O27" s="22">
        <f t="shared" si="57"/>
        <v>46160</v>
      </c>
      <c r="P27" s="22" t="str">
        <f t="shared" si="58"/>
        <v>OBL In Destination - INDIA</v>
      </c>
      <c r="Q27" s="2"/>
      <c r="R27" s="2" t="str">
        <f t="shared" si="59"/>
        <v>CERTS in Destination - INDIA</v>
      </c>
      <c r="S27" s="2" t="str">
        <f t="shared" si="60"/>
        <v>Docs in Buyer's Nego Bank</v>
      </c>
      <c r="T27" s="2" t="str">
        <f>IFERROR(_xlfn.XLOOKUP(F27,
'[2]Data 2026'!$H$12:$H$111,
'[2]Data 2026'!$CL$12:$CL$111),"")</f>
        <v/>
      </c>
      <c r="U27" s="3" t="s">
        <v>390</v>
      </c>
      <c r="V27" s="272"/>
      <c r="W27" s="3" t="s">
        <v>391</v>
      </c>
      <c r="X27" s="24">
        <v>46142</v>
      </c>
      <c r="Y27" s="273">
        <v>20010240</v>
      </c>
      <c r="Z27" s="24">
        <v>46142</v>
      </c>
      <c r="AA27" s="182">
        <v>32016346</v>
      </c>
      <c r="AB27" s="182" t="s">
        <v>247</v>
      </c>
      <c r="AC27" s="182" t="s">
        <v>385</v>
      </c>
      <c r="AD27" s="181">
        <v>46142</v>
      </c>
      <c r="AE27" s="30">
        <v>0.1</v>
      </c>
      <c r="AF27" s="277">
        <v>100</v>
      </c>
      <c r="AG27" s="4">
        <f t="shared" si="61"/>
        <v>90</v>
      </c>
      <c r="AH27" s="3" t="s">
        <v>215</v>
      </c>
      <c r="AI27" s="4">
        <v>1526</v>
      </c>
      <c r="AJ27" s="4">
        <f>AI27*AF27</f>
        <v>152600</v>
      </c>
      <c r="AK27" s="3" t="s">
        <v>249</v>
      </c>
      <c r="AL27" s="3" t="s">
        <v>217</v>
      </c>
      <c r="AM27" s="30">
        <v>0</v>
      </c>
      <c r="AN27" s="183">
        <v>1</v>
      </c>
      <c r="AO27" s="183">
        <v>0</v>
      </c>
      <c r="AP27" s="28" t="s">
        <v>218</v>
      </c>
      <c r="AQ27" s="18"/>
      <c r="AR27" s="18" t="s">
        <v>251</v>
      </c>
      <c r="AS27" s="27"/>
      <c r="AT27" s="3" t="s">
        <v>220</v>
      </c>
      <c r="AU27" s="3" t="s">
        <v>220</v>
      </c>
      <c r="AV27" s="3" t="s">
        <v>220</v>
      </c>
      <c r="AW27" s="9"/>
      <c r="AX27" s="3"/>
      <c r="AY27" s="47"/>
      <c r="AZ27" s="278">
        <f t="shared" si="62"/>
        <v>0</v>
      </c>
      <c r="BA27" s="18">
        <v>46107</v>
      </c>
      <c r="BB27" s="22">
        <v>46105</v>
      </c>
      <c r="BC27" s="22"/>
      <c r="BD27" s="22"/>
      <c r="BE27" s="22"/>
      <c r="BF27" s="22">
        <v>46105</v>
      </c>
      <c r="BG27" s="18"/>
      <c r="BH27" s="18"/>
      <c r="BI27" s="3" t="s">
        <v>392</v>
      </c>
      <c r="BJ27" s="25">
        <v>104.2</v>
      </c>
      <c r="BK27" s="189" t="s">
        <v>222</v>
      </c>
      <c r="BL27" s="497">
        <v>4</v>
      </c>
      <c r="BM27" s="18">
        <v>46107</v>
      </c>
      <c r="BN27" s="4" t="s">
        <v>393</v>
      </c>
      <c r="BO27" s="18">
        <v>46160</v>
      </c>
      <c r="BP27" s="3" t="s">
        <v>245</v>
      </c>
      <c r="BQ27" s="21" t="s">
        <v>346</v>
      </c>
      <c r="BR27" s="2" t="s">
        <v>226</v>
      </c>
      <c r="BS27" s="2"/>
      <c r="BT27" s="2" t="s">
        <v>394</v>
      </c>
      <c r="BU27" s="2" t="s">
        <v>389</v>
      </c>
      <c r="BV27" s="20">
        <v>90085095</v>
      </c>
      <c r="BW27" s="7">
        <v>46142</v>
      </c>
      <c r="BX27" s="189">
        <f t="shared" si="63"/>
        <v>159009.20000000001</v>
      </c>
      <c r="BY27" s="22"/>
      <c r="BZ27" s="22">
        <v>46121</v>
      </c>
      <c r="CA27" s="2">
        <v>5548360370</v>
      </c>
      <c r="CB27" s="22">
        <v>46126</v>
      </c>
      <c r="CC27" s="22"/>
      <c r="CD27" s="22"/>
      <c r="CE27" s="22" t="str">
        <f t="shared" si="64"/>
        <v>OBL In Destination - INDIA</v>
      </c>
      <c r="CF27" s="22"/>
      <c r="CG27" s="22"/>
      <c r="CH27" s="181">
        <v>46150</v>
      </c>
      <c r="CI27" s="182">
        <v>1978639121</v>
      </c>
      <c r="CJ27" s="181">
        <v>46156</v>
      </c>
      <c r="CK27" s="2" t="str">
        <f t="shared" si="65"/>
        <v>CERTS in Destination - INDIA</v>
      </c>
      <c r="CL27" s="48" t="s">
        <v>229</v>
      </c>
      <c r="CM27" s="22">
        <v>46148</v>
      </c>
      <c r="CN27" s="55">
        <v>1534736851</v>
      </c>
      <c r="CO27" s="54">
        <v>46155</v>
      </c>
      <c r="CP27" s="55" t="str">
        <f t="shared" si="66"/>
        <v>Docs in Buyer's Nego Bank</v>
      </c>
      <c r="CQ27" s="190">
        <f t="shared" si="93"/>
        <v>159009.20000000001</v>
      </c>
      <c r="CR27" s="54"/>
      <c r="CS27" s="2"/>
      <c r="CT27" s="2"/>
      <c r="CU27" s="14" t="str">
        <f t="shared" si="67"/>
        <v/>
      </c>
      <c r="CV27" s="191" t="str">
        <f t="shared" si="68"/>
        <v/>
      </c>
      <c r="CW27" s="14" t="str">
        <f t="shared" si="69"/>
        <v/>
      </c>
      <c r="CX27" s="14" t="str">
        <f t="shared" si="70"/>
        <v/>
      </c>
      <c r="CY27" s="15" t="str">
        <f t="shared" si="71"/>
        <v/>
      </c>
      <c r="CZ27" s="2"/>
      <c r="DA27" s="41" t="str">
        <f t="shared" si="72"/>
        <v/>
      </c>
      <c r="DB27" s="2"/>
      <c r="DC27" s="192" t="str">
        <f t="shared" si="73"/>
        <v/>
      </c>
      <c r="DD27" s="40"/>
      <c r="DE27" s="16" t="str">
        <f t="shared" si="74"/>
        <v/>
      </c>
      <c r="DF27" s="2" t="str">
        <f t="shared" si="75"/>
        <v/>
      </c>
      <c r="DG27" s="14" t="str">
        <f t="shared" si="76"/>
        <v/>
      </c>
      <c r="DH27" s="2" t="str">
        <f t="shared" si="77"/>
        <v/>
      </c>
      <c r="DI27" s="192" t="str">
        <f t="shared" si="78"/>
        <v/>
      </c>
      <c r="DJ27" s="2" t="str">
        <f t="shared" si="79"/>
        <v/>
      </c>
      <c r="DK27" s="15" t="str">
        <f t="shared" si="80"/>
        <v/>
      </c>
      <c r="DL27" s="2"/>
      <c r="DM27" s="2"/>
      <c r="DN27" s="15" t="str">
        <f t="shared" si="81"/>
        <v/>
      </c>
      <c r="DO27" s="14" t="str">
        <f t="shared" si="82"/>
        <v/>
      </c>
      <c r="DP27" s="14" t="str">
        <f t="shared" si="83"/>
        <v/>
      </c>
      <c r="DQ27" s="15" t="str">
        <f t="shared" si="84"/>
        <v/>
      </c>
      <c r="DR27" s="15" t="str">
        <f t="shared" si="85"/>
        <v/>
      </c>
      <c r="DS27" s="2" t="str">
        <f t="shared" si="86"/>
        <v/>
      </c>
      <c r="DT27" s="2" t="str">
        <f t="shared" si="87"/>
        <v/>
      </c>
      <c r="DU27" s="2"/>
      <c r="DV27" s="2"/>
      <c r="DW27" s="2"/>
      <c r="DX27" s="2"/>
      <c r="DY27" s="2" t="s">
        <v>230</v>
      </c>
      <c r="DZ27" s="2"/>
      <c r="EA27" s="2" t="str">
        <f t="shared" si="88"/>
        <v/>
      </c>
      <c r="EB27" s="2"/>
      <c r="EC27" s="2"/>
      <c r="ED27" s="2"/>
      <c r="EE27" s="3"/>
      <c r="EF27" s="7"/>
      <c r="EG27" s="3"/>
      <c r="EH27" s="3" t="s">
        <v>257</v>
      </c>
      <c r="EI27" s="3"/>
      <c r="EJ27" s="189"/>
      <c r="EK27" s="4"/>
      <c r="EL27" s="4"/>
      <c r="EM27" s="9"/>
      <c r="EN27" s="189">
        <f t="shared" si="89"/>
        <v>0</v>
      </c>
      <c r="EO27" s="9"/>
      <c r="EP27" s="8"/>
      <c r="EQ27" s="4"/>
      <c r="ER27" s="4"/>
      <c r="ES27" s="7"/>
      <c r="ET27" s="7"/>
      <c r="EU27" s="6"/>
      <c r="EV27" s="2" t="str">
        <f t="shared" si="90"/>
        <v>Export Loan</v>
      </c>
      <c r="EW27" s="189"/>
      <c r="EX27" s="189">
        <f t="shared" si="91"/>
        <v>0</v>
      </c>
      <c r="EY27" s="189" t="s">
        <v>233</v>
      </c>
      <c r="EZ27" s="24"/>
      <c r="FA27" s="2"/>
      <c r="FB27" s="24"/>
      <c r="FC27" s="193"/>
      <c r="FD27" s="189">
        <f t="shared" si="92"/>
        <v>0</v>
      </c>
      <c r="FE27" s="52"/>
      <c r="FF27" s="52"/>
      <c r="FG27" s="49"/>
      <c r="FH27" s="49"/>
      <c r="FI27" s="49"/>
      <c r="FJ27" s="49"/>
      <c r="FK27" s="49"/>
      <c r="FL27" s="49">
        <f t="shared" si="44"/>
        <v>0</v>
      </c>
      <c r="FM27" s="180">
        <f t="shared" si="45"/>
        <v>46107</v>
      </c>
      <c r="FN27" s="49"/>
      <c r="FO27" s="49"/>
      <c r="FP27" s="49"/>
      <c r="FQ27" s="49"/>
      <c r="FR27" s="49"/>
      <c r="FS27" s="34">
        <f t="shared" si="96"/>
        <v>20010240</v>
      </c>
      <c r="FT27" s="34">
        <f t="shared" si="97"/>
        <v>32016346</v>
      </c>
      <c r="FU27" s="3"/>
      <c r="FV27" s="3"/>
      <c r="FW27" s="3"/>
      <c r="FX27" s="3"/>
      <c r="FY27" s="3"/>
      <c r="FZ27" s="3"/>
      <c r="GA27" s="3"/>
      <c r="GB27" s="4"/>
      <c r="GC27" s="3"/>
      <c r="GD27" s="182"/>
      <c r="GE27" s="3"/>
      <c r="GF27" s="3"/>
      <c r="GG27" s="3"/>
      <c r="GH27" s="3"/>
      <c r="GI27" s="3"/>
      <c r="GJ27" s="3"/>
      <c r="GK27" s="3"/>
      <c r="GL27" s="3"/>
      <c r="GM27" s="3"/>
      <c r="GN27" s="3"/>
    </row>
    <row r="28" spans="1:196" s="1" customFormat="1" ht="33.950000000000003">
      <c r="A28" s="2" t="str">
        <f t="shared" si="49"/>
        <v>Sailed, OBL &amp; Certs Pending</v>
      </c>
      <c r="B28" s="281">
        <v>48</v>
      </c>
      <c r="C28" s="281">
        <v>200</v>
      </c>
      <c r="D28" s="182" t="s">
        <v>208</v>
      </c>
      <c r="E28" s="2" t="str">
        <f t="shared" si="50"/>
        <v>CLOSE POSITION</v>
      </c>
      <c r="F28" s="271">
        <f t="shared" si="51"/>
        <v>32014998</v>
      </c>
      <c r="G28" s="271"/>
      <c r="H28" s="2" t="str">
        <f t="shared" si="52"/>
        <v xml:space="preserve">THAO NGUYEN COMPANY LIMITED  </v>
      </c>
      <c r="I28" s="3" t="s">
        <v>259</v>
      </c>
      <c r="J28" s="2" t="s">
        <v>347</v>
      </c>
      <c r="K28" s="2" t="str">
        <f t="shared" si="53"/>
        <v>CAT LAI HCMC, Vietnam</v>
      </c>
      <c r="L28" s="2" t="str">
        <f t="shared" si="95"/>
        <v>ONEYABJG00282600</v>
      </c>
      <c r="M28" s="2">
        <f t="shared" si="94"/>
        <v>250</v>
      </c>
      <c r="N28" s="22">
        <f t="shared" si="56"/>
        <v>46159</v>
      </c>
      <c r="O28" s="22">
        <f t="shared" si="57"/>
        <v>46178</v>
      </c>
      <c r="P28" s="22" t="str">
        <f t="shared" si="58"/>
        <v>No OBL Yet</v>
      </c>
      <c r="Q28" s="2" t="s">
        <v>395</v>
      </c>
      <c r="R28" s="2" t="str">
        <f t="shared" si="59"/>
        <v>No CERTS Yet</v>
      </c>
      <c r="S28" s="2" t="str">
        <f t="shared" si="60"/>
        <v/>
      </c>
      <c r="T28" s="2" t="s">
        <v>349</v>
      </c>
      <c r="U28" s="3" t="s">
        <v>350</v>
      </c>
      <c r="V28" s="272"/>
      <c r="W28" s="3" t="s">
        <v>351</v>
      </c>
      <c r="X28" s="24">
        <v>46086</v>
      </c>
      <c r="Y28" s="273">
        <v>20009663</v>
      </c>
      <c r="Z28" s="24">
        <v>46086</v>
      </c>
      <c r="AA28" s="182">
        <v>32014998</v>
      </c>
      <c r="AB28" s="182" t="s">
        <v>352</v>
      </c>
      <c r="AC28" s="182" t="s">
        <v>353</v>
      </c>
      <c r="AD28" s="181">
        <v>46173</v>
      </c>
      <c r="AE28" s="30">
        <v>0.1</v>
      </c>
      <c r="AF28" s="277">
        <v>250</v>
      </c>
      <c r="AG28" s="35">
        <f t="shared" si="61"/>
        <v>225</v>
      </c>
      <c r="AH28" s="3" t="s">
        <v>215</v>
      </c>
      <c r="AI28" s="4">
        <v>1515</v>
      </c>
      <c r="AJ28" s="4">
        <v>378750</v>
      </c>
      <c r="AK28" s="3" t="s">
        <v>216</v>
      </c>
      <c r="AL28" s="3" t="s">
        <v>238</v>
      </c>
      <c r="AM28" s="183">
        <v>0.1</v>
      </c>
      <c r="AN28" s="183">
        <v>0.88</v>
      </c>
      <c r="AO28" s="183">
        <v>0.02</v>
      </c>
      <c r="AP28" s="28" t="s">
        <v>218</v>
      </c>
      <c r="AQ28" s="3" t="s">
        <v>370</v>
      </c>
      <c r="AR28" s="3" t="s">
        <v>370</v>
      </c>
      <c r="AS28" s="27"/>
      <c r="AT28" s="3" t="s">
        <v>220</v>
      </c>
      <c r="AU28" s="3" t="s">
        <v>220</v>
      </c>
      <c r="AV28" s="3" t="s">
        <v>220</v>
      </c>
      <c r="AW28" s="9"/>
      <c r="AX28" s="3"/>
      <c r="AY28" s="47">
        <v>46094</v>
      </c>
      <c r="AZ28" s="275">
        <f t="shared" si="62"/>
        <v>37875</v>
      </c>
      <c r="BA28" s="18">
        <v>46097</v>
      </c>
      <c r="BB28" s="22"/>
      <c r="BC28" s="22"/>
      <c r="BD28" s="22"/>
      <c r="BE28" s="22"/>
      <c r="BF28" s="22"/>
      <c r="BG28" s="18"/>
      <c r="BH28" s="18"/>
      <c r="BI28" s="3" t="s">
        <v>396</v>
      </c>
      <c r="BJ28" s="25">
        <v>250</v>
      </c>
      <c r="BK28" s="46" t="s">
        <v>222</v>
      </c>
      <c r="BL28" s="497">
        <v>10</v>
      </c>
      <c r="BM28" s="18">
        <v>46159</v>
      </c>
      <c r="BN28" s="4"/>
      <c r="BO28" s="18">
        <v>46178</v>
      </c>
      <c r="BP28" s="3" t="s">
        <v>259</v>
      </c>
      <c r="BQ28" s="21" t="s">
        <v>357</v>
      </c>
      <c r="BR28" s="2" t="s">
        <v>288</v>
      </c>
      <c r="BS28" s="2"/>
      <c r="BT28" s="2"/>
      <c r="BU28" s="2"/>
      <c r="BV28" s="20"/>
      <c r="BW28" s="19"/>
      <c r="BX28" s="46">
        <f t="shared" si="63"/>
        <v>378750</v>
      </c>
      <c r="BY28" s="22"/>
      <c r="BZ28" s="22"/>
      <c r="CA28" s="2"/>
      <c r="CB28" s="22"/>
      <c r="CC28" s="22"/>
      <c r="CD28" s="22"/>
      <c r="CE28" s="22" t="str">
        <f t="shared" si="64"/>
        <v>No OBL Yet</v>
      </c>
      <c r="CF28" s="22"/>
      <c r="CG28" s="22"/>
      <c r="CH28" s="182"/>
      <c r="CI28" s="182"/>
      <c r="CJ28" s="182"/>
      <c r="CK28" s="2" t="str">
        <f t="shared" si="65"/>
        <v>No CERTS Yet</v>
      </c>
      <c r="CL28" s="48"/>
      <c r="CM28" s="22"/>
      <c r="CN28" s="55"/>
      <c r="CO28" s="55"/>
      <c r="CP28" s="55" t="str">
        <f t="shared" si="66"/>
        <v/>
      </c>
      <c r="CQ28" s="50">
        <f t="shared" si="93"/>
        <v>295425</v>
      </c>
      <c r="CR28" s="54"/>
      <c r="CS28" s="2"/>
      <c r="CT28" s="2"/>
      <c r="CU28" s="14" t="str">
        <f t="shared" si="67"/>
        <v/>
      </c>
      <c r="CV28" s="42" t="str">
        <f t="shared" si="68"/>
        <v/>
      </c>
      <c r="CW28" s="14" t="str">
        <f t="shared" si="69"/>
        <v/>
      </c>
      <c r="CX28" s="14" t="str">
        <f t="shared" si="70"/>
        <v/>
      </c>
      <c r="CY28" s="15" t="str">
        <f t="shared" si="71"/>
        <v/>
      </c>
      <c r="CZ28" s="2"/>
      <c r="DA28" s="41" t="str">
        <f t="shared" si="72"/>
        <v/>
      </c>
      <c r="DB28" s="2"/>
      <c r="DC28" s="39" t="str">
        <f t="shared" si="73"/>
        <v/>
      </c>
      <c r="DD28" s="40"/>
      <c r="DE28" s="16" t="str">
        <f t="shared" si="74"/>
        <v/>
      </c>
      <c r="DF28" s="2" t="str">
        <f t="shared" si="75"/>
        <v/>
      </c>
      <c r="DG28" s="14" t="str">
        <f t="shared" si="76"/>
        <v/>
      </c>
      <c r="DH28" s="2" t="str">
        <f t="shared" si="77"/>
        <v/>
      </c>
      <c r="DI28" s="39" t="str">
        <f t="shared" si="78"/>
        <v/>
      </c>
      <c r="DJ28" s="2" t="str">
        <f t="shared" si="79"/>
        <v/>
      </c>
      <c r="DK28" s="15" t="str">
        <f t="shared" si="80"/>
        <v/>
      </c>
      <c r="DL28" s="2"/>
      <c r="DM28" s="2"/>
      <c r="DN28" s="15" t="str">
        <f t="shared" si="81"/>
        <v/>
      </c>
      <c r="DO28" s="14" t="str">
        <f t="shared" si="82"/>
        <v/>
      </c>
      <c r="DP28" s="14" t="str">
        <f t="shared" si="83"/>
        <v/>
      </c>
      <c r="DQ28" s="15" t="str">
        <f t="shared" si="84"/>
        <v/>
      </c>
      <c r="DR28" s="15" t="str">
        <f t="shared" si="85"/>
        <v/>
      </c>
      <c r="DS28" s="2" t="str">
        <f t="shared" si="86"/>
        <v/>
      </c>
      <c r="DT28" s="2" t="str">
        <f t="shared" si="87"/>
        <v/>
      </c>
      <c r="DU28" s="2"/>
      <c r="DV28" s="2"/>
      <c r="DW28" s="2"/>
      <c r="DX28" s="2"/>
      <c r="DY28" s="2" t="s">
        <v>230</v>
      </c>
      <c r="DZ28" s="2"/>
      <c r="EA28" s="2" t="str">
        <f t="shared" si="88"/>
        <v/>
      </c>
      <c r="EB28" s="2"/>
      <c r="EC28" s="2"/>
      <c r="ED28" s="2"/>
      <c r="EE28" s="3"/>
      <c r="EF28" s="7"/>
      <c r="EG28" s="3"/>
      <c r="EH28" s="3" t="s">
        <v>266</v>
      </c>
      <c r="EI28" s="3"/>
      <c r="EJ28" s="189"/>
      <c r="EK28" s="4"/>
      <c r="EL28" s="9"/>
      <c r="EM28" s="9"/>
      <c r="EN28" s="46">
        <f t="shared" si="89"/>
        <v>0</v>
      </c>
      <c r="EO28" s="9"/>
      <c r="EP28" s="8"/>
      <c r="EQ28" s="4"/>
      <c r="ER28" s="4"/>
      <c r="ES28" s="7"/>
      <c r="ET28" s="7"/>
      <c r="EU28" s="6"/>
      <c r="EV28" s="2" t="str">
        <f t="shared" si="90"/>
        <v>Yet to load</v>
      </c>
      <c r="EW28" s="46"/>
      <c r="EX28" s="46">
        <f t="shared" si="91"/>
        <v>0</v>
      </c>
      <c r="EY28" s="46" t="s">
        <v>233</v>
      </c>
      <c r="EZ28" s="24"/>
      <c r="FA28" s="2"/>
      <c r="FB28" s="24"/>
      <c r="FC28" s="53"/>
      <c r="FD28" s="46">
        <f t="shared" si="92"/>
        <v>0</v>
      </c>
      <c r="FE28" s="52"/>
      <c r="FF28" s="52"/>
      <c r="FG28" s="49"/>
      <c r="FH28" s="49"/>
      <c r="FI28" s="49"/>
      <c r="FJ28" s="49"/>
      <c r="FK28" s="49"/>
      <c r="FL28" s="49">
        <f t="shared" si="44"/>
        <v>0</v>
      </c>
      <c r="FM28" s="180">
        <f t="shared" si="45"/>
        <v>46159</v>
      </c>
      <c r="FN28" s="49"/>
      <c r="FO28" s="49"/>
      <c r="FP28" s="49"/>
      <c r="FQ28" s="49"/>
      <c r="FR28" s="49"/>
      <c r="FS28" s="34">
        <f t="shared" si="96"/>
        <v>20009663</v>
      </c>
      <c r="FT28" s="34">
        <f t="shared" si="97"/>
        <v>32014998</v>
      </c>
      <c r="FU28" s="3"/>
      <c r="FV28" s="3"/>
      <c r="FW28" s="3"/>
      <c r="FX28" s="3"/>
      <c r="FY28" s="3"/>
      <c r="FZ28" s="3"/>
      <c r="GA28" s="3"/>
      <c r="GB28" s="4"/>
      <c r="GC28" s="3"/>
      <c r="GD28" s="182"/>
      <c r="GE28" s="2"/>
      <c r="GF28" s="2"/>
      <c r="GG28" s="2"/>
      <c r="GH28" s="2"/>
      <c r="GI28" s="2"/>
      <c r="GJ28" s="2"/>
      <c r="GK28" s="2"/>
      <c r="GL28" s="2"/>
      <c r="GM28" s="2"/>
      <c r="GN28" s="2"/>
    </row>
    <row r="29" spans="1:196" s="1" customFormat="1" ht="68.099999999999994">
      <c r="A29" s="2" t="str">
        <f t="shared" si="49"/>
        <v>SI Sent, Shipment Awaited</v>
      </c>
      <c r="B29" s="282">
        <v>47</v>
      </c>
      <c r="C29" s="282">
        <v>210</v>
      </c>
      <c r="D29" s="182" t="s">
        <v>208</v>
      </c>
      <c r="E29" s="2" t="str">
        <f t="shared" si="50"/>
        <v>SHORT POSITION</v>
      </c>
      <c r="F29" s="646">
        <f t="shared" si="51"/>
        <v>32016244</v>
      </c>
      <c r="G29" s="271"/>
      <c r="H29" s="2" t="str">
        <f t="shared" si="52"/>
        <v>INDIA ENTERPRISES</v>
      </c>
      <c r="I29" s="3" t="s">
        <v>291</v>
      </c>
      <c r="J29" s="2" t="s">
        <v>210</v>
      </c>
      <c r="K29" s="2" t="str">
        <f t="shared" si="53"/>
        <v>MANGALORE, INDIA</v>
      </c>
      <c r="L29" s="2" t="str">
        <f t="shared" si="95"/>
        <v/>
      </c>
      <c r="M29" s="2" t="str">
        <f t="shared" si="94"/>
        <v/>
      </c>
      <c r="N29" s="22" t="str">
        <f t="shared" si="56"/>
        <v/>
      </c>
      <c r="O29" s="22" t="str">
        <f t="shared" si="57"/>
        <v/>
      </c>
      <c r="P29" s="22" t="str">
        <f t="shared" si="58"/>
        <v>No OBL Yet</v>
      </c>
      <c r="Q29" s="2"/>
      <c r="R29" s="2" t="str">
        <f t="shared" si="59"/>
        <v>No CERTS Yet</v>
      </c>
      <c r="S29" s="2" t="str">
        <f t="shared" si="60"/>
        <v/>
      </c>
      <c r="T29" s="615" t="s">
        <v>397</v>
      </c>
      <c r="U29" s="3" t="s">
        <v>398</v>
      </c>
      <c r="V29" s="272" t="s">
        <v>399</v>
      </c>
      <c r="W29" s="619" t="s">
        <v>379</v>
      </c>
      <c r="X29" s="24"/>
      <c r="Y29" s="273">
        <v>20010003</v>
      </c>
      <c r="Z29" s="24">
        <v>46113</v>
      </c>
      <c r="AA29" s="182">
        <v>32016244</v>
      </c>
      <c r="AB29" s="182" t="s">
        <v>275</v>
      </c>
      <c r="AC29" s="182" t="s">
        <v>263</v>
      </c>
      <c r="AD29" s="181">
        <v>46142</v>
      </c>
      <c r="AE29" s="30">
        <v>0.1</v>
      </c>
      <c r="AF29" s="277">
        <v>100</v>
      </c>
      <c r="AG29" s="4">
        <f t="shared" si="61"/>
        <v>90</v>
      </c>
      <c r="AH29" s="3" t="s">
        <v>215</v>
      </c>
      <c r="AI29" s="4">
        <v>1510</v>
      </c>
      <c r="AJ29" s="4">
        <f t="shared" ref="AJ29:AJ45" si="98">AI29*AF29</f>
        <v>151000</v>
      </c>
      <c r="AK29" s="3" t="s">
        <v>249</v>
      </c>
      <c r="AL29" s="3" t="s">
        <v>238</v>
      </c>
      <c r="AM29" s="183">
        <v>0.1</v>
      </c>
      <c r="AN29" s="183">
        <v>0.9</v>
      </c>
      <c r="AO29" s="183">
        <v>0</v>
      </c>
      <c r="AP29" s="28" t="s">
        <v>218</v>
      </c>
      <c r="AQ29" s="18" t="s">
        <v>239</v>
      </c>
      <c r="AR29" s="18"/>
      <c r="AS29" s="27"/>
      <c r="AT29" s="3" t="s">
        <v>220</v>
      </c>
      <c r="AU29" s="3" t="s">
        <v>220</v>
      </c>
      <c r="AV29" s="3" t="s">
        <v>220</v>
      </c>
      <c r="AW29" s="9"/>
      <c r="AX29" s="3"/>
      <c r="AY29" s="47">
        <v>46116</v>
      </c>
      <c r="AZ29" s="278">
        <f t="shared" si="62"/>
        <v>15100</v>
      </c>
      <c r="BA29" s="18">
        <v>46128</v>
      </c>
      <c r="BB29" s="22">
        <v>46130</v>
      </c>
      <c r="BC29" s="22"/>
      <c r="BD29" s="22"/>
      <c r="BE29" s="22"/>
      <c r="BF29" s="22"/>
      <c r="BG29" s="18"/>
      <c r="BH29" s="18"/>
      <c r="BI29" s="3"/>
      <c r="BJ29" s="643"/>
      <c r="BK29" s="189" t="s">
        <v>222</v>
      </c>
      <c r="BL29" s="497"/>
      <c r="BM29" s="18"/>
      <c r="BN29" s="4"/>
      <c r="BO29" s="18"/>
      <c r="BP29" s="3" t="s">
        <v>400</v>
      </c>
      <c r="BQ29" s="21" t="s">
        <v>265</v>
      </c>
      <c r="BR29" s="2"/>
      <c r="BS29" s="2"/>
      <c r="BT29" s="2"/>
      <c r="BU29" s="2"/>
      <c r="BV29" s="20"/>
      <c r="BW29" s="19"/>
      <c r="BX29" s="189">
        <f t="shared" si="63"/>
        <v>0</v>
      </c>
      <c r="BY29" s="22"/>
      <c r="BZ29" s="22"/>
      <c r="CA29" s="22"/>
      <c r="CB29" s="22"/>
      <c r="CC29" s="22"/>
      <c r="CD29" s="22"/>
      <c r="CE29" s="22" t="str">
        <f t="shared" si="64"/>
        <v>No OBL Yet</v>
      </c>
      <c r="CF29" s="22"/>
      <c r="CG29" s="22"/>
      <c r="CH29" s="182"/>
      <c r="CI29" s="182"/>
      <c r="CJ29" s="182"/>
      <c r="CK29" s="2" t="str">
        <f t="shared" si="65"/>
        <v>No CERTS Yet</v>
      </c>
      <c r="CL29" s="48"/>
      <c r="CM29" s="22"/>
      <c r="CN29" s="55"/>
      <c r="CO29" s="55"/>
      <c r="CP29" s="55" t="str">
        <f t="shared" si="66"/>
        <v/>
      </c>
      <c r="CQ29" s="190">
        <f t="shared" si="93"/>
        <v>-15100</v>
      </c>
      <c r="CR29" s="54"/>
      <c r="CS29" s="2"/>
      <c r="CT29" s="2"/>
      <c r="CU29" s="14" t="str">
        <f t="shared" si="67"/>
        <v/>
      </c>
      <c r="CV29" s="191" t="str">
        <f t="shared" si="68"/>
        <v/>
      </c>
      <c r="CW29" s="14" t="str">
        <f t="shared" si="69"/>
        <v/>
      </c>
      <c r="CX29" s="14" t="str">
        <f t="shared" si="70"/>
        <v/>
      </c>
      <c r="CY29" s="15" t="str">
        <f t="shared" si="71"/>
        <v/>
      </c>
      <c r="CZ29" s="2"/>
      <c r="DA29" s="41" t="str">
        <f t="shared" si="72"/>
        <v/>
      </c>
      <c r="DB29" s="2"/>
      <c r="DC29" s="192" t="str">
        <f t="shared" si="73"/>
        <v/>
      </c>
      <c r="DD29" s="40"/>
      <c r="DE29" s="16" t="str">
        <f t="shared" si="74"/>
        <v/>
      </c>
      <c r="DF29" s="2" t="str">
        <f t="shared" si="75"/>
        <v/>
      </c>
      <c r="DG29" s="14" t="str">
        <f t="shared" si="76"/>
        <v/>
      </c>
      <c r="DH29" s="2" t="str">
        <f t="shared" si="77"/>
        <v/>
      </c>
      <c r="DI29" s="192" t="str">
        <f t="shared" si="78"/>
        <v/>
      </c>
      <c r="DJ29" s="2" t="str">
        <f t="shared" si="79"/>
        <v/>
      </c>
      <c r="DK29" s="15" t="str">
        <f t="shared" si="80"/>
        <v/>
      </c>
      <c r="DL29" s="2"/>
      <c r="DM29" s="2"/>
      <c r="DN29" s="15" t="str">
        <f t="shared" si="81"/>
        <v/>
      </c>
      <c r="DO29" s="14" t="str">
        <f t="shared" si="82"/>
        <v/>
      </c>
      <c r="DP29" s="14" t="str">
        <f t="shared" si="83"/>
        <v/>
      </c>
      <c r="DQ29" s="15" t="str">
        <f t="shared" si="84"/>
        <v/>
      </c>
      <c r="DR29" s="15" t="str">
        <f t="shared" si="85"/>
        <v/>
      </c>
      <c r="DS29" s="2" t="str">
        <f t="shared" si="86"/>
        <v/>
      </c>
      <c r="DT29" s="2" t="str">
        <f t="shared" si="87"/>
        <v/>
      </c>
      <c r="DU29" s="2"/>
      <c r="DV29" s="2"/>
      <c r="DW29" s="2"/>
      <c r="DX29" s="2"/>
      <c r="DY29" s="2" t="s">
        <v>230</v>
      </c>
      <c r="DZ29" s="2"/>
      <c r="EA29" s="2" t="str">
        <f t="shared" si="88"/>
        <v/>
      </c>
      <c r="EB29" s="2"/>
      <c r="EC29" s="2"/>
      <c r="ED29" s="2"/>
      <c r="EE29" s="3"/>
      <c r="EF29" s="7"/>
      <c r="EG29" s="3"/>
      <c r="EH29" s="3" t="s">
        <v>302</v>
      </c>
      <c r="EI29" s="3"/>
      <c r="EJ29" s="189"/>
      <c r="EK29" s="4"/>
      <c r="EL29" s="9"/>
      <c r="EM29" s="9"/>
      <c r="EN29" s="189">
        <f t="shared" si="89"/>
        <v>0</v>
      </c>
      <c r="EO29" s="9"/>
      <c r="EP29" s="8"/>
      <c r="EQ29" s="4"/>
      <c r="ER29" s="4"/>
      <c r="ES29" s="7"/>
      <c r="ET29" s="7"/>
      <c r="EU29" s="6"/>
      <c r="EV29" s="2" t="str">
        <f t="shared" si="90"/>
        <v>Yet to load</v>
      </c>
      <c r="EW29" s="189"/>
      <c r="EX29" s="189" t="e">
        <f t="shared" si="91"/>
        <v>#DIV/0!</v>
      </c>
      <c r="EY29" s="189" t="s">
        <v>233</v>
      </c>
      <c r="EZ29" s="24"/>
      <c r="FA29" s="2"/>
      <c r="FB29" s="24"/>
      <c r="FC29" s="193"/>
      <c r="FD29" s="189">
        <f t="shared" si="92"/>
        <v>0</v>
      </c>
      <c r="FE29" s="52"/>
      <c r="FF29" s="52"/>
      <c r="FG29" s="49"/>
      <c r="FH29" s="49"/>
      <c r="FI29" s="49"/>
      <c r="FJ29" s="49"/>
      <c r="FK29" s="49"/>
      <c r="FL29" s="49">
        <f t="shared" si="44"/>
        <v>0</v>
      </c>
      <c r="FM29" s="180">
        <f t="shared" si="45"/>
        <v>0</v>
      </c>
      <c r="FN29" s="49"/>
      <c r="FO29" s="49"/>
      <c r="FP29" s="49"/>
      <c r="FQ29" s="49"/>
      <c r="FR29" s="49"/>
      <c r="FS29" s="34">
        <f t="shared" si="96"/>
        <v>20010003</v>
      </c>
      <c r="FT29" s="34">
        <f t="shared" si="97"/>
        <v>32016244</v>
      </c>
      <c r="FU29" s="3"/>
      <c r="FV29" s="3"/>
      <c r="FW29" s="3"/>
      <c r="FX29" s="3"/>
      <c r="FY29" s="3"/>
      <c r="FZ29" s="3"/>
      <c r="GA29" s="3"/>
      <c r="GB29" s="4"/>
      <c r="GC29" s="3"/>
      <c r="GD29" s="182"/>
      <c r="GE29" s="3"/>
      <c r="GF29" s="3"/>
      <c r="GG29" s="3"/>
      <c r="GH29" s="3"/>
      <c r="GI29" s="3"/>
      <c r="GJ29" s="3"/>
      <c r="GK29" s="3"/>
      <c r="GL29" s="3"/>
      <c r="GM29" s="3"/>
      <c r="GN29" s="3"/>
    </row>
    <row r="30" spans="1:196" s="1" customFormat="1" ht="51">
      <c r="A30" s="2" t="str">
        <f t="shared" si="49"/>
        <v xml:space="preserve"> Final Pmt Recd , FNF Pending</v>
      </c>
      <c r="B30" s="282">
        <v>48</v>
      </c>
      <c r="C30" s="282">
        <v>185</v>
      </c>
      <c r="D30" s="182" t="s">
        <v>208</v>
      </c>
      <c r="E30" s="2" t="str">
        <f t="shared" si="50"/>
        <v>CLOSE POSITION</v>
      </c>
      <c r="F30" s="271">
        <f t="shared" si="51"/>
        <v>32016264</v>
      </c>
      <c r="G30" s="271"/>
      <c r="H30" s="2" t="str">
        <f t="shared" si="52"/>
        <v xml:space="preserve">LIEN VIET TRADING </v>
      </c>
      <c r="I30" s="3" t="s">
        <v>209</v>
      </c>
      <c r="J30" s="2" t="s">
        <v>347</v>
      </c>
      <c r="K30" s="2" t="str">
        <f t="shared" si="53"/>
        <v>HCMC, VIETNAM</v>
      </c>
      <c r="L30" s="2" t="str">
        <f t="shared" si="95"/>
        <v>MEDULG618936</v>
      </c>
      <c r="M30" s="2">
        <f t="shared" si="94"/>
        <v>264.197</v>
      </c>
      <c r="N30" s="22">
        <f t="shared" si="56"/>
        <v>46099</v>
      </c>
      <c r="O30" s="22">
        <f t="shared" si="57"/>
        <v>46161</v>
      </c>
      <c r="P30" s="22" t="str">
        <f t="shared" si="58"/>
        <v>OBL In Destination - VIETNAM</v>
      </c>
      <c r="Q30" s="2" t="s">
        <v>401</v>
      </c>
      <c r="R30" s="2" t="str">
        <f t="shared" si="59"/>
        <v>CERTS in Destination - VIETNAM</v>
      </c>
      <c r="S30" s="2" t="str">
        <f t="shared" si="60"/>
        <v>Docs in Buyer's Nego Bank</v>
      </c>
      <c r="T30" s="2" t="str">
        <f>IFERROR(_xlfn.XLOOKUP(F30,
'[2]Data 2026'!$H$12:$H$111,
'[2]Data 2026'!$CL$12:$CL$111),"")</f>
        <v/>
      </c>
      <c r="U30" s="3" t="s">
        <v>402</v>
      </c>
      <c r="V30" s="272"/>
      <c r="W30" s="3"/>
      <c r="X30" s="24">
        <v>46120</v>
      </c>
      <c r="Y30" s="273">
        <v>20010050</v>
      </c>
      <c r="Z30" s="24">
        <v>46120</v>
      </c>
      <c r="AA30" s="182">
        <v>32016264</v>
      </c>
      <c r="AB30" s="182" t="s">
        <v>403</v>
      </c>
      <c r="AC30" s="182" t="s">
        <v>263</v>
      </c>
      <c r="AD30" s="181">
        <v>46142</v>
      </c>
      <c r="AE30" s="30">
        <v>0.1</v>
      </c>
      <c r="AF30" s="277">
        <v>250</v>
      </c>
      <c r="AG30" s="4">
        <f t="shared" si="61"/>
        <v>225</v>
      </c>
      <c r="AH30" s="3" t="s">
        <v>215</v>
      </c>
      <c r="AI30" s="4">
        <v>1570</v>
      </c>
      <c r="AJ30" s="4">
        <f t="shared" si="98"/>
        <v>392500</v>
      </c>
      <c r="AK30" s="3" t="s">
        <v>216</v>
      </c>
      <c r="AL30" s="3" t="s">
        <v>404</v>
      </c>
      <c r="AM30" s="183">
        <v>0.1</v>
      </c>
      <c r="AN30" s="183">
        <v>0.88</v>
      </c>
      <c r="AO30" s="183">
        <v>0.02</v>
      </c>
      <c r="AP30" s="28" t="s">
        <v>218</v>
      </c>
      <c r="AQ30" s="3" t="s">
        <v>405</v>
      </c>
      <c r="AR30" s="18" t="s">
        <v>406</v>
      </c>
      <c r="AS30" s="27">
        <v>5</v>
      </c>
      <c r="AT30" s="3" t="s">
        <v>220</v>
      </c>
      <c r="AU30" s="3" t="s">
        <v>220</v>
      </c>
      <c r="AV30" s="3" t="s">
        <v>220</v>
      </c>
      <c r="AW30" s="9"/>
      <c r="AX30" s="3"/>
      <c r="AY30" s="47">
        <v>46122</v>
      </c>
      <c r="AZ30" s="278">
        <f t="shared" si="62"/>
        <v>39250</v>
      </c>
      <c r="BA30" s="18">
        <v>46125</v>
      </c>
      <c r="BB30" s="22"/>
      <c r="BC30" s="22"/>
      <c r="BD30" s="22"/>
      <c r="BE30" s="22"/>
      <c r="BF30" s="22"/>
      <c r="BG30" s="18"/>
      <c r="BH30" s="18"/>
      <c r="BI30" s="3" t="s">
        <v>407</v>
      </c>
      <c r="BJ30" s="25">
        <v>264.197</v>
      </c>
      <c r="BK30" s="189"/>
      <c r="BL30" s="497"/>
      <c r="BM30" s="18">
        <v>46099</v>
      </c>
      <c r="BN30" s="419" t="s">
        <v>408</v>
      </c>
      <c r="BO30" s="18">
        <v>46161</v>
      </c>
      <c r="BP30" s="3" t="s">
        <v>278</v>
      </c>
      <c r="BQ30" s="21" t="s">
        <v>409</v>
      </c>
      <c r="BR30" s="2" t="s">
        <v>226</v>
      </c>
      <c r="BS30" s="2"/>
      <c r="BT30" s="3" t="s">
        <v>242</v>
      </c>
      <c r="BU30" s="3" t="s">
        <v>243</v>
      </c>
      <c r="BV30" s="20">
        <v>90085131</v>
      </c>
      <c r="BW30" s="7">
        <v>46142</v>
      </c>
      <c r="BX30" s="189">
        <f t="shared" si="63"/>
        <v>414789.29</v>
      </c>
      <c r="BY30" s="22"/>
      <c r="BZ30" s="22">
        <v>46135</v>
      </c>
      <c r="CA30" s="2"/>
      <c r="CB30" s="22"/>
      <c r="CC30" s="292" t="s">
        <v>410</v>
      </c>
      <c r="CD30" s="22">
        <v>46150</v>
      </c>
      <c r="CE30" s="22" t="str">
        <f t="shared" si="64"/>
        <v>OBL In Destination - VIETNAM</v>
      </c>
      <c r="CF30" s="22"/>
      <c r="CG30" s="22"/>
      <c r="CH30" s="181">
        <v>46135</v>
      </c>
      <c r="CI30" s="182" t="s">
        <v>410</v>
      </c>
      <c r="CJ30" s="181">
        <v>46150</v>
      </c>
      <c r="CK30" s="2" t="str">
        <f t="shared" si="65"/>
        <v>CERTS in Destination - VIETNAM</v>
      </c>
      <c r="CL30" s="48" t="s">
        <v>411</v>
      </c>
      <c r="CM30" s="22">
        <v>46149</v>
      </c>
      <c r="CN30" s="55">
        <v>7291530002</v>
      </c>
      <c r="CO30" s="437">
        <v>46154</v>
      </c>
      <c r="CP30" s="55" t="str">
        <f t="shared" si="66"/>
        <v>Docs in Buyer's Nego Bank</v>
      </c>
      <c r="CQ30" s="190">
        <v>367243.5</v>
      </c>
      <c r="CR30" s="54">
        <v>46168</v>
      </c>
      <c r="CS30" s="2"/>
      <c r="CT30" s="2"/>
      <c r="CU30" s="14" t="str">
        <f t="shared" si="67"/>
        <v/>
      </c>
      <c r="CV30" s="191" t="str">
        <f t="shared" si="68"/>
        <v/>
      </c>
      <c r="CW30" s="14" t="str">
        <f t="shared" si="69"/>
        <v/>
      </c>
      <c r="CX30" s="14" t="str">
        <f t="shared" si="70"/>
        <v/>
      </c>
      <c r="CY30" s="15" t="str">
        <f t="shared" si="71"/>
        <v/>
      </c>
      <c r="CZ30" s="2"/>
      <c r="DA30" s="41" t="str">
        <f t="shared" si="72"/>
        <v/>
      </c>
      <c r="DB30" s="2"/>
      <c r="DC30" s="192" t="str">
        <f t="shared" si="73"/>
        <v/>
      </c>
      <c r="DD30" s="40"/>
      <c r="DE30" s="16" t="str">
        <f t="shared" si="74"/>
        <v/>
      </c>
      <c r="DF30" s="2" t="str">
        <f t="shared" si="75"/>
        <v/>
      </c>
      <c r="DG30" s="14" t="str">
        <f t="shared" si="76"/>
        <v/>
      </c>
      <c r="DH30" s="2" t="str">
        <f t="shared" si="77"/>
        <v/>
      </c>
      <c r="DI30" s="192" t="str">
        <f t="shared" si="78"/>
        <v/>
      </c>
      <c r="DJ30" s="2" t="str">
        <f t="shared" si="79"/>
        <v/>
      </c>
      <c r="DK30" s="15" t="str">
        <f t="shared" si="80"/>
        <v/>
      </c>
      <c r="DL30" s="2"/>
      <c r="DM30" s="2"/>
      <c r="DN30" s="15" t="str">
        <f t="shared" si="81"/>
        <v/>
      </c>
      <c r="DO30" s="14" t="str">
        <f t="shared" si="82"/>
        <v/>
      </c>
      <c r="DP30" s="14" t="str">
        <f t="shared" si="83"/>
        <v/>
      </c>
      <c r="DQ30" s="15" t="str">
        <f t="shared" si="84"/>
        <v/>
      </c>
      <c r="DR30" s="15" t="str">
        <f t="shared" si="85"/>
        <v/>
      </c>
      <c r="DS30" s="2" t="str">
        <f t="shared" si="86"/>
        <v/>
      </c>
      <c r="DT30" s="2" t="str">
        <f t="shared" si="87"/>
        <v/>
      </c>
      <c r="DU30" s="2"/>
      <c r="DV30" s="2"/>
      <c r="DW30" s="2"/>
      <c r="DX30" s="2"/>
      <c r="DY30" s="2" t="s">
        <v>230</v>
      </c>
      <c r="DZ30" s="2"/>
      <c r="EA30" s="2" t="str">
        <f t="shared" si="88"/>
        <v/>
      </c>
      <c r="EB30" s="2"/>
      <c r="EC30" s="2"/>
      <c r="ED30" s="2"/>
      <c r="EE30" s="3"/>
      <c r="EF30" s="7"/>
      <c r="EG30" s="3"/>
      <c r="EH30" s="3" t="s">
        <v>231</v>
      </c>
      <c r="EI30" s="3"/>
      <c r="EJ30" s="189"/>
      <c r="EK30" s="4"/>
      <c r="EL30" s="4"/>
      <c r="EM30" s="9"/>
      <c r="EN30" s="189">
        <f t="shared" si="89"/>
        <v>0</v>
      </c>
      <c r="EO30" s="9"/>
      <c r="EP30" s="8"/>
      <c r="EQ30" s="4"/>
      <c r="ER30" s="4"/>
      <c r="ES30" s="7"/>
      <c r="ET30" s="7"/>
      <c r="EU30" s="6"/>
      <c r="EV30" s="2" t="str">
        <f t="shared" si="90"/>
        <v>Final Pmt Recd</v>
      </c>
      <c r="EW30" s="189"/>
      <c r="EX30" s="189">
        <f t="shared" si="91"/>
        <v>0</v>
      </c>
      <c r="EY30" s="189" t="s">
        <v>233</v>
      </c>
      <c r="EZ30" s="24"/>
      <c r="FA30" s="2"/>
      <c r="FB30" s="24"/>
      <c r="FC30" s="193"/>
      <c r="FD30" s="189">
        <f t="shared" si="92"/>
        <v>0</v>
      </c>
      <c r="FE30" s="52"/>
      <c r="FF30" s="52"/>
      <c r="FG30" s="49"/>
      <c r="FH30" s="49"/>
      <c r="FI30" s="49"/>
      <c r="FJ30" s="49"/>
      <c r="FK30" s="49"/>
      <c r="FL30" s="49">
        <f t="shared" si="44"/>
        <v>0</v>
      </c>
      <c r="FM30" s="180">
        <f t="shared" si="45"/>
        <v>46099</v>
      </c>
      <c r="FN30" s="49"/>
      <c r="FO30" s="49"/>
      <c r="FP30" s="49"/>
      <c r="FQ30" s="49"/>
      <c r="FR30" s="49"/>
      <c r="FS30" s="34">
        <f t="shared" si="96"/>
        <v>20010050</v>
      </c>
      <c r="FT30" s="34">
        <f t="shared" si="97"/>
        <v>32016264</v>
      </c>
      <c r="FU30" s="3"/>
      <c r="FV30" s="3"/>
      <c r="FW30" s="3"/>
      <c r="FX30" s="3"/>
      <c r="FY30" s="3"/>
      <c r="FZ30" s="3"/>
      <c r="GA30" s="3"/>
      <c r="GB30" s="4"/>
      <c r="GC30" s="3"/>
      <c r="GD30" s="182"/>
      <c r="GE30" s="3"/>
      <c r="GF30" s="3"/>
      <c r="GG30" s="3"/>
      <c r="GH30" s="3"/>
      <c r="GI30" s="3"/>
      <c r="GJ30" s="3"/>
      <c r="GK30" s="3"/>
      <c r="GL30" s="3"/>
      <c r="GM30" s="3"/>
      <c r="GN30" s="3"/>
    </row>
    <row r="31" spans="1:196" s="1" customFormat="1" ht="33.950000000000003">
      <c r="A31" s="2" t="str">
        <f t="shared" si="49"/>
        <v>SI Sent, Shipment Awaited</v>
      </c>
      <c r="B31" s="281">
        <v>48</v>
      </c>
      <c r="C31" s="281">
        <v>200</v>
      </c>
      <c r="D31" s="182" t="s">
        <v>208</v>
      </c>
      <c r="E31" s="2" t="str">
        <f t="shared" si="50"/>
        <v>CLOSE POSITION</v>
      </c>
      <c r="F31" s="271">
        <f t="shared" si="51"/>
        <v>32014499</v>
      </c>
      <c r="G31" s="271"/>
      <c r="H31" s="2" t="str">
        <f t="shared" si="52"/>
        <v>SHANKARNARAYANA CASHEWS</v>
      </c>
      <c r="I31" s="3" t="s">
        <v>259</v>
      </c>
      <c r="J31" s="2" t="s">
        <v>210</v>
      </c>
      <c r="K31" s="2" t="str">
        <f t="shared" si="53"/>
        <v>MANGALORE, INDIA</v>
      </c>
      <c r="L31" s="615">
        <f t="shared" si="95"/>
        <v>267490043</v>
      </c>
      <c r="M31" s="2" t="str">
        <f t="shared" si="94"/>
        <v/>
      </c>
      <c r="N31" s="22" t="str">
        <f t="shared" si="56"/>
        <v/>
      </c>
      <c r="O31" s="22">
        <f t="shared" si="57"/>
        <v>46202</v>
      </c>
      <c r="P31" s="22" t="str">
        <f t="shared" si="58"/>
        <v>No OBL Yet</v>
      </c>
      <c r="Q31" s="2"/>
      <c r="R31" s="2" t="str">
        <f t="shared" si="59"/>
        <v>No CERTS Yet</v>
      </c>
      <c r="S31" s="2" t="str">
        <f t="shared" si="60"/>
        <v/>
      </c>
      <c r="T31" s="2" t="s">
        <v>260</v>
      </c>
      <c r="U31" s="3" t="s">
        <v>412</v>
      </c>
      <c r="V31" s="272"/>
      <c r="W31" s="642"/>
      <c r="X31" s="24">
        <v>46076</v>
      </c>
      <c r="Y31" s="273">
        <v>20009554</v>
      </c>
      <c r="Z31" s="24">
        <v>46074</v>
      </c>
      <c r="AA31" s="182">
        <v>32014499</v>
      </c>
      <c r="AB31" s="182" t="s">
        <v>413</v>
      </c>
      <c r="AC31" s="182" t="s">
        <v>263</v>
      </c>
      <c r="AD31" s="181">
        <v>46142</v>
      </c>
      <c r="AE31" s="30">
        <v>0.1</v>
      </c>
      <c r="AF31" s="277">
        <v>100</v>
      </c>
      <c r="AG31" s="35">
        <f t="shared" si="61"/>
        <v>90</v>
      </c>
      <c r="AH31" s="3" t="s">
        <v>215</v>
      </c>
      <c r="AI31" s="4">
        <v>1510</v>
      </c>
      <c r="AJ31" s="4">
        <f t="shared" si="98"/>
        <v>151000</v>
      </c>
      <c r="AK31" s="3" t="s">
        <v>249</v>
      </c>
      <c r="AL31" s="3" t="s">
        <v>238</v>
      </c>
      <c r="AM31" s="183">
        <v>0.1</v>
      </c>
      <c r="AN31" s="183">
        <v>0.9</v>
      </c>
      <c r="AO31" s="183">
        <v>0</v>
      </c>
      <c r="AP31" s="28" t="s">
        <v>218</v>
      </c>
      <c r="AQ31" s="18" t="s">
        <v>239</v>
      </c>
      <c r="AR31" s="18" t="s">
        <v>264</v>
      </c>
      <c r="AS31" s="27">
        <v>5</v>
      </c>
      <c r="AT31" s="3" t="s">
        <v>220</v>
      </c>
      <c r="AU31" s="3" t="s">
        <v>220</v>
      </c>
      <c r="AV31" s="3" t="s">
        <v>220</v>
      </c>
      <c r="AW31" s="9"/>
      <c r="AX31" s="3"/>
      <c r="AY31" s="47"/>
      <c r="AZ31" s="275">
        <f t="shared" si="62"/>
        <v>15100</v>
      </c>
      <c r="BA31" s="18">
        <v>46079</v>
      </c>
      <c r="BB31" s="22">
        <v>46083</v>
      </c>
      <c r="BC31" s="22"/>
      <c r="BD31" s="22"/>
      <c r="BE31" s="22"/>
      <c r="BF31" s="22">
        <v>46083</v>
      </c>
      <c r="BG31" s="18"/>
      <c r="BH31" s="18"/>
      <c r="BI31" s="3">
        <v>267490043</v>
      </c>
      <c r="BJ31" s="25"/>
      <c r="BK31" s="46" t="s">
        <v>222</v>
      </c>
      <c r="BL31" s="497"/>
      <c r="BM31" s="18"/>
      <c r="BN31" s="4"/>
      <c r="BO31" s="18">
        <v>46202</v>
      </c>
      <c r="BP31" s="3" t="s">
        <v>259</v>
      </c>
      <c r="BQ31" s="21" t="s">
        <v>265</v>
      </c>
      <c r="BR31" s="2"/>
      <c r="BS31" s="2"/>
      <c r="BT31" s="2"/>
      <c r="BU31" s="2"/>
      <c r="BV31" s="20"/>
      <c r="BW31" s="19"/>
      <c r="BX31" s="46">
        <f t="shared" si="63"/>
        <v>0</v>
      </c>
      <c r="BY31" s="22"/>
      <c r="BZ31" s="22"/>
      <c r="CA31" s="2"/>
      <c r="CB31" s="22"/>
      <c r="CC31" s="22"/>
      <c r="CD31" s="22"/>
      <c r="CE31" s="22" t="str">
        <f t="shared" si="64"/>
        <v>No OBL Yet</v>
      </c>
      <c r="CF31" s="22"/>
      <c r="CG31" s="22"/>
      <c r="CH31" s="182"/>
      <c r="CI31" s="182"/>
      <c r="CJ31" s="182"/>
      <c r="CK31" s="2" t="str">
        <f t="shared" si="65"/>
        <v>No CERTS Yet</v>
      </c>
      <c r="CL31" s="48"/>
      <c r="CM31" s="22"/>
      <c r="CN31" s="55"/>
      <c r="CO31" s="55"/>
      <c r="CP31" s="55" t="str">
        <f t="shared" si="66"/>
        <v/>
      </c>
      <c r="CQ31" s="50">
        <f t="shared" ref="CQ31:CQ39" si="99">(AN31*AI31*BJ31)-AZ31</f>
        <v>-15100</v>
      </c>
      <c r="CR31" s="54"/>
      <c r="CS31" s="2"/>
      <c r="CT31" s="2"/>
      <c r="CU31" s="14" t="str">
        <f t="shared" si="67"/>
        <v/>
      </c>
      <c r="CV31" s="42" t="str">
        <f t="shared" si="68"/>
        <v/>
      </c>
      <c r="CW31" s="14" t="str">
        <f t="shared" si="69"/>
        <v/>
      </c>
      <c r="CX31" s="14" t="str">
        <f t="shared" si="70"/>
        <v/>
      </c>
      <c r="CY31" s="15" t="str">
        <f t="shared" si="71"/>
        <v/>
      </c>
      <c r="CZ31" s="2"/>
      <c r="DA31" s="41" t="str">
        <f t="shared" si="72"/>
        <v/>
      </c>
      <c r="DB31" s="2"/>
      <c r="DC31" s="39" t="str">
        <f t="shared" si="73"/>
        <v/>
      </c>
      <c r="DD31" s="40"/>
      <c r="DE31" s="16" t="str">
        <f t="shared" si="74"/>
        <v/>
      </c>
      <c r="DF31" s="2" t="str">
        <f t="shared" si="75"/>
        <v/>
      </c>
      <c r="DG31" s="14" t="str">
        <f t="shared" si="76"/>
        <v/>
      </c>
      <c r="DH31" s="2" t="str">
        <f t="shared" si="77"/>
        <v/>
      </c>
      <c r="DI31" s="39" t="str">
        <f t="shared" si="78"/>
        <v/>
      </c>
      <c r="DJ31" s="2" t="str">
        <f t="shared" si="79"/>
        <v/>
      </c>
      <c r="DK31" s="15" t="str">
        <f t="shared" si="80"/>
        <v/>
      </c>
      <c r="DL31" s="2"/>
      <c r="DM31" s="2"/>
      <c r="DN31" s="15" t="str">
        <f t="shared" si="81"/>
        <v/>
      </c>
      <c r="DO31" s="14" t="str">
        <f t="shared" si="82"/>
        <v/>
      </c>
      <c r="DP31" s="14" t="str">
        <f t="shared" si="83"/>
        <v/>
      </c>
      <c r="DQ31" s="15" t="str">
        <f t="shared" si="84"/>
        <v/>
      </c>
      <c r="DR31" s="15" t="str">
        <f t="shared" si="85"/>
        <v/>
      </c>
      <c r="DS31" s="2" t="str">
        <f t="shared" si="86"/>
        <v/>
      </c>
      <c r="DT31" s="2" t="str">
        <f t="shared" si="87"/>
        <v/>
      </c>
      <c r="DU31" s="2"/>
      <c r="DV31" s="2"/>
      <c r="DW31" s="2"/>
      <c r="DX31" s="2"/>
      <c r="DY31" s="2" t="s">
        <v>230</v>
      </c>
      <c r="DZ31" s="2"/>
      <c r="EA31" s="2" t="str">
        <f t="shared" si="88"/>
        <v/>
      </c>
      <c r="EB31" s="2"/>
      <c r="EC31" s="2"/>
      <c r="ED31" s="2"/>
      <c r="EE31" s="3"/>
      <c r="EF31" s="7"/>
      <c r="EG31" s="3"/>
      <c r="EH31" s="3" t="s">
        <v>266</v>
      </c>
      <c r="EI31" s="3"/>
      <c r="EJ31" s="189"/>
      <c r="EK31" s="4"/>
      <c r="EL31" s="4"/>
      <c r="EM31" s="9"/>
      <c r="EN31" s="46">
        <f t="shared" si="89"/>
        <v>0</v>
      </c>
      <c r="EO31" s="9"/>
      <c r="EP31" s="8"/>
      <c r="EQ31" s="4"/>
      <c r="ER31" s="4"/>
      <c r="ES31" s="7"/>
      <c r="ET31" s="7"/>
      <c r="EU31" s="6"/>
      <c r="EV31" s="2" t="str">
        <f t="shared" si="90"/>
        <v>Yet to load</v>
      </c>
      <c r="EW31" s="46"/>
      <c r="EX31" s="46" t="e">
        <f t="shared" si="91"/>
        <v>#DIV/0!</v>
      </c>
      <c r="EY31" s="46" t="s">
        <v>233</v>
      </c>
      <c r="EZ31" s="24"/>
      <c r="FA31" s="2"/>
      <c r="FB31" s="24"/>
      <c r="FC31" s="53"/>
      <c r="FD31" s="46">
        <f t="shared" si="92"/>
        <v>0</v>
      </c>
      <c r="FE31" s="52"/>
      <c r="FF31" s="52"/>
      <c r="FG31" s="49"/>
      <c r="FH31" s="49"/>
      <c r="FI31" s="49"/>
      <c r="FJ31" s="49"/>
      <c r="FK31" s="49"/>
      <c r="FL31" s="49">
        <f t="shared" si="44"/>
        <v>0</v>
      </c>
      <c r="FM31" s="180">
        <f t="shared" si="45"/>
        <v>0</v>
      </c>
      <c r="FN31" s="49"/>
      <c r="FO31" s="49"/>
      <c r="FP31" s="49"/>
      <c r="FQ31" s="49"/>
      <c r="FR31" s="49"/>
      <c r="FS31" s="34">
        <f t="shared" si="96"/>
        <v>20009554</v>
      </c>
      <c r="FT31" s="34">
        <f t="shared" si="97"/>
        <v>32014499</v>
      </c>
      <c r="FU31" s="3"/>
      <c r="FV31" s="3"/>
      <c r="FW31" s="3"/>
      <c r="FX31" s="3"/>
      <c r="FY31" s="3"/>
      <c r="FZ31" s="3"/>
      <c r="GA31" s="3"/>
      <c r="GB31" s="4"/>
      <c r="GC31" s="3"/>
      <c r="GD31" s="182"/>
      <c r="GE31" s="3"/>
      <c r="GF31" s="3"/>
      <c r="GG31" s="3"/>
      <c r="GH31" s="3"/>
      <c r="GI31" s="3"/>
      <c r="GJ31" s="3"/>
      <c r="GK31" s="3"/>
      <c r="GL31" s="3"/>
      <c r="GM31" s="3"/>
      <c r="GN31" s="3"/>
    </row>
    <row r="32" spans="1:196" s="1" customFormat="1" ht="36.950000000000003">
      <c r="A32" s="2" t="str">
        <f t="shared" si="49"/>
        <v xml:space="preserve"> Final Pmt Recd , FNF Pending</v>
      </c>
      <c r="B32" s="282">
        <v>47</v>
      </c>
      <c r="C32" s="282">
        <v>185</v>
      </c>
      <c r="D32" s="182" t="s">
        <v>208</v>
      </c>
      <c r="E32" s="2" t="str">
        <f t="shared" si="50"/>
        <v>CLOSE POSITION</v>
      </c>
      <c r="F32" s="271" t="str">
        <f t="shared" si="51"/>
        <v>32015281-2</v>
      </c>
      <c r="G32" s="271"/>
      <c r="H32" s="2" t="str">
        <f t="shared" si="52"/>
        <v>Valency Agro (Processing)</v>
      </c>
      <c r="I32" s="3" t="s">
        <v>245</v>
      </c>
      <c r="J32" s="2" t="s">
        <v>210</v>
      </c>
      <c r="K32" s="2" t="str">
        <f t="shared" si="53"/>
        <v>MANGALORE, INDIA</v>
      </c>
      <c r="L32" s="2">
        <f t="shared" si="95"/>
        <v>267377584</v>
      </c>
      <c r="M32" s="2">
        <f t="shared" si="94"/>
        <v>177.52</v>
      </c>
      <c r="N32" s="22">
        <f t="shared" si="56"/>
        <v>46095</v>
      </c>
      <c r="O32" s="22">
        <f t="shared" si="57"/>
        <v>46160</v>
      </c>
      <c r="P32" s="22" t="str">
        <f t="shared" si="58"/>
        <v>OBL In Destination - INDIA</v>
      </c>
      <c r="Q32" s="2"/>
      <c r="R32" s="2" t="str">
        <f t="shared" si="59"/>
        <v>CERTS in Destination - INDIA</v>
      </c>
      <c r="S32" s="2" t="str">
        <f t="shared" si="60"/>
        <v>Docs in Buyer's Nego Bank</v>
      </c>
      <c r="T32" s="2" t="str">
        <f>IFERROR(_xlfn.XLOOKUP(F32,
'[2]Data 2026'!$H$12:$H$111,
'[2]Data 2026'!$CL$12:$CL$111),"")</f>
        <v/>
      </c>
      <c r="U32" s="3" t="s">
        <v>414</v>
      </c>
      <c r="V32" s="272"/>
      <c r="W32" s="3"/>
      <c r="X32" s="24">
        <v>46093</v>
      </c>
      <c r="Y32" s="273">
        <v>20009747</v>
      </c>
      <c r="Z32" s="24">
        <f>X32</f>
        <v>46093</v>
      </c>
      <c r="AA32" s="182" t="s">
        <v>415</v>
      </c>
      <c r="AB32" s="182" t="s">
        <v>247</v>
      </c>
      <c r="AC32" s="182" t="s">
        <v>248</v>
      </c>
      <c r="AD32" s="181">
        <v>46112</v>
      </c>
      <c r="AE32" s="30">
        <v>0.1</v>
      </c>
      <c r="AF32" s="277">
        <v>175</v>
      </c>
      <c r="AG32" s="35">
        <f t="shared" si="61"/>
        <v>157.5</v>
      </c>
      <c r="AH32" s="3" t="s">
        <v>215</v>
      </c>
      <c r="AI32" s="4">
        <v>1585</v>
      </c>
      <c r="AJ32" s="4">
        <f t="shared" si="98"/>
        <v>277375</v>
      </c>
      <c r="AK32" s="3" t="s">
        <v>249</v>
      </c>
      <c r="AL32" s="3" t="s">
        <v>238</v>
      </c>
      <c r="AM32" s="30">
        <v>0</v>
      </c>
      <c r="AN32" s="183">
        <v>1</v>
      </c>
      <c r="AO32" s="183">
        <v>0</v>
      </c>
      <c r="AP32" s="28" t="s">
        <v>218</v>
      </c>
      <c r="AQ32" s="18" t="s">
        <v>250</v>
      </c>
      <c r="AR32" s="18" t="s">
        <v>251</v>
      </c>
      <c r="AS32" s="27"/>
      <c r="AT32" s="3" t="s">
        <v>220</v>
      </c>
      <c r="AU32" s="3" t="s">
        <v>220</v>
      </c>
      <c r="AV32" s="3" t="s">
        <v>220</v>
      </c>
      <c r="AW32" s="9"/>
      <c r="AX32" s="3"/>
      <c r="AY32" s="47"/>
      <c r="AZ32" s="278">
        <f t="shared" si="62"/>
        <v>0</v>
      </c>
      <c r="BA32" s="18">
        <f>Z32</f>
        <v>46093</v>
      </c>
      <c r="BB32" s="22">
        <v>46078</v>
      </c>
      <c r="BC32" s="22"/>
      <c r="BD32" s="22"/>
      <c r="BE32" s="22"/>
      <c r="BF32" s="22">
        <v>46078</v>
      </c>
      <c r="BG32" s="18"/>
      <c r="BH32" s="18"/>
      <c r="BI32" s="3">
        <v>267377584</v>
      </c>
      <c r="BJ32" s="25">
        <v>177.52</v>
      </c>
      <c r="BK32" s="189" t="s">
        <v>222</v>
      </c>
      <c r="BL32" s="497">
        <v>7</v>
      </c>
      <c r="BM32" s="18">
        <v>46095</v>
      </c>
      <c r="BN32" s="4"/>
      <c r="BO32" s="18">
        <v>46160</v>
      </c>
      <c r="BP32" s="3" t="s">
        <v>245</v>
      </c>
      <c r="BQ32" s="21" t="s">
        <v>265</v>
      </c>
      <c r="BR32" s="2" t="s">
        <v>416</v>
      </c>
      <c r="BS32" s="2"/>
      <c r="BT32" s="2" t="s">
        <v>417</v>
      </c>
      <c r="BU32" s="2" t="s">
        <v>418</v>
      </c>
      <c r="BV32" s="20">
        <v>90082895</v>
      </c>
      <c r="BW32" s="19"/>
      <c r="BX32" s="189">
        <f t="shared" si="63"/>
        <v>281369.2</v>
      </c>
      <c r="BY32" s="22"/>
      <c r="BZ32" s="22"/>
      <c r="CA32" s="2"/>
      <c r="CB32" s="22"/>
      <c r="CC32" s="22"/>
      <c r="CD32" s="22"/>
      <c r="CE32" s="22" t="str">
        <f t="shared" si="64"/>
        <v>OBL In Destination - INDIA</v>
      </c>
      <c r="CF32" s="22"/>
      <c r="CG32" s="22"/>
      <c r="CH32" s="272" t="s">
        <v>419</v>
      </c>
      <c r="CI32" s="182">
        <v>2363213101</v>
      </c>
      <c r="CJ32" s="181">
        <v>46146</v>
      </c>
      <c r="CK32" s="2" t="str">
        <f t="shared" si="65"/>
        <v>CERTS in Destination - INDIA</v>
      </c>
      <c r="CL32" s="48" t="s">
        <v>229</v>
      </c>
      <c r="CM32" s="22">
        <v>46119</v>
      </c>
      <c r="CN32" s="55">
        <v>2365151644</v>
      </c>
      <c r="CO32" s="54">
        <v>46155</v>
      </c>
      <c r="CP32" s="55" t="str">
        <f t="shared" si="66"/>
        <v>Docs in Buyer's Nego Bank</v>
      </c>
      <c r="CQ32" s="190">
        <f t="shared" si="99"/>
        <v>281369.2</v>
      </c>
      <c r="CR32" s="54">
        <v>46156</v>
      </c>
      <c r="CS32" s="2"/>
      <c r="CT32" s="2"/>
      <c r="CU32" s="14" t="str">
        <f t="shared" si="67"/>
        <v/>
      </c>
      <c r="CV32" s="191" t="str">
        <f t="shared" si="68"/>
        <v/>
      </c>
      <c r="CW32" s="14" t="str">
        <f t="shared" si="69"/>
        <v/>
      </c>
      <c r="CX32" s="14" t="str">
        <f t="shared" si="70"/>
        <v/>
      </c>
      <c r="CY32" s="15" t="str">
        <f t="shared" si="71"/>
        <v/>
      </c>
      <c r="CZ32" s="2"/>
      <c r="DA32" s="41" t="str">
        <f t="shared" si="72"/>
        <v/>
      </c>
      <c r="DB32" s="2"/>
      <c r="DC32" s="192" t="str">
        <f t="shared" si="73"/>
        <v/>
      </c>
      <c r="DD32" s="40"/>
      <c r="DE32" s="16" t="str">
        <f t="shared" si="74"/>
        <v/>
      </c>
      <c r="DF32" s="2" t="str">
        <f t="shared" si="75"/>
        <v/>
      </c>
      <c r="DG32" s="14" t="str">
        <f t="shared" si="76"/>
        <v/>
      </c>
      <c r="DH32" s="2" t="str">
        <f t="shared" si="77"/>
        <v/>
      </c>
      <c r="DI32" s="192" t="str">
        <f t="shared" si="78"/>
        <v/>
      </c>
      <c r="DJ32" s="2" t="str">
        <f t="shared" si="79"/>
        <v/>
      </c>
      <c r="DK32" s="15" t="str">
        <f t="shared" si="80"/>
        <v/>
      </c>
      <c r="DL32" s="2"/>
      <c r="DM32" s="2"/>
      <c r="DN32" s="15" t="str">
        <f t="shared" si="81"/>
        <v/>
      </c>
      <c r="DO32" s="14" t="str">
        <f t="shared" si="82"/>
        <v/>
      </c>
      <c r="DP32" s="14" t="str">
        <f t="shared" si="83"/>
        <v/>
      </c>
      <c r="DQ32" s="15" t="str">
        <f t="shared" si="84"/>
        <v/>
      </c>
      <c r="DR32" s="15" t="str">
        <f t="shared" si="85"/>
        <v/>
      </c>
      <c r="DS32" s="2" t="str">
        <f t="shared" si="86"/>
        <v/>
      </c>
      <c r="DT32" s="2" t="str">
        <f t="shared" si="87"/>
        <v/>
      </c>
      <c r="DU32" s="2"/>
      <c r="DV32" s="2"/>
      <c r="DW32" s="2"/>
      <c r="DX32" s="2"/>
      <c r="DY32" s="2" t="s">
        <v>230</v>
      </c>
      <c r="DZ32" s="2"/>
      <c r="EA32" s="2" t="str">
        <f t="shared" si="88"/>
        <v/>
      </c>
      <c r="EB32" s="2"/>
      <c r="EC32" s="2"/>
      <c r="ED32" s="2"/>
      <c r="EE32" s="3"/>
      <c r="EF32" s="7"/>
      <c r="EG32" s="3"/>
      <c r="EH32" s="3" t="s">
        <v>257</v>
      </c>
      <c r="EI32" s="3" t="s">
        <v>258</v>
      </c>
      <c r="EJ32" s="189"/>
      <c r="EK32" s="4"/>
      <c r="EL32" s="4"/>
      <c r="EM32" s="9"/>
      <c r="EN32" s="189">
        <f t="shared" si="89"/>
        <v>0</v>
      </c>
      <c r="EO32" s="9"/>
      <c r="EP32" s="8"/>
      <c r="EQ32" s="4"/>
      <c r="ER32" s="4"/>
      <c r="ES32" s="7"/>
      <c r="ET32" s="7"/>
      <c r="EU32" s="6"/>
      <c r="EV32" s="2" t="str">
        <f t="shared" si="90"/>
        <v>Final Pmt Recd</v>
      </c>
      <c r="EW32" s="189"/>
      <c r="EX32" s="189">
        <f t="shared" si="91"/>
        <v>0</v>
      </c>
      <c r="EY32" s="189" t="s">
        <v>233</v>
      </c>
      <c r="EZ32" s="24"/>
      <c r="FA32" s="2"/>
      <c r="FB32" s="24"/>
      <c r="FC32" s="193"/>
      <c r="FD32" s="189">
        <f t="shared" si="92"/>
        <v>0</v>
      </c>
      <c r="FE32" s="52"/>
      <c r="FF32" s="52"/>
      <c r="FG32" s="49"/>
      <c r="FH32" s="49"/>
      <c r="FI32" s="49"/>
      <c r="FJ32" s="49"/>
      <c r="FK32" s="49"/>
      <c r="FL32" s="49">
        <f t="shared" si="44"/>
        <v>0</v>
      </c>
      <c r="FM32" s="180">
        <f t="shared" si="45"/>
        <v>46095</v>
      </c>
      <c r="FN32" s="49"/>
      <c r="FO32" s="49"/>
      <c r="FP32" s="49"/>
      <c r="FQ32" s="49"/>
      <c r="FR32" s="49"/>
      <c r="FS32" s="34">
        <f t="shared" si="96"/>
        <v>20009747</v>
      </c>
      <c r="FT32" s="34" t="str">
        <f t="shared" si="97"/>
        <v>32015281-2</v>
      </c>
      <c r="FU32" s="3"/>
      <c r="FV32" s="3"/>
      <c r="FW32" s="3"/>
      <c r="FX32" s="3"/>
      <c r="FY32" s="3"/>
      <c r="FZ32" s="3"/>
      <c r="GA32" s="3"/>
      <c r="GB32" s="4"/>
      <c r="GC32" s="3"/>
      <c r="GD32" s="182">
        <v>90082895</v>
      </c>
      <c r="GE32" s="2"/>
      <c r="GF32" s="2" t="s">
        <v>235</v>
      </c>
      <c r="GG32" s="2"/>
      <c r="GH32" s="2"/>
      <c r="GI32" s="2"/>
      <c r="GJ32" s="2"/>
      <c r="GK32" s="2"/>
      <c r="GL32" s="2"/>
      <c r="GM32" s="2"/>
      <c r="GN32" s="2"/>
    </row>
    <row r="33" spans="1:196" s="1" customFormat="1" ht="33.950000000000003">
      <c r="A33" s="2" t="str">
        <f t="shared" si="49"/>
        <v>SI Sent, Shipment Awaited</v>
      </c>
      <c r="B33" s="281">
        <v>48</v>
      </c>
      <c r="C33" s="281">
        <v>200</v>
      </c>
      <c r="D33" s="182" t="s">
        <v>208</v>
      </c>
      <c r="E33" s="2" t="str">
        <f t="shared" si="50"/>
        <v>CLOSE POSITION</v>
      </c>
      <c r="F33" s="271">
        <f t="shared" si="51"/>
        <v>32014588</v>
      </c>
      <c r="G33" s="271"/>
      <c r="H33" s="2" t="str">
        <f t="shared" si="52"/>
        <v>SHREE KRISHNAKRUPA CASHEWS PVT LTD</v>
      </c>
      <c r="I33" s="3" t="s">
        <v>259</v>
      </c>
      <c r="J33" s="2" t="s">
        <v>210</v>
      </c>
      <c r="K33" s="2" t="str">
        <f t="shared" si="53"/>
        <v>MANGALORE, INDIA</v>
      </c>
      <c r="L33" s="615">
        <f t="shared" si="95"/>
        <v>267490043</v>
      </c>
      <c r="M33" s="2" t="str">
        <f t="shared" si="94"/>
        <v/>
      </c>
      <c r="N33" s="22" t="str">
        <f t="shared" si="56"/>
        <v/>
      </c>
      <c r="O33" s="22" t="str">
        <f t="shared" si="57"/>
        <v/>
      </c>
      <c r="P33" s="22" t="str">
        <f t="shared" si="58"/>
        <v>No OBL Yet</v>
      </c>
      <c r="Q33" s="2"/>
      <c r="R33" s="2" t="str">
        <f t="shared" si="59"/>
        <v>No CERTS Yet</v>
      </c>
      <c r="S33" s="2" t="str">
        <f t="shared" si="60"/>
        <v/>
      </c>
      <c r="T33" s="2" t="s">
        <v>260</v>
      </c>
      <c r="U33" s="3" t="s">
        <v>420</v>
      </c>
      <c r="V33" s="272"/>
      <c r="W33" s="642"/>
      <c r="X33" s="24">
        <v>46076</v>
      </c>
      <c r="Y33" s="273">
        <v>20009596</v>
      </c>
      <c r="Z33" s="24">
        <v>46076</v>
      </c>
      <c r="AA33" s="182">
        <v>32014588</v>
      </c>
      <c r="AB33" s="182" t="s">
        <v>421</v>
      </c>
      <c r="AC33" s="182" t="s">
        <v>263</v>
      </c>
      <c r="AD33" s="181">
        <v>46142</v>
      </c>
      <c r="AE33" s="30">
        <v>0.1</v>
      </c>
      <c r="AF33" s="277">
        <v>100</v>
      </c>
      <c r="AG33" s="35">
        <f t="shared" si="61"/>
        <v>90</v>
      </c>
      <c r="AH33" s="3" t="s">
        <v>215</v>
      </c>
      <c r="AI33" s="4">
        <v>1510</v>
      </c>
      <c r="AJ33" s="4">
        <f t="shared" si="98"/>
        <v>151000</v>
      </c>
      <c r="AK33" s="3" t="s">
        <v>249</v>
      </c>
      <c r="AL33" s="3" t="s">
        <v>238</v>
      </c>
      <c r="AM33" s="183">
        <v>0.1</v>
      </c>
      <c r="AN33" s="183">
        <v>0.9</v>
      </c>
      <c r="AO33" s="183">
        <v>0</v>
      </c>
      <c r="AP33" s="28" t="s">
        <v>218</v>
      </c>
      <c r="AQ33" s="18" t="s">
        <v>239</v>
      </c>
      <c r="AR33" s="18" t="s">
        <v>264</v>
      </c>
      <c r="AS33" s="27">
        <v>5</v>
      </c>
      <c r="AT33" s="3" t="s">
        <v>220</v>
      </c>
      <c r="AU33" s="3" t="s">
        <v>220</v>
      </c>
      <c r="AV33" s="3" t="s">
        <v>220</v>
      </c>
      <c r="AW33" s="9"/>
      <c r="AX33" s="3"/>
      <c r="AY33" s="47"/>
      <c r="AZ33" s="275">
        <f t="shared" si="62"/>
        <v>15100</v>
      </c>
      <c r="BA33" s="18">
        <v>46083</v>
      </c>
      <c r="BB33" s="22">
        <v>46083</v>
      </c>
      <c r="BC33" s="22"/>
      <c r="BD33" s="22"/>
      <c r="BE33" s="22"/>
      <c r="BF33" s="22">
        <v>46083</v>
      </c>
      <c r="BG33" s="18"/>
      <c r="BH33" s="18"/>
      <c r="BI33" s="3">
        <v>267490043</v>
      </c>
      <c r="BJ33" s="25"/>
      <c r="BK33" s="46" t="s">
        <v>222</v>
      </c>
      <c r="BL33" s="497"/>
      <c r="BM33" s="18"/>
      <c r="BN33" s="4"/>
      <c r="BO33" s="18"/>
      <c r="BP33" s="3" t="s">
        <v>259</v>
      </c>
      <c r="BQ33" s="21" t="s">
        <v>265</v>
      </c>
      <c r="BR33" s="2"/>
      <c r="BS33" s="2"/>
      <c r="BT33" s="2"/>
      <c r="BU33" s="2"/>
      <c r="BV33" s="20"/>
      <c r="BW33" s="19"/>
      <c r="BX33" s="46">
        <f t="shared" si="63"/>
        <v>0</v>
      </c>
      <c r="BY33" s="22"/>
      <c r="BZ33" s="22"/>
      <c r="CA33" s="2"/>
      <c r="CB33" s="22"/>
      <c r="CC33" s="22"/>
      <c r="CD33" s="22"/>
      <c r="CE33" s="22" t="str">
        <f t="shared" si="64"/>
        <v>No OBL Yet</v>
      </c>
      <c r="CF33" s="22"/>
      <c r="CG33" s="22"/>
      <c r="CH33" s="182"/>
      <c r="CI33" s="182"/>
      <c r="CJ33" s="182"/>
      <c r="CK33" s="2" t="str">
        <f t="shared" si="65"/>
        <v>No CERTS Yet</v>
      </c>
      <c r="CL33" s="48"/>
      <c r="CM33" s="22"/>
      <c r="CN33" s="55"/>
      <c r="CO33" s="55"/>
      <c r="CP33" s="55" t="str">
        <f t="shared" si="66"/>
        <v/>
      </c>
      <c r="CQ33" s="50">
        <f t="shared" si="99"/>
        <v>-15100</v>
      </c>
      <c r="CR33" s="54"/>
      <c r="CS33" s="2"/>
      <c r="CT33" s="2"/>
      <c r="CU33" s="14" t="str">
        <f t="shared" si="67"/>
        <v/>
      </c>
      <c r="CV33" s="42" t="str">
        <f t="shared" si="68"/>
        <v/>
      </c>
      <c r="CW33" s="14" t="str">
        <f t="shared" si="69"/>
        <v/>
      </c>
      <c r="CX33" s="14" t="str">
        <f t="shared" si="70"/>
        <v/>
      </c>
      <c r="CY33" s="15" t="str">
        <f t="shared" si="71"/>
        <v/>
      </c>
      <c r="CZ33" s="2"/>
      <c r="DA33" s="41" t="str">
        <f t="shared" si="72"/>
        <v/>
      </c>
      <c r="DB33" s="2"/>
      <c r="DC33" s="39" t="str">
        <f t="shared" si="73"/>
        <v/>
      </c>
      <c r="DD33" s="40"/>
      <c r="DE33" s="16" t="str">
        <f t="shared" si="74"/>
        <v/>
      </c>
      <c r="DF33" s="2" t="str">
        <f t="shared" si="75"/>
        <v/>
      </c>
      <c r="DG33" s="14" t="str">
        <f t="shared" si="76"/>
        <v/>
      </c>
      <c r="DH33" s="2" t="str">
        <f t="shared" si="77"/>
        <v/>
      </c>
      <c r="DI33" s="39" t="str">
        <f t="shared" si="78"/>
        <v/>
      </c>
      <c r="DJ33" s="2" t="str">
        <f t="shared" si="79"/>
        <v/>
      </c>
      <c r="DK33" s="15" t="str">
        <f t="shared" si="80"/>
        <v/>
      </c>
      <c r="DL33" s="2"/>
      <c r="DM33" s="2"/>
      <c r="DN33" s="15" t="str">
        <f t="shared" si="81"/>
        <v/>
      </c>
      <c r="DO33" s="14" t="str">
        <f t="shared" si="82"/>
        <v/>
      </c>
      <c r="DP33" s="14" t="str">
        <f t="shared" si="83"/>
        <v/>
      </c>
      <c r="DQ33" s="15" t="str">
        <f t="shared" si="84"/>
        <v/>
      </c>
      <c r="DR33" s="15" t="str">
        <f t="shared" si="85"/>
        <v/>
      </c>
      <c r="DS33" s="2" t="str">
        <f t="shared" si="86"/>
        <v/>
      </c>
      <c r="DT33" s="2" t="str">
        <f t="shared" si="87"/>
        <v/>
      </c>
      <c r="DU33" s="2"/>
      <c r="DV33" s="2"/>
      <c r="DW33" s="2"/>
      <c r="DX33" s="2"/>
      <c r="DY33" s="2" t="s">
        <v>230</v>
      </c>
      <c r="DZ33" s="2"/>
      <c r="EA33" s="2" t="str">
        <f t="shared" si="88"/>
        <v/>
      </c>
      <c r="EB33" s="2"/>
      <c r="EC33" s="2"/>
      <c r="ED33" s="2"/>
      <c r="EE33" s="3"/>
      <c r="EF33" s="7"/>
      <c r="EG33" s="3"/>
      <c r="EH33" s="3" t="s">
        <v>266</v>
      </c>
      <c r="EI33" s="3"/>
      <c r="EJ33" s="189"/>
      <c r="EK33" s="4"/>
      <c r="EL33" s="4"/>
      <c r="EM33" s="9"/>
      <c r="EN33" s="46">
        <f t="shared" si="89"/>
        <v>0</v>
      </c>
      <c r="EO33" s="9"/>
      <c r="EP33" s="8"/>
      <c r="EQ33" s="4"/>
      <c r="ER33" s="4"/>
      <c r="ES33" s="7"/>
      <c r="ET33" s="7"/>
      <c r="EU33" s="6"/>
      <c r="EV33" s="2" t="str">
        <f t="shared" si="90"/>
        <v>Yet to load</v>
      </c>
      <c r="EW33" s="46"/>
      <c r="EX33" s="46" t="e">
        <f t="shared" si="91"/>
        <v>#DIV/0!</v>
      </c>
      <c r="EY33" s="46" t="s">
        <v>233</v>
      </c>
      <c r="EZ33" s="24"/>
      <c r="FA33" s="2"/>
      <c r="FB33" s="24"/>
      <c r="FC33" s="53"/>
      <c r="FD33" s="46">
        <f t="shared" si="92"/>
        <v>0</v>
      </c>
      <c r="FE33" s="52"/>
      <c r="FF33" s="52"/>
      <c r="FG33" s="49"/>
      <c r="FH33" s="49"/>
      <c r="FI33" s="49"/>
      <c r="FJ33" s="49"/>
      <c r="FK33" s="49"/>
      <c r="FL33" s="49">
        <f t="shared" si="44"/>
        <v>0</v>
      </c>
      <c r="FM33" s="180">
        <f t="shared" si="45"/>
        <v>0</v>
      </c>
      <c r="FN33" s="49"/>
      <c r="FO33" s="49"/>
      <c r="FP33" s="49"/>
      <c r="FQ33" s="49"/>
      <c r="FR33" s="49"/>
      <c r="FS33" s="34">
        <f t="shared" si="96"/>
        <v>20009596</v>
      </c>
      <c r="FT33" s="34">
        <f t="shared" si="97"/>
        <v>32014588</v>
      </c>
      <c r="FU33" s="3"/>
      <c r="FV33" s="3"/>
      <c r="FW33" s="3"/>
      <c r="FX33" s="3"/>
      <c r="FY33" s="3"/>
      <c r="FZ33" s="3"/>
      <c r="GA33" s="3"/>
      <c r="GB33" s="4"/>
      <c r="GC33" s="3"/>
      <c r="GD33" s="182"/>
      <c r="GE33" s="3"/>
      <c r="GF33" s="3"/>
      <c r="GG33" s="3"/>
      <c r="GH33" s="3"/>
      <c r="GI33" s="3"/>
      <c r="GJ33" s="3"/>
      <c r="GK33" s="3"/>
      <c r="GL33" s="3"/>
      <c r="GM33" s="3"/>
      <c r="GN33" s="3"/>
    </row>
    <row r="34" spans="1:196" s="1" customFormat="1" ht="51">
      <c r="A34" s="2" t="str">
        <f t="shared" si="49"/>
        <v>SI Sent, Shipment Awaited</v>
      </c>
      <c r="B34" s="281">
        <v>49</v>
      </c>
      <c r="C34" s="281">
        <v>200</v>
      </c>
      <c r="D34" s="182" t="s">
        <v>208</v>
      </c>
      <c r="E34" s="2" t="str">
        <f t="shared" si="50"/>
        <v>SHORT POSITION</v>
      </c>
      <c r="F34" s="271">
        <f t="shared" si="51"/>
        <v>32014455</v>
      </c>
      <c r="G34" s="271"/>
      <c r="H34" s="2" t="str">
        <f t="shared" si="52"/>
        <v>SREE DEVI CASHEW INDUSTRIES</v>
      </c>
      <c r="I34" s="3" t="s">
        <v>259</v>
      </c>
      <c r="J34" s="2" t="s">
        <v>210</v>
      </c>
      <c r="K34" s="2" t="str">
        <f t="shared" si="53"/>
        <v>MANGALORE, INDIA</v>
      </c>
      <c r="L34" s="2" t="str">
        <f t="shared" si="95"/>
        <v/>
      </c>
      <c r="M34" s="2" t="str">
        <f t="shared" si="94"/>
        <v/>
      </c>
      <c r="N34" s="22" t="str">
        <f t="shared" si="56"/>
        <v/>
      </c>
      <c r="O34" s="22" t="str">
        <f t="shared" si="57"/>
        <v/>
      </c>
      <c r="P34" s="22" t="str">
        <f t="shared" si="58"/>
        <v>No OBL Yet</v>
      </c>
      <c r="Q34" s="2"/>
      <c r="R34" s="2" t="str">
        <f t="shared" si="59"/>
        <v>No CERTS Yet</v>
      </c>
      <c r="S34" s="2" t="str">
        <f t="shared" si="60"/>
        <v/>
      </c>
      <c r="T34" s="2" t="s">
        <v>422</v>
      </c>
      <c r="U34" s="3" t="s">
        <v>423</v>
      </c>
      <c r="V34" s="272"/>
      <c r="W34" s="272"/>
      <c r="X34" s="24">
        <v>46069</v>
      </c>
      <c r="Y34" s="273">
        <v>20009505</v>
      </c>
      <c r="Z34" s="24">
        <v>46069</v>
      </c>
      <c r="AA34" s="182">
        <v>32014455</v>
      </c>
      <c r="AB34" s="182" t="s">
        <v>424</v>
      </c>
      <c r="AC34" s="182" t="s">
        <v>263</v>
      </c>
      <c r="AD34" s="181">
        <v>46142</v>
      </c>
      <c r="AE34" s="30">
        <v>0.1</v>
      </c>
      <c r="AF34" s="277">
        <v>200</v>
      </c>
      <c r="AG34" s="35">
        <f t="shared" si="61"/>
        <v>180</v>
      </c>
      <c r="AH34" s="3" t="s">
        <v>215</v>
      </c>
      <c r="AI34" s="4">
        <v>1565</v>
      </c>
      <c r="AJ34" s="4">
        <f t="shared" si="98"/>
        <v>313000</v>
      </c>
      <c r="AK34" s="3" t="s">
        <v>249</v>
      </c>
      <c r="AL34" s="3" t="s">
        <v>238</v>
      </c>
      <c r="AM34" s="30">
        <v>0</v>
      </c>
      <c r="AN34" s="183">
        <v>1</v>
      </c>
      <c r="AO34" s="183">
        <v>0</v>
      </c>
      <c r="AP34" s="28" t="s">
        <v>218</v>
      </c>
      <c r="AQ34" s="18" t="s">
        <v>239</v>
      </c>
      <c r="AR34" s="18" t="s">
        <v>264</v>
      </c>
      <c r="AS34" s="27">
        <v>5</v>
      </c>
      <c r="AT34" s="3" t="s">
        <v>220</v>
      </c>
      <c r="AU34" s="3" t="s">
        <v>220</v>
      </c>
      <c r="AV34" s="3" t="s">
        <v>220</v>
      </c>
      <c r="AW34" s="9"/>
      <c r="AX34" s="3"/>
      <c r="AY34" s="47"/>
      <c r="AZ34" s="275">
        <f t="shared" si="62"/>
        <v>0</v>
      </c>
      <c r="BA34" s="7">
        <v>46073</v>
      </c>
      <c r="BB34" s="22">
        <v>46083</v>
      </c>
      <c r="BC34" s="22"/>
      <c r="BD34" s="22"/>
      <c r="BE34" s="22"/>
      <c r="BF34" s="22">
        <v>46083</v>
      </c>
      <c r="BG34" s="18"/>
      <c r="BH34" s="18"/>
      <c r="BI34" s="3"/>
      <c r="BJ34" s="613"/>
      <c r="BK34" s="46" t="s">
        <v>222</v>
      </c>
      <c r="BL34" s="497"/>
      <c r="BM34" s="18"/>
      <c r="BN34" s="4"/>
      <c r="BO34" s="18"/>
      <c r="BP34" s="3" t="s">
        <v>259</v>
      </c>
      <c r="BQ34" s="21" t="s">
        <v>265</v>
      </c>
      <c r="BR34" s="2" t="s">
        <v>416</v>
      </c>
      <c r="BS34" s="2"/>
      <c r="BT34" s="2"/>
      <c r="BU34" s="2"/>
      <c r="BV34" s="20"/>
      <c r="BW34" s="19"/>
      <c r="BX34" s="46">
        <f t="shared" si="63"/>
        <v>0</v>
      </c>
      <c r="BY34" s="22"/>
      <c r="BZ34" s="22"/>
      <c r="CA34" s="2"/>
      <c r="CB34" s="22"/>
      <c r="CC34" s="22"/>
      <c r="CD34" s="22"/>
      <c r="CE34" s="22" t="str">
        <f t="shared" si="64"/>
        <v>No OBL Yet</v>
      </c>
      <c r="CF34" s="22"/>
      <c r="CG34" s="22"/>
      <c r="CH34" s="22"/>
      <c r="CI34" s="2"/>
      <c r="CJ34" s="2"/>
      <c r="CK34" s="2" t="str">
        <f t="shared" si="65"/>
        <v>No CERTS Yet</v>
      </c>
      <c r="CL34" s="48"/>
      <c r="CM34" s="22"/>
      <c r="CN34" s="55"/>
      <c r="CO34" s="55"/>
      <c r="CP34" s="55" t="str">
        <f t="shared" si="66"/>
        <v/>
      </c>
      <c r="CQ34" s="50">
        <f t="shared" si="99"/>
        <v>0</v>
      </c>
      <c r="CR34" s="54"/>
      <c r="CS34" s="2"/>
      <c r="CT34" s="2"/>
      <c r="CU34" s="14" t="str">
        <f t="shared" si="67"/>
        <v/>
      </c>
      <c r="CV34" s="42" t="str">
        <f t="shared" si="68"/>
        <v/>
      </c>
      <c r="CW34" s="14" t="str">
        <f t="shared" si="69"/>
        <v/>
      </c>
      <c r="CX34" s="14" t="str">
        <f t="shared" si="70"/>
        <v/>
      </c>
      <c r="CY34" s="15" t="str">
        <f t="shared" si="71"/>
        <v/>
      </c>
      <c r="CZ34" s="2"/>
      <c r="DA34" s="41" t="str">
        <f t="shared" si="72"/>
        <v/>
      </c>
      <c r="DB34" s="2"/>
      <c r="DC34" s="39" t="str">
        <f t="shared" si="73"/>
        <v/>
      </c>
      <c r="DD34" s="40"/>
      <c r="DE34" s="16" t="str">
        <f t="shared" si="74"/>
        <v/>
      </c>
      <c r="DF34" s="2" t="str">
        <f t="shared" si="75"/>
        <v/>
      </c>
      <c r="DG34" s="14" t="str">
        <f t="shared" si="76"/>
        <v/>
      </c>
      <c r="DH34" s="2" t="str">
        <f t="shared" si="77"/>
        <v/>
      </c>
      <c r="DI34" s="39" t="str">
        <f t="shared" si="78"/>
        <v/>
      </c>
      <c r="DJ34" s="2" t="str">
        <f t="shared" si="79"/>
        <v/>
      </c>
      <c r="DK34" s="15" t="str">
        <f t="shared" si="80"/>
        <v/>
      </c>
      <c r="DL34" s="2"/>
      <c r="DM34" s="2"/>
      <c r="DN34" s="15" t="str">
        <f t="shared" si="81"/>
        <v/>
      </c>
      <c r="DO34" s="14" t="str">
        <f t="shared" si="82"/>
        <v/>
      </c>
      <c r="DP34" s="14" t="str">
        <f t="shared" si="83"/>
        <v/>
      </c>
      <c r="DQ34" s="15" t="str">
        <f t="shared" si="84"/>
        <v/>
      </c>
      <c r="DR34" s="15" t="str">
        <f t="shared" si="85"/>
        <v/>
      </c>
      <c r="DS34" s="2" t="str">
        <f t="shared" si="86"/>
        <v/>
      </c>
      <c r="DT34" s="2" t="str">
        <f t="shared" si="87"/>
        <v/>
      </c>
      <c r="DU34" s="2"/>
      <c r="DV34" s="2"/>
      <c r="DW34" s="2"/>
      <c r="DX34" s="2"/>
      <c r="DY34" s="2" t="s">
        <v>230</v>
      </c>
      <c r="DZ34" s="2"/>
      <c r="EA34" s="2" t="str">
        <f t="shared" si="88"/>
        <v/>
      </c>
      <c r="EB34" s="2"/>
      <c r="EC34" s="2"/>
      <c r="ED34" s="2"/>
      <c r="EE34" s="3"/>
      <c r="EF34" s="7"/>
      <c r="EG34" s="3"/>
      <c r="EH34" s="3" t="s">
        <v>266</v>
      </c>
      <c r="EI34" s="3" t="s">
        <v>258</v>
      </c>
      <c r="EJ34" s="189"/>
      <c r="EK34" s="4"/>
      <c r="EL34" s="4"/>
      <c r="EM34" s="9"/>
      <c r="EN34" s="46">
        <f t="shared" si="89"/>
        <v>0</v>
      </c>
      <c r="EO34" s="9"/>
      <c r="EP34" s="8"/>
      <c r="EQ34" s="4"/>
      <c r="ER34" s="4"/>
      <c r="ES34" s="7"/>
      <c r="ET34" s="7"/>
      <c r="EU34" s="6"/>
      <c r="EV34" s="2" t="str">
        <f t="shared" si="90"/>
        <v>Yet to load</v>
      </c>
      <c r="EW34" s="46"/>
      <c r="EX34" s="46" t="e">
        <f t="shared" si="91"/>
        <v>#DIV/0!</v>
      </c>
      <c r="EY34" s="46" t="s">
        <v>233</v>
      </c>
      <c r="EZ34" s="24"/>
      <c r="FA34" s="2"/>
      <c r="FB34" s="24"/>
      <c r="FC34" s="53"/>
      <c r="FD34" s="46">
        <f t="shared" si="92"/>
        <v>0</v>
      </c>
      <c r="FE34" s="52"/>
      <c r="FF34" s="52"/>
      <c r="FG34" s="49"/>
      <c r="FH34" s="49"/>
      <c r="FI34" s="49"/>
      <c r="FJ34" s="49"/>
      <c r="FK34" s="49"/>
      <c r="FL34" s="49">
        <f t="shared" si="44"/>
        <v>0</v>
      </c>
      <c r="FM34" s="180">
        <f t="shared" si="45"/>
        <v>0</v>
      </c>
      <c r="FN34" s="49"/>
      <c r="FO34" s="49"/>
      <c r="FP34" s="49"/>
      <c r="FQ34" s="49"/>
      <c r="FR34" s="49"/>
      <c r="FS34" s="34">
        <f t="shared" si="96"/>
        <v>20009505</v>
      </c>
      <c r="FT34" s="34">
        <f t="shared" si="97"/>
        <v>32014455</v>
      </c>
      <c r="FU34" s="3"/>
      <c r="FV34" s="3"/>
      <c r="FW34" s="3"/>
      <c r="FX34" s="3"/>
      <c r="FY34" s="3"/>
      <c r="FZ34" s="3"/>
      <c r="GA34" s="3"/>
      <c r="GB34" s="4"/>
      <c r="GC34" s="3"/>
      <c r="GD34" s="182"/>
      <c r="GE34" s="3"/>
      <c r="GF34" s="3"/>
      <c r="GG34" s="3"/>
      <c r="GH34" s="3"/>
      <c r="GI34" s="3"/>
      <c r="GJ34" s="3"/>
      <c r="GK34" s="3"/>
      <c r="GL34" s="3"/>
      <c r="GM34" s="3"/>
      <c r="GN34" s="3"/>
    </row>
    <row r="35" spans="1:196" s="1" customFormat="1" ht="33.950000000000003">
      <c r="A35" s="2" t="str">
        <f t="shared" si="49"/>
        <v>SI Sent, Shipment Awaited</v>
      </c>
      <c r="B35" s="281">
        <v>49</v>
      </c>
      <c r="C35" s="281">
        <v>200</v>
      </c>
      <c r="D35" s="182" t="s">
        <v>208</v>
      </c>
      <c r="E35" s="2" t="str">
        <f t="shared" si="50"/>
        <v>SHORT POSITION</v>
      </c>
      <c r="F35" s="271">
        <f t="shared" si="51"/>
        <v>32014486</v>
      </c>
      <c r="G35" s="271"/>
      <c r="H35" s="2" t="str">
        <f t="shared" si="52"/>
        <v>SRI MAHAGANAPATHI CASHEW INDUSTRIES</v>
      </c>
      <c r="I35" s="3" t="s">
        <v>259</v>
      </c>
      <c r="J35" s="2" t="s">
        <v>210</v>
      </c>
      <c r="K35" s="2" t="str">
        <f t="shared" si="53"/>
        <v>MANGALORE, INDIA</v>
      </c>
      <c r="L35" s="2" t="str">
        <f t="shared" si="95"/>
        <v/>
      </c>
      <c r="M35" s="2" t="str">
        <f t="shared" si="94"/>
        <v/>
      </c>
      <c r="N35" s="22" t="str">
        <f t="shared" si="56"/>
        <v/>
      </c>
      <c r="O35" s="22" t="str">
        <f t="shared" si="57"/>
        <v/>
      </c>
      <c r="P35" s="22" t="str">
        <f t="shared" si="58"/>
        <v>No OBL Yet</v>
      </c>
      <c r="Q35" s="2"/>
      <c r="R35" s="2" t="str">
        <f t="shared" si="59"/>
        <v>No CERTS Yet</v>
      </c>
      <c r="S35" s="2" t="str">
        <f t="shared" si="60"/>
        <v/>
      </c>
      <c r="T35" s="2" t="s">
        <v>260</v>
      </c>
      <c r="U35" s="3" t="s">
        <v>425</v>
      </c>
      <c r="V35" s="272"/>
      <c r="W35" s="3"/>
      <c r="X35" s="24">
        <v>46073</v>
      </c>
      <c r="Y35" s="273">
        <v>20009539</v>
      </c>
      <c r="Z35" s="24">
        <v>46073</v>
      </c>
      <c r="AA35" s="182">
        <v>32014486</v>
      </c>
      <c r="AB35" s="182" t="s">
        <v>426</v>
      </c>
      <c r="AC35" s="182" t="s">
        <v>263</v>
      </c>
      <c r="AD35" s="181">
        <v>46142</v>
      </c>
      <c r="AE35" s="30">
        <v>0.1</v>
      </c>
      <c r="AF35" s="277">
        <v>100</v>
      </c>
      <c r="AG35" s="35">
        <f t="shared" si="61"/>
        <v>90</v>
      </c>
      <c r="AH35" s="3" t="s">
        <v>215</v>
      </c>
      <c r="AI35" s="4">
        <v>1545</v>
      </c>
      <c r="AJ35" s="4">
        <f t="shared" si="98"/>
        <v>154500</v>
      </c>
      <c r="AK35" s="3" t="s">
        <v>249</v>
      </c>
      <c r="AL35" s="3" t="s">
        <v>238</v>
      </c>
      <c r="AM35" s="183">
        <v>0.1</v>
      </c>
      <c r="AN35" s="183">
        <v>0.9</v>
      </c>
      <c r="AO35" s="183">
        <v>0</v>
      </c>
      <c r="AP35" s="28" t="s">
        <v>218</v>
      </c>
      <c r="AQ35" s="18" t="s">
        <v>239</v>
      </c>
      <c r="AR35" s="18" t="s">
        <v>264</v>
      </c>
      <c r="AS35" s="27">
        <v>5</v>
      </c>
      <c r="AT35" s="3" t="s">
        <v>220</v>
      </c>
      <c r="AU35" s="3" t="s">
        <v>220</v>
      </c>
      <c r="AV35" s="3" t="s">
        <v>220</v>
      </c>
      <c r="AW35" s="9"/>
      <c r="AX35" s="3"/>
      <c r="AY35" s="47"/>
      <c r="AZ35" s="275">
        <f t="shared" si="62"/>
        <v>15450</v>
      </c>
      <c r="BA35" s="18">
        <v>46099</v>
      </c>
      <c r="BB35" s="22">
        <v>46083</v>
      </c>
      <c r="BC35" s="22"/>
      <c r="BD35" s="22"/>
      <c r="BE35" s="22"/>
      <c r="BF35" s="22">
        <v>46083</v>
      </c>
      <c r="BG35" s="18"/>
      <c r="BH35" s="18"/>
      <c r="BI35" s="3"/>
      <c r="BJ35" s="25"/>
      <c r="BK35" s="46" t="s">
        <v>222</v>
      </c>
      <c r="BL35" s="497"/>
      <c r="BM35" s="18"/>
      <c r="BN35" s="4"/>
      <c r="BO35" s="18"/>
      <c r="BP35" s="3" t="s">
        <v>259</v>
      </c>
      <c r="BQ35" s="21" t="s">
        <v>265</v>
      </c>
      <c r="BR35" s="2"/>
      <c r="BS35" s="2"/>
      <c r="BT35" s="2"/>
      <c r="BU35" s="2"/>
      <c r="BV35" s="20"/>
      <c r="BW35" s="19"/>
      <c r="BX35" s="46">
        <f t="shared" si="63"/>
        <v>0</v>
      </c>
      <c r="BY35" s="22"/>
      <c r="BZ35" s="22"/>
      <c r="CA35" s="2"/>
      <c r="CB35" s="22"/>
      <c r="CC35" s="22"/>
      <c r="CD35" s="22"/>
      <c r="CE35" s="22" t="str">
        <f t="shared" si="64"/>
        <v>No OBL Yet</v>
      </c>
      <c r="CF35" s="22"/>
      <c r="CG35" s="22"/>
      <c r="CH35" s="182"/>
      <c r="CI35" s="182"/>
      <c r="CJ35" s="182"/>
      <c r="CK35" s="2" t="str">
        <f t="shared" si="65"/>
        <v>No CERTS Yet</v>
      </c>
      <c r="CL35" s="48"/>
      <c r="CM35" s="22"/>
      <c r="CN35" s="55"/>
      <c r="CO35" s="55"/>
      <c r="CP35" s="55" t="str">
        <f t="shared" si="66"/>
        <v/>
      </c>
      <c r="CQ35" s="50">
        <f t="shared" si="99"/>
        <v>-15450</v>
      </c>
      <c r="CR35" s="54"/>
      <c r="CS35" s="2"/>
      <c r="CT35" s="2"/>
      <c r="CU35" s="14" t="str">
        <f t="shared" si="67"/>
        <v/>
      </c>
      <c r="CV35" s="42" t="str">
        <f t="shared" si="68"/>
        <v/>
      </c>
      <c r="CW35" s="14" t="str">
        <f t="shared" si="69"/>
        <v/>
      </c>
      <c r="CX35" s="14" t="str">
        <f t="shared" si="70"/>
        <v/>
      </c>
      <c r="CY35" s="15" t="str">
        <f t="shared" si="71"/>
        <v/>
      </c>
      <c r="CZ35" s="2"/>
      <c r="DA35" s="41" t="str">
        <f t="shared" si="72"/>
        <v/>
      </c>
      <c r="DB35" s="2"/>
      <c r="DC35" s="39" t="str">
        <f t="shared" si="73"/>
        <v/>
      </c>
      <c r="DD35" s="40"/>
      <c r="DE35" s="16" t="str">
        <f t="shared" si="74"/>
        <v/>
      </c>
      <c r="DF35" s="2" t="str">
        <f t="shared" si="75"/>
        <v/>
      </c>
      <c r="DG35" s="14" t="str">
        <f t="shared" si="76"/>
        <v/>
      </c>
      <c r="DH35" s="2" t="str">
        <f t="shared" si="77"/>
        <v/>
      </c>
      <c r="DI35" s="39" t="str">
        <f t="shared" si="78"/>
        <v/>
      </c>
      <c r="DJ35" s="2" t="str">
        <f t="shared" si="79"/>
        <v/>
      </c>
      <c r="DK35" s="15" t="str">
        <f t="shared" si="80"/>
        <v/>
      </c>
      <c r="DL35" s="2"/>
      <c r="DM35" s="2"/>
      <c r="DN35" s="15" t="str">
        <f t="shared" si="81"/>
        <v/>
      </c>
      <c r="DO35" s="14" t="str">
        <f t="shared" si="82"/>
        <v/>
      </c>
      <c r="DP35" s="14" t="str">
        <f t="shared" si="83"/>
        <v/>
      </c>
      <c r="DQ35" s="15" t="str">
        <f t="shared" si="84"/>
        <v/>
      </c>
      <c r="DR35" s="15" t="str">
        <f t="shared" si="85"/>
        <v/>
      </c>
      <c r="DS35" s="2" t="str">
        <f t="shared" si="86"/>
        <v/>
      </c>
      <c r="DT35" s="2" t="str">
        <f t="shared" si="87"/>
        <v/>
      </c>
      <c r="DU35" s="2"/>
      <c r="DV35" s="2"/>
      <c r="DW35" s="2"/>
      <c r="DX35" s="2"/>
      <c r="DY35" s="2" t="s">
        <v>230</v>
      </c>
      <c r="DZ35" s="2"/>
      <c r="EA35" s="2" t="str">
        <f t="shared" si="88"/>
        <v/>
      </c>
      <c r="EB35" s="2"/>
      <c r="EC35" s="2"/>
      <c r="ED35" s="2"/>
      <c r="EE35" s="3"/>
      <c r="EF35" s="7"/>
      <c r="EG35" s="3"/>
      <c r="EH35" s="3" t="s">
        <v>266</v>
      </c>
      <c r="EI35" s="3"/>
      <c r="EJ35" s="189"/>
      <c r="EK35" s="4"/>
      <c r="EL35" s="4"/>
      <c r="EM35" s="9"/>
      <c r="EN35" s="46">
        <f t="shared" si="89"/>
        <v>0</v>
      </c>
      <c r="EO35" s="9"/>
      <c r="EP35" s="8"/>
      <c r="EQ35" s="4"/>
      <c r="ER35" s="4"/>
      <c r="ES35" s="7"/>
      <c r="ET35" s="7"/>
      <c r="EU35" s="6"/>
      <c r="EV35" s="2" t="str">
        <f t="shared" si="90"/>
        <v>Yet to load</v>
      </c>
      <c r="EW35" s="46"/>
      <c r="EX35" s="46" t="e">
        <f t="shared" si="91"/>
        <v>#DIV/0!</v>
      </c>
      <c r="EY35" s="46" t="s">
        <v>233</v>
      </c>
      <c r="EZ35" s="24"/>
      <c r="FA35" s="2"/>
      <c r="FB35" s="24"/>
      <c r="FC35" s="53"/>
      <c r="FD35" s="46">
        <f t="shared" si="92"/>
        <v>0</v>
      </c>
      <c r="FE35" s="52"/>
      <c r="FF35" s="52"/>
      <c r="FG35" s="49"/>
      <c r="FH35" s="49"/>
      <c r="FI35" s="49"/>
      <c r="FJ35" s="49"/>
      <c r="FK35" s="49"/>
      <c r="FL35" s="49">
        <f t="shared" ref="FL35:FL66" si="100">IFERROR(EZ35-BY35,"")</f>
        <v>0</v>
      </c>
      <c r="FM35" s="180">
        <f t="shared" ref="FM35:FM66" si="101">IFERROR(BM35-FB35,"")</f>
        <v>0</v>
      </c>
      <c r="FN35" s="49"/>
      <c r="FO35" s="49"/>
      <c r="FP35" s="49"/>
      <c r="FQ35" s="49"/>
      <c r="FR35" s="49"/>
      <c r="FS35" s="34">
        <f t="shared" si="96"/>
        <v>20009539</v>
      </c>
      <c r="FT35" s="34">
        <f t="shared" si="97"/>
        <v>32014486</v>
      </c>
      <c r="FU35" s="3"/>
      <c r="FV35" s="3"/>
      <c r="FW35" s="3"/>
      <c r="FX35" s="3"/>
      <c r="FY35" s="3"/>
      <c r="FZ35" s="3"/>
      <c r="GA35" s="3"/>
      <c r="GB35" s="4"/>
      <c r="GC35" s="3"/>
      <c r="GD35" s="182"/>
      <c r="GE35" s="3"/>
      <c r="GF35" s="3"/>
      <c r="GG35" s="3"/>
      <c r="GH35" s="3"/>
      <c r="GI35" s="3"/>
      <c r="GJ35" s="3"/>
      <c r="GK35" s="3"/>
      <c r="GL35" s="3"/>
      <c r="GM35" s="3"/>
      <c r="GN35" s="3"/>
    </row>
    <row r="36" spans="1:196" s="1" customFormat="1" ht="36.950000000000003">
      <c r="A36" s="330" t="str">
        <f t="shared" si="49"/>
        <v>Sailed, OBL &amp; Certs Pending</v>
      </c>
      <c r="B36" s="282">
        <v>46</v>
      </c>
      <c r="C36" s="282">
        <v>200</v>
      </c>
      <c r="D36" s="182" t="s">
        <v>208</v>
      </c>
      <c r="E36" s="2" t="str">
        <f t="shared" si="50"/>
        <v>CLOSE POSITION</v>
      </c>
      <c r="F36" s="333" t="str">
        <f t="shared" si="51"/>
        <v>32016289-1</v>
      </c>
      <c r="G36" s="333"/>
      <c r="H36" s="330" t="str">
        <f t="shared" si="52"/>
        <v xml:space="preserve">VIET PHI AGRICULTURE JOINT 
STOCK COMPANY </v>
      </c>
      <c r="I36" s="329" t="s">
        <v>259</v>
      </c>
      <c r="J36" s="330" t="s">
        <v>347</v>
      </c>
      <c r="K36" s="330" t="str">
        <f t="shared" si="53"/>
        <v>HCMC, VIETNAM</v>
      </c>
      <c r="L36" s="330" t="str">
        <f t="shared" si="95"/>
        <v>HLCUAB1260401247</v>
      </c>
      <c r="M36" s="330">
        <f t="shared" si="94"/>
        <v>248.33</v>
      </c>
      <c r="N36" s="286">
        <f t="shared" si="56"/>
        <v>46163</v>
      </c>
      <c r="O36" s="286">
        <f t="shared" si="57"/>
        <v>46208</v>
      </c>
      <c r="P36" s="286" t="str">
        <f t="shared" si="58"/>
        <v>No OBL Yet</v>
      </c>
      <c r="Q36" s="2" t="s">
        <v>427</v>
      </c>
      <c r="R36" s="330" t="str">
        <f t="shared" si="59"/>
        <v>No CERTS Yet</v>
      </c>
      <c r="S36" s="2" t="str">
        <f t="shared" si="60"/>
        <v/>
      </c>
      <c r="T36" s="330" t="s">
        <v>428</v>
      </c>
      <c r="U36" s="329" t="s">
        <v>429</v>
      </c>
      <c r="V36" s="334"/>
      <c r="W36" s="3" t="s">
        <v>430</v>
      </c>
      <c r="X36" s="337">
        <v>46126</v>
      </c>
      <c r="Y36" s="356">
        <v>20010094</v>
      </c>
      <c r="Z36" s="337">
        <v>46126</v>
      </c>
      <c r="AA36" s="332" t="s">
        <v>431</v>
      </c>
      <c r="AB36" s="334" t="s">
        <v>432</v>
      </c>
      <c r="AC36" s="484">
        <v>46168</v>
      </c>
      <c r="AD36" s="484">
        <v>46173</v>
      </c>
      <c r="AE36" s="485">
        <v>0.05</v>
      </c>
      <c r="AF36" s="512">
        <v>250</v>
      </c>
      <c r="AG36" s="338">
        <f t="shared" si="61"/>
        <v>237.5</v>
      </c>
      <c r="AH36" s="329" t="s">
        <v>215</v>
      </c>
      <c r="AI36" s="338">
        <v>1520</v>
      </c>
      <c r="AJ36" s="338">
        <f t="shared" si="98"/>
        <v>380000</v>
      </c>
      <c r="AK36" s="329" t="s">
        <v>216</v>
      </c>
      <c r="AL36" s="329" t="s">
        <v>238</v>
      </c>
      <c r="AM36" s="357">
        <v>0.1</v>
      </c>
      <c r="AN36" s="357">
        <v>0.88</v>
      </c>
      <c r="AO36" s="357">
        <v>0.02</v>
      </c>
      <c r="AP36" s="358" t="s">
        <v>218</v>
      </c>
      <c r="AQ36" s="329" t="s">
        <v>354</v>
      </c>
      <c r="AR36" s="335" t="s">
        <v>251</v>
      </c>
      <c r="AS36" s="359"/>
      <c r="AT36" s="329" t="s">
        <v>220</v>
      </c>
      <c r="AU36" s="329" t="s">
        <v>220</v>
      </c>
      <c r="AV36" s="329" t="s">
        <v>220</v>
      </c>
      <c r="AW36" s="351"/>
      <c r="AX36" s="329"/>
      <c r="AY36" s="360">
        <v>46129</v>
      </c>
      <c r="AZ36" s="486">
        <f t="shared" si="62"/>
        <v>38000</v>
      </c>
      <c r="BA36" s="335">
        <v>46135</v>
      </c>
      <c r="BB36" s="286">
        <v>46129</v>
      </c>
      <c r="BC36" s="286"/>
      <c r="BD36" s="286"/>
      <c r="BE36" s="286"/>
      <c r="BF36" s="286"/>
      <c r="BG36" s="335"/>
      <c r="BH36" s="335"/>
      <c r="BI36" s="329" t="s">
        <v>433</v>
      </c>
      <c r="BJ36" s="487">
        <v>248.33</v>
      </c>
      <c r="BK36" s="336" t="s">
        <v>222</v>
      </c>
      <c r="BL36" s="501">
        <v>10</v>
      </c>
      <c r="BM36" s="335">
        <v>46163</v>
      </c>
      <c r="BN36" s="338"/>
      <c r="BO36" s="335">
        <v>46208</v>
      </c>
      <c r="BP36" s="329" t="s">
        <v>259</v>
      </c>
      <c r="BQ36" s="339" t="s">
        <v>409</v>
      </c>
      <c r="BR36" s="330" t="s">
        <v>434</v>
      </c>
      <c r="BS36" s="330"/>
      <c r="BT36" s="341" t="s">
        <v>435</v>
      </c>
      <c r="BU36" s="330"/>
      <c r="BV36" s="340"/>
      <c r="BW36" s="341"/>
      <c r="BX36" s="336">
        <f t="shared" si="63"/>
        <v>377461.60000000003</v>
      </c>
      <c r="BY36" s="286"/>
      <c r="BZ36" s="286"/>
      <c r="CA36" s="286"/>
      <c r="CB36" s="286"/>
      <c r="CC36" s="286"/>
      <c r="CD36" s="286"/>
      <c r="CE36" s="286" t="str">
        <f t="shared" si="64"/>
        <v>No OBL Yet</v>
      </c>
      <c r="CF36" s="286"/>
      <c r="CG36" s="286"/>
      <c r="CH36" s="332"/>
      <c r="CI36" s="332"/>
      <c r="CJ36" s="332"/>
      <c r="CK36" s="330" t="str">
        <f t="shared" si="65"/>
        <v>No CERTS Yet</v>
      </c>
      <c r="CL36" s="342"/>
      <c r="CM36" s="286"/>
      <c r="CN36" s="343"/>
      <c r="CO36" s="343"/>
      <c r="CP36" s="343" t="str">
        <f>IF(CO36&lt;&gt;0,"Docs in Buyer's Bank",IF(CN36&lt;&gt;0,"Docs in Transit to Buyer's Bank",IF(CM36&lt;&gt;0,"Docs in Our Bank",IF(CL36="TT PAYMENT","Not Applicable",""))))</f>
        <v/>
      </c>
      <c r="CQ36" s="488">
        <f t="shared" si="99"/>
        <v>294166.20799999998</v>
      </c>
      <c r="CR36" s="344"/>
      <c r="CS36" s="330"/>
      <c r="CT36" s="330"/>
      <c r="CU36" s="345" t="str">
        <f t="shared" si="67"/>
        <v/>
      </c>
      <c r="CV36" s="489" t="str">
        <f t="shared" si="68"/>
        <v/>
      </c>
      <c r="CW36" s="345" t="str">
        <f t="shared" si="69"/>
        <v/>
      </c>
      <c r="CX36" s="345" t="str">
        <f t="shared" si="70"/>
        <v/>
      </c>
      <c r="CY36" s="346" t="str">
        <f t="shared" si="71"/>
        <v/>
      </c>
      <c r="CZ36" s="330"/>
      <c r="DA36" s="347" t="str">
        <f t="shared" si="72"/>
        <v/>
      </c>
      <c r="DB36" s="330"/>
      <c r="DC36" s="490" t="str">
        <f t="shared" si="73"/>
        <v/>
      </c>
      <c r="DD36" s="348"/>
      <c r="DE36" s="349" t="str">
        <f t="shared" si="74"/>
        <v/>
      </c>
      <c r="DF36" s="330" t="str">
        <f t="shared" si="75"/>
        <v/>
      </c>
      <c r="DG36" s="345" t="str">
        <f t="shared" si="76"/>
        <v/>
      </c>
      <c r="DH36" s="330" t="str">
        <f t="shared" si="77"/>
        <v/>
      </c>
      <c r="DI36" s="490" t="str">
        <f t="shared" si="78"/>
        <v/>
      </c>
      <c r="DJ36" s="330" t="str">
        <f>IF(CS36="","",IF(DE36&lt;0,DE36*CT36*AI36*10%,0))</f>
        <v/>
      </c>
      <c r="DK36" s="346" t="str">
        <f t="shared" si="80"/>
        <v/>
      </c>
      <c r="DL36" s="330"/>
      <c r="DM36" s="330"/>
      <c r="DN36" s="346" t="str">
        <f t="shared" si="81"/>
        <v/>
      </c>
      <c r="DO36" s="345" t="str">
        <f t="shared" si="82"/>
        <v/>
      </c>
      <c r="DP36" s="345" t="str">
        <f t="shared" si="83"/>
        <v/>
      </c>
      <c r="DQ36" s="346" t="str">
        <f t="shared" si="84"/>
        <v/>
      </c>
      <c r="DR36" s="346" t="str">
        <f t="shared" si="85"/>
        <v/>
      </c>
      <c r="DS36" s="330" t="str">
        <f t="shared" si="86"/>
        <v/>
      </c>
      <c r="DT36" s="330" t="str">
        <f t="shared" si="87"/>
        <v/>
      </c>
      <c r="DU36" s="330"/>
      <c r="DV36" s="330"/>
      <c r="DW36" s="330"/>
      <c r="DX36" s="330"/>
      <c r="DY36" s="330" t="s">
        <v>230</v>
      </c>
      <c r="DZ36" s="330"/>
      <c r="EA36" s="330" t="str">
        <f t="shared" si="88"/>
        <v/>
      </c>
      <c r="EB36" s="330"/>
      <c r="EC36" s="330"/>
      <c r="ED36" s="330"/>
      <c r="EE36" s="329"/>
      <c r="EF36" s="350"/>
      <c r="EG36" s="329"/>
      <c r="EH36" s="3" t="s">
        <v>266</v>
      </c>
      <c r="EI36" s="329"/>
      <c r="EJ36" s="336"/>
      <c r="EK36" s="338"/>
      <c r="EL36" s="351"/>
      <c r="EM36" s="351"/>
      <c r="EN36" s="336">
        <f t="shared" si="89"/>
        <v>0</v>
      </c>
      <c r="EO36" s="351"/>
      <c r="EP36" s="513"/>
      <c r="EQ36" s="338"/>
      <c r="ER36" s="338"/>
      <c r="ES36" s="350"/>
      <c r="ET36" s="350"/>
      <c r="EU36" s="352"/>
      <c r="EV36" s="330" t="str">
        <f t="shared" si="90"/>
        <v>Yet to load</v>
      </c>
      <c r="EW36" s="336"/>
      <c r="EX36" s="336">
        <f t="shared" si="91"/>
        <v>0</v>
      </c>
      <c r="EY36" s="336" t="s">
        <v>233</v>
      </c>
      <c r="EZ36" s="337"/>
      <c r="FA36" s="330"/>
      <c r="FB36" s="337"/>
      <c r="FC36" s="492"/>
      <c r="FD36" s="336">
        <f t="shared" si="92"/>
        <v>0</v>
      </c>
      <c r="FE36" s="353"/>
      <c r="FF36" s="353"/>
      <c r="FG36" s="354"/>
      <c r="FH36" s="354"/>
      <c r="FI36" s="354"/>
      <c r="FJ36" s="354"/>
      <c r="FK36" s="49"/>
      <c r="FL36" s="49">
        <f t="shared" si="100"/>
        <v>0</v>
      </c>
      <c r="FM36" s="180">
        <f t="shared" si="101"/>
        <v>46163</v>
      </c>
      <c r="FN36" s="49"/>
      <c r="FO36" s="49"/>
      <c r="FP36" s="49"/>
      <c r="FQ36" s="49"/>
      <c r="FR36" s="49"/>
      <c r="FS36" s="34">
        <f t="shared" si="96"/>
        <v>20010094</v>
      </c>
      <c r="FT36" s="34" t="str">
        <f t="shared" si="97"/>
        <v>32016289-1</v>
      </c>
      <c r="FU36" s="3"/>
      <c r="FV36" s="3"/>
      <c r="FW36" s="3"/>
      <c r="FX36" s="3"/>
      <c r="FY36" s="3"/>
      <c r="FZ36" s="3"/>
      <c r="GA36" s="3"/>
      <c r="GB36" s="4"/>
      <c r="GC36" s="3"/>
      <c r="GD36" s="182"/>
      <c r="GE36" s="3"/>
      <c r="GF36" s="3"/>
      <c r="GG36" s="3"/>
      <c r="GH36" s="3"/>
      <c r="GI36" s="3"/>
      <c r="GJ36" s="3"/>
      <c r="GK36" s="3"/>
      <c r="GL36" s="3"/>
      <c r="GM36" s="3"/>
      <c r="GN36" s="3"/>
    </row>
    <row r="37" spans="1:196" s="1" customFormat="1" ht="36.950000000000003">
      <c r="A37" s="330" t="str">
        <f t="shared" si="49"/>
        <v>Sailed, OBL &amp; Certs Pending</v>
      </c>
      <c r="B37" s="282">
        <v>46</v>
      </c>
      <c r="C37" s="282">
        <v>200</v>
      </c>
      <c r="D37" s="182" t="s">
        <v>208</v>
      </c>
      <c r="E37" s="2" t="str">
        <f t="shared" si="50"/>
        <v>CLOSE POSITION</v>
      </c>
      <c r="F37" s="333" t="str">
        <f t="shared" si="51"/>
        <v>32016289-2</v>
      </c>
      <c r="G37" s="333"/>
      <c r="H37" s="330" t="str">
        <f t="shared" si="52"/>
        <v xml:space="preserve">VIET PHI AGRICULTURE JOINT 
STOCK COMPANY </v>
      </c>
      <c r="I37" s="329" t="s">
        <v>259</v>
      </c>
      <c r="J37" s="330" t="s">
        <v>347</v>
      </c>
      <c r="K37" s="330" t="str">
        <f t="shared" si="53"/>
        <v>HCMC, VIETNAM</v>
      </c>
      <c r="L37" s="330" t="str">
        <f t="shared" si="95"/>
        <v>HLCUAB1260401258</v>
      </c>
      <c r="M37" s="330">
        <f t="shared" si="94"/>
        <v>252.18</v>
      </c>
      <c r="N37" s="286">
        <f t="shared" si="56"/>
        <v>46163</v>
      </c>
      <c r="O37" s="286">
        <f t="shared" si="57"/>
        <v>46208</v>
      </c>
      <c r="P37" s="286" t="str">
        <f t="shared" si="58"/>
        <v>No OBL Yet</v>
      </c>
      <c r="Q37" s="2" t="s">
        <v>436</v>
      </c>
      <c r="R37" s="330" t="str">
        <f t="shared" si="59"/>
        <v>No CERTS Yet</v>
      </c>
      <c r="S37" s="2" t="str">
        <f t="shared" si="60"/>
        <v/>
      </c>
      <c r="T37" s="330" t="s">
        <v>428</v>
      </c>
      <c r="U37" s="329" t="s">
        <v>437</v>
      </c>
      <c r="V37" s="334"/>
      <c r="W37" s="3" t="s">
        <v>430</v>
      </c>
      <c r="X37" s="337">
        <v>46126</v>
      </c>
      <c r="Y37" s="356">
        <v>20010094</v>
      </c>
      <c r="Z37" s="337">
        <v>46126</v>
      </c>
      <c r="AA37" s="332" t="s">
        <v>438</v>
      </c>
      <c r="AB37" s="334" t="s">
        <v>432</v>
      </c>
      <c r="AC37" s="484">
        <v>46168</v>
      </c>
      <c r="AD37" s="484">
        <v>46173</v>
      </c>
      <c r="AE37" s="485">
        <v>0.05</v>
      </c>
      <c r="AF37" s="512">
        <v>250</v>
      </c>
      <c r="AG37" s="338">
        <f t="shared" si="61"/>
        <v>237.5</v>
      </c>
      <c r="AH37" s="329" t="s">
        <v>215</v>
      </c>
      <c r="AI37" s="338">
        <v>1520</v>
      </c>
      <c r="AJ37" s="338">
        <f t="shared" si="98"/>
        <v>380000</v>
      </c>
      <c r="AK37" s="329" t="s">
        <v>216</v>
      </c>
      <c r="AL37" s="329" t="s">
        <v>238</v>
      </c>
      <c r="AM37" s="357">
        <v>0.1</v>
      </c>
      <c r="AN37" s="357">
        <v>0.88</v>
      </c>
      <c r="AO37" s="357">
        <v>0.02</v>
      </c>
      <c r="AP37" s="358" t="s">
        <v>218</v>
      </c>
      <c r="AQ37" s="329" t="s">
        <v>354</v>
      </c>
      <c r="AR37" s="335" t="s">
        <v>251</v>
      </c>
      <c r="AS37" s="359"/>
      <c r="AT37" s="329" t="s">
        <v>220</v>
      </c>
      <c r="AU37" s="329" t="s">
        <v>220</v>
      </c>
      <c r="AV37" s="329" t="s">
        <v>220</v>
      </c>
      <c r="AW37" s="351"/>
      <c r="AX37" s="329"/>
      <c r="AY37" s="360">
        <v>46129</v>
      </c>
      <c r="AZ37" s="486">
        <f t="shared" si="62"/>
        <v>38000</v>
      </c>
      <c r="BA37" s="335">
        <v>46135</v>
      </c>
      <c r="BB37" s="286">
        <v>46129</v>
      </c>
      <c r="BC37" s="286"/>
      <c r="BD37" s="286"/>
      <c r="BE37" s="286"/>
      <c r="BF37" s="286"/>
      <c r="BG37" s="335"/>
      <c r="BH37" s="335"/>
      <c r="BI37" s="329" t="s">
        <v>439</v>
      </c>
      <c r="BJ37" s="487">
        <v>252.18</v>
      </c>
      <c r="BK37" s="336" t="s">
        <v>222</v>
      </c>
      <c r="BL37" s="501">
        <v>10</v>
      </c>
      <c r="BM37" s="335">
        <v>46163</v>
      </c>
      <c r="BN37" s="330"/>
      <c r="BO37" s="335">
        <v>46208</v>
      </c>
      <c r="BP37" s="329" t="s">
        <v>259</v>
      </c>
      <c r="BQ37" s="339" t="s">
        <v>409</v>
      </c>
      <c r="BR37" s="330" t="s">
        <v>434</v>
      </c>
      <c r="BS37" s="340"/>
      <c r="BT37" s="341" t="s">
        <v>435</v>
      </c>
      <c r="BU37" s="336"/>
      <c r="BV37" s="340"/>
      <c r="BW37" s="341"/>
      <c r="BX37" s="336">
        <f t="shared" si="63"/>
        <v>383313.60000000003</v>
      </c>
      <c r="BY37" s="286"/>
      <c r="BZ37" s="286"/>
      <c r="CA37" s="286"/>
      <c r="CB37" s="286"/>
      <c r="CC37" s="286"/>
      <c r="CD37" s="286"/>
      <c r="CE37" s="286" t="str">
        <f t="shared" si="64"/>
        <v>No OBL Yet</v>
      </c>
      <c r="CF37" s="286"/>
      <c r="CG37" s="286"/>
      <c r="CH37" s="332"/>
      <c r="CI37" s="332"/>
      <c r="CJ37" s="332"/>
      <c r="CK37" s="330" t="str">
        <f t="shared" si="65"/>
        <v>No CERTS Yet</v>
      </c>
      <c r="CL37" s="342"/>
      <c r="CM37" s="286"/>
      <c r="CN37" s="343"/>
      <c r="CO37" s="343"/>
      <c r="CP37" s="343" t="str">
        <f>IF(CO37&lt;&gt;0,"Docs in Buyer's Bank",IF(CN37&lt;&gt;0,"Docs in Transit to Buyer's Bank",IF(CM37&lt;&gt;0,"Docs in Our Bank",IF(CL37="TT PAYMENT","Not Applicable",""))))</f>
        <v/>
      </c>
      <c r="CQ37" s="488">
        <f t="shared" si="99"/>
        <v>299315.96799999999</v>
      </c>
      <c r="CR37" s="344"/>
      <c r="CS37" s="330"/>
      <c r="CT37" s="330"/>
      <c r="CU37" s="345" t="str">
        <f t="shared" si="67"/>
        <v/>
      </c>
      <c r="CV37" s="489" t="str">
        <f t="shared" si="68"/>
        <v/>
      </c>
      <c r="CW37" s="345" t="str">
        <f t="shared" si="69"/>
        <v/>
      </c>
      <c r="CX37" s="345" t="str">
        <f t="shared" si="70"/>
        <v/>
      </c>
      <c r="CY37" s="346" t="str">
        <f t="shared" si="71"/>
        <v/>
      </c>
      <c r="CZ37" s="330"/>
      <c r="DA37" s="347" t="str">
        <f t="shared" si="72"/>
        <v/>
      </c>
      <c r="DB37" s="330"/>
      <c r="DC37" s="490" t="str">
        <f t="shared" si="73"/>
        <v/>
      </c>
      <c r="DD37" s="348"/>
      <c r="DE37" s="349" t="str">
        <f t="shared" si="74"/>
        <v/>
      </c>
      <c r="DF37" s="330" t="str">
        <f t="shared" si="75"/>
        <v/>
      </c>
      <c r="DG37" s="345" t="str">
        <f t="shared" si="76"/>
        <v/>
      </c>
      <c r="DH37" s="330" t="str">
        <f t="shared" si="77"/>
        <v/>
      </c>
      <c r="DI37" s="490" t="str">
        <f t="shared" si="78"/>
        <v/>
      </c>
      <c r="DJ37" s="330" t="str">
        <f>IF(CS37="","",IF(DE37&lt;0,DE37*CT37*AI37*10%,0))</f>
        <v/>
      </c>
      <c r="DK37" s="346" t="str">
        <f t="shared" si="80"/>
        <v/>
      </c>
      <c r="DL37" s="330"/>
      <c r="DM37" s="330"/>
      <c r="DN37" s="346" t="str">
        <f t="shared" si="81"/>
        <v/>
      </c>
      <c r="DO37" s="345" t="str">
        <f t="shared" si="82"/>
        <v/>
      </c>
      <c r="DP37" s="345" t="str">
        <f t="shared" si="83"/>
        <v/>
      </c>
      <c r="DQ37" s="346" t="str">
        <f t="shared" si="84"/>
        <v/>
      </c>
      <c r="DR37" s="346" t="str">
        <f t="shared" si="85"/>
        <v/>
      </c>
      <c r="DS37" s="330" t="str">
        <f t="shared" si="86"/>
        <v/>
      </c>
      <c r="DT37" s="330" t="str">
        <f t="shared" si="87"/>
        <v/>
      </c>
      <c r="DU37" s="330"/>
      <c r="DV37" s="330"/>
      <c r="DW37" s="330"/>
      <c r="DX37" s="330"/>
      <c r="DY37" s="330" t="s">
        <v>230</v>
      </c>
      <c r="DZ37" s="330"/>
      <c r="EA37" s="330" t="str">
        <f t="shared" si="88"/>
        <v/>
      </c>
      <c r="EB37" s="330"/>
      <c r="EC37" s="330"/>
      <c r="ED37" s="330"/>
      <c r="EE37" s="329"/>
      <c r="EF37" s="350"/>
      <c r="EG37" s="329"/>
      <c r="EH37" s="3" t="s">
        <v>266</v>
      </c>
      <c r="EI37" s="329"/>
      <c r="EJ37" s="336"/>
      <c r="EK37" s="338"/>
      <c r="EL37" s="351"/>
      <c r="EM37" s="351"/>
      <c r="EN37" s="336">
        <f t="shared" si="89"/>
        <v>0</v>
      </c>
      <c r="EO37" s="351"/>
      <c r="EP37" s="513"/>
      <c r="EQ37" s="338"/>
      <c r="ER37" s="338"/>
      <c r="ES37" s="350"/>
      <c r="ET37" s="350"/>
      <c r="EU37" s="352"/>
      <c r="EV37" s="330" t="str">
        <f t="shared" si="90"/>
        <v>Yet to load</v>
      </c>
      <c r="EW37" s="336"/>
      <c r="EX37" s="336">
        <f t="shared" si="91"/>
        <v>0</v>
      </c>
      <c r="EY37" s="336" t="s">
        <v>233</v>
      </c>
      <c r="EZ37" s="337"/>
      <c r="FA37" s="330"/>
      <c r="FB37" s="337"/>
      <c r="FC37" s="492"/>
      <c r="FD37" s="336">
        <f t="shared" si="92"/>
        <v>0</v>
      </c>
      <c r="FE37" s="353"/>
      <c r="FF37" s="353"/>
      <c r="FG37" s="354"/>
      <c r="FH37" s="354"/>
      <c r="FI37" s="354"/>
      <c r="FJ37" s="354"/>
      <c r="FK37" s="49"/>
      <c r="FL37" s="49">
        <f t="shared" si="100"/>
        <v>0</v>
      </c>
      <c r="FM37" s="180">
        <f t="shared" si="101"/>
        <v>46163</v>
      </c>
      <c r="FN37" s="49"/>
      <c r="FO37" s="49"/>
      <c r="FP37" s="49"/>
      <c r="FQ37" s="49"/>
      <c r="FR37" s="49"/>
      <c r="FS37" s="34">
        <f t="shared" si="96"/>
        <v>20010094</v>
      </c>
      <c r="FT37" s="34" t="str">
        <f t="shared" si="97"/>
        <v>32016289-2</v>
      </c>
      <c r="FU37" s="3"/>
      <c r="FV37" s="3"/>
      <c r="FW37" s="3"/>
      <c r="FX37" s="3"/>
      <c r="FY37" s="3"/>
      <c r="FZ37" s="3"/>
      <c r="GA37" s="3"/>
      <c r="GB37" s="4"/>
      <c r="GC37" s="3"/>
      <c r="GD37" s="182"/>
      <c r="GE37" s="3"/>
      <c r="GF37" s="3"/>
      <c r="GG37" s="3"/>
      <c r="GH37" s="3"/>
      <c r="GI37" s="3"/>
      <c r="GJ37" s="3"/>
      <c r="GK37" s="3"/>
      <c r="GL37" s="3"/>
      <c r="GM37" s="3"/>
      <c r="GN37" s="3"/>
    </row>
    <row r="38" spans="1:196" s="1" customFormat="1" ht="36.950000000000003">
      <c r="A38" s="330" t="str">
        <f t="shared" ref="A38:A69" si="102">IF(DZ38="CLOSE","Trade closed",IF(DZ38="PMT Pending","FNF Settlement is Due",IF(CS38&lt;&gt;0,"FNF Reconcillation Onging",IF(CR38&lt;&gt;0," Final Pmt Recd , FNF Pending",IF(CM38&lt;&gt;0,"Exp Dox Presented to Bank, Pmt Pending",IF(BZ38&lt;&gt;0,"OBL Scan Recd, Nego Pending",IF(BM38&lt;&gt;0,"Sailed, OBL &amp; Certs Pending",IF(BJ38&lt;&gt;0,"Stuffed, Yet to Sail",IF(BB38&lt;&gt;0,"SI Sent, Shipment Awaited",IF(BA38&lt;&gt;0,"Advance Rcvd, SI Pending",IF(Z38&lt;&gt;0,"SC Raised, Advance Pending",IF(X38&lt;&gt;0,"Deal Ticket Rcvd SC Pending", "Entry Pending"))))))))))))</f>
        <v>Sailed, OBL &amp; Certs Pending</v>
      </c>
      <c r="B38" s="282">
        <v>46</v>
      </c>
      <c r="C38" s="282">
        <v>200</v>
      </c>
      <c r="D38" s="182" t="s">
        <v>208</v>
      </c>
      <c r="E38" s="2" t="str">
        <f t="shared" ref="E38:E69" si="103">IF(AND(LEFT(TRIM(AA38&amp;""),1)="3",BI38&lt;&gt;""),"CLOSE POSITION",
IF(AND(LEFT(TRIM(AA38&amp;""),1)="3",BI38=""),"SHORT POSITION",
IF(AND(LEFT(TRIM(AA38&amp;""),1)&lt;&gt;"3",BI38&lt;&gt;""),"LONG POSITION","ENTRY PENDING")))</f>
        <v>CLOSE POSITION</v>
      </c>
      <c r="F38" s="333" t="str">
        <f t="shared" ref="F38:F69" si="104">AA38</f>
        <v>32016289-3</v>
      </c>
      <c r="G38" s="333"/>
      <c r="H38" s="330" t="str">
        <f t="shared" ref="H38:H69" si="105">AB38</f>
        <v xml:space="preserve">VIET PHI AGRICULTURE JOINT 
STOCK COMPANY </v>
      </c>
      <c r="I38" s="329" t="s">
        <v>259</v>
      </c>
      <c r="J38" s="330" t="s">
        <v>347</v>
      </c>
      <c r="K38" s="330" t="str">
        <f t="shared" ref="K38:K69" si="106">IF(BQ38&lt;&gt;0,BQ38,"")</f>
        <v>HCMC, VIETNAM</v>
      </c>
      <c r="L38" s="330" t="str">
        <f t="shared" si="95"/>
        <v>HLCUAB1260400752</v>
      </c>
      <c r="M38" s="330">
        <f t="shared" si="94"/>
        <v>244.67</v>
      </c>
      <c r="N38" s="286">
        <f t="shared" ref="N38:N69" si="107">IF(BM38&lt;&gt;0,BM38,"")</f>
        <v>46163</v>
      </c>
      <c r="O38" s="286">
        <f t="shared" si="57"/>
        <v>46215</v>
      </c>
      <c r="P38" s="286" t="str">
        <f t="shared" ref="P38:P69" si="108">CE38</f>
        <v>No OBL Yet</v>
      </c>
      <c r="Q38" s="2" t="s">
        <v>440</v>
      </c>
      <c r="R38" s="330" t="str">
        <f t="shared" ref="R38:R69" si="109">CK38</f>
        <v>No CERTS Yet</v>
      </c>
      <c r="S38" s="2" t="str">
        <f t="shared" ref="S38:S69" si="110">CP38</f>
        <v/>
      </c>
      <c r="T38" s="330" t="s">
        <v>428</v>
      </c>
      <c r="U38" s="329" t="s">
        <v>441</v>
      </c>
      <c r="V38" s="334"/>
      <c r="W38" s="3" t="s">
        <v>442</v>
      </c>
      <c r="X38" s="337">
        <v>46126</v>
      </c>
      <c r="Y38" s="356">
        <v>20010094</v>
      </c>
      <c r="Z38" s="337">
        <v>46126</v>
      </c>
      <c r="AA38" s="332" t="s">
        <v>443</v>
      </c>
      <c r="AB38" s="334" t="s">
        <v>432</v>
      </c>
      <c r="AC38" s="484">
        <v>46168</v>
      </c>
      <c r="AD38" s="484">
        <v>46173</v>
      </c>
      <c r="AE38" s="485">
        <v>0.05</v>
      </c>
      <c r="AF38" s="512">
        <v>250</v>
      </c>
      <c r="AG38" s="338">
        <f t="shared" ref="AG38:AG69" si="111">AF38*(1-AE38)</f>
        <v>237.5</v>
      </c>
      <c r="AH38" s="329" t="s">
        <v>215</v>
      </c>
      <c r="AI38" s="338">
        <v>1520</v>
      </c>
      <c r="AJ38" s="338">
        <f t="shared" si="98"/>
        <v>380000</v>
      </c>
      <c r="AK38" s="329" t="s">
        <v>216</v>
      </c>
      <c r="AL38" s="329" t="s">
        <v>238</v>
      </c>
      <c r="AM38" s="357">
        <v>0.1</v>
      </c>
      <c r="AN38" s="357">
        <v>0.88</v>
      </c>
      <c r="AO38" s="357">
        <v>0.02</v>
      </c>
      <c r="AP38" s="358" t="s">
        <v>218</v>
      </c>
      <c r="AQ38" s="329" t="s">
        <v>354</v>
      </c>
      <c r="AR38" s="335" t="s">
        <v>251</v>
      </c>
      <c r="AS38" s="359"/>
      <c r="AT38" s="329" t="s">
        <v>220</v>
      </c>
      <c r="AU38" s="329" t="s">
        <v>220</v>
      </c>
      <c r="AV38" s="329" t="s">
        <v>220</v>
      </c>
      <c r="AW38" s="351"/>
      <c r="AX38" s="329"/>
      <c r="AY38" s="360">
        <v>46129</v>
      </c>
      <c r="AZ38" s="486">
        <f t="shared" si="62"/>
        <v>38000</v>
      </c>
      <c r="BA38" s="335">
        <v>46135</v>
      </c>
      <c r="BB38" s="286">
        <v>46129</v>
      </c>
      <c r="BC38" s="286"/>
      <c r="BD38" s="286"/>
      <c r="BE38" s="286"/>
      <c r="BF38" s="286"/>
      <c r="BG38" s="335"/>
      <c r="BH38" s="335"/>
      <c r="BI38" s="329" t="s">
        <v>444</v>
      </c>
      <c r="BJ38" s="487">
        <v>244.67</v>
      </c>
      <c r="BK38" s="336" t="s">
        <v>222</v>
      </c>
      <c r="BL38" s="501">
        <v>10</v>
      </c>
      <c r="BM38" s="335">
        <v>46163</v>
      </c>
      <c r="BN38" s="330"/>
      <c r="BO38" s="335">
        <v>46215</v>
      </c>
      <c r="BP38" s="329" t="s">
        <v>259</v>
      </c>
      <c r="BQ38" s="339" t="s">
        <v>409</v>
      </c>
      <c r="BR38" s="330" t="s">
        <v>434</v>
      </c>
      <c r="BS38" s="340"/>
      <c r="BT38" s="341" t="s">
        <v>435</v>
      </c>
      <c r="BU38" s="336"/>
      <c r="BV38" s="340"/>
      <c r="BW38" s="341"/>
      <c r="BX38" s="336">
        <f t="shared" si="63"/>
        <v>371898.39999999997</v>
      </c>
      <c r="BY38" s="286"/>
      <c r="BZ38" s="286"/>
      <c r="CA38" s="286"/>
      <c r="CB38" s="286"/>
      <c r="CC38" s="286"/>
      <c r="CD38" s="286"/>
      <c r="CE38" s="286" t="str">
        <f t="shared" ref="CE38:CE64" si="112">IF(J38="VIETNAM",
IF(CG38&lt;&gt;"","OBL in Vietnam Office",
IF(CF38&lt;&gt;"","OBL in Transit from Vietnam Office",
IF(CD38&lt;&gt;0,"OBL In Destination - "&amp;J38,
IF(CC38&lt;&gt;0,"OBL in Transit to Destination - "&amp;J38,
IF(CB38&lt;&gt;0,"OBL in SIG Office",
IF(CA38&lt;&gt;0,"OBL in Transit from Origin to SIG",
IF(BZ38&lt;&gt;0,"OBL in Origin - "&amp;I38,
IF(BY38&lt;&gt;0,"Draft Rcvd","No OBL Yet")))))))),
IF(CO38&lt;&gt;0,"OBL In Destination - "&amp;J38,
IF(CM38&lt;&gt;0,"OBL in Transit with Nego Docs - "&amp;J38,
IF(CB38&lt;&gt;0,"OBL in SIG Office",
IF(CA38&lt;&gt;0,"OBL in Transit from Origin to SIG",
IF(BZ38&lt;&gt;0,"OBL in Origin - "&amp;I38,
IF(BY38&lt;&gt;0,"Draft Rcvd","No OBL Yet")))))))</f>
        <v>No OBL Yet</v>
      </c>
      <c r="CF38" s="286"/>
      <c r="CG38" s="286"/>
      <c r="CH38" s="332"/>
      <c r="CI38" s="332"/>
      <c r="CJ38" s="332"/>
      <c r="CK38" s="330" t="str">
        <f t="shared" ref="CK38:CK69" si="113">IF(CJ38&lt;&gt;0,"CERTS in Destination - "&amp;J38,IF(CI38&lt;&gt;0,"CERT in Transit to -"&amp;J38,IF(CH38&lt;&gt;0,"CERT in Origin - "&amp;I38,IF(CH38="","No CERTS Yet"))))</f>
        <v>No CERTS Yet</v>
      </c>
      <c r="CL38" s="342"/>
      <c r="CM38" s="286"/>
      <c r="CN38" s="343"/>
      <c r="CO38" s="343"/>
      <c r="CP38" s="343" t="str">
        <f>IF(CO38&lt;&gt;0,"Docs in Buyer's Bank",IF(CN38&lt;&gt;0,"Docs in Transit to Buyer's Bank",IF(CM38&lt;&gt;0,"Docs in Our Bank",IF(CL38="TT PAYMENT","Not Applicable",""))))</f>
        <v/>
      </c>
      <c r="CQ38" s="488">
        <f t="shared" si="99"/>
        <v>289270.59199999995</v>
      </c>
      <c r="CR38" s="344"/>
      <c r="CS38" s="330"/>
      <c r="CT38" s="330"/>
      <c r="CU38" s="345" t="str">
        <f t="shared" ref="CU38:CU54" si="114">IF(CS38="","",BJ38-CT38)</f>
        <v/>
      </c>
      <c r="CV38" s="489" t="str">
        <f t="shared" ref="CV38:CV54" si="115">IF(CS38="","",CU38/BJ38)</f>
        <v/>
      </c>
      <c r="CW38" s="345" t="str">
        <f t="shared" ref="CW38:CW54" si="116">IF(CS38="","",AZ38+CQ38)</f>
        <v/>
      </c>
      <c r="CX38" s="345" t="str">
        <f t="shared" ref="CX38:CX54" si="117">IF(CS38="","",BX38*2%)</f>
        <v/>
      </c>
      <c r="CY38" s="346" t="str">
        <f t="shared" ref="CY38:CY54" si="118">IF(CS38="","",AI38/B38)</f>
        <v/>
      </c>
      <c r="CZ38" s="330"/>
      <c r="DA38" s="347" t="str">
        <f t="shared" ref="DA38:DA54" si="119">IF(CS38="","",B38-CZ38)</f>
        <v/>
      </c>
      <c r="DB38" s="330"/>
      <c r="DC38" s="490" t="str">
        <f t="shared" ref="DC38:DC54" si="120">IF(CS38="","",IF(CS38="","",DB38-C38))</f>
        <v/>
      </c>
      <c r="DD38" s="348"/>
      <c r="DE38" s="349" t="str">
        <f t="shared" ref="DE38:DE54" si="121">IF(CS38="","",10%-DD38)</f>
        <v/>
      </c>
      <c r="DF38" s="330" t="str">
        <f t="shared" ref="DF38:DF54" si="122">IF(CS38="","",CU38*AI38)</f>
        <v/>
      </c>
      <c r="DG38" s="345" t="str">
        <f t="shared" ref="DG38:DG54" si="123">IF(CS38="","",IF(DA38&gt;2,2*DA38*CT38*CY38,DA38*CT38*CY38))</f>
        <v/>
      </c>
      <c r="DH38" s="330" t="str">
        <f t="shared" ref="DH38:DH54" si="124">IF(CS38="","",IF(DA38&gt;2,2*(DA38-2*CT38*CY38),0))</f>
        <v/>
      </c>
      <c r="DI38" s="490" t="str">
        <f t="shared" ref="DI38:DI54" si="125">IF(CS38="","",IF(DC38&gt;0,DC38*0.5*CT38,0))</f>
        <v/>
      </c>
      <c r="DJ38" s="330" t="str">
        <f>IF(CS38="","",IF(DE38&lt;0,DE38*CT38*AI38*10%,0))</f>
        <v/>
      </c>
      <c r="DK38" s="346" t="str">
        <f t="shared" ref="DK38:DK54" si="126">IF(CS38="","",SUM(DF38:DJ38))</f>
        <v/>
      </c>
      <c r="DL38" s="330"/>
      <c r="DM38" s="330"/>
      <c r="DN38" s="346" t="str">
        <f t="shared" ref="DN38:DN54" si="127">IF(CS38="","",SUM(DK38:DL38))</f>
        <v/>
      </c>
      <c r="DO38" s="345" t="str">
        <f t="shared" ref="DO38:DO54" si="128">IF(CS38="","",BJ38*AI38-DN38)</f>
        <v/>
      </c>
      <c r="DP38" s="345" t="str">
        <f t="shared" ref="DP38:DP54" si="129">IF(CS38="","",AZ38+CQ38)</f>
        <v/>
      </c>
      <c r="DQ38" s="346" t="str">
        <f t="shared" ref="DQ38:DQ54" si="130">IF(CS38="","",IF((DP38-DO38)&gt;0,DP38-DO38,""))</f>
        <v/>
      </c>
      <c r="DR38" s="346" t="str">
        <f t="shared" ref="DR38:DR54" si="131">IF(CS38="","",IF((DO38-DP38)&gt;0,(DO38-DP38),""))</f>
        <v/>
      </c>
      <c r="DS38" s="330" t="str">
        <f t="shared" ref="DS38:DS54" si="132">IF(CS38="","",IF(DQ38="",H38,"VALENCY"))</f>
        <v/>
      </c>
      <c r="DT38" s="330" t="str">
        <f t="shared" ref="DT38:DT54" si="133">IF(DN38="","",IF(DN38&gt;0,"CN", "DN"))</f>
        <v/>
      </c>
      <c r="DU38" s="330"/>
      <c r="DV38" s="330"/>
      <c r="DW38" s="330"/>
      <c r="DX38" s="330"/>
      <c r="DY38" s="330" t="s">
        <v>230</v>
      </c>
      <c r="DZ38" s="330"/>
      <c r="EA38" s="330" t="str">
        <f t="shared" ref="EA38:EA54" si="134">IF(CS38="","",
   MIN(0,(IF(DA38&gt;2,2,1)*DA38*CT38*CY38))
)</f>
        <v/>
      </c>
      <c r="EB38" s="330"/>
      <c r="EC38" s="330"/>
      <c r="ED38" s="330"/>
      <c r="EE38" s="329"/>
      <c r="EF38" s="350"/>
      <c r="EG38" s="329"/>
      <c r="EH38" s="3" t="s">
        <v>266</v>
      </c>
      <c r="EI38" s="329"/>
      <c r="EJ38" s="336"/>
      <c r="EK38" s="338"/>
      <c r="EL38" s="351"/>
      <c r="EM38" s="351"/>
      <c r="EN38" s="336">
        <f t="shared" ref="EN38:EN54" si="135">EK38*EJ38</f>
        <v>0</v>
      </c>
      <c r="EO38" s="351"/>
      <c r="EP38" s="513"/>
      <c r="EQ38" s="338"/>
      <c r="ER38" s="338"/>
      <c r="ES38" s="350"/>
      <c r="ET38" s="350"/>
      <c r="EU38" s="352"/>
      <c r="EV38" s="330" t="str">
        <f t="shared" ref="EV38:EV69" si="136">IF(CR38&lt;&gt;0,"Final Pmt Recd",IF(CM38&lt;&gt;0,"Export Loan",IF(BZ38&lt;&gt;0,"Nego Pending",IF(Z38&lt;&gt;0,"Yet to load","Yet to load"))))</f>
        <v>Yet to load</v>
      </c>
      <c r="EW38" s="336"/>
      <c r="EX38" s="336">
        <f t="shared" ref="EX38:EX54" si="137">EW38/BJ38</f>
        <v>0</v>
      </c>
      <c r="EY38" s="336" t="s">
        <v>233</v>
      </c>
      <c r="EZ38" s="337"/>
      <c r="FA38" s="330"/>
      <c r="FB38" s="337"/>
      <c r="FC38" s="492"/>
      <c r="FD38" s="336">
        <f t="shared" ref="FD38:FD54" si="138">FC38*BJ38</f>
        <v>0</v>
      </c>
      <c r="FE38" s="353"/>
      <c r="FF38" s="353"/>
      <c r="FG38" s="354"/>
      <c r="FH38" s="354"/>
      <c r="FI38" s="354"/>
      <c r="FJ38" s="354"/>
      <c r="FK38" s="49"/>
      <c r="FL38" s="49">
        <f t="shared" si="100"/>
        <v>0</v>
      </c>
      <c r="FM38" s="180">
        <f t="shared" si="101"/>
        <v>46163</v>
      </c>
      <c r="FN38" s="49"/>
      <c r="FO38" s="49"/>
      <c r="FP38" s="49"/>
      <c r="FQ38" s="49"/>
      <c r="FR38" s="49"/>
      <c r="FS38" s="34">
        <f t="shared" si="96"/>
        <v>20010094</v>
      </c>
      <c r="FT38" s="34" t="str">
        <f t="shared" si="97"/>
        <v>32016289-3</v>
      </c>
      <c r="FU38" s="3"/>
      <c r="FV38" s="3"/>
      <c r="FW38" s="3"/>
      <c r="FX38" s="3"/>
      <c r="FY38" s="3"/>
      <c r="FZ38" s="3"/>
      <c r="GA38" s="3"/>
      <c r="GB38" s="4"/>
      <c r="GC38" s="3"/>
      <c r="GD38" s="182"/>
      <c r="GE38" s="3"/>
      <c r="GF38" s="3"/>
      <c r="GG38" s="3"/>
      <c r="GH38" s="3"/>
      <c r="GI38" s="3"/>
      <c r="GJ38" s="3"/>
      <c r="GK38" s="3"/>
      <c r="GL38" s="3"/>
      <c r="GM38" s="3"/>
      <c r="GN38" s="3"/>
    </row>
    <row r="39" spans="1:196" s="1" customFormat="1" ht="33.950000000000003">
      <c r="A39" s="2" t="str">
        <f t="shared" si="102"/>
        <v xml:space="preserve"> Final Pmt Recd , FNF Pending</v>
      </c>
      <c r="B39" s="282">
        <v>47</v>
      </c>
      <c r="C39" s="282">
        <v>185</v>
      </c>
      <c r="D39" s="182" t="s">
        <v>208</v>
      </c>
      <c r="E39" s="2" t="str">
        <f t="shared" si="103"/>
        <v>CLOSE POSITION</v>
      </c>
      <c r="F39" s="271" t="str">
        <f t="shared" si="104"/>
        <v>32015281-3</v>
      </c>
      <c r="G39" s="271"/>
      <c r="H39" s="2" t="str">
        <f t="shared" si="105"/>
        <v>Valency Agro (Processing)</v>
      </c>
      <c r="I39" s="3" t="s">
        <v>245</v>
      </c>
      <c r="J39" s="2" t="s">
        <v>210</v>
      </c>
      <c r="K39" s="2" t="str">
        <f t="shared" si="106"/>
        <v>MANGALORE, INDIA</v>
      </c>
      <c r="L39" s="2">
        <f t="shared" si="95"/>
        <v>267603567</v>
      </c>
      <c r="M39" s="2">
        <f t="shared" si="94"/>
        <v>25.62</v>
      </c>
      <c r="N39" s="22">
        <f t="shared" si="107"/>
        <v>46105</v>
      </c>
      <c r="O39" s="22">
        <f t="shared" si="57"/>
        <v>46161</v>
      </c>
      <c r="P39" s="22" t="str">
        <f t="shared" si="108"/>
        <v>OBL In Destination - INDIA</v>
      </c>
      <c r="Q39" s="2"/>
      <c r="R39" s="2" t="str">
        <f t="shared" si="109"/>
        <v>CERTS in Destination - INDIA</v>
      </c>
      <c r="S39" s="2" t="str">
        <f t="shared" si="110"/>
        <v>Docs in Buyer's Nego Bank</v>
      </c>
      <c r="T39" s="2" t="str">
        <f>IFERROR(_xlfn.XLOOKUP(F39,
'[2]Data 2026'!$H$12:$H$111,
'[2]Data 2026'!$CL$12:$CL$111),"")</f>
        <v/>
      </c>
      <c r="U39" s="3" t="s">
        <v>414</v>
      </c>
      <c r="V39" s="272"/>
      <c r="W39" s="3"/>
      <c r="X39" s="24">
        <v>46093</v>
      </c>
      <c r="Y39" s="273">
        <v>20009747</v>
      </c>
      <c r="Z39" s="24">
        <f>X39</f>
        <v>46093</v>
      </c>
      <c r="AA39" s="182" t="s">
        <v>445</v>
      </c>
      <c r="AB39" s="182" t="s">
        <v>247</v>
      </c>
      <c r="AC39" s="182" t="s">
        <v>248</v>
      </c>
      <c r="AD39" s="181">
        <v>46112</v>
      </c>
      <c r="AE39" s="30">
        <v>0.1</v>
      </c>
      <c r="AF39" s="277">
        <v>25</v>
      </c>
      <c r="AG39" s="35">
        <f t="shared" si="111"/>
        <v>22.5</v>
      </c>
      <c r="AH39" s="3" t="s">
        <v>215</v>
      </c>
      <c r="AI39" s="4">
        <v>1585</v>
      </c>
      <c r="AJ39" s="4">
        <f t="shared" si="98"/>
        <v>39625</v>
      </c>
      <c r="AK39" s="3" t="s">
        <v>249</v>
      </c>
      <c r="AL39" s="3" t="s">
        <v>238</v>
      </c>
      <c r="AM39" s="30">
        <v>0</v>
      </c>
      <c r="AN39" s="183">
        <v>1</v>
      </c>
      <c r="AO39" s="183">
        <v>0</v>
      </c>
      <c r="AP39" s="28" t="s">
        <v>218</v>
      </c>
      <c r="AQ39" s="18" t="s">
        <v>250</v>
      </c>
      <c r="AR39" s="18" t="s">
        <v>251</v>
      </c>
      <c r="AS39" s="27"/>
      <c r="AT39" s="3" t="s">
        <v>220</v>
      </c>
      <c r="AU39" s="3" t="s">
        <v>220</v>
      </c>
      <c r="AV39" s="3" t="s">
        <v>220</v>
      </c>
      <c r="AW39" s="9"/>
      <c r="AX39" s="3"/>
      <c r="AY39" s="47"/>
      <c r="AZ39" s="278">
        <f t="shared" si="62"/>
        <v>0</v>
      </c>
      <c r="BA39" s="18">
        <f>Z39</f>
        <v>46093</v>
      </c>
      <c r="BB39" s="22">
        <v>46078</v>
      </c>
      <c r="BC39" s="22"/>
      <c r="BD39" s="22"/>
      <c r="BE39" s="22"/>
      <c r="BF39" s="22">
        <v>46078</v>
      </c>
      <c r="BG39" s="18"/>
      <c r="BH39" s="18"/>
      <c r="BI39" s="3">
        <v>267603567</v>
      </c>
      <c r="BJ39" s="25">
        <v>25.62</v>
      </c>
      <c r="BK39" s="189" t="s">
        <v>222</v>
      </c>
      <c r="BL39" s="497">
        <v>1</v>
      </c>
      <c r="BM39" s="18">
        <v>46105</v>
      </c>
      <c r="BN39" s="4"/>
      <c r="BO39" s="18">
        <v>46161</v>
      </c>
      <c r="BP39" s="3" t="s">
        <v>245</v>
      </c>
      <c r="BQ39" s="21" t="s">
        <v>265</v>
      </c>
      <c r="BR39" s="2" t="s">
        <v>416</v>
      </c>
      <c r="BS39" s="2"/>
      <c r="BT39" s="2" t="s">
        <v>446</v>
      </c>
      <c r="BU39" s="2" t="s">
        <v>447</v>
      </c>
      <c r="BV39" s="20">
        <v>90082919</v>
      </c>
      <c r="BW39" s="19"/>
      <c r="BX39" s="189">
        <f t="shared" si="63"/>
        <v>40607.700000000004</v>
      </c>
      <c r="BY39" s="22"/>
      <c r="BZ39" s="22"/>
      <c r="CA39" s="2"/>
      <c r="CB39" s="22"/>
      <c r="CC39" s="22"/>
      <c r="CD39" s="22"/>
      <c r="CE39" s="22" t="str">
        <f t="shared" si="112"/>
        <v>OBL In Destination - INDIA</v>
      </c>
      <c r="CF39" s="22"/>
      <c r="CG39" s="22"/>
      <c r="CH39" s="181">
        <v>46137</v>
      </c>
      <c r="CI39" s="182">
        <v>2363213101</v>
      </c>
      <c r="CJ39" s="181">
        <v>46146</v>
      </c>
      <c r="CK39" s="2" t="str">
        <f t="shared" si="113"/>
        <v>CERTS in Destination - INDIA</v>
      </c>
      <c r="CL39" s="48" t="s">
        <v>229</v>
      </c>
      <c r="CM39" s="22">
        <v>46119</v>
      </c>
      <c r="CN39" s="55">
        <v>2365151644</v>
      </c>
      <c r="CO39" s="54">
        <v>46155</v>
      </c>
      <c r="CP39" s="55" t="str">
        <f t="shared" ref="CP39:CP50" si="139">IF(CO39&lt;&gt;0,"Docs in Buyer's Nego Bank",IF(CN39&lt;&gt;0,"Docs in Transit to Buyer's Nego Bank",IF(CM39&lt;&gt;0,"Docs in Our Nego Bank",IF(CL39="TT PAYMENT","Not Applicable",""))))</f>
        <v>Docs in Buyer's Nego Bank</v>
      </c>
      <c r="CQ39" s="190">
        <f t="shared" si="99"/>
        <v>40607.700000000004</v>
      </c>
      <c r="CR39" s="54">
        <v>46156</v>
      </c>
      <c r="CS39" s="2"/>
      <c r="CT39" s="2"/>
      <c r="CU39" s="14" t="str">
        <f t="shared" si="114"/>
        <v/>
      </c>
      <c r="CV39" s="191" t="str">
        <f t="shared" si="115"/>
        <v/>
      </c>
      <c r="CW39" s="14" t="str">
        <f t="shared" si="116"/>
        <v/>
      </c>
      <c r="CX39" s="14" t="str">
        <f t="shared" si="117"/>
        <v/>
      </c>
      <c r="CY39" s="15" t="str">
        <f t="shared" si="118"/>
        <v/>
      </c>
      <c r="CZ39" s="2"/>
      <c r="DA39" s="41" t="str">
        <f t="shared" si="119"/>
        <v/>
      </c>
      <c r="DB39" s="2"/>
      <c r="DC39" s="192" t="str">
        <f t="shared" si="120"/>
        <v/>
      </c>
      <c r="DD39" s="40"/>
      <c r="DE39" s="16" t="str">
        <f t="shared" si="121"/>
        <v/>
      </c>
      <c r="DF39" s="2" t="str">
        <f t="shared" si="122"/>
        <v/>
      </c>
      <c r="DG39" s="14" t="str">
        <f t="shared" si="123"/>
        <v/>
      </c>
      <c r="DH39" s="2" t="str">
        <f t="shared" si="124"/>
        <v/>
      </c>
      <c r="DI39" s="192" t="str">
        <f t="shared" si="125"/>
        <v/>
      </c>
      <c r="DJ39" s="2" t="str">
        <f t="shared" ref="DJ39:DJ50" si="140">IF(CS39="","",IF(DE39&lt;0,DE39*CT39*AI39*1%,0))</f>
        <v/>
      </c>
      <c r="DK39" s="15" t="str">
        <f t="shared" si="126"/>
        <v/>
      </c>
      <c r="DL39" s="2"/>
      <c r="DM39" s="2"/>
      <c r="DN39" s="15" t="str">
        <f t="shared" si="127"/>
        <v/>
      </c>
      <c r="DO39" s="14" t="str">
        <f t="shared" si="128"/>
        <v/>
      </c>
      <c r="DP39" s="14" t="str">
        <f t="shared" si="129"/>
        <v/>
      </c>
      <c r="DQ39" s="15" t="str">
        <f t="shared" si="130"/>
        <v/>
      </c>
      <c r="DR39" s="15" t="str">
        <f t="shared" si="131"/>
        <v/>
      </c>
      <c r="DS39" s="2" t="str">
        <f t="shared" si="132"/>
        <v/>
      </c>
      <c r="DT39" s="2" t="str">
        <f t="shared" si="133"/>
        <v/>
      </c>
      <c r="DU39" s="2"/>
      <c r="DV39" s="2"/>
      <c r="DW39" s="2"/>
      <c r="DX39" s="2"/>
      <c r="DY39" s="2" t="s">
        <v>230</v>
      </c>
      <c r="DZ39" s="2"/>
      <c r="EA39" s="2" t="str">
        <f t="shared" si="134"/>
        <v/>
      </c>
      <c r="EB39" s="2"/>
      <c r="EC39" s="2"/>
      <c r="ED39" s="2"/>
      <c r="EE39" s="3"/>
      <c r="EF39" s="7"/>
      <c r="EG39" s="3"/>
      <c r="EH39" s="3" t="s">
        <v>257</v>
      </c>
      <c r="EI39" s="3" t="s">
        <v>258</v>
      </c>
      <c r="EJ39" s="189"/>
      <c r="EK39" s="4"/>
      <c r="EL39" s="4"/>
      <c r="EM39" s="9"/>
      <c r="EN39" s="189">
        <f t="shared" si="135"/>
        <v>0</v>
      </c>
      <c r="EO39" s="9"/>
      <c r="EP39" s="8"/>
      <c r="EQ39" s="4"/>
      <c r="ER39" s="4"/>
      <c r="ES39" s="7"/>
      <c r="ET39" s="7"/>
      <c r="EU39" s="6"/>
      <c r="EV39" s="2" t="str">
        <f t="shared" si="136"/>
        <v>Final Pmt Recd</v>
      </c>
      <c r="EW39" s="189"/>
      <c r="EX39" s="189">
        <f t="shared" si="137"/>
        <v>0</v>
      </c>
      <c r="EY39" s="189" t="s">
        <v>233</v>
      </c>
      <c r="EZ39" s="24"/>
      <c r="FA39" s="2"/>
      <c r="FB39" s="24"/>
      <c r="FC39" s="193"/>
      <c r="FD39" s="189">
        <f t="shared" si="138"/>
        <v>0</v>
      </c>
      <c r="FE39" s="52"/>
      <c r="FF39" s="52"/>
      <c r="FG39" s="49"/>
      <c r="FH39" s="49"/>
      <c r="FI39" s="49"/>
      <c r="FJ39" s="49"/>
      <c r="FK39" s="49"/>
      <c r="FL39" s="49">
        <f t="shared" si="100"/>
        <v>0</v>
      </c>
      <c r="FM39" s="180">
        <f t="shared" si="101"/>
        <v>46105</v>
      </c>
      <c r="FN39" s="49"/>
      <c r="FO39" s="49"/>
      <c r="FP39" s="49"/>
      <c r="FQ39" s="49"/>
      <c r="FR39" s="49"/>
      <c r="FS39" s="34">
        <f t="shared" si="96"/>
        <v>20009747</v>
      </c>
      <c r="FT39" s="34" t="str">
        <f t="shared" si="97"/>
        <v>32015281-3</v>
      </c>
      <c r="FU39" s="3"/>
      <c r="FV39" s="3"/>
      <c r="FW39" s="3"/>
      <c r="FX39" s="3"/>
      <c r="FY39" s="3"/>
      <c r="FZ39" s="3"/>
      <c r="GA39" s="3"/>
      <c r="GB39" s="4"/>
      <c r="GC39" s="3"/>
      <c r="GD39" s="182">
        <v>90082919</v>
      </c>
      <c r="GE39" s="2"/>
      <c r="GF39" s="2" t="s">
        <v>235</v>
      </c>
      <c r="GG39" s="2"/>
      <c r="GH39" s="2"/>
      <c r="GI39" s="2"/>
      <c r="GJ39" s="2"/>
      <c r="GK39" s="2"/>
      <c r="GL39" s="2"/>
      <c r="GM39" s="2"/>
      <c r="GN39" s="2"/>
    </row>
    <row r="40" spans="1:196" s="1" customFormat="1" ht="51">
      <c r="A40" s="2" t="str">
        <f t="shared" si="102"/>
        <v xml:space="preserve"> Final Pmt Recd , FNF Pending</v>
      </c>
      <c r="B40" s="282">
        <v>48</v>
      </c>
      <c r="C40" s="282">
        <v>185</v>
      </c>
      <c r="D40" s="182" t="s">
        <v>208</v>
      </c>
      <c r="E40" s="2" t="str">
        <f t="shared" si="103"/>
        <v>CLOSE POSITION</v>
      </c>
      <c r="F40" s="271">
        <f t="shared" si="104"/>
        <v>32016277</v>
      </c>
      <c r="G40" s="271"/>
      <c r="H40" s="2" t="str">
        <f t="shared" si="105"/>
        <v xml:space="preserve">LIEN VIET TRADING </v>
      </c>
      <c r="I40" s="3" t="s">
        <v>209</v>
      </c>
      <c r="J40" s="2" t="s">
        <v>347</v>
      </c>
      <c r="K40" s="2" t="str">
        <f t="shared" si="106"/>
        <v>HCMC, VIETNAM</v>
      </c>
      <c r="L40" s="2" t="str">
        <f t="shared" si="95"/>
        <v>MEDULG619470</v>
      </c>
      <c r="M40" s="2">
        <f t="shared" si="94"/>
        <v>203.16900000000001</v>
      </c>
      <c r="N40" s="22">
        <f t="shared" si="107"/>
        <v>46097</v>
      </c>
      <c r="O40" s="22">
        <f t="shared" si="57"/>
        <v>46161</v>
      </c>
      <c r="P40" s="22" t="str">
        <f t="shared" si="108"/>
        <v>OBL In Destination - VIETNAM</v>
      </c>
      <c r="Q40" s="2" t="s">
        <v>448</v>
      </c>
      <c r="R40" s="2" t="str">
        <f t="shared" si="109"/>
        <v>CERTS in Destination - VIETNAM</v>
      </c>
      <c r="S40" s="2" t="str">
        <f t="shared" si="110"/>
        <v>Docs in Buyer's Nego Bank</v>
      </c>
      <c r="T40" s="2" t="str">
        <f>IFERROR(_xlfn.XLOOKUP(F40,
'[2]Data 2026'!$H$12:$H$111,
'[2]Data 2026'!$CL$12:$CL$111),"")</f>
        <v/>
      </c>
      <c r="U40" s="3" t="s">
        <v>402</v>
      </c>
      <c r="V40" s="272"/>
      <c r="W40" s="3"/>
      <c r="X40" s="24">
        <v>46125</v>
      </c>
      <c r="Y40" s="273">
        <v>20010090</v>
      </c>
      <c r="Z40" s="24">
        <v>46125</v>
      </c>
      <c r="AA40" s="182">
        <v>32016277</v>
      </c>
      <c r="AB40" s="182" t="s">
        <v>403</v>
      </c>
      <c r="AC40" s="182" t="s">
        <v>263</v>
      </c>
      <c r="AD40" s="181">
        <v>46142</v>
      </c>
      <c r="AE40" s="30">
        <v>0.1</v>
      </c>
      <c r="AF40" s="277">
        <v>200</v>
      </c>
      <c r="AG40" s="4">
        <f t="shared" si="111"/>
        <v>180</v>
      </c>
      <c r="AH40" s="3" t="s">
        <v>215</v>
      </c>
      <c r="AI40" s="4">
        <v>1580</v>
      </c>
      <c r="AJ40" s="4">
        <f t="shared" si="98"/>
        <v>316000</v>
      </c>
      <c r="AK40" s="3" t="s">
        <v>216</v>
      </c>
      <c r="AL40" s="3" t="s">
        <v>404</v>
      </c>
      <c r="AM40" s="183">
        <v>0.1</v>
      </c>
      <c r="AN40" s="183">
        <v>0.88</v>
      </c>
      <c r="AO40" s="183">
        <v>0.02</v>
      </c>
      <c r="AP40" s="28" t="s">
        <v>218</v>
      </c>
      <c r="AQ40" s="3" t="s">
        <v>405</v>
      </c>
      <c r="AR40" s="18" t="s">
        <v>406</v>
      </c>
      <c r="AS40" s="27">
        <v>5</v>
      </c>
      <c r="AT40" s="3" t="s">
        <v>220</v>
      </c>
      <c r="AU40" s="3" t="s">
        <v>220</v>
      </c>
      <c r="AV40" s="3" t="s">
        <v>220</v>
      </c>
      <c r="AW40" s="9"/>
      <c r="AX40" s="3"/>
      <c r="AY40" s="47">
        <v>46127</v>
      </c>
      <c r="AZ40" s="278">
        <f t="shared" si="62"/>
        <v>31600</v>
      </c>
      <c r="BA40" s="18">
        <v>46127</v>
      </c>
      <c r="BB40" s="22"/>
      <c r="BC40" s="22"/>
      <c r="BD40" s="22"/>
      <c r="BE40" s="22"/>
      <c r="BF40" s="22"/>
      <c r="BG40" s="18"/>
      <c r="BH40" s="18"/>
      <c r="BI40" s="3" t="s">
        <v>449</v>
      </c>
      <c r="BJ40" s="25">
        <v>203.16900000000001</v>
      </c>
      <c r="BK40" s="189" t="s">
        <v>222</v>
      </c>
      <c r="BL40" s="497"/>
      <c r="BM40" s="18">
        <v>46097</v>
      </c>
      <c r="BN40" s="4" t="s">
        <v>450</v>
      </c>
      <c r="BO40" s="18">
        <v>46161</v>
      </c>
      <c r="BP40" s="3" t="s">
        <v>278</v>
      </c>
      <c r="BQ40" s="21" t="s">
        <v>409</v>
      </c>
      <c r="BR40" s="2" t="s">
        <v>226</v>
      </c>
      <c r="BS40" s="2"/>
      <c r="BT40" s="2"/>
      <c r="BU40" s="3"/>
      <c r="BV40" s="20">
        <v>90085132</v>
      </c>
      <c r="BW40" s="7">
        <v>46142</v>
      </c>
      <c r="BX40" s="189">
        <f t="shared" si="63"/>
        <v>321007.02</v>
      </c>
      <c r="BY40" s="22"/>
      <c r="BZ40" s="22">
        <v>46135</v>
      </c>
      <c r="CA40" s="2"/>
      <c r="CB40" s="22"/>
      <c r="CC40" s="22" t="s">
        <v>410</v>
      </c>
      <c r="CD40" s="22">
        <v>46150</v>
      </c>
      <c r="CE40" s="22" t="str">
        <f t="shared" si="112"/>
        <v>OBL In Destination - VIETNAM</v>
      </c>
      <c r="CF40" s="22"/>
      <c r="CG40" s="22"/>
      <c r="CH40" s="181">
        <v>46135</v>
      </c>
      <c r="CI40" s="182" t="s">
        <v>410</v>
      </c>
      <c r="CJ40" s="181">
        <v>46150</v>
      </c>
      <c r="CK40" s="2" t="str">
        <f t="shared" si="113"/>
        <v>CERTS in Destination - VIETNAM</v>
      </c>
      <c r="CL40" s="48" t="s">
        <v>411</v>
      </c>
      <c r="CM40" s="22">
        <v>46149</v>
      </c>
      <c r="CN40" s="55">
        <v>7291530002</v>
      </c>
      <c r="CO40" s="54">
        <v>46154</v>
      </c>
      <c r="CP40" s="55" t="str">
        <f t="shared" si="139"/>
        <v>Docs in Buyer's Nego Bank</v>
      </c>
      <c r="CQ40" s="190">
        <v>282986.88</v>
      </c>
      <c r="CR40" s="54">
        <v>46168</v>
      </c>
      <c r="CS40" s="2"/>
      <c r="CT40" s="2"/>
      <c r="CU40" s="14" t="str">
        <f t="shared" si="114"/>
        <v/>
      </c>
      <c r="CV40" s="191" t="str">
        <f t="shared" si="115"/>
        <v/>
      </c>
      <c r="CW40" s="14" t="str">
        <f t="shared" si="116"/>
        <v/>
      </c>
      <c r="CX40" s="14" t="str">
        <f t="shared" si="117"/>
        <v/>
      </c>
      <c r="CY40" s="15" t="str">
        <f t="shared" si="118"/>
        <v/>
      </c>
      <c r="CZ40" s="2"/>
      <c r="DA40" s="41" t="str">
        <f t="shared" si="119"/>
        <v/>
      </c>
      <c r="DB40" s="2"/>
      <c r="DC40" s="192" t="str">
        <f t="shared" si="120"/>
        <v/>
      </c>
      <c r="DD40" s="40"/>
      <c r="DE40" s="16" t="str">
        <f t="shared" si="121"/>
        <v/>
      </c>
      <c r="DF40" s="2" t="str">
        <f t="shared" si="122"/>
        <v/>
      </c>
      <c r="DG40" s="14" t="str">
        <f t="shared" si="123"/>
        <v/>
      </c>
      <c r="DH40" s="2" t="str">
        <f t="shared" si="124"/>
        <v/>
      </c>
      <c r="DI40" s="192" t="str">
        <f t="shared" si="125"/>
        <v/>
      </c>
      <c r="DJ40" s="2" t="str">
        <f t="shared" si="140"/>
        <v/>
      </c>
      <c r="DK40" s="15" t="str">
        <f t="shared" si="126"/>
        <v/>
      </c>
      <c r="DL40" s="2"/>
      <c r="DM40" s="2"/>
      <c r="DN40" s="15" t="str">
        <f t="shared" si="127"/>
        <v/>
      </c>
      <c r="DO40" s="14" t="str">
        <f t="shared" si="128"/>
        <v/>
      </c>
      <c r="DP40" s="14" t="str">
        <f t="shared" si="129"/>
        <v/>
      </c>
      <c r="DQ40" s="15" t="str">
        <f t="shared" si="130"/>
        <v/>
      </c>
      <c r="DR40" s="15" t="str">
        <f t="shared" si="131"/>
        <v/>
      </c>
      <c r="DS40" s="2" t="str">
        <f t="shared" si="132"/>
        <v/>
      </c>
      <c r="DT40" s="2" t="str">
        <f t="shared" si="133"/>
        <v/>
      </c>
      <c r="DU40" s="2"/>
      <c r="DV40" s="2"/>
      <c r="DW40" s="2"/>
      <c r="DX40" s="2"/>
      <c r="DY40" s="2" t="s">
        <v>230</v>
      </c>
      <c r="DZ40" s="2"/>
      <c r="EA40" s="2" t="str">
        <f t="shared" si="134"/>
        <v/>
      </c>
      <c r="EB40" s="2"/>
      <c r="EC40" s="2"/>
      <c r="ED40" s="2"/>
      <c r="EE40" s="3"/>
      <c r="EF40" s="7"/>
      <c r="EG40" s="3"/>
      <c r="EH40" s="3" t="s">
        <v>231</v>
      </c>
      <c r="EI40" s="3"/>
      <c r="EJ40" s="189"/>
      <c r="EK40" s="4"/>
      <c r="EL40" s="4"/>
      <c r="EM40" s="9"/>
      <c r="EN40" s="189">
        <f t="shared" si="135"/>
        <v>0</v>
      </c>
      <c r="EO40" s="9"/>
      <c r="EP40" s="8"/>
      <c r="EQ40" s="4"/>
      <c r="ER40" s="4"/>
      <c r="ES40" s="7"/>
      <c r="ET40" s="7"/>
      <c r="EU40" s="6"/>
      <c r="EV40" s="2" t="str">
        <f t="shared" si="136"/>
        <v>Final Pmt Recd</v>
      </c>
      <c r="EW40" s="189"/>
      <c r="EX40" s="189">
        <f t="shared" si="137"/>
        <v>0</v>
      </c>
      <c r="EY40" s="189" t="s">
        <v>233</v>
      </c>
      <c r="EZ40" s="24"/>
      <c r="FA40" s="2"/>
      <c r="FB40" s="24"/>
      <c r="FC40" s="193"/>
      <c r="FD40" s="189">
        <f t="shared" si="138"/>
        <v>0</v>
      </c>
      <c r="FE40" s="52"/>
      <c r="FF40" s="52"/>
      <c r="FG40" s="49"/>
      <c r="FH40" s="49"/>
      <c r="FI40" s="49"/>
      <c r="FJ40" s="49"/>
      <c r="FK40" s="49"/>
      <c r="FL40" s="49">
        <f t="shared" si="100"/>
        <v>0</v>
      </c>
      <c r="FM40" s="180">
        <f t="shared" si="101"/>
        <v>46097</v>
      </c>
      <c r="FN40" s="49"/>
      <c r="FO40" s="49"/>
      <c r="FP40" s="49"/>
      <c r="FQ40" s="49"/>
      <c r="FR40" s="49"/>
      <c r="FS40" s="34">
        <f t="shared" si="96"/>
        <v>20010090</v>
      </c>
      <c r="FT40" s="34">
        <f t="shared" si="97"/>
        <v>32016277</v>
      </c>
      <c r="FU40" s="3"/>
      <c r="FV40" s="3"/>
      <c r="FW40" s="3"/>
      <c r="FX40" s="3"/>
      <c r="FY40" s="3"/>
      <c r="FZ40" s="3"/>
      <c r="GA40" s="3"/>
      <c r="GB40" s="4"/>
      <c r="GC40" s="3"/>
      <c r="GD40" s="182"/>
      <c r="GE40" s="3"/>
      <c r="GF40" s="3"/>
      <c r="GG40" s="3"/>
      <c r="GH40" s="3"/>
      <c r="GI40" s="3"/>
      <c r="GJ40" s="3"/>
      <c r="GK40" s="3"/>
      <c r="GL40" s="3"/>
      <c r="GM40" s="3"/>
      <c r="GN40" s="3"/>
    </row>
    <row r="41" spans="1:196" s="1" customFormat="1" ht="33.950000000000003">
      <c r="A41" s="2" t="str">
        <f t="shared" si="102"/>
        <v>SI Sent, Shipment Awaited</v>
      </c>
      <c r="B41" s="281">
        <v>48</v>
      </c>
      <c r="C41" s="281">
        <v>200</v>
      </c>
      <c r="D41" s="182" t="s">
        <v>208</v>
      </c>
      <c r="E41" s="2" t="str">
        <f t="shared" si="103"/>
        <v>CLOSE POSITION</v>
      </c>
      <c r="F41" s="271">
        <f t="shared" si="104"/>
        <v>32014498</v>
      </c>
      <c r="G41" s="271"/>
      <c r="H41" s="2" t="str">
        <f t="shared" si="105"/>
        <v>SRI VIJAYALAXMI CASHEW INDUSTRIES</v>
      </c>
      <c r="I41" s="3" t="s">
        <v>259</v>
      </c>
      <c r="J41" s="2" t="s">
        <v>210</v>
      </c>
      <c r="K41" s="2" t="str">
        <f t="shared" si="106"/>
        <v>MANGALORE, INDIA</v>
      </c>
      <c r="L41" s="2">
        <f t="shared" si="95"/>
        <v>267490003</v>
      </c>
      <c r="M41" s="2" t="str">
        <f t="shared" si="94"/>
        <v/>
      </c>
      <c r="N41" s="22" t="str">
        <f t="shared" si="107"/>
        <v/>
      </c>
      <c r="O41" s="22" t="str">
        <f t="shared" si="57"/>
        <v/>
      </c>
      <c r="P41" s="22" t="str">
        <f t="shared" si="108"/>
        <v>No OBL Yet</v>
      </c>
      <c r="Q41" s="2"/>
      <c r="R41" s="2" t="str">
        <f t="shared" si="109"/>
        <v>No CERTS Yet</v>
      </c>
      <c r="S41" s="2" t="str">
        <f t="shared" si="110"/>
        <v/>
      </c>
      <c r="T41" s="2" t="s">
        <v>260</v>
      </c>
      <c r="U41" s="3" t="s">
        <v>451</v>
      </c>
      <c r="V41" s="272"/>
      <c r="W41" s="272"/>
      <c r="X41" s="24">
        <v>46076</v>
      </c>
      <c r="Y41" s="273">
        <v>20009555</v>
      </c>
      <c r="Z41" s="24">
        <v>46074</v>
      </c>
      <c r="AA41" s="182">
        <v>32014498</v>
      </c>
      <c r="AB41" s="182" t="s">
        <v>452</v>
      </c>
      <c r="AC41" s="182" t="s">
        <v>263</v>
      </c>
      <c r="AD41" s="181">
        <v>46142</v>
      </c>
      <c r="AE41" s="30">
        <v>0.1</v>
      </c>
      <c r="AF41" s="277">
        <v>100</v>
      </c>
      <c r="AG41" s="35">
        <f t="shared" si="111"/>
        <v>90</v>
      </c>
      <c r="AH41" s="3" t="s">
        <v>215</v>
      </c>
      <c r="AI41" s="4">
        <v>1505</v>
      </c>
      <c r="AJ41" s="4">
        <f t="shared" si="98"/>
        <v>150500</v>
      </c>
      <c r="AK41" s="3" t="s">
        <v>249</v>
      </c>
      <c r="AL41" s="3" t="s">
        <v>238</v>
      </c>
      <c r="AM41" s="30">
        <v>0</v>
      </c>
      <c r="AN41" s="183">
        <v>1</v>
      </c>
      <c r="AO41" s="183">
        <v>0</v>
      </c>
      <c r="AP41" s="28" t="s">
        <v>218</v>
      </c>
      <c r="AQ41" s="18" t="s">
        <v>239</v>
      </c>
      <c r="AR41" s="18" t="s">
        <v>251</v>
      </c>
      <c r="AS41" s="27"/>
      <c r="AT41" s="3" t="s">
        <v>220</v>
      </c>
      <c r="AU41" s="3" t="s">
        <v>220</v>
      </c>
      <c r="AV41" s="3" t="s">
        <v>220</v>
      </c>
      <c r="AW41" s="9"/>
      <c r="AX41" s="3"/>
      <c r="AY41" s="47"/>
      <c r="AZ41" s="275">
        <f t="shared" si="62"/>
        <v>0</v>
      </c>
      <c r="BA41" s="18"/>
      <c r="BB41" s="22">
        <v>46083</v>
      </c>
      <c r="BC41" s="22"/>
      <c r="BD41" s="22"/>
      <c r="BE41" s="22"/>
      <c r="BF41" s="22">
        <v>46083</v>
      </c>
      <c r="BG41" s="18"/>
      <c r="BH41" s="18"/>
      <c r="BI41" s="3">
        <v>267490003</v>
      </c>
      <c r="BJ41" s="25"/>
      <c r="BK41" s="46" t="s">
        <v>222</v>
      </c>
      <c r="BL41" s="497"/>
      <c r="BM41" s="18"/>
      <c r="BN41" s="4"/>
      <c r="BO41" s="18"/>
      <c r="BP41" s="3" t="s">
        <v>259</v>
      </c>
      <c r="BQ41" s="21" t="s">
        <v>265</v>
      </c>
      <c r="BR41" s="2"/>
      <c r="BS41" s="2"/>
      <c r="BT41" s="2"/>
      <c r="BU41" s="2"/>
      <c r="BV41" s="20"/>
      <c r="BW41" s="19"/>
      <c r="BX41" s="46">
        <f t="shared" si="63"/>
        <v>0</v>
      </c>
      <c r="BY41" s="22"/>
      <c r="BZ41" s="22"/>
      <c r="CA41" s="2"/>
      <c r="CB41" s="22"/>
      <c r="CC41" s="22"/>
      <c r="CD41" s="22"/>
      <c r="CE41" s="22" t="str">
        <f t="shared" si="112"/>
        <v>No OBL Yet</v>
      </c>
      <c r="CF41" s="22"/>
      <c r="CG41" s="22"/>
      <c r="CH41" s="182"/>
      <c r="CI41" s="182"/>
      <c r="CJ41" s="182"/>
      <c r="CK41" s="2" t="str">
        <f t="shared" si="113"/>
        <v>No CERTS Yet</v>
      </c>
      <c r="CL41" s="48"/>
      <c r="CM41" s="22"/>
      <c r="CN41" s="55"/>
      <c r="CO41" s="55"/>
      <c r="CP41" s="55" t="str">
        <f t="shared" si="139"/>
        <v/>
      </c>
      <c r="CQ41" s="50">
        <f t="shared" ref="CQ41:CQ48" si="141">(AN41*AI41*BJ41)-AZ41</f>
        <v>0</v>
      </c>
      <c r="CR41" s="54"/>
      <c r="CS41" s="2"/>
      <c r="CT41" s="2"/>
      <c r="CU41" s="14" t="str">
        <f t="shared" si="114"/>
        <v/>
      </c>
      <c r="CV41" s="42" t="str">
        <f t="shared" si="115"/>
        <v/>
      </c>
      <c r="CW41" s="14" t="str">
        <f t="shared" si="116"/>
        <v/>
      </c>
      <c r="CX41" s="14" t="str">
        <f t="shared" si="117"/>
        <v/>
      </c>
      <c r="CY41" s="15" t="str">
        <f t="shared" si="118"/>
        <v/>
      </c>
      <c r="CZ41" s="2"/>
      <c r="DA41" s="41" t="str">
        <f t="shared" si="119"/>
        <v/>
      </c>
      <c r="DB41" s="2"/>
      <c r="DC41" s="39" t="str">
        <f t="shared" si="120"/>
        <v/>
      </c>
      <c r="DD41" s="40"/>
      <c r="DE41" s="16" t="str">
        <f t="shared" si="121"/>
        <v/>
      </c>
      <c r="DF41" s="2" t="str">
        <f t="shared" si="122"/>
        <v/>
      </c>
      <c r="DG41" s="14" t="str">
        <f t="shared" si="123"/>
        <v/>
      </c>
      <c r="DH41" s="2" t="str">
        <f t="shared" si="124"/>
        <v/>
      </c>
      <c r="DI41" s="39" t="str">
        <f t="shared" si="125"/>
        <v/>
      </c>
      <c r="DJ41" s="2" t="str">
        <f t="shared" si="140"/>
        <v/>
      </c>
      <c r="DK41" s="15" t="str">
        <f t="shared" si="126"/>
        <v/>
      </c>
      <c r="DL41" s="2"/>
      <c r="DM41" s="2"/>
      <c r="DN41" s="15" t="str">
        <f t="shared" si="127"/>
        <v/>
      </c>
      <c r="DO41" s="14" t="str">
        <f t="shared" si="128"/>
        <v/>
      </c>
      <c r="DP41" s="14" t="str">
        <f t="shared" si="129"/>
        <v/>
      </c>
      <c r="DQ41" s="15" t="str">
        <f t="shared" si="130"/>
        <v/>
      </c>
      <c r="DR41" s="15" t="str">
        <f t="shared" si="131"/>
        <v/>
      </c>
      <c r="DS41" s="2" t="str">
        <f t="shared" si="132"/>
        <v/>
      </c>
      <c r="DT41" s="2" t="str">
        <f t="shared" si="133"/>
        <v/>
      </c>
      <c r="DU41" s="2"/>
      <c r="DV41" s="2"/>
      <c r="DW41" s="2"/>
      <c r="DX41" s="2"/>
      <c r="DY41" s="2" t="s">
        <v>230</v>
      </c>
      <c r="DZ41" s="2"/>
      <c r="EA41" s="2" t="str">
        <f t="shared" si="134"/>
        <v/>
      </c>
      <c r="EB41" s="2"/>
      <c r="EC41" s="2"/>
      <c r="ED41" s="2"/>
      <c r="EE41" s="3"/>
      <c r="EF41" s="7"/>
      <c r="EG41" s="3"/>
      <c r="EH41" s="3" t="s">
        <v>266</v>
      </c>
      <c r="EI41" s="3"/>
      <c r="EJ41" s="189"/>
      <c r="EK41" s="4"/>
      <c r="EL41" s="4"/>
      <c r="EM41" s="9"/>
      <c r="EN41" s="46">
        <f t="shared" si="135"/>
        <v>0</v>
      </c>
      <c r="EO41" s="9"/>
      <c r="EP41" s="8"/>
      <c r="EQ41" s="4"/>
      <c r="ER41" s="4"/>
      <c r="ES41" s="7"/>
      <c r="ET41" s="7"/>
      <c r="EU41" s="6"/>
      <c r="EV41" s="2" t="str">
        <f t="shared" si="136"/>
        <v>Yet to load</v>
      </c>
      <c r="EW41" s="46"/>
      <c r="EX41" s="46" t="e">
        <f t="shared" si="137"/>
        <v>#DIV/0!</v>
      </c>
      <c r="EY41" s="46" t="s">
        <v>233</v>
      </c>
      <c r="EZ41" s="24"/>
      <c r="FA41" s="2"/>
      <c r="FB41" s="24"/>
      <c r="FC41" s="53"/>
      <c r="FD41" s="46">
        <f t="shared" si="138"/>
        <v>0</v>
      </c>
      <c r="FE41" s="52"/>
      <c r="FF41" s="52"/>
      <c r="FG41" s="49"/>
      <c r="FH41" s="49"/>
      <c r="FI41" s="49"/>
      <c r="FJ41" s="49"/>
      <c r="FK41" s="49"/>
      <c r="FL41" s="49">
        <f t="shared" si="100"/>
        <v>0</v>
      </c>
      <c r="FM41" s="180">
        <f t="shared" si="101"/>
        <v>0</v>
      </c>
      <c r="FN41" s="49"/>
      <c r="FO41" s="49"/>
      <c r="FP41" s="49"/>
      <c r="FQ41" s="49"/>
      <c r="FR41" s="49"/>
      <c r="FS41" s="34">
        <f t="shared" si="96"/>
        <v>20009555</v>
      </c>
      <c r="FT41" s="34">
        <f t="shared" si="97"/>
        <v>32014498</v>
      </c>
      <c r="FU41" s="3"/>
      <c r="FV41" s="3"/>
      <c r="FW41" s="3"/>
      <c r="FX41" s="3"/>
      <c r="FY41" s="3"/>
      <c r="FZ41" s="3"/>
      <c r="GA41" s="3"/>
      <c r="GB41" s="4"/>
      <c r="GC41" s="3"/>
      <c r="GD41" s="182"/>
      <c r="GE41" s="2"/>
      <c r="GF41" s="2"/>
      <c r="GG41" s="2"/>
      <c r="GH41" s="2"/>
      <c r="GI41" s="2"/>
      <c r="GJ41" s="2"/>
      <c r="GK41" s="2"/>
      <c r="GL41" s="2"/>
      <c r="GM41" s="2"/>
      <c r="GN41" s="2"/>
    </row>
    <row r="42" spans="1:196" s="1" customFormat="1" ht="51">
      <c r="A42" s="2" t="str">
        <f t="shared" si="102"/>
        <v>SI Sent, Shipment Awaited</v>
      </c>
      <c r="B42" s="281">
        <v>49</v>
      </c>
      <c r="C42" s="281">
        <v>200</v>
      </c>
      <c r="D42" s="182" t="s">
        <v>208</v>
      </c>
      <c r="E42" s="2" t="str">
        <f t="shared" si="103"/>
        <v>CLOSE POSITION</v>
      </c>
      <c r="F42" s="271">
        <f t="shared" si="104"/>
        <v>32014483</v>
      </c>
      <c r="G42" s="271"/>
      <c r="H42" s="2" t="str">
        <f t="shared" si="105"/>
        <v>SRI VIJAYALAXMI CASHEW INDUSTRIES</v>
      </c>
      <c r="I42" s="3" t="s">
        <v>259</v>
      </c>
      <c r="J42" s="2" t="s">
        <v>210</v>
      </c>
      <c r="K42" s="2" t="str">
        <f t="shared" si="106"/>
        <v>MANGALORE, INDIA</v>
      </c>
      <c r="L42" s="2">
        <f t="shared" si="95"/>
        <v>269658785</v>
      </c>
      <c r="M42" s="2" t="str">
        <f t="shared" si="94"/>
        <v/>
      </c>
      <c r="N42" s="22" t="str">
        <f t="shared" si="107"/>
        <v/>
      </c>
      <c r="O42" s="22" t="str">
        <f t="shared" si="57"/>
        <v/>
      </c>
      <c r="P42" s="22" t="str">
        <f t="shared" si="108"/>
        <v>No OBL Yet</v>
      </c>
      <c r="Q42" s="2"/>
      <c r="R42" s="2" t="str">
        <f t="shared" si="109"/>
        <v>No CERTS Yet</v>
      </c>
      <c r="S42" s="2" t="str">
        <f t="shared" si="110"/>
        <v/>
      </c>
      <c r="T42" s="2" t="s">
        <v>260</v>
      </c>
      <c r="U42" s="3" t="s">
        <v>453</v>
      </c>
      <c r="V42" s="272"/>
      <c r="W42" s="272"/>
      <c r="X42" s="24">
        <v>46073</v>
      </c>
      <c r="Y42" s="273">
        <v>20009535</v>
      </c>
      <c r="Z42" s="24">
        <v>46073</v>
      </c>
      <c r="AA42" s="182">
        <v>32014483</v>
      </c>
      <c r="AB42" s="182" t="s">
        <v>321</v>
      </c>
      <c r="AC42" s="182" t="s">
        <v>263</v>
      </c>
      <c r="AD42" s="181">
        <v>46142</v>
      </c>
      <c r="AE42" s="30">
        <v>0.1</v>
      </c>
      <c r="AF42" s="277">
        <v>200</v>
      </c>
      <c r="AG42" s="35">
        <f t="shared" si="111"/>
        <v>180</v>
      </c>
      <c r="AH42" s="3" t="s">
        <v>215</v>
      </c>
      <c r="AI42" s="4">
        <v>1540</v>
      </c>
      <c r="AJ42" s="4">
        <f t="shared" si="98"/>
        <v>308000</v>
      </c>
      <c r="AK42" s="3" t="s">
        <v>249</v>
      </c>
      <c r="AL42" s="3" t="s">
        <v>238</v>
      </c>
      <c r="AM42" s="30">
        <v>0</v>
      </c>
      <c r="AN42" s="183">
        <v>1</v>
      </c>
      <c r="AO42" s="183">
        <v>0</v>
      </c>
      <c r="AP42" s="28" t="s">
        <v>218</v>
      </c>
      <c r="AQ42" s="18" t="s">
        <v>239</v>
      </c>
      <c r="AR42" s="18" t="s">
        <v>251</v>
      </c>
      <c r="AS42" s="27"/>
      <c r="AT42" s="3" t="s">
        <v>220</v>
      </c>
      <c r="AU42" s="3" t="s">
        <v>220</v>
      </c>
      <c r="AV42" s="3" t="s">
        <v>220</v>
      </c>
      <c r="AW42" s="9"/>
      <c r="AX42" s="3"/>
      <c r="AY42" s="47"/>
      <c r="AZ42" s="275">
        <f t="shared" si="62"/>
        <v>0</v>
      </c>
      <c r="BA42" s="18">
        <v>46076</v>
      </c>
      <c r="BB42" s="22">
        <v>46083</v>
      </c>
      <c r="BC42" s="22"/>
      <c r="BD42" s="22"/>
      <c r="BE42" s="22"/>
      <c r="BF42" s="22">
        <v>46083</v>
      </c>
      <c r="BG42" s="18"/>
      <c r="BH42" s="18"/>
      <c r="BI42" s="3">
        <v>269658785</v>
      </c>
      <c r="BJ42" s="25"/>
      <c r="BK42" s="46" t="s">
        <v>222</v>
      </c>
      <c r="BL42" s="497"/>
      <c r="BM42" s="18"/>
      <c r="BN42" s="4"/>
      <c r="BO42" s="18"/>
      <c r="BP42" s="3" t="s">
        <v>259</v>
      </c>
      <c r="BQ42" s="21" t="s">
        <v>265</v>
      </c>
      <c r="BR42" s="2"/>
      <c r="BS42" s="2"/>
      <c r="BT42" s="2"/>
      <c r="BU42" s="2"/>
      <c r="BV42" s="20"/>
      <c r="BW42" s="19"/>
      <c r="BX42" s="46">
        <f t="shared" si="63"/>
        <v>0</v>
      </c>
      <c r="BY42" s="22"/>
      <c r="BZ42" s="22"/>
      <c r="CA42" s="2"/>
      <c r="CB42" s="22"/>
      <c r="CC42" s="22"/>
      <c r="CD42" s="22"/>
      <c r="CE42" s="22" t="str">
        <f t="shared" si="112"/>
        <v>No OBL Yet</v>
      </c>
      <c r="CF42" s="22"/>
      <c r="CG42" s="22"/>
      <c r="CH42" s="182"/>
      <c r="CI42" s="182"/>
      <c r="CJ42" s="182"/>
      <c r="CK42" s="2" t="str">
        <f t="shared" si="113"/>
        <v>No CERTS Yet</v>
      </c>
      <c r="CL42" s="48"/>
      <c r="CM42" s="22"/>
      <c r="CN42" s="55"/>
      <c r="CO42" s="55"/>
      <c r="CP42" s="55" t="str">
        <f t="shared" si="139"/>
        <v/>
      </c>
      <c r="CQ42" s="50">
        <f t="shared" si="141"/>
        <v>0</v>
      </c>
      <c r="CR42" s="54"/>
      <c r="CS42" s="2"/>
      <c r="CT42" s="2"/>
      <c r="CU42" s="14" t="str">
        <f t="shared" si="114"/>
        <v/>
      </c>
      <c r="CV42" s="42" t="str">
        <f t="shared" si="115"/>
        <v/>
      </c>
      <c r="CW42" s="14" t="str">
        <f t="shared" si="116"/>
        <v/>
      </c>
      <c r="CX42" s="14" t="str">
        <f t="shared" si="117"/>
        <v/>
      </c>
      <c r="CY42" s="15" t="str">
        <f t="shared" si="118"/>
        <v/>
      </c>
      <c r="CZ42" s="2"/>
      <c r="DA42" s="41" t="str">
        <f t="shared" si="119"/>
        <v/>
      </c>
      <c r="DB42" s="2"/>
      <c r="DC42" s="39" t="str">
        <f t="shared" si="120"/>
        <v/>
      </c>
      <c r="DD42" s="40"/>
      <c r="DE42" s="16" t="str">
        <f t="shared" si="121"/>
        <v/>
      </c>
      <c r="DF42" s="2" t="str">
        <f t="shared" si="122"/>
        <v/>
      </c>
      <c r="DG42" s="14" t="str">
        <f t="shared" si="123"/>
        <v/>
      </c>
      <c r="DH42" s="2" t="str">
        <f t="shared" si="124"/>
        <v/>
      </c>
      <c r="DI42" s="39" t="str">
        <f t="shared" si="125"/>
        <v/>
      </c>
      <c r="DJ42" s="2" t="str">
        <f t="shared" si="140"/>
        <v/>
      </c>
      <c r="DK42" s="15" t="str">
        <f t="shared" si="126"/>
        <v/>
      </c>
      <c r="DL42" s="2"/>
      <c r="DM42" s="2"/>
      <c r="DN42" s="15" t="str">
        <f t="shared" si="127"/>
        <v/>
      </c>
      <c r="DO42" s="14" t="str">
        <f t="shared" si="128"/>
        <v/>
      </c>
      <c r="DP42" s="14" t="str">
        <f t="shared" si="129"/>
        <v/>
      </c>
      <c r="DQ42" s="15" t="str">
        <f t="shared" si="130"/>
        <v/>
      </c>
      <c r="DR42" s="15" t="str">
        <f t="shared" si="131"/>
        <v/>
      </c>
      <c r="DS42" s="2" t="str">
        <f t="shared" si="132"/>
        <v/>
      </c>
      <c r="DT42" s="2" t="str">
        <f t="shared" si="133"/>
        <v/>
      </c>
      <c r="DU42" s="2"/>
      <c r="DV42" s="2"/>
      <c r="DW42" s="2"/>
      <c r="DX42" s="2"/>
      <c r="DY42" s="2" t="s">
        <v>230</v>
      </c>
      <c r="DZ42" s="2"/>
      <c r="EA42" s="2" t="str">
        <f t="shared" si="134"/>
        <v/>
      </c>
      <c r="EB42" s="2"/>
      <c r="EC42" s="2"/>
      <c r="ED42" s="2"/>
      <c r="EE42" s="3"/>
      <c r="EF42" s="7"/>
      <c r="EG42" s="3"/>
      <c r="EH42" s="3" t="s">
        <v>266</v>
      </c>
      <c r="EI42" s="3"/>
      <c r="EJ42" s="189"/>
      <c r="EK42" s="4"/>
      <c r="EL42" s="4"/>
      <c r="EM42" s="9"/>
      <c r="EN42" s="46">
        <f t="shared" si="135"/>
        <v>0</v>
      </c>
      <c r="EO42" s="9"/>
      <c r="EP42" s="8"/>
      <c r="EQ42" s="4"/>
      <c r="ER42" s="4"/>
      <c r="ES42" s="7"/>
      <c r="ET42" s="7"/>
      <c r="EU42" s="6"/>
      <c r="EV42" s="2" t="str">
        <f t="shared" si="136"/>
        <v>Yet to load</v>
      </c>
      <c r="EW42" s="46"/>
      <c r="EX42" s="46" t="e">
        <f t="shared" si="137"/>
        <v>#DIV/0!</v>
      </c>
      <c r="EY42" s="46" t="s">
        <v>233</v>
      </c>
      <c r="EZ42" s="24"/>
      <c r="FA42" s="2"/>
      <c r="FB42" s="24"/>
      <c r="FC42" s="53"/>
      <c r="FD42" s="46">
        <f t="shared" si="138"/>
        <v>0</v>
      </c>
      <c r="FE42" s="52"/>
      <c r="FF42" s="52"/>
      <c r="FG42" s="49"/>
      <c r="FH42" s="49"/>
      <c r="FI42" s="49"/>
      <c r="FJ42" s="49"/>
      <c r="FK42" s="49"/>
      <c r="FL42" s="49">
        <f t="shared" si="100"/>
        <v>0</v>
      </c>
      <c r="FM42" s="180">
        <f t="shared" si="101"/>
        <v>0</v>
      </c>
      <c r="FN42" s="49"/>
      <c r="FO42" s="49"/>
      <c r="FP42" s="49"/>
      <c r="FQ42" s="49"/>
      <c r="FR42" s="49"/>
      <c r="FS42" s="34">
        <f t="shared" si="96"/>
        <v>20009535</v>
      </c>
      <c r="FT42" s="34">
        <f t="shared" si="97"/>
        <v>32014483</v>
      </c>
      <c r="FU42" s="3"/>
      <c r="FV42" s="3"/>
      <c r="FW42" s="3"/>
      <c r="FX42" s="3"/>
      <c r="FY42" s="3"/>
      <c r="FZ42" s="3"/>
      <c r="GA42" s="3"/>
      <c r="GB42" s="4"/>
      <c r="GC42" s="3"/>
      <c r="GD42" s="182"/>
      <c r="GE42" s="3"/>
      <c r="GF42" s="3"/>
      <c r="GG42" s="3"/>
      <c r="GH42" s="3"/>
      <c r="GI42" s="3"/>
      <c r="GJ42" s="3"/>
      <c r="GK42" s="3"/>
      <c r="GL42" s="3"/>
      <c r="GM42" s="3"/>
      <c r="GN42" s="3"/>
    </row>
    <row r="43" spans="1:196" s="1" customFormat="1" ht="33.950000000000003">
      <c r="A43" s="2" t="str">
        <f t="shared" si="102"/>
        <v>SI Sent, Shipment Awaited</v>
      </c>
      <c r="B43" s="281">
        <v>49</v>
      </c>
      <c r="C43" s="281">
        <v>200</v>
      </c>
      <c r="D43" s="182" t="s">
        <v>208</v>
      </c>
      <c r="E43" s="2" t="str">
        <f t="shared" si="103"/>
        <v>CLOSE POSITION</v>
      </c>
      <c r="F43" s="271">
        <f t="shared" si="104"/>
        <v>32014461</v>
      </c>
      <c r="G43" s="271"/>
      <c r="H43" s="2" t="str">
        <f t="shared" si="105"/>
        <v>ST. GREGORIOUS CASHEW</v>
      </c>
      <c r="I43" s="3" t="s">
        <v>259</v>
      </c>
      <c r="J43" s="2" t="s">
        <v>210</v>
      </c>
      <c r="K43" s="2" t="str">
        <f t="shared" si="106"/>
        <v>TUTICORIN, INDIA</v>
      </c>
      <c r="L43" s="516">
        <v>268716278</v>
      </c>
      <c r="M43" s="568">
        <v>96.56</v>
      </c>
      <c r="N43" s="22" t="str">
        <f t="shared" si="107"/>
        <v/>
      </c>
      <c r="O43" s="22">
        <v>46189</v>
      </c>
      <c r="P43" s="22" t="str">
        <f t="shared" si="108"/>
        <v>Draft Rcvd</v>
      </c>
      <c r="Q43" s="2"/>
      <c r="R43" s="2" t="str">
        <f t="shared" si="109"/>
        <v>No CERTS Yet</v>
      </c>
      <c r="S43" s="2" t="str">
        <f t="shared" si="110"/>
        <v/>
      </c>
      <c r="T43" s="2" t="s">
        <v>260</v>
      </c>
      <c r="U43" s="3" t="s">
        <v>454</v>
      </c>
      <c r="V43" s="272"/>
      <c r="W43" s="3" t="s">
        <v>454</v>
      </c>
      <c r="X43" s="24">
        <v>46067</v>
      </c>
      <c r="Y43" s="273">
        <v>20009513</v>
      </c>
      <c r="Z43" s="24">
        <v>46067</v>
      </c>
      <c r="AA43" s="182">
        <v>32014461</v>
      </c>
      <c r="AB43" s="182" t="s">
        <v>455</v>
      </c>
      <c r="AC43" s="182" t="s">
        <v>456</v>
      </c>
      <c r="AD43" s="181">
        <v>46142</v>
      </c>
      <c r="AE43" s="30">
        <v>0.1</v>
      </c>
      <c r="AF43" s="277">
        <v>100</v>
      </c>
      <c r="AG43" s="35">
        <f t="shared" si="111"/>
        <v>90</v>
      </c>
      <c r="AH43" s="3" t="s">
        <v>215</v>
      </c>
      <c r="AI43" s="4">
        <v>1565</v>
      </c>
      <c r="AJ43" s="4">
        <f t="shared" si="98"/>
        <v>156500</v>
      </c>
      <c r="AK43" s="3" t="s">
        <v>249</v>
      </c>
      <c r="AL43" s="3" t="s">
        <v>238</v>
      </c>
      <c r="AM43" s="30">
        <v>0</v>
      </c>
      <c r="AN43" s="183">
        <v>1</v>
      </c>
      <c r="AO43" s="183">
        <v>0</v>
      </c>
      <c r="AP43" s="28" t="s">
        <v>218</v>
      </c>
      <c r="AQ43" s="18" t="s">
        <v>239</v>
      </c>
      <c r="AR43" s="18" t="s">
        <v>251</v>
      </c>
      <c r="AS43" s="27"/>
      <c r="AT43" s="3" t="s">
        <v>220</v>
      </c>
      <c r="AU43" s="3" t="s">
        <v>220</v>
      </c>
      <c r="AV43" s="3" t="s">
        <v>220</v>
      </c>
      <c r="AW43" s="9"/>
      <c r="AX43" s="3"/>
      <c r="AY43" s="47"/>
      <c r="AZ43" s="275">
        <f t="shared" si="62"/>
        <v>0</v>
      </c>
      <c r="BA43" s="18">
        <v>46067</v>
      </c>
      <c r="BB43" s="22">
        <v>46083</v>
      </c>
      <c r="BC43" s="22"/>
      <c r="BD43" s="22"/>
      <c r="BE43" s="22"/>
      <c r="BF43" s="22">
        <v>46083</v>
      </c>
      <c r="BG43" s="18"/>
      <c r="BH43" s="18"/>
      <c r="BI43" s="3">
        <v>268716278</v>
      </c>
      <c r="BJ43" s="25"/>
      <c r="BK43" s="46" t="s">
        <v>222</v>
      </c>
      <c r="BL43" s="497"/>
      <c r="BM43" s="18"/>
      <c r="BN43" s="4"/>
      <c r="BO43" s="18"/>
      <c r="BP43" s="3" t="s">
        <v>259</v>
      </c>
      <c r="BQ43" s="21" t="s">
        <v>346</v>
      </c>
      <c r="BR43" s="2"/>
      <c r="BS43" s="2"/>
      <c r="BT43" s="2"/>
      <c r="BU43" s="2"/>
      <c r="BV43" s="20"/>
      <c r="BW43" s="19"/>
      <c r="BX43" s="46">
        <f t="shared" si="63"/>
        <v>0</v>
      </c>
      <c r="BY43" s="22">
        <v>46165</v>
      </c>
      <c r="BZ43" s="22"/>
      <c r="CA43" s="2"/>
      <c r="CB43" s="22"/>
      <c r="CC43" s="22"/>
      <c r="CD43" s="22"/>
      <c r="CE43" s="22" t="str">
        <f t="shared" si="112"/>
        <v>Draft Rcvd</v>
      </c>
      <c r="CF43" s="22"/>
      <c r="CG43" s="22"/>
      <c r="CH43" s="22"/>
      <c r="CI43" s="182"/>
      <c r="CJ43" s="2"/>
      <c r="CK43" s="2" t="str">
        <f t="shared" si="113"/>
        <v>No CERTS Yet</v>
      </c>
      <c r="CL43" s="48"/>
      <c r="CM43" s="22"/>
      <c r="CN43" s="55"/>
      <c r="CO43" s="55"/>
      <c r="CP43" s="55" t="str">
        <f t="shared" si="139"/>
        <v/>
      </c>
      <c r="CQ43" s="50">
        <f t="shared" si="141"/>
        <v>0</v>
      </c>
      <c r="CR43" s="54"/>
      <c r="CS43" s="2"/>
      <c r="CT43" s="2"/>
      <c r="CU43" s="14" t="str">
        <f t="shared" si="114"/>
        <v/>
      </c>
      <c r="CV43" s="42" t="str">
        <f t="shared" si="115"/>
        <v/>
      </c>
      <c r="CW43" s="14" t="str">
        <f t="shared" si="116"/>
        <v/>
      </c>
      <c r="CX43" s="14" t="str">
        <f t="shared" si="117"/>
        <v/>
      </c>
      <c r="CY43" s="15" t="str">
        <f t="shared" si="118"/>
        <v/>
      </c>
      <c r="CZ43" s="2"/>
      <c r="DA43" s="41" t="str">
        <f t="shared" si="119"/>
        <v/>
      </c>
      <c r="DB43" s="2"/>
      <c r="DC43" s="39" t="str">
        <f t="shared" si="120"/>
        <v/>
      </c>
      <c r="DD43" s="40"/>
      <c r="DE43" s="16" t="str">
        <f t="shared" si="121"/>
        <v/>
      </c>
      <c r="DF43" s="2" t="str">
        <f t="shared" si="122"/>
        <v/>
      </c>
      <c r="DG43" s="14" t="str">
        <f t="shared" si="123"/>
        <v/>
      </c>
      <c r="DH43" s="2" t="str">
        <f t="shared" si="124"/>
        <v/>
      </c>
      <c r="DI43" s="39" t="str">
        <f t="shared" si="125"/>
        <v/>
      </c>
      <c r="DJ43" s="2" t="str">
        <f t="shared" si="140"/>
        <v/>
      </c>
      <c r="DK43" s="15" t="str">
        <f t="shared" si="126"/>
        <v/>
      </c>
      <c r="DL43" s="2"/>
      <c r="DM43" s="2"/>
      <c r="DN43" s="15" t="str">
        <f t="shared" si="127"/>
        <v/>
      </c>
      <c r="DO43" s="14" t="str">
        <f t="shared" si="128"/>
        <v/>
      </c>
      <c r="DP43" s="14" t="str">
        <f t="shared" si="129"/>
        <v/>
      </c>
      <c r="DQ43" s="15" t="str">
        <f t="shared" si="130"/>
        <v/>
      </c>
      <c r="DR43" s="15" t="str">
        <f t="shared" si="131"/>
        <v/>
      </c>
      <c r="DS43" s="2" t="str">
        <f t="shared" si="132"/>
        <v/>
      </c>
      <c r="DT43" s="2" t="str">
        <f t="shared" si="133"/>
        <v/>
      </c>
      <c r="DU43" s="2"/>
      <c r="DV43" s="2"/>
      <c r="DW43" s="2"/>
      <c r="DX43" s="2"/>
      <c r="DY43" s="2" t="s">
        <v>230</v>
      </c>
      <c r="DZ43" s="2"/>
      <c r="EA43" s="2" t="str">
        <f t="shared" si="134"/>
        <v/>
      </c>
      <c r="EB43" s="2"/>
      <c r="EC43" s="2"/>
      <c r="ED43" s="2"/>
      <c r="EE43" s="3"/>
      <c r="EF43" s="7"/>
      <c r="EG43" s="3"/>
      <c r="EH43" s="3" t="s">
        <v>266</v>
      </c>
      <c r="EI43" s="3" t="s">
        <v>258</v>
      </c>
      <c r="EJ43" s="189"/>
      <c r="EK43" s="4"/>
      <c r="EL43" s="4"/>
      <c r="EM43" s="9"/>
      <c r="EN43" s="46">
        <f t="shared" si="135"/>
        <v>0</v>
      </c>
      <c r="EO43" s="9"/>
      <c r="EP43" s="8"/>
      <c r="EQ43" s="4"/>
      <c r="ER43" s="4"/>
      <c r="ES43" s="7"/>
      <c r="ET43" s="7"/>
      <c r="EU43" s="6"/>
      <c r="EV43" s="2" t="str">
        <f t="shared" si="136"/>
        <v>Yet to load</v>
      </c>
      <c r="EW43" s="46"/>
      <c r="EX43" s="46" t="e">
        <f t="shared" si="137"/>
        <v>#DIV/0!</v>
      </c>
      <c r="EY43" s="46" t="s">
        <v>233</v>
      </c>
      <c r="EZ43" s="24"/>
      <c r="FA43" s="2"/>
      <c r="FB43" s="24"/>
      <c r="FC43" s="53"/>
      <c r="FD43" s="46">
        <f t="shared" si="138"/>
        <v>0</v>
      </c>
      <c r="FE43" s="52"/>
      <c r="FF43" s="52"/>
      <c r="FG43" s="49"/>
      <c r="FH43" s="49"/>
      <c r="FI43" s="49"/>
      <c r="FJ43" s="49"/>
      <c r="FK43" s="49"/>
      <c r="FL43" s="49">
        <f t="shared" si="100"/>
        <v>-46165</v>
      </c>
      <c r="FM43" s="180">
        <f t="shared" si="101"/>
        <v>0</v>
      </c>
      <c r="FN43" s="49"/>
      <c r="FO43" s="49"/>
      <c r="FP43" s="49"/>
      <c r="FQ43" s="49"/>
      <c r="FR43" s="49"/>
      <c r="FS43" s="34">
        <f t="shared" si="96"/>
        <v>20009513</v>
      </c>
      <c r="FT43" s="34">
        <f t="shared" si="97"/>
        <v>32014461</v>
      </c>
      <c r="FU43" s="3"/>
      <c r="FV43" s="3"/>
      <c r="FW43" s="3"/>
      <c r="FX43" s="3"/>
      <c r="FY43" s="3"/>
      <c r="FZ43" s="3"/>
      <c r="GA43" s="3"/>
      <c r="GB43" s="4"/>
      <c r="GC43" s="3"/>
      <c r="GD43" s="182"/>
      <c r="GE43" s="3"/>
      <c r="GF43" s="3"/>
      <c r="GG43" s="3"/>
      <c r="GH43" s="3"/>
      <c r="GI43" s="3"/>
      <c r="GJ43" s="3"/>
      <c r="GK43" s="3"/>
      <c r="GL43" s="3"/>
      <c r="GM43" s="3"/>
      <c r="GN43" s="3"/>
    </row>
    <row r="44" spans="1:196" s="1" customFormat="1" ht="33.950000000000003">
      <c r="A44" s="2" t="str">
        <f t="shared" si="102"/>
        <v>SI Sent, Shipment Awaited</v>
      </c>
      <c r="B44" s="281">
        <v>48</v>
      </c>
      <c r="C44" s="281">
        <v>200</v>
      </c>
      <c r="D44" s="182" t="s">
        <v>208</v>
      </c>
      <c r="E44" s="2" t="str">
        <f t="shared" si="103"/>
        <v>SHORT POSITION</v>
      </c>
      <c r="F44" s="271">
        <f t="shared" si="104"/>
        <v>32014537</v>
      </c>
      <c r="G44" s="271"/>
      <c r="H44" s="2" t="str">
        <f t="shared" si="105"/>
        <v>ST. GREGORIOUS CASHEW</v>
      </c>
      <c r="I44" s="3" t="s">
        <v>259</v>
      </c>
      <c r="J44" s="2" t="s">
        <v>210</v>
      </c>
      <c r="K44" s="2" t="str">
        <f t="shared" si="106"/>
        <v>COCHIN, INDIA</v>
      </c>
      <c r="L44" s="2" t="str">
        <f>IF(BI44&lt;&gt;0,BI44,"")</f>
        <v/>
      </c>
      <c r="M44" s="2" t="str">
        <f>IF(BJ44&lt;&gt;0,BJ44,"")</f>
        <v/>
      </c>
      <c r="N44" s="22" t="str">
        <f t="shared" si="107"/>
        <v/>
      </c>
      <c r="O44" s="22" t="str">
        <f>IF(BO44&lt;&gt;0,BO44,"")</f>
        <v/>
      </c>
      <c r="P44" s="22" t="str">
        <f t="shared" si="108"/>
        <v>No OBL Yet</v>
      </c>
      <c r="Q44" s="2"/>
      <c r="R44" s="2" t="str">
        <f t="shared" si="109"/>
        <v>No CERTS Yet</v>
      </c>
      <c r="S44" s="2" t="str">
        <f t="shared" si="110"/>
        <v/>
      </c>
      <c r="T44" s="2" t="s">
        <v>260</v>
      </c>
      <c r="U44" s="3" t="s">
        <v>457</v>
      </c>
      <c r="V44" s="272"/>
      <c r="W44" s="272"/>
      <c r="X44" s="24">
        <v>46076</v>
      </c>
      <c r="Y44" s="273">
        <v>20009545</v>
      </c>
      <c r="Z44" s="24">
        <v>46074</v>
      </c>
      <c r="AA44" s="182">
        <v>32014537</v>
      </c>
      <c r="AB44" s="182" t="s">
        <v>455</v>
      </c>
      <c r="AC44" s="182" t="s">
        <v>456</v>
      </c>
      <c r="AD44" s="181">
        <v>46142</v>
      </c>
      <c r="AE44" s="30">
        <v>0.1</v>
      </c>
      <c r="AF44" s="277">
        <v>400</v>
      </c>
      <c r="AG44" s="35">
        <f t="shared" si="111"/>
        <v>360</v>
      </c>
      <c r="AH44" s="3" t="s">
        <v>215</v>
      </c>
      <c r="AI44" s="4">
        <v>1515</v>
      </c>
      <c r="AJ44" s="4">
        <f t="shared" si="98"/>
        <v>606000</v>
      </c>
      <c r="AK44" s="3" t="s">
        <v>249</v>
      </c>
      <c r="AL44" s="3" t="s">
        <v>238</v>
      </c>
      <c r="AM44" s="30">
        <v>0</v>
      </c>
      <c r="AN44" s="183">
        <v>1</v>
      </c>
      <c r="AO44" s="183">
        <v>0</v>
      </c>
      <c r="AP44" s="28" t="s">
        <v>218</v>
      </c>
      <c r="AQ44" s="18" t="s">
        <v>239</v>
      </c>
      <c r="AR44" s="18" t="s">
        <v>251</v>
      </c>
      <c r="AS44" s="27"/>
      <c r="AT44" s="3" t="s">
        <v>220</v>
      </c>
      <c r="AU44" s="3" t="s">
        <v>220</v>
      </c>
      <c r="AV44" s="3" t="s">
        <v>220</v>
      </c>
      <c r="AW44" s="9"/>
      <c r="AX44" s="3"/>
      <c r="AY44" s="47"/>
      <c r="AZ44" s="275">
        <f t="shared" si="62"/>
        <v>0</v>
      </c>
      <c r="BA44" s="18"/>
      <c r="BB44" s="22">
        <v>46083</v>
      </c>
      <c r="BC44" s="22"/>
      <c r="BD44" s="22"/>
      <c r="BE44" s="22"/>
      <c r="BF44" s="22">
        <v>46083</v>
      </c>
      <c r="BG44" s="18"/>
      <c r="BH44" s="18"/>
      <c r="BI44" s="3"/>
      <c r="BJ44" s="25"/>
      <c r="BK44" s="46" t="s">
        <v>222</v>
      </c>
      <c r="BL44" s="497"/>
      <c r="BM44" s="18"/>
      <c r="BN44" s="4"/>
      <c r="BO44" s="18"/>
      <c r="BP44" s="3" t="s">
        <v>259</v>
      </c>
      <c r="BQ44" s="21" t="s">
        <v>458</v>
      </c>
      <c r="BR44" s="2"/>
      <c r="BS44" s="2"/>
      <c r="BT44" s="2"/>
      <c r="BU44" s="2"/>
      <c r="BV44" s="20"/>
      <c r="BW44" s="19"/>
      <c r="BX44" s="46">
        <f t="shared" si="63"/>
        <v>0</v>
      </c>
      <c r="BY44" s="22"/>
      <c r="BZ44" s="22"/>
      <c r="CA44" s="2"/>
      <c r="CB44" s="22"/>
      <c r="CC44" s="22"/>
      <c r="CD44" s="22"/>
      <c r="CE44" s="22" t="str">
        <f t="shared" si="112"/>
        <v>No OBL Yet</v>
      </c>
      <c r="CF44" s="22"/>
      <c r="CG44" s="22"/>
      <c r="CH44" s="182"/>
      <c r="CI44" s="182"/>
      <c r="CJ44" s="182"/>
      <c r="CK44" s="2" t="str">
        <f t="shared" si="113"/>
        <v>No CERTS Yet</v>
      </c>
      <c r="CL44" s="48"/>
      <c r="CM44" s="22"/>
      <c r="CN44" s="55"/>
      <c r="CO44" s="55"/>
      <c r="CP44" s="55" t="str">
        <f t="shared" si="139"/>
        <v/>
      </c>
      <c r="CQ44" s="50">
        <f t="shared" si="141"/>
        <v>0</v>
      </c>
      <c r="CR44" s="54"/>
      <c r="CS44" s="2"/>
      <c r="CT44" s="2"/>
      <c r="CU44" s="14" t="str">
        <f t="shared" si="114"/>
        <v/>
      </c>
      <c r="CV44" s="42" t="str">
        <f t="shared" si="115"/>
        <v/>
      </c>
      <c r="CW44" s="14" t="str">
        <f t="shared" si="116"/>
        <v/>
      </c>
      <c r="CX44" s="14" t="str">
        <f t="shared" si="117"/>
        <v/>
      </c>
      <c r="CY44" s="15" t="str">
        <f t="shared" si="118"/>
        <v/>
      </c>
      <c r="CZ44" s="2"/>
      <c r="DA44" s="41" t="str">
        <f t="shared" si="119"/>
        <v/>
      </c>
      <c r="DB44" s="2"/>
      <c r="DC44" s="39" t="str">
        <f t="shared" si="120"/>
        <v/>
      </c>
      <c r="DD44" s="40"/>
      <c r="DE44" s="16" t="str">
        <f t="shared" si="121"/>
        <v/>
      </c>
      <c r="DF44" s="2" t="str">
        <f t="shared" si="122"/>
        <v/>
      </c>
      <c r="DG44" s="14" t="str">
        <f t="shared" si="123"/>
        <v/>
      </c>
      <c r="DH44" s="2" t="str">
        <f t="shared" si="124"/>
        <v/>
      </c>
      <c r="DI44" s="39" t="str">
        <f t="shared" si="125"/>
        <v/>
      </c>
      <c r="DJ44" s="2" t="str">
        <f t="shared" si="140"/>
        <v/>
      </c>
      <c r="DK44" s="15" t="str">
        <f t="shared" si="126"/>
        <v/>
      </c>
      <c r="DL44" s="2"/>
      <c r="DM44" s="2"/>
      <c r="DN44" s="15" t="str">
        <f t="shared" si="127"/>
        <v/>
      </c>
      <c r="DO44" s="14" t="str">
        <f t="shared" si="128"/>
        <v/>
      </c>
      <c r="DP44" s="14" t="str">
        <f t="shared" si="129"/>
        <v/>
      </c>
      <c r="DQ44" s="15" t="str">
        <f t="shared" si="130"/>
        <v/>
      </c>
      <c r="DR44" s="15" t="str">
        <f t="shared" si="131"/>
        <v/>
      </c>
      <c r="DS44" s="2" t="str">
        <f t="shared" si="132"/>
        <v/>
      </c>
      <c r="DT44" s="2" t="str">
        <f t="shared" si="133"/>
        <v/>
      </c>
      <c r="DU44" s="2"/>
      <c r="DV44" s="2"/>
      <c r="DW44" s="2"/>
      <c r="DX44" s="2"/>
      <c r="DY44" s="2" t="s">
        <v>230</v>
      </c>
      <c r="DZ44" s="2"/>
      <c r="EA44" s="2" t="str">
        <f t="shared" si="134"/>
        <v/>
      </c>
      <c r="EB44" s="2"/>
      <c r="EC44" s="2"/>
      <c r="ED44" s="2"/>
      <c r="EE44" s="3"/>
      <c r="EF44" s="7"/>
      <c r="EG44" s="3"/>
      <c r="EH44" s="3" t="s">
        <v>266</v>
      </c>
      <c r="EI44" s="3"/>
      <c r="EJ44" s="189"/>
      <c r="EK44" s="4"/>
      <c r="EL44" s="4"/>
      <c r="EM44" s="9"/>
      <c r="EN44" s="46">
        <f t="shared" si="135"/>
        <v>0</v>
      </c>
      <c r="EO44" s="9"/>
      <c r="EP44" s="8"/>
      <c r="EQ44" s="4"/>
      <c r="ER44" s="4"/>
      <c r="ES44" s="7"/>
      <c r="ET44" s="7"/>
      <c r="EU44" s="6"/>
      <c r="EV44" s="2" t="str">
        <f t="shared" si="136"/>
        <v>Yet to load</v>
      </c>
      <c r="EW44" s="46"/>
      <c r="EX44" s="46" t="e">
        <f t="shared" si="137"/>
        <v>#DIV/0!</v>
      </c>
      <c r="EY44" s="46" t="s">
        <v>233</v>
      </c>
      <c r="EZ44" s="24"/>
      <c r="FA44" s="2"/>
      <c r="FB44" s="24"/>
      <c r="FC44" s="53"/>
      <c r="FD44" s="46">
        <f t="shared" si="138"/>
        <v>0</v>
      </c>
      <c r="FE44" s="52"/>
      <c r="FF44" s="52"/>
      <c r="FG44" s="49"/>
      <c r="FH44" s="49"/>
      <c r="FI44" s="49"/>
      <c r="FJ44" s="49"/>
      <c r="FK44" s="49"/>
      <c r="FL44" s="49">
        <f t="shared" si="100"/>
        <v>0</v>
      </c>
      <c r="FM44" s="180">
        <f t="shared" si="101"/>
        <v>0</v>
      </c>
      <c r="FN44" s="49"/>
      <c r="FO44" s="49"/>
      <c r="FP44" s="49"/>
      <c r="FQ44" s="49"/>
      <c r="FR44" s="49"/>
      <c r="FS44" s="34">
        <f t="shared" si="96"/>
        <v>20009545</v>
      </c>
      <c r="FT44" s="34">
        <f t="shared" si="97"/>
        <v>32014537</v>
      </c>
      <c r="FU44" s="3"/>
      <c r="FV44" s="3"/>
      <c r="FW44" s="3"/>
      <c r="FX44" s="3"/>
      <c r="FY44" s="3"/>
      <c r="FZ44" s="3"/>
      <c r="GA44" s="3"/>
      <c r="GB44" s="4"/>
      <c r="GC44" s="3"/>
      <c r="GD44" s="182"/>
      <c r="GE44" s="3"/>
      <c r="GF44" s="3"/>
      <c r="GG44" s="3"/>
      <c r="GH44" s="3"/>
      <c r="GI44" s="3"/>
      <c r="GJ44" s="3"/>
      <c r="GK44" s="3"/>
      <c r="GL44" s="3"/>
      <c r="GM44" s="3"/>
      <c r="GN44" s="3"/>
    </row>
    <row r="45" spans="1:196" s="1" customFormat="1" ht="33.950000000000003">
      <c r="A45" s="2" t="str">
        <f t="shared" si="102"/>
        <v>Stuffed, Yet to Sail</v>
      </c>
      <c r="B45" s="281">
        <v>49</v>
      </c>
      <c r="C45" s="281">
        <v>200</v>
      </c>
      <c r="D45" s="182" t="s">
        <v>208</v>
      </c>
      <c r="E45" s="2" t="str">
        <f t="shared" si="103"/>
        <v>CLOSE POSITION</v>
      </c>
      <c r="F45" s="271">
        <f t="shared" si="104"/>
        <v>32014450</v>
      </c>
      <c r="G45" s="271"/>
      <c r="H45" s="2" t="str">
        <f t="shared" si="105"/>
        <v>ST. PAULS CASHEW FACTORY</v>
      </c>
      <c r="I45" s="3" t="s">
        <v>259</v>
      </c>
      <c r="J45" s="2" t="s">
        <v>210</v>
      </c>
      <c r="K45" s="2" t="str">
        <f t="shared" si="106"/>
        <v>TUTICORIN, INDIA</v>
      </c>
      <c r="L45" s="516">
        <v>268715415</v>
      </c>
      <c r="M45" s="516">
        <v>192.61</v>
      </c>
      <c r="N45" s="22" t="str">
        <f t="shared" si="107"/>
        <v/>
      </c>
      <c r="O45" s="517">
        <v>46189</v>
      </c>
      <c r="P45" s="22" t="str">
        <f t="shared" si="108"/>
        <v>Draft Rcvd</v>
      </c>
      <c r="Q45" s="2"/>
      <c r="R45" s="2" t="str">
        <f t="shared" si="109"/>
        <v>No CERTS Yet</v>
      </c>
      <c r="S45" s="2" t="str">
        <f t="shared" si="110"/>
        <v/>
      </c>
      <c r="T45" s="2" t="s">
        <v>260</v>
      </c>
      <c r="U45" s="3" t="s">
        <v>459</v>
      </c>
      <c r="V45" s="272"/>
      <c r="W45" s="3" t="s">
        <v>459</v>
      </c>
      <c r="X45" s="24">
        <v>46067</v>
      </c>
      <c r="Y45" s="273">
        <v>20009500</v>
      </c>
      <c r="Z45" s="24">
        <v>46067</v>
      </c>
      <c r="AA45" s="182">
        <v>32014450</v>
      </c>
      <c r="AB45" s="182" t="s">
        <v>237</v>
      </c>
      <c r="AC45" s="182" t="s">
        <v>456</v>
      </c>
      <c r="AD45" s="181">
        <v>46142</v>
      </c>
      <c r="AE45" s="30">
        <v>0.1</v>
      </c>
      <c r="AF45" s="277">
        <v>200</v>
      </c>
      <c r="AG45" s="35">
        <f t="shared" si="111"/>
        <v>180</v>
      </c>
      <c r="AH45" s="3" t="s">
        <v>215</v>
      </c>
      <c r="AI45" s="4">
        <v>1560</v>
      </c>
      <c r="AJ45" s="4">
        <f t="shared" si="98"/>
        <v>312000</v>
      </c>
      <c r="AK45" s="3" t="s">
        <v>249</v>
      </c>
      <c r="AL45" s="3" t="s">
        <v>238</v>
      </c>
      <c r="AM45" s="30">
        <v>0</v>
      </c>
      <c r="AN45" s="183">
        <v>1</v>
      </c>
      <c r="AO45" s="183">
        <v>0</v>
      </c>
      <c r="AP45" s="28" t="s">
        <v>218</v>
      </c>
      <c r="AQ45" s="18" t="s">
        <v>239</v>
      </c>
      <c r="AR45" s="18" t="s">
        <v>251</v>
      </c>
      <c r="AS45" s="27"/>
      <c r="AT45" s="3" t="s">
        <v>220</v>
      </c>
      <c r="AU45" s="3" t="s">
        <v>220</v>
      </c>
      <c r="AV45" s="3" t="s">
        <v>220</v>
      </c>
      <c r="AW45" s="9"/>
      <c r="AX45" s="3"/>
      <c r="AY45" s="47"/>
      <c r="AZ45" s="275">
        <f t="shared" si="62"/>
        <v>0</v>
      </c>
      <c r="BA45" s="18">
        <v>46070</v>
      </c>
      <c r="BB45" s="22">
        <v>46083</v>
      </c>
      <c r="BC45" s="22"/>
      <c r="BD45" s="22"/>
      <c r="BE45" s="22"/>
      <c r="BF45" s="22">
        <v>46083</v>
      </c>
      <c r="BG45" s="18"/>
      <c r="BH45" s="18"/>
      <c r="BI45" s="182">
        <v>268715415</v>
      </c>
      <c r="BJ45" s="519">
        <v>192.61</v>
      </c>
      <c r="BK45" s="46" t="s">
        <v>222</v>
      </c>
      <c r="BL45" s="497">
        <v>8</v>
      </c>
      <c r="BM45" s="18"/>
      <c r="BN45" s="4"/>
      <c r="BO45" s="518">
        <v>46189</v>
      </c>
      <c r="BP45" s="3" t="s">
        <v>259</v>
      </c>
      <c r="BQ45" s="21" t="s">
        <v>346</v>
      </c>
      <c r="BR45" s="182" t="s">
        <v>416</v>
      </c>
      <c r="BS45" s="2"/>
      <c r="BT45" s="182" t="s">
        <v>460</v>
      </c>
      <c r="BU45" s="182" t="s">
        <v>461</v>
      </c>
      <c r="BV45" s="20"/>
      <c r="BW45" s="19"/>
      <c r="BX45" s="46">
        <f t="shared" si="63"/>
        <v>300471.60000000003</v>
      </c>
      <c r="BY45" s="22">
        <v>46165</v>
      </c>
      <c r="BZ45" s="22"/>
      <c r="CA45" s="2"/>
      <c r="CB45" s="22"/>
      <c r="CC45" s="22"/>
      <c r="CD45" s="22"/>
      <c r="CE45" s="22" t="str">
        <f t="shared" si="112"/>
        <v>Draft Rcvd</v>
      </c>
      <c r="CF45" s="22"/>
      <c r="CG45" s="22"/>
      <c r="CH45" s="22"/>
      <c r="CI45" s="182"/>
      <c r="CJ45" s="2"/>
      <c r="CK45" s="2" t="str">
        <f t="shared" si="113"/>
        <v>No CERTS Yet</v>
      </c>
      <c r="CL45" s="48"/>
      <c r="CM45" s="22"/>
      <c r="CN45" s="55"/>
      <c r="CO45" s="55"/>
      <c r="CP45" s="55" t="str">
        <f t="shared" si="139"/>
        <v/>
      </c>
      <c r="CQ45" s="50">
        <f t="shared" si="141"/>
        <v>300471.60000000003</v>
      </c>
      <c r="CR45" s="54"/>
      <c r="CS45" s="2"/>
      <c r="CT45" s="2"/>
      <c r="CU45" s="14" t="str">
        <f t="shared" si="114"/>
        <v/>
      </c>
      <c r="CV45" s="42" t="str">
        <f t="shared" si="115"/>
        <v/>
      </c>
      <c r="CW45" s="14" t="str">
        <f t="shared" si="116"/>
        <v/>
      </c>
      <c r="CX45" s="14" t="str">
        <f t="shared" si="117"/>
        <v/>
      </c>
      <c r="CY45" s="15" t="str">
        <f t="shared" si="118"/>
        <v/>
      </c>
      <c r="CZ45" s="2"/>
      <c r="DA45" s="41" t="str">
        <f t="shared" si="119"/>
        <v/>
      </c>
      <c r="DB45" s="2"/>
      <c r="DC45" s="39" t="str">
        <f t="shared" si="120"/>
        <v/>
      </c>
      <c r="DD45" s="40"/>
      <c r="DE45" s="16" t="str">
        <f t="shared" si="121"/>
        <v/>
      </c>
      <c r="DF45" s="2" t="str">
        <f t="shared" si="122"/>
        <v/>
      </c>
      <c r="DG45" s="14" t="str">
        <f t="shared" si="123"/>
        <v/>
      </c>
      <c r="DH45" s="2" t="str">
        <f t="shared" si="124"/>
        <v/>
      </c>
      <c r="DI45" s="39" t="str">
        <f t="shared" si="125"/>
        <v/>
      </c>
      <c r="DJ45" s="2" t="str">
        <f t="shared" si="140"/>
        <v/>
      </c>
      <c r="DK45" s="15" t="str">
        <f t="shared" si="126"/>
        <v/>
      </c>
      <c r="DL45" s="2"/>
      <c r="DM45" s="2"/>
      <c r="DN45" s="15" t="str">
        <f t="shared" si="127"/>
        <v/>
      </c>
      <c r="DO45" s="14" t="str">
        <f t="shared" si="128"/>
        <v/>
      </c>
      <c r="DP45" s="14" t="str">
        <f t="shared" si="129"/>
        <v/>
      </c>
      <c r="DQ45" s="15" t="str">
        <f t="shared" si="130"/>
        <v/>
      </c>
      <c r="DR45" s="15" t="str">
        <f t="shared" si="131"/>
        <v/>
      </c>
      <c r="DS45" s="2" t="str">
        <f t="shared" si="132"/>
        <v/>
      </c>
      <c r="DT45" s="2" t="str">
        <f t="shared" si="133"/>
        <v/>
      </c>
      <c r="DU45" s="2"/>
      <c r="DV45" s="2"/>
      <c r="DW45" s="2"/>
      <c r="DX45" s="2"/>
      <c r="DY45" s="2" t="s">
        <v>230</v>
      </c>
      <c r="DZ45" s="2"/>
      <c r="EA45" s="2" t="str">
        <f t="shared" si="134"/>
        <v/>
      </c>
      <c r="EB45" s="2"/>
      <c r="EC45" s="2"/>
      <c r="ED45" s="2"/>
      <c r="EE45" s="3"/>
      <c r="EF45" s="7"/>
      <c r="EG45" s="3"/>
      <c r="EH45" s="3" t="s">
        <v>266</v>
      </c>
      <c r="EI45" s="3" t="s">
        <v>258</v>
      </c>
      <c r="EJ45" s="189"/>
      <c r="EK45" s="4"/>
      <c r="EL45" s="4"/>
      <c r="EM45" s="9"/>
      <c r="EN45" s="46">
        <f t="shared" si="135"/>
        <v>0</v>
      </c>
      <c r="EO45" s="9"/>
      <c r="EP45" s="8"/>
      <c r="EQ45" s="4"/>
      <c r="ER45" s="4"/>
      <c r="ES45" s="7"/>
      <c r="ET45" s="7"/>
      <c r="EU45" s="6"/>
      <c r="EV45" s="2" t="str">
        <f t="shared" si="136"/>
        <v>Yet to load</v>
      </c>
      <c r="EW45" s="46"/>
      <c r="EX45" s="46">
        <f t="shared" si="137"/>
        <v>0</v>
      </c>
      <c r="EY45" s="46" t="s">
        <v>233</v>
      </c>
      <c r="EZ45" s="24"/>
      <c r="FA45" s="2"/>
      <c r="FB45" s="24"/>
      <c r="FC45" s="53"/>
      <c r="FD45" s="46">
        <f t="shared" si="138"/>
        <v>0</v>
      </c>
      <c r="FE45" s="52"/>
      <c r="FF45" s="52"/>
      <c r="FG45" s="49"/>
      <c r="FH45" s="49"/>
      <c r="FI45" s="49"/>
      <c r="FJ45" s="49"/>
      <c r="FK45" s="49"/>
      <c r="FL45" s="49">
        <f t="shared" si="100"/>
        <v>-46165</v>
      </c>
      <c r="FM45" s="180">
        <f t="shared" si="101"/>
        <v>0</v>
      </c>
      <c r="FN45" s="49"/>
      <c r="FO45" s="49"/>
      <c r="FP45" s="49"/>
      <c r="FQ45" s="49"/>
      <c r="FR45" s="49"/>
      <c r="FS45" s="34">
        <f t="shared" si="96"/>
        <v>20009500</v>
      </c>
      <c r="FT45" s="34">
        <f t="shared" si="97"/>
        <v>32014450</v>
      </c>
      <c r="FU45" s="3"/>
      <c r="FV45" s="3"/>
      <c r="FW45" s="3"/>
      <c r="FX45" s="3"/>
      <c r="FY45" s="3"/>
      <c r="FZ45" s="3"/>
      <c r="GA45" s="3"/>
      <c r="GB45" s="4"/>
      <c r="GC45" s="3"/>
      <c r="GD45" s="182"/>
      <c r="GE45" s="3"/>
      <c r="GF45" s="3"/>
      <c r="GG45" s="3"/>
      <c r="GH45" s="3"/>
      <c r="GI45" s="3"/>
      <c r="GJ45" s="3"/>
      <c r="GK45" s="3"/>
      <c r="GL45" s="3"/>
      <c r="GM45" s="3"/>
      <c r="GN45" s="3"/>
    </row>
    <row r="46" spans="1:196" s="1" customFormat="1" ht="68.099999999999994">
      <c r="A46" s="2" t="str">
        <f t="shared" si="102"/>
        <v xml:space="preserve"> Final Pmt Recd , FNF Pending</v>
      </c>
      <c r="B46" s="281">
        <v>51</v>
      </c>
      <c r="C46" s="281">
        <v>185</v>
      </c>
      <c r="D46" s="182" t="s">
        <v>208</v>
      </c>
      <c r="E46" s="2" t="str">
        <f t="shared" si="103"/>
        <v>CLOSE POSITION</v>
      </c>
      <c r="F46" s="271">
        <f t="shared" si="104"/>
        <v>32013800</v>
      </c>
      <c r="G46" s="271"/>
      <c r="H46" s="2" t="str">
        <f t="shared" si="105"/>
        <v>SREE DEVI CASHEW INDUSTRIES</v>
      </c>
      <c r="I46" s="3" t="s">
        <v>209</v>
      </c>
      <c r="J46" s="2" t="s">
        <v>210</v>
      </c>
      <c r="K46" s="2" t="str">
        <f t="shared" si="106"/>
        <v>MANGALORE, INDIA</v>
      </c>
      <c r="L46" s="2" t="str">
        <f t="shared" ref="L46:M53" si="142">IF(BI46&lt;&gt;0,BI46,"")</f>
        <v>MEDULG623316</v>
      </c>
      <c r="M46" s="2">
        <f t="shared" si="142"/>
        <v>202.654</v>
      </c>
      <c r="N46" s="22">
        <f t="shared" si="107"/>
        <v>46107</v>
      </c>
      <c r="O46" s="22">
        <f t="shared" ref="O46:O77" si="143">IF(BO46&lt;&gt;0,BO46,"")</f>
        <v>46161</v>
      </c>
      <c r="P46" s="22" t="str">
        <f t="shared" si="108"/>
        <v>OBL In Destination - INDIA</v>
      </c>
      <c r="Q46" s="2"/>
      <c r="R46" s="2" t="str">
        <f t="shared" si="109"/>
        <v>CERTS in Destination - INDIA</v>
      </c>
      <c r="S46" s="2" t="str">
        <f t="shared" si="110"/>
        <v>Docs in Buyer's Nego Bank</v>
      </c>
      <c r="T46" s="2" t="str">
        <f>IFERROR(_xlfn.XLOOKUP(F46,
'[2]Data 2026'!$H$12:$H$111,
'[2]Data 2026'!$CL$12:$CL$111),"")</f>
        <v/>
      </c>
      <c r="U46" s="3" t="s">
        <v>236</v>
      </c>
      <c r="V46" s="272"/>
      <c r="W46" s="3"/>
      <c r="X46" s="24">
        <v>46031</v>
      </c>
      <c r="Y46" s="273">
        <v>20009143</v>
      </c>
      <c r="Z46" s="24">
        <v>46032</v>
      </c>
      <c r="AA46" s="182">
        <v>32013800</v>
      </c>
      <c r="AB46" s="182" t="s">
        <v>424</v>
      </c>
      <c r="AC46" s="182" t="s">
        <v>462</v>
      </c>
      <c r="AD46" s="570">
        <v>46096</v>
      </c>
      <c r="AE46" s="44">
        <v>0.1</v>
      </c>
      <c r="AF46" s="277">
        <f>EJ46</f>
        <v>202.654</v>
      </c>
      <c r="AG46" s="35">
        <f t="shared" si="111"/>
        <v>182.3886</v>
      </c>
      <c r="AH46" s="3" t="s">
        <v>215</v>
      </c>
      <c r="AI46" s="35">
        <v>1610</v>
      </c>
      <c r="AJ46" s="35">
        <v>322000</v>
      </c>
      <c r="AK46" s="3" t="s">
        <v>249</v>
      </c>
      <c r="AL46" s="3" t="s">
        <v>238</v>
      </c>
      <c r="AM46" s="30">
        <v>0</v>
      </c>
      <c r="AN46" s="183">
        <v>1</v>
      </c>
      <c r="AO46" s="183">
        <v>0</v>
      </c>
      <c r="AP46" s="28" t="s">
        <v>218</v>
      </c>
      <c r="AQ46" s="18" t="s">
        <v>239</v>
      </c>
      <c r="AR46" s="18" t="s">
        <v>264</v>
      </c>
      <c r="AS46" s="27">
        <v>5</v>
      </c>
      <c r="AT46" s="3" t="s">
        <v>220</v>
      </c>
      <c r="AU46" s="3" t="s">
        <v>220</v>
      </c>
      <c r="AV46" s="3" t="s">
        <v>220</v>
      </c>
      <c r="AW46" s="9"/>
      <c r="AX46" s="3"/>
      <c r="AY46" s="47"/>
      <c r="AZ46" s="275">
        <f t="shared" si="62"/>
        <v>0</v>
      </c>
      <c r="BA46" s="18">
        <v>46032</v>
      </c>
      <c r="BB46" s="22">
        <v>46041</v>
      </c>
      <c r="BC46" s="22"/>
      <c r="BD46" s="22"/>
      <c r="BE46" s="22"/>
      <c r="BF46" s="22">
        <v>46041</v>
      </c>
      <c r="BG46" s="18"/>
      <c r="BH46" s="18"/>
      <c r="BI46" s="3" t="s">
        <v>463</v>
      </c>
      <c r="BJ46" s="43">
        <v>202.654</v>
      </c>
      <c r="BK46" s="46" t="s">
        <v>222</v>
      </c>
      <c r="BL46" s="498">
        <v>8</v>
      </c>
      <c r="BM46" s="18">
        <v>46107</v>
      </c>
      <c r="BN46" s="289" t="s">
        <v>464</v>
      </c>
      <c r="BO46" s="18">
        <v>46161</v>
      </c>
      <c r="BP46" s="3" t="s">
        <v>278</v>
      </c>
      <c r="BQ46" s="21" t="s">
        <v>265</v>
      </c>
      <c r="BR46" s="2" t="s">
        <v>226</v>
      </c>
      <c r="BS46" s="2"/>
      <c r="BT46" s="2"/>
      <c r="BU46" s="2"/>
      <c r="BV46" s="20">
        <v>90084356</v>
      </c>
      <c r="BW46" s="19"/>
      <c r="BX46" s="46">
        <f t="shared" si="63"/>
        <v>326272.94</v>
      </c>
      <c r="BY46" s="22"/>
      <c r="BZ46" s="22">
        <v>46129</v>
      </c>
      <c r="CA46" s="2">
        <v>4567280594</v>
      </c>
      <c r="CB46" s="22">
        <v>46134</v>
      </c>
      <c r="CC46" s="22"/>
      <c r="CD46" s="22"/>
      <c r="CE46" s="22" t="str">
        <f t="shared" si="112"/>
        <v>OBL In Destination - INDIA</v>
      </c>
      <c r="CF46" s="22"/>
      <c r="CG46" s="22"/>
      <c r="CH46" s="22">
        <v>46141</v>
      </c>
      <c r="CI46" s="2">
        <v>8329210444</v>
      </c>
      <c r="CJ46" s="22">
        <v>46157</v>
      </c>
      <c r="CK46" s="2" t="str">
        <f t="shared" si="113"/>
        <v>CERTS in Destination - INDIA</v>
      </c>
      <c r="CL46" s="48" t="s">
        <v>244</v>
      </c>
      <c r="CM46" s="22">
        <v>46140</v>
      </c>
      <c r="CN46" s="55">
        <v>5596370743</v>
      </c>
      <c r="CO46" s="292">
        <v>46141</v>
      </c>
      <c r="CP46" s="55" t="str">
        <f t="shared" si="139"/>
        <v>Docs in Buyer's Nego Bank</v>
      </c>
      <c r="CQ46" s="50">
        <f t="shared" si="141"/>
        <v>326272.94</v>
      </c>
      <c r="CR46" s="54">
        <v>46156</v>
      </c>
      <c r="CS46" s="2"/>
      <c r="CT46" s="2"/>
      <c r="CU46" s="14" t="str">
        <f t="shared" si="114"/>
        <v/>
      </c>
      <c r="CV46" s="42" t="str">
        <f t="shared" si="115"/>
        <v/>
      </c>
      <c r="CW46" s="14" t="str">
        <f t="shared" si="116"/>
        <v/>
      </c>
      <c r="CX46" s="14" t="str">
        <f t="shared" si="117"/>
        <v/>
      </c>
      <c r="CY46" s="15" t="str">
        <f t="shared" si="118"/>
        <v/>
      </c>
      <c r="CZ46" s="2"/>
      <c r="DA46" s="41" t="str">
        <f t="shared" si="119"/>
        <v/>
      </c>
      <c r="DB46" s="2"/>
      <c r="DC46" s="39" t="str">
        <f t="shared" si="120"/>
        <v/>
      </c>
      <c r="DD46" s="40"/>
      <c r="DE46" s="16" t="str">
        <f t="shared" si="121"/>
        <v/>
      </c>
      <c r="DF46" s="2" t="str">
        <f t="shared" si="122"/>
        <v/>
      </c>
      <c r="DG46" s="14" t="str">
        <f t="shared" si="123"/>
        <v/>
      </c>
      <c r="DH46" s="2" t="str">
        <f t="shared" si="124"/>
        <v/>
      </c>
      <c r="DI46" s="39" t="str">
        <f t="shared" si="125"/>
        <v/>
      </c>
      <c r="DJ46" s="2" t="str">
        <f t="shared" si="140"/>
        <v/>
      </c>
      <c r="DK46" s="15" t="str">
        <f t="shared" si="126"/>
        <v/>
      </c>
      <c r="DL46" s="2"/>
      <c r="DM46" s="2"/>
      <c r="DN46" s="15" t="str">
        <f t="shared" si="127"/>
        <v/>
      </c>
      <c r="DO46" s="14" t="str">
        <f t="shared" si="128"/>
        <v/>
      </c>
      <c r="DP46" s="14" t="str">
        <f t="shared" si="129"/>
        <v/>
      </c>
      <c r="DQ46" s="15" t="str">
        <f t="shared" si="130"/>
        <v/>
      </c>
      <c r="DR46" s="15" t="str">
        <f t="shared" si="131"/>
        <v/>
      </c>
      <c r="DS46" s="2" t="str">
        <f t="shared" si="132"/>
        <v/>
      </c>
      <c r="DT46" s="2" t="str">
        <f t="shared" si="133"/>
        <v/>
      </c>
      <c r="DU46" s="2"/>
      <c r="DV46" s="2"/>
      <c r="DW46" s="2"/>
      <c r="DX46" s="2"/>
      <c r="DY46" s="2" t="s">
        <v>230</v>
      </c>
      <c r="DZ46" s="2"/>
      <c r="EA46" s="2" t="str">
        <f t="shared" si="134"/>
        <v/>
      </c>
      <c r="EB46" s="2">
        <v>47.45</v>
      </c>
      <c r="EC46" s="2">
        <v>198</v>
      </c>
      <c r="ED46" s="2">
        <v>8.6300000000000008</v>
      </c>
      <c r="EE46" s="3">
        <v>4900008774</v>
      </c>
      <c r="EF46" s="7">
        <v>46031</v>
      </c>
      <c r="EG46" s="3"/>
      <c r="EH46" s="3" t="s">
        <v>465</v>
      </c>
      <c r="EI46" s="3" t="s">
        <v>216</v>
      </c>
      <c r="EJ46" s="507">
        <v>202.654</v>
      </c>
      <c r="EK46" s="35">
        <v>1550</v>
      </c>
      <c r="EL46" s="4" t="s">
        <v>220</v>
      </c>
      <c r="EM46" s="7"/>
      <c r="EN46" s="46">
        <f t="shared" si="135"/>
        <v>314113.7</v>
      </c>
      <c r="EO46" s="3" t="s">
        <v>232</v>
      </c>
      <c r="EP46" s="3"/>
      <c r="EQ46" s="3"/>
      <c r="ER46" s="3">
        <v>303023.43</v>
      </c>
      <c r="ES46" s="7"/>
      <c r="ET46" s="3"/>
      <c r="EU46" s="3"/>
      <c r="EV46" s="2" t="str">
        <f t="shared" si="136"/>
        <v>Final Pmt Recd</v>
      </c>
      <c r="EW46" s="46"/>
      <c r="EX46" s="46">
        <f t="shared" si="137"/>
        <v>0</v>
      </c>
      <c r="EY46" s="46" t="s">
        <v>233</v>
      </c>
      <c r="EZ46" s="24"/>
      <c r="FA46" s="2">
        <v>22138899</v>
      </c>
      <c r="FB46" s="24"/>
      <c r="FC46" s="53"/>
      <c r="FD46" s="46">
        <f t="shared" si="138"/>
        <v>0</v>
      </c>
      <c r="FE46" s="52"/>
      <c r="FF46" s="52"/>
      <c r="FG46" s="49"/>
      <c r="FH46" s="49"/>
      <c r="FI46" s="49"/>
      <c r="FJ46" s="49"/>
      <c r="FK46" s="49"/>
      <c r="FL46" s="49">
        <f t="shared" si="100"/>
        <v>0</v>
      </c>
      <c r="FM46" s="180">
        <f t="shared" si="101"/>
        <v>46107</v>
      </c>
      <c r="FN46" s="49"/>
      <c r="FO46" s="49"/>
      <c r="FP46" s="49"/>
      <c r="FQ46" s="49"/>
      <c r="FR46" s="49"/>
      <c r="FS46" s="6">
        <v>20009143</v>
      </c>
      <c r="FT46" s="3">
        <v>32013800</v>
      </c>
      <c r="FU46" s="3">
        <v>4900008774</v>
      </c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5"/>
    </row>
    <row r="47" spans="1:196" s="1" customFormat="1" ht="84.95">
      <c r="A47" s="2" t="str">
        <f t="shared" si="102"/>
        <v>Exp Dox Presented to Bank, Pmt Pending</v>
      </c>
      <c r="B47" s="281">
        <v>50</v>
      </c>
      <c r="C47" s="281">
        <v>185</v>
      </c>
      <c r="D47" s="182" t="s">
        <v>208</v>
      </c>
      <c r="E47" s="2" t="str">
        <f t="shared" si="103"/>
        <v>CLOSE POSITION</v>
      </c>
      <c r="F47" s="271" t="str">
        <f t="shared" si="104"/>
        <v>32014448-2</v>
      </c>
      <c r="G47" s="271"/>
      <c r="H47" s="2" t="str">
        <f t="shared" si="105"/>
        <v>Valency Agro (Processing)</v>
      </c>
      <c r="I47" s="3" t="s">
        <v>209</v>
      </c>
      <c r="J47" s="2" t="s">
        <v>210</v>
      </c>
      <c r="K47" s="2" t="str">
        <f t="shared" si="106"/>
        <v>MANGALORE INDIA</v>
      </c>
      <c r="L47" s="2" t="str">
        <f t="shared" si="142"/>
        <v>MEDULG620841</v>
      </c>
      <c r="M47" s="2">
        <f t="shared" si="142"/>
        <v>103.696</v>
      </c>
      <c r="N47" s="22">
        <f t="shared" si="107"/>
        <v>46100</v>
      </c>
      <c r="O47" s="22">
        <f t="shared" si="143"/>
        <v>46162</v>
      </c>
      <c r="P47" s="22" t="str">
        <f t="shared" si="108"/>
        <v>OBL In Destination - INDIA</v>
      </c>
      <c r="Q47" s="2"/>
      <c r="R47" s="2" t="str">
        <f t="shared" si="109"/>
        <v>CERTS in Destination - INDIA</v>
      </c>
      <c r="S47" s="2" t="str">
        <f t="shared" si="110"/>
        <v>Docs in Buyer's Nego Bank</v>
      </c>
      <c r="T47" s="2" t="str">
        <f>IFERROR(_xlfn.XLOOKUP(F47,
'[2]Data 2026'!$H$12:$H$111,
'[2]Data 2026'!$CL$12:$CL$111),"")</f>
        <v/>
      </c>
      <c r="U47" s="3" t="s">
        <v>466</v>
      </c>
      <c r="V47" s="272"/>
      <c r="W47" s="3" t="s">
        <v>467</v>
      </c>
      <c r="X47" s="24">
        <v>46066</v>
      </c>
      <c r="Y47" s="273">
        <v>20009485</v>
      </c>
      <c r="Z47" s="24">
        <v>46066</v>
      </c>
      <c r="AA47" s="182" t="s">
        <v>468</v>
      </c>
      <c r="AB47" s="182" t="s">
        <v>247</v>
      </c>
      <c r="AC47" s="203">
        <v>46082</v>
      </c>
      <c r="AD47" s="203">
        <v>46112</v>
      </c>
      <c r="AE47" s="30">
        <v>0.1</v>
      </c>
      <c r="AF47" s="277">
        <f>BJ47</f>
        <v>103.696</v>
      </c>
      <c r="AG47" s="35">
        <f t="shared" si="111"/>
        <v>93.326400000000007</v>
      </c>
      <c r="AH47" s="3" t="s">
        <v>215</v>
      </c>
      <c r="AI47" s="4">
        <v>1683</v>
      </c>
      <c r="AJ47" s="4">
        <v>1700000</v>
      </c>
      <c r="AK47" s="3" t="s">
        <v>249</v>
      </c>
      <c r="AL47" s="3" t="s">
        <v>217</v>
      </c>
      <c r="AM47" s="30">
        <v>0</v>
      </c>
      <c r="AN47" s="183">
        <v>1</v>
      </c>
      <c r="AO47" s="183">
        <v>0</v>
      </c>
      <c r="AP47" s="28" t="s">
        <v>218</v>
      </c>
      <c r="AQ47" s="18" t="s">
        <v>250</v>
      </c>
      <c r="AR47" s="18" t="s">
        <v>251</v>
      </c>
      <c r="AS47" s="27"/>
      <c r="AT47" s="3" t="s">
        <v>220</v>
      </c>
      <c r="AU47" s="3" t="s">
        <v>220</v>
      </c>
      <c r="AV47" s="3" t="s">
        <v>220</v>
      </c>
      <c r="AW47" s="9"/>
      <c r="AX47" s="3"/>
      <c r="AY47" s="47"/>
      <c r="AZ47" s="275">
        <f t="shared" si="62"/>
        <v>0</v>
      </c>
      <c r="BA47" s="18">
        <v>46069</v>
      </c>
      <c r="BB47" s="22">
        <v>46073</v>
      </c>
      <c r="BC47" s="22"/>
      <c r="BD47" s="22"/>
      <c r="BE47" s="22"/>
      <c r="BF47" s="22">
        <v>46073</v>
      </c>
      <c r="BG47" s="18"/>
      <c r="BH47" s="18"/>
      <c r="BI47" s="3" t="s">
        <v>469</v>
      </c>
      <c r="BJ47" s="25">
        <v>103.696</v>
      </c>
      <c r="BK47" s="46" t="s">
        <v>222</v>
      </c>
      <c r="BL47" s="497">
        <v>4</v>
      </c>
      <c r="BM47" s="18">
        <v>46100</v>
      </c>
      <c r="BN47" s="4" t="s">
        <v>470</v>
      </c>
      <c r="BO47" s="18">
        <v>46162</v>
      </c>
      <c r="BP47" s="3" t="s">
        <v>278</v>
      </c>
      <c r="BQ47" s="21" t="s">
        <v>363</v>
      </c>
      <c r="BR47" s="2" t="s">
        <v>226</v>
      </c>
      <c r="BS47" s="2" t="s">
        <v>306</v>
      </c>
      <c r="BT47" s="2" t="s">
        <v>335</v>
      </c>
      <c r="BU47" s="2" t="s">
        <v>243</v>
      </c>
      <c r="BV47" s="20">
        <v>90084571</v>
      </c>
      <c r="BW47" s="19"/>
      <c r="BX47" s="46">
        <f t="shared" si="63"/>
        <v>174520.36799999999</v>
      </c>
      <c r="BY47" s="22"/>
      <c r="BZ47" s="22">
        <v>46128</v>
      </c>
      <c r="CA47" s="2">
        <v>9617295796</v>
      </c>
      <c r="CB47" s="22">
        <v>46132</v>
      </c>
      <c r="CC47" s="22"/>
      <c r="CD47" s="22"/>
      <c r="CE47" s="22" t="str">
        <f t="shared" si="112"/>
        <v>OBL In Destination - INDIA</v>
      </c>
      <c r="CF47" s="22"/>
      <c r="CG47" s="22"/>
      <c r="CH47" s="22">
        <v>46134</v>
      </c>
      <c r="CI47" s="182">
        <v>9882466941</v>
      </c>
      <c r="CJ47" s="52">
        <v>46140</v>
      </c>
      <c r="CK47" s="2" t="str">
        <f t="shared" si="113"/>
        <v>CERTS in Destination - INDIA</v>
      </c>
      <c r="CL47" s="48" t="s">
        <v>229</v>
      </c>
      <c r="CM47" s="22">
        <v>46139</v>
      </c>
      <c r="CN47" s="55">
        <v>8585994476</v>
      </c>
      <c r="CO47" s="54">
        <v>46147</v>
      </c>
      <c r="CP47" s="55" t="str">
        <f t="shared" si="139"/>
        <v>Docs in Buyer's Nego Bank</v>
      </c>
      <c r="CQ47" s="50">
        <f t="shared" si="141"/>
        <v>174520.36799999999</v>
      </c>
      <c r="CR47" s="54"/>
      <c r="CS47" s="2"/>
      <c r="CT47" s="2"/>
      <c r="CU47" s="14" t="str">
        <f t="shared" si="114"/>
        <v/>
      </c>
      <c r="CV47" s="42" t="str">
        <f t="shared" si="115"/>
        <v/>
      </c>
      <c r="CW47" s="14" t="str">
        <f t="shared" si="116"/>
        <v/>
      </c>
      <c r="CX47" s="14" t="str">
        <f t="shared" si="117"/>
        <v/>
      </c>
      <c r="CY47" s="15" t="str">
        <f t="shared" si="118"/>
        <v/>
      </c>
      <c r="CZ47" s="2"/>
      <c r="DA47" s="41" t="str">
        <f t="shared" si="119"/>
        <v/>
      </c>
      <c r="DB47" s="2"/>
      <c r="DC47" s="39" t="str">
        <f t="shared" si="120"/>
        <v/>
      </c>
      <c r="DD47" s="40"/>
      <c r="DE47" s="16" t="str">
        <f t="shared" si="121"/>
        <v/>
      </c>
      <c r="DF47" s="2" t="str">
        <f t="shared" si="122"/>
        <v/>
      </c>
      <c r="DG47" s="14" t="str">
        <f t="shared" si="123"/>
        <v/>
      </c>
      <c r="DH47" s="2" t="str">
        <f t="shared" si="124"/>
        <v/>
      </c>
      <c r="DI47" s="39" t="str">
        <f t="shared" si="125"/>
        <v/>
      </c>
      <c r="DJ47" s="2" t="str">
        <f t="shared" si="140"/>
        <v/>
      </c>
      <c r="DK47" s="15" t="str">
        <f t="shared" si="126"/>
        <v/>
      </c>
      <c r="DL47" s="2"/>
      <c r="DM47" s="2"/>
      <c r="DN47" s="15" t="str">
        <f t="shared" si="127"/>
        <v/>
      </c>
      <c r="DO47" s="14" t="str">
        <f t="shared" si="128"/>
        <v/>
      </c>
      <c r="DP47" s="14" t="str">
        <f t="shared" si="129"/>
        <v/>
      </c>
      <c r="DQ47" s="15" t="str">
        <f t="shared" si="130"/>
        <v/>
      </c>
      <c r="DR47" s="15" t="str">
        <f t="shared" si="131"/>
        <v/>
      </c>
      <c r="DS47" s="2" t="str">
        <f t="shared" si="132"/>
        <v/>
      </c>
      <c r="DT47" s="2" t="str">
        <f t="shared" si="133"/>
        <v/>
      </c>
      <c r="DU47" s="2"/>
      <c r="DV47" s="2"/>
      <c r="DW47" s="2"/>
      <c r="DX47" s="2"/>
      <c r="DY47" s="2" t="s">
        <v>230</v>
      </c>
      <c r="DZ47" s="2"/>
      <c r="EA47" s="2" t="str">
        <f t="shared" si="134"/>
        <v/>
      </c>
      <c r="EB47" s="2"/>
      <c r="EC47" s="2"/>
      <c r="ED47" s="2"/>
      <c r="EE47" s="3">
        <v>4900009113</v>
      </c>
      <c r="EF47" s="7"/>
      <c r="EG47" s="3"/>
      <c r="EH47" s="3" t="s">
        <v>307</v>
      </c>
      <c r="EI47" s="3" t="s">
        <v>258</v>
      </c>
      <c r="EJ47" s="189">
        <f>BJ47</f>
        <v>103.696</v>
      </c>
      <c r="EK47" s="4">
        <v>1600</v>
      </c>
      <c r="EL47" s="4"/>
      <c r="EM47" s="9"/>
      <c r="EN47" s="46">
        <f t="shared" si="135"/>
        <v>165913.60000000001</v>
      </c>
      <c r="EO47" s="9" t="s">
        <v>232</v>
      </c>
      <c r="EP47" s="8"/>
      <c r="EQ47" s="4"/>
      <c r="ER47" s="4">
        <v>162595.32999999999</v>
      </c>
      <c r="ES47" s="7"/>
      <c r="ET47" s="7"/>
      <c r="EU47" s="6"/>
      <c r="EV47" s="2" t="str">
        <f t="shared" si="136"/>
        <v>Export Loan</v>
      </c>
      <c r="EW47" s="46"/>
      <c r="EX47" s="46">
        <f t="shared" si="137"/>
        <v>0</v>
      </c>
      <c r="EY47" s="46" t="s">
        <v>233</v>
      </c>
      <c r="EZ47" s="24"/>
      <c r="FA47" s="2"/>
      <c r="FB47" s="24"/>
      <c r="FC47" s="53"/>
      <c r="FD47" s="46">
        <f t="shared" si="138"/>
        <v>0</v>
      </c>
      <c r="FE47" s="52"/>
      <c r="FF47" s="52"/>
      <c r="FG47" s="49"/>
      <c r="FH47" s="49"/>
      <c r="FI47" s="49"/>
      <c r="FJ47" s="49"/>
      <c r="FK47" s="49"/>
      <c r="FL47" s="49">
        <f t="shared" si="100"/>
        <v>0</v>
      </c>
      <c r="FM47" s="180">
        <f t="shared" si="101"/>
        <v>46100</v>
      </c>
      <c r="FN47" s="49"/>
      <c r="FO47" s="49"/>
      <c r="FP47" s="49"/>
      <c r="FQ47" s="49"/>
      <c r="FR47" s="49"/>
      <c r="FS47" s="34">
        <f>Y47</f>
        <v>20009485</v>
      </c>
      <c r="FT47" s="34" t="str">
        <f>AA47</f>
        <v>32014448-2</v>
      </c>
      <c r="FU47" s="3"/>
      <c r="FV47" s="3"/>
      <c r="FW47" s="3"/>
      <c r="FX47" s="3"/>
      <c r="FY47" s="3"/>
      <c r="FZ47" s="3"/>
      <c r="GA47" s="3"/>
      <c r="GB47" s="4"/>
      <c r="GC47" s="3"/>
      <c r="GD47" s="182"/>
      <c r="GE47" s="2"/>
      <c r="GF47" s="2"/>
      <c r="GG47" s="2"/>
      <c r="GH47" s="2"/>
      <c r="GI47" s="2"/>
      <c r="GJ47" s="2"/>
      <c r="GK47" s="2"/>
      <c r="GL47" s="2"/>
      <c r="GM47" s="2"/>
      <c r="GN47" s="2"/>
    </row>
    <row r="48" spans="1:196" s="1" customFormat="1" ht="33.950000000000003">
      <c r="A48" s="2" t="str">
        <f t="shared" si="102"/>
        <v>SI Sent, Shipment Awaited</v>
      </c>
      <c r="B48" s="281">
        <v>48</v>
      </c>
      <c r="C48" s="281">
        <v>200</v>
      </c>
      <c r="D48" s="182" t="s">
        <v>208</v>
      </c>
      <c r="E48" s="2" t="str">
        <f t="shared" si="103"/>
        <v>SHORT POSITION</v>
      </c>
      <c r="F48" s="271" t="str">
        <f t="shared" si="104"/>
        <v>32014539-2</v>
      </c>
      <c r="G48" s="271"/>
      <c r="H48" s="2" t="str">
        <f t="shared" si="105"/>
        <v>ST. PAULS CASHEW FACTORY</v>
      </c>
      <c r="I48" s="3" t="s">
        <v>259</v>
      </c>
      <c r="J48" s="2" t="s">
        <v>210</v>
      </c>
      <c r="K48" s="2" t="str">
        <f t="shared" si="106"/>
        <v>TUTICORIN, INDIA</v>
      </c>
      <c r="L48" s="2" t="str">
        <f t="shared" si="142"/>
        <v/>
      </c>
      <c r="M48" s="2" t="str">
        <f t="shared" si="142"/>
        <v/>
      </c>
      <c r="N48" s="22" t="str">
        <f t="shared" si="107"/>
        <v/>
      </c>
      <c r="O48" s="22" t="str">
        <f t="shared" si="143"/>
        <v/>
      </c>
      <c r="P48" s="22" t="str">
        <f t="shared" si="108"/>
        <v>No OBL Yet</v>
      </c>
      <c r="Q48" s="2"/>
      <c r="R48" s="2" t="str">
        <f t="shared" si="109"/>
        <v>No CERTS Yet</v>
      </c>
      <c r="S48" s="2" t="str">
        <f t="shared" si="110"/>
        <v/>
      </c>
      <c r="T48" s="2" t="s">
        <v>260</v>
      </c>
      <c r="U48" s="3" t="s">
        <v>471</v>
      </c>
      <c r="V48" s="272"/>
      <c r="W48" s="272"/>
      <c r="X48" s="24">
        <v>46076</v>
      </c>
      <c r="Y48" s="273">
        <v>20009550</v>
      </c>
      <c r="Z48" s="24">
        <v>46074</v>
      </c>
      <c r="AA48" s="182" t="s">
        <v>472</v>
      </c>
      <c r="AB48" s="182" t="s">
        <v>237</v>
      </c>
      <c r="AC48" s="182" t="s">
        <v>456</v>
      </c>
      <c r="AD48" s="181">
        <v>46142</v>
      </c>
      <c r="AE48" s="30">
        <v>0.1</v>
      </c>
      <c r="AF48" s="277">
        <v>100</v>
      </c>
      <c r="AG48" s="35">
        <f t="shared" si="111"/>
        <v>90</v>
      </c>
      <c r="AH48" s="3" t="s">
        <v>215</v>
      </c>
      <c r="AI48" s="4">
        <v>1515</v>
      </c>
      <c r="AJ48" s="4">
        <f>AI48*AF48</f>
        <v>151500</v>
      </c>
      <c r="AK48" s="3" t="s">
        <v>249</v>
      </c>
      <c r="AL48" s="3" t="s">
        <v>238</v>
      </c>
      <c r="AM48" s="30">
        <v>0</v>
      </c>
      <c r="AN48" s="183">
        <v>1</v>
      </c>
      <c r="AO48" s="183">
        <v>0</v>
      </c>
      <c r="AP48" s="28" t="s">
        <v>218</v>
      </c>
      <c r="AQ48" s="18" t="s">
        <v>239</v>
      </c>
      <c r="AR48" s="18" t="s">
        <v>251</v>
      </c>
      <c r="AS48" s="27"/>
      <c r="AT48" s="3" t="s">
        <v>220</v>
      </c>
      <c r="AU48" s="3" t="s">
        <v>220</v>
      </c>
      <c r="AV48" s="3" t="s">
        <v>220</v>
      </c>
      <c r="AW48" s="9"/>
      <c r="AX48" s="3"/>
      <c r="AY48" s="47"/>
      <c r="AZ48" s="275">
        <f t="shared" si="62"/>
        <v>0</v>
      </c>
      <c r="BA48" s="18"/>
      <c r="BB48" s="22">
        <v>46083</v>
      </c>
      <c r="BC48" s="22"/>
      <c r="BD48" s="22"/>
      <c r="BE48" s="22"/>
      <c r="BF48" s="22">
        <v>46083</v>
      </c>
      <c r="BG48" s="18"/>
      <c r="BH48" s="18"/>
      <c r="BI48" s="3"/>
      <c r="BJ48" s="25"/>
      <c r="BK48" s="46" t="s">
        <v>222</v>
      </c>
      <c r="BL48" s="497"/>
      <c r="BM48" s="18"/>
      <c r="BN48" s="4"/>
      <c r="BO48" s="18"/>
      <c r="BP48" s="3" t="s">
        <v>259</v>
      </c>
      <c r="BQ48" s="21" t="s">
        <v>346</v>
      </c>
      <c r="BR48" s="2"/>
      <c r="BS48" s="2"/>
      <c r="BT48" s="2"/>
      <c r="BU48" s="2"/>
      <c r="BV48" s="20"/>
      <c r="BW48" s="19"/>
      <c r="BX48" s="46">
        <f t="shared" si="63"/>
        <v>0</v>
      </c>
      <c r="BY48" s="22"/>
      <c r="BZ48" s="22"/>
      <c r="CA48" s="2"/>
      <c r="CB48" s="22"/>
      <c r="CC48" s="22"/>
      <c r="CD48" s="22"/>
      <c r="CE48" s="22" t="str">
        <f t="shared" si="112"/>
        <v>No OBL Yet</v>
      </c>
      <c r="CF48" s="22"/>
      <c r="CG48" s="22"/>
      <c r="CH48" s="182"/>
      <c r="CI48" s="182"/>
      <c r="CJ48" s="182"/>
      <c r="CK48" s="2" t="str">
        <f t="shared" si="113"/>
        <v>No CERTS Yet</v>
      </c>
      <c r="CL48" s="48"/>
      <c r="CM48" s="22"/>
      <c r="CN48" s="55"/>
      <c r="CO48" s="55"/>
      <c r="CP48" s="55" t="str">
        <f t="shared" si="139"/>
        <v/>
      </c>
      <c r="CQ48" s="50">
        <f t="shared" si="141"/>
        <v>0</v>
      </c>
      <c r="CR48" s="54"/>
      <c r="CS48" s="2"/>
      <c r="CT48" s="2"/>
      <c r="CU48" s="14" t="str">
        <f t="shared" si="114"/>
        <v/>
      </c>
      <c r="CV48" s="42" t="str">
        <f t="shared" si="115"/>
        <v/>
      </c>
      <c r="CW48" s="14" t="str">
        <f t="shared" si="116"/>
        <v/>
      </c>
      <c r="CX48" s="14" t="str">
        <f t="shared" si="117"/>
        <v/>
      </c>
      <c r="CY48" s="15" t="str">
        <f t="shared" si="118"/>
        <v/>
      </c>
      <c r="CZ48" s="2"/>
      <c r="DA48" s="41" t="str">
        <f t="shared" si="119"/>
        <v/>
      </c>
      <c r="DB48" s="2"/>
      <c r="DC48" s="39" t="str">
        <f t="shared" si="120"/>
        <v/>
      </c>
      <c r="DD48" s="40"/>
      <c r="DE48" s="16" t="str">
        <f t="shared" si="121"/>
        <v/>
      </c>
      <c r="DF48" s="2" t="str">
        <f t="shared" si="122"/>
        <v/>
      </c>
      <c r="DG48" s="14" t="str">
        <f t="shared" si="123"/>
        <v/>
      </c>
      <c r="DH48" s="2" t="str">
        <f t="shared" si="124"/>
        <v/>
      </c>
      <c r="DI48" s="39" t="str">
        <f t="shared" si="125"/>
        <v/>
      </c>
      <c r="DJ48" s="2" t="str">
        <f t="shared" si="140"/>
        <v/>
      </c>
      <c r="DK48" s="15" t="str">
        <f t="shared" si="126"/>
        <v/>
      </c>
      <c r="DL48" s="2"/>
      <c r="DM48" s="2"/>
      <c r="DN48" s="15" t="str">
        <f t="shared" si="127"/>
        <v/>
      </c>
      <c r="DO48" s="14" t="str">
        <f t="shared" si="128"/>
        <v/>
      </c>
      <c r="DP48" s="14" t="str">
        <f t="shared" si="129"/>
        <v/>
      </c>
      <c r="DQ48" s="15" t="str">
        <f t="shared" si="130"/>
        <v/>
      </c>
      <c r="DR48" s="15" t="str">
        <f t="shared" si="131"/>
        <v/>
      </c>
      <c r="DS48" s="2" t="str">
        <f t="shared" si="132"/>
        <v/>
      </c>
      <c r="DT48" s="2" t="str">
        <f t="shared" si="133"/>
        <v/>
      </c>
      <c r="DU48" s="2"/>
      <c r="DV48" s="2"/>
      <c r="DW48" s="2"/>
      <c r="DX48" s="2"/>
      <c r="DY48" s="2" t="s">
        <v>230</v>
      </c>
      <c r="DZ48" s="2"/>
      <c r="EA48" s="2" t="str">
        <f t="shared" si="134"/>
        <v/>
      </c>
      <c r="EB48" s="2"/>
      <c r="EC48" s="2"/>
      <c r="ED48" s="2"/>
      <c r="EE48" s="3"/>
      <c r="EF48" s="7"/>
      <c r="EG48" s="3"/>
      <c r="EH48" s="3" t="s">
        <v>266</v>
      </c>
      <c r="EI48" s="3"/>
      <c r="EJ48" s="189"/>
      <c r="EK48" s="4"/>
      <c r="EL48" s="4"/>
      <c r="EM48" s="9"/>
      <c r="EN48" s="46">
        <f t="shared" si="135"/>
        <v>0</v>
      </c>
      <c r="EO48" s="9"/>
      <c r="EP48" s="8"/>
      <c r="EQ48" s="4"/>
      <c r="ER48" s="4"/>
      <c r="ES48" s="7"/>
      <c r="ET48" s="7"/>
      <c r="EU48" s="6"/>
      <c r="EV48" s="2" t="str">
        <f t="shared" si="136"/>
        <v>Yet to load</v>
      </c>
      <c r="EW48" s="46"/>
      <c r="EX48" s="46" t="e">
        <f t="shared" si="137"/>
        <v>#DIV/0!</v>
      </c>
      <c r="EY48" s="46" t="s">
        <v>233</v>
      </c>
      <c r="EZ48" s="24"/>
      <c r="FA48" s="2"/>
      <c r="FB48" s="24"/>
      <c r="FC48" s="53"/>
      <c r="FD48" s="46">
        <f t="shared" si="138"/>
        <v>0</v>
      </c>
      <c r="FE48" s="52"/>
      <c r="FF48" s="52"/>
      <c r="FG48" s="49"/>
      <c r="FH48" s="49"/>
      <c r="FI48" s="49"/>
      <c r="FJ48" s="49"/>
      <c r="FK48" s="49"/>
      <c r="FL48" s="49">
        <f t="shared" si="100"/>
        <v>0</v>
      </c>
      <c r="FM48" s="180">
        <f t="shared" si="101"/>
        <v>0</v>
      </c>
      <c r="FN48" s="49"/>
      <c r="FO48" s="49"/>
      <c r="FP48" s="49"/>
      <c r="FQ48" s="49"/>
      <c r="FR48" s="49"/>
      <c r="FS48" s="34">
        <f>Y48</f>
        <v>20009550</v>
      </c>
      <c r="FT48" s="34" t="str">
        <f>AA48</f>
        <v>32014539-2</v>
      </c>
      <c r="FU48" s="3"/>
      <c r="FV48" s="3"/>
      <c r="FW48" s="3"/>
      <c r="FX48" s="3"/>
      <c r="FY48" s="3"/>
      <c r="FZ48" s="3"/>
      <c r="GA48" s="3"/>
      <c r="GB48" s="4"/>
      <c r="GC48" s="3"/>
      <c r="GD48" s="182"/>
      <c r="GE48" s="3"/>
      <c r="GF48" s="3"/>
      <c r="GG48" s="3"/>
      <c r="GH48" s="3"/>
      <c r="GI48" s="3"/>
      <c r="GJ48" s="3"/>
      <c r="GK48" s="3"/>
      <c r="GL48" s="3"/>
      <c r="GM48" s="3"/>
      <c r="GN48" s="3"/>
    </row>
    <row r="49" spans="1:196" s="270" customFormat="1" ht="55.5">
      <c r="A49" s="2" t="str">
        <f t="shared" si="102"/>
        <v>FNF Reconcillation Onging</v>
      </c>
      <c r="B49" s="424">
        <v>51</v>
      </c>
      <c r="C49" s="424">
        <v>190</v>
      </c>
      <c r="D49" s="332" t="s">
        <v>208</v>
      </c>
      <c r="E49" s="2" t="str">
        <f t="shared" si="103"/>
        <v>CLOSE POSITION</v>
      </c>
      <c r="F49" s="333">
        <f t="shared" si="104"/>
        <v>32013749</v>
      </c>
      <c r="G49" s="333"/>
      <c r="H49" s="330" t="str">
        <f t="shared" si="105"/>
        <v>SSS INTERNATIONAL AGRO</v>
      </c>
      <c r="I49" s="329" t="s">
        <v>209</v>
      </c>
      <c r="J49" s="330" t="s">
        <v>210</v>
      </c>
      <c r="K49" s="2" t="str">
        <f t="shared" si="106"/>
        <v xml:space="preserve">TUTICORIN, INDIA </v>
      </c>
      <c r="L49" s="330" t="str">
        <f t="shared" si="142"/>
        <v>MEDULG618167</v>
      </c>
      <c r="M49" s="2">
        <f t="shared" si="142"/>
        <v>105.863</v>
      </c>
      <c r="N49" s="22">
        <f t="shared" si="107"/>
        <v>46091</v>
      </c>
      <c r="O49" s="22">
        <f t="shared" si="143"/>
        <v>46143</v>
      </c>
      <c r="P49" s="286" t="str">
        <f t="shared" si="108"/>
        <v>OBL In Destination - INDIA</v>
      </c>
      <c r="Q49" s="330"/>
      <c r="R49" s="330" t="str">
        <f t="shared" si="109"/>
        <v>CERTS in Destination - INDIA</v>
      </c>
      <c r="S49" s="330" t="str">
        <f t="shared" si="110"/>
        <v>Docs in Buyer's Nego Bank</v>
      </c>
      <c r="T49" s="330" t="str">
        <f>IFERROR(_xlfn.XLOOKUP(F49,
'[2]Data 2026'!$H$12:$H$111,
'[2]Data 2026'!$CL$12:$CL$111),"")</f>
        <v/>
      </c>
      <c r="U49" s="329" t="s">
        <v>473</v>
      </c>
      <c r="V49" s="334" t="s">
        <v>212</v>
      </c>
      <c r="W49" s="3"/>
      <c r="X49" s="337">
        <v>46014</v>
      </c>
      <c r="Y49" s="356">
        <v>20009015</v>
      </c>
      <c r="Z49" s="337">
        <v>46017</v>
      </c>
      <c r="AA49" s="332">
        <v>32013749</v>
      </c>
      <c r="AB49" s="332" t="s">
        <v>474</v>
      </c>
      <c r="AC49" s="332" t="s">
        <v>214</v>
      </c>
      <c r="AD49" s="570">
        <v>46096</v>
      </c>
      <c r="AE49" s="425">
        <v>0.1</v>
      </c>
      <c r="AF49" s="363">
        <v>100</v>
      </c>
      <c r="AG49" s="363">
        <f t="shared" si="111"/>
        <v>90</v>
      </c>
      <c r="AH49" s="329" t="s">
        <v>215</v>
      </c>
      <c r="AI49" s="363">
        <v>1610</v>
      </c>
      <c r="AJ49" s="363">
        <v>161000</v>
      </c>
      <c r="AK49" s="329" t="s">
        <v>216</v>
      </c>
      <c r="AL49" s="329" t="s">
        <v>238</v>
      </c>
      <c r="AM49" s="357">
        <v>0.1</v>
      </c>
      <c r="AN49" s="357">
        <v>0.9</v>
      </c>
      <c r="AO49" s="357">
        <v>0</v>
      </c>
      <c r="AP49" s="358" t="s">
        <v>218</v>
      </c>
      <c r="AQ49" s="335" t="s">
        <v>239</v>
      </c>
      <c r="AR49" s="330"/>
      <c r="AS49" s="634"/>
      <c r="AT49" s="329" t="s">
        <v>220</v>
      </c>
      <c r="AU49" s="329" t="s">
        <v>220</v>
      </c>
      <c r="AV49" s="329" t="s">
        <v>220</v>
      </c>
      <c r="AW49" s="351"/>
      <c r="AX49" s="329"/>
      <c r="AY49" s="360"/>
      <c r="AZ49" s="426">
        <f t="shared" si="62"/>
        <v>16100</v>
      </c>
      <c r="BA49" s="335">
        <v>46029</v>
      </c>
      <c r="BB49" s="286">
        <v>46030</v>
      </c>
      <c r="BC49" s="286"/>
      <c r="BD49" s="286"/>
      <c r="BE49" s="286"/>
      <c r="BF49" s="286">
        <v>46030</v>
      </c>
      <c r="BG49" s="335"/>
      <c r="BH49" s="335"/>
      <c r="BI49" s="329" t="s">
        <v>475</v>
      </c>
      <c r="BJ49" s="361">
        <v>105.863</v>
      </c>
      <c r="BK49" s="362" t="s">
        <v>222</v>
      </c>
      <c r="BL49" s="499">
        <v>4</v>
      </c>
      <c r="BM49" s="18">
        <v>46091</v>
      </c>
      <c r="BN49" s="329" t="s">
        <v>476</v>
      </c>
      <c r="BO49" s="18">
        <v>46143</v>
      </c>
      <c r="BP49" s="329" t="s">
        <v>224</v>
      </c>
      <c r="BQ49" s="339" t="s">
        <v>225</v>
      </c>
      <c r="BR49" s="329" t="s">
        <v>226</v>
      </c>
      <c r="BS49" s="329"/>
      <c r="BT49" s="329" t="s">
        <v>227</v>
      </c>
      <c r="BU49" s="329" t="s">
        <v>228</v>
      </c>
      <c r="BV49" s="340">
        <v>90083288</v>
      </c>
      <c r="BW49" s="341"/>
      <c r="BX49" s="362">
        <f t="shared" si="63"/>
        <v>170439.43</v>
      </c>
      <c r="BY49" s="286"/>
      <c r="BZ49" s="286">
        <v>46120</v>
      </c>
      <c r="CA49" s="2">
        <v>6876239156</v>
      </c>
      <c r="CB49" s="286">
        <v>46120</v>
      </c>
      <c r="CC49" s="635">
        <f>$CN$6</f>
        <v>0</v>
      </c>
      <c r="CD49" s="286">
        <v>46125</v>
      </c>
      <c r="CE49" s="286" t="str">
        <f t="shared" si="112"/>
        <v>OBL In Destination - INDIA</v>
      </c>
      <c r="CF49" s="286"/>
      <c r="CG49" s="286"/>
      <c r="CH49" s="286">
        <v>46120</v>
      </c>
      <c r="CI49" s="330">
        <v>4288510505</v>
      </c>
      <c r="CJ49" s="286">
        <v>46120</v>
      </c>
      <c r="CK49" s="330" t="str">
        <f t="shared" si="113"/>
        <v>CERTS in Destination - INDIA</v>
      </c>
      <c r="CL49" s="342" t="s">
        <v>244</v>
      </c>
      <c r="CM49" s="286">
        <v>46120</v>
      </c>
      <c r="CN49" s="343">
        <v>6690620996</v>
      </c>
      <c r="CO49" s="636">
        <v>46125</v>
      </c>
      <c r="CP49" s="343" t="str">
        <f t="shared" si="139"/>
        <v>Docs in Buyer's Nego Bank</v>
      </c>
      <c r="CQ49" s="427">
        <f>(AN49*AI49*BJ49)</f>
        <v>153395.48699999999</v>
      </c>
      <c r="CR49" s="344">
        <v>46154</v>
      </c>
      <c r="CS49" s="330" t="s">
        <v>477</v>
      </c>
      <c r="CT49" s="330">
        <v>105.253</v>
      </c>
      <c r="CU49" s="345">
        <f t="shared" si="114"/>
        <v>0.60999999999999943</v>
      </c>
      <c r="CV49" s="428">
        <f t="shared" si="115"/>
        <v>5.7621643066982746E-3</v>
      </c>
      <c r="CW49" s="345">
        <f t="shared" si="116"/>
        <v>169495.48699999999</v>
      </c>
      <c r="CX49" s="345">
        <f t="shared" si="117"/>
        <v>3408.7885999999999</v>
      </c>
      <c r="CY49" s="346">
        <f t="shared" si="118"/>
        <v>31.568627450980394</v>
      </c>
      <c r="CZ49" s="330">
        <v>50.31</v>
      </c>
      <c r="DA49" s="347">
        <f t="shared" si="119"/>
        <v>0.68999999999999773</v>
      </c>
      <c r="DB49" s="330">
        <v>185</v>
      </c>
      <c r="DC49" s="429">
        <f t="shared" si="120"/>
        <v>-5</v>
      </c>
      <c r="DD49" s="348"/>
      <c r="DE49" s="349">
        <f t="shared" si="121"/>
        <v>0.1</v>
      </c>
      <c r="DF49" s="330">
        <f t="shared" si="122"/>
        <v>982.09999999999911</v>
      </c>
      <c r="DG49" s="345">
        <f t="shared" si="123"/>
        <v>2292.6579941176396</v>
      </c>
      <c r="DH49" s="330">
        <f t="shared" si="124"/>
        <v>0</v>
      </c>
      <c r="DI49" s="429">
        <f t="shared" si="125"/>
        <v>0</v>
      </c>
      <c r="DJ49" s="330">
        <f t="shared" si="140"/>
        <v>0</v>
      </c>
      <c r="DK49" s="346">
        <f t="shared" si="126"/>
        <v>3274.7579941176386</v>
      </c>
      <c r="DL49" s="330"/>
      <c r="DM49" s="330"/>
      <c r="DN49" s="346">
        <f t="shared" si="127"/>
        <v>3274.7579941176386</v>
      </c>
      <c r="DO49" s="345">
        <f t="shared" si="128"/>
        <v>167164.67200588234</v>
      </c>
      <c r="DP49" s="345">
        <f t="shared" si="129"/>
        <v>169495.48699999999</v>
      </c>
      <c r="DQ49" s="637">
        <f t="shared" si="130"/>
        <v>2330.8149941176525</v>
      </c>
      <c r="DR49" s="346" t="str">
        <f t="shared" si="131"/>
        <v/>
      </c>
      <c r="DS49" s="330" t="str">
        <f t="shared" si="132"/>
        <v>VALENCY</v>
      </c>
      <c r="DT49" s="330" t="str">
        <f t="shared" si="133"/>
        <v>CN</v>
      </c>
      <c r="DU49" s="330"/>
      <c r="DV49" s="330"/>
      <c r="DW49" s="330"/>
      <c r="DX49" s="330"/>
      <c r="DY49" s="633" t="s">
        <v>478</v>
      </c>
      <c r="DZ49" s="330"/>
      <c r="EA49" s="330">
        <f t="shared" si="134"/>
        <v>0</v>
      </c>
      <c r="EB49" s="330"/>
      <c r="EC49" s="330"/>
      <c r="ED49" s="330"/>
      <c r="EE49" s="329">
        <v>4900009450</v>
      </c>
      <c r="EF49" s="423"/>
      <c r="EG49" s="329"/>
      <c r="EH49" s="330" t="s">
        <v>231</v>
      </c>
      <c r="EI49" s="329"/>
      <c r="EJ49" s="363">
        <f>BJ49</f>
        <v>105.863</v>
      </c>
      <c r="EK49" s="363">
        <v>2010</v>
      </c>
      <c r="EL49" s="35" t="s">
        <v>220</v>
      </c>
      <c r="EM49" s="350"/>
      <c r="EN49" s="362">
        <f t="shared" si="135"/>
        <v>212784.63</v>
      </c>
      <c r="EO49" s="329"/>
      <c r="EP49" s="329"/>
      <c r="EQ49" s="329"/>
      <c r="ER49" s="329"/>
      <c r="ES49" s="350"/>
      <c r="ET49" s="329"/>
      <c r="EU49" s="329"/>
      <c r="EV49" s="330" t="str">
        <f t="shared" si="136"/>
        <v>Final Pmt Recd</v>
      </c>
      <c r="EW49" s="362"/>
      <c r="EX49" s="362">
        <f t="shared" si="137"/>
        <v>0</v>
      </c>
      <c r="EY49" s="362" t="s">
        <v>233</v>
      </c>
      <c r="EZ49" s="337"/>
      <c r="FA49" s="330"/>
      <c r="FB49" s="337"/>
      <c r="FC49" s="430"/>
      <c r="FD49" s="362">
        <f t="shared" si="138"/>
        <v>0</v>
      </c>
      <c r="FE49" s="353"/>
      <c r="FF49" s="353"/>
      <c r="FG49" s="354"/>
      <c r="FH49" s="354"/>
      <c r="FI49" s="354"/>
      <c r="FJ49" s="354"/>
      <c r="FK49" s="354"/>
      <c r="FL49" s="354">
        <f t="shared" si="100"/>
        <v>0</v>
      </c>
      <c r="FM49" s="355">
        <f t="shared" si="101"/>
        <v>46091</v>
      </c>
      <c r="FN49" s="354"/>
      <c r="FO49" s="354"/>
      <c r="FP49" s="354"/>
      <c r="FQ49" s="354"/>
      <c r="FR49" s="354"/>
      <c r="FS49" s="352">
        <v>20009015</v>
      </c>
      <c r="FT49" s="329">
        <v>32013749</v>
      </c>
      <c r="FU49" s="329">
        <v>0</v>
      </c>
      <c r="FV49" s="329"/>
      <c r="FW49" s="329"/>
      <c r="FX49" s="329"/>
      <c r="FY49" s="329"/>
      <c r="FZ49" s="329"/>
      <c r="GA49" s="329"/>
      <c r="GB49" s="329"/>
      <c r="GC49" s="329"/>
      <c r="GD49" s="329">
        <v>90083288</v>
      </c>
      <c r="GE49" s="329"/>
      <c r="GF49" s="329" t="s">
        <v>235</v>
      </c>
      <c r="GG49" s="329"/>
      <c r="GH49" s="329"/>
      <c r="GI49" s="329"/>
      <c r="GJ49" s="329"/>
      <c r="GK49" s="329"/>
      <c r="GL49" s="329"/>
      <c r="GM49" s="329"/>
      <c r="GN49" s="363"/>
    </row>
    <row r="50" spans="1:196" s="1" customFormat="1" ht="84.95">
      <c r="A50" s="2" t="str">
        <f t="shared" si="102"/>
        <v>Exp Dox Presented to Bank, Pmt Pending</v>
      </c>
      <c r="B50" s="281">
        <v>50</v>
      </c>
      <c r="C50" s="281">
        <v>185</v>
      </c>
      <c r="D50" s="182" t="s">
        <v>208</v>
      </c>
      <c r="E50" s="2" t="str">
        <f t="shared" si="103"/>
        <v>CLOSE POSITION</v>
      </c>
      <c r="F50" s="271" t="str">
        <f t="shared" si="104"/>
        <v>32014448-4</v>
      </c>
      <c r="G50" s="271"/>
      <c r="H50" s="2" t="str">
        <f t="shared" si="105"/>
        <v>Valency Agro (Processing)</v>
      </c>
      <c r="I50" s="3" t="s">
        <v>209</v>
      </c>
      <c r="J50" s="2" t="s">
        <v>210</v>
      </c>
      <c r="K50" s="2" t="str">
        <f t="shared" si="106"/>
        <v>MANGALORE INDIA</v>
      </c>
      <c r="L50" s="2" t="str">
        <f t="shared" si="142"/>
        <v>MEDULG628075</v>
      </c>
      <c r="M50" s="2">
        <f t="shared" si="142"/>
        <v>79.191999999999993</v>
      </c>
      <c r="N50" s="22">
        <f t="shared" si="107"/>
        <v>46106</v>
      </c>
      <c r="O50" s="22">
        <f t="shared" si="143"/>
        <v>46162</v>
      </c>
      <c r="P50" s="22" t="str">
        <f t="shared" si="108"/>
        <v>OBL In Destination - INDIA</v>
      </c>
      <c r="Q50" s="2"/>
      <c r="R50" s="2" t="str">
        <f t="shared" si="109"/>
        <v>CERTS in Destination - INDIA</v>
      </c>
      <c r="S50" s="2" t="str">
        <f t="shared" si="110"/>
        <v>Docs in Buyer's Nego Bank</v>
      </c>
      <c r="T50" s="2" t="str">
        <f>IFERROR(_xlfn.XLOOKUP(F50,
'[2]Data 2026'!$H$12:$H$111,
'[2]Data 2026'!$CL$12:$CL$111),"")</f>
        <v/>
      </c>
      <c r="U50" s="3" t="s">
        <v>466</v>
      </c>
      <c r="V50" s="272"/>
      <c r="W50" s="3" t="s">
        <v>467</v>
      </c>
      <c r="X50" s="24">
        <v>46066</v>
      </c>
      <c r="Y50" s="273">
        <v>20009485</v>
      </c>
      <c r="Z50" s="24">
        <v>46066</v>
      </c>
      <c r="AA50" s="182" t="s">
        <v>479</v>
      </c>
      <c r="AB50" s="182" t="s">
        <v>247</v>
      </c>
      <c r="AC50" s="203">
        <v>46082</v>
      </c>
      <c r="AD50" s="203">
        <v>46112</v>
      </c>
      <c r="AE50" s="30">
        <v>0.1</v>
      </c>
      <c r="AF50" s="277">
        <f>BJ50</f>
        <v>79.191999999999993</v>
      </c>
      <c r="AG50" s="35">
        <f t="shared" si="111"/>
        <v>71.272799999999989</v>
      </c>
      <c r="AH50" s="3" t="s">
        <v>215</v>
      </c>
      <c r="AI50" s="4">
        <v>1683</v>
      </c>
      <c r="AJ50" s="4">
        <v>1700000</v>
      </c>
      <c r="AK50" s="3" t="s">
        <v>249</v>
      </c>
      <c r="AL50" s="3" t="s">
        <v>217</v>
      </c>
      <c r="AM50" s="30">
        <v>0</v>
      </c>
      <c r="AN50" s="183">
        <v>1</v>
      </c>
      <c r="AO50" s="183">
        <v>0</v>
      </c>
      <c r="AP50" s="28" t="s">
        <v>218</v>
      </c>
      <c r="AQ50" s="18" t="s">
        <v>250</v>
      </c>
      <c r="AR50" s="18" t="s">
        <v>251</v>
      </c>
      <c r="AS50" s="27"/>
      <c r="AT50" s="3" t="s">
        <v>220</v>
      </c>
      <c r="AU50" s="3" t="s">
        <v>220</v>
      </c>
      <c r="AV50" s="3" t="s">
        <v>220</v>
      </c>
      <c r="AW50" s="9"/>
      <c r="AX50" s="3"/>
      <c r="AY50" s="47"/>
      <c r="AZ50" s="275">
        <f t="shared" si="62"/>
        <v>0</v>
      </c>
      <c r="BA50" s="18">
        <v>46069</v>
      </c>
      <c r="BB50" s="22">
        <v>46073</v>
      </c>
      <c r="BC50" s="22"/>
      <c r="BD50" s="22"/>
      <c r="BE50" s="22"/>
      <c r="BF50" s="22">
        <v>46073</v>
      </c>
      <c r="BG50" s="18"/>
      <c r="BH50" s="18"/>
      <c r="BI50" s="420" t="s">
        <v>480</v>
      </c>
      <c r="BJ50" s="25">
        <v>79.191999999999993</v>
      </c>
      <c r="BK50" s="46" t="s">
        <v>222</v>
      </c>
      <c r="BL50" s="497">
        <v>3</v>
      </c>
      <c r="BM50" s="18">
        <v>46106</v>
      </c>
      <c r="BN50" s="4" t="s">
        <v>481</v>
      </c>
      <c r="BO50" s="18">
        <v>46162</v>
      </c>
      <c r="BP50" s="3" t="s">
        <v>278</v>
      </c>
      <c r="BQ50" s="21" t="s">
        <v>363</v>
      </c>
      <c r="BR50" s="2" t="s">
        <v>226</v>
      </c>
      <c r="BS50" s="2" t="s">
        <v>306</v>
      </c>
      <c r="BT50" s="2"/>
      <c r="BU50" s="2"/>
      <c r="BV50" s="20">
        <v>90084575</v>
      </c>
      <c r="BW50" s="19"/>
      <c r="BX50" s="46">
        <f t="shared" si="63"/>
        <v>133280.136</v>
      </c>
      <c r="BY50" s="22"/>
      <c r="BZ50" s="22">
        <v>46127</v>
      </c>
      <c r="CA50" s="2">
        <v>9763609273</v>
      </c>
      <c r="CB50" s="22">
        <v>46132</v>
      </c>
      <c r="CC50" s="22"/>
      <c r="CD50" s="22"/>
      <c r="CE50" s="22" t="str">
        <f t="shared" si="112"/>
        <v>OBL In Destination - INDIA</v>
      </c>
      <c r="CF50" s="22"/>
      <c r="CG50" s="22"/>
      <c r="CH50" s="22">
        <v>46134</v>
      </c>
      <c r="CI50" s="182">
        <v>9882466941</v>
      </c>
      <c r="CJ50" s="52">
        <v>46140</v>
      </c>
      <c r="CK50" s="2" t="str">
        <f t="shared" si="113"/>
        <v>CERTS in Destination - INDIA</v>
      </c>
      <c r="CL50" s="48" t="s">
        <v>229</v>
      </c>
      <c r="CM50" s="22">
        <v>46139</v>
      </c>
      <c r="CN50" s="55">
        <v>8585994476</v>
      </c>
      <c r="CO50" s="54">
        <v>46147</v>
      </c>
      <c r="CP50" s="55" t="str">
        <f t="shared" si="139"/>
        <v>Docs in Buyer's Nego Bank</v>
      </c>
      <c r="CQ50" s="50">
        <f t="shared" ref="CQ50:CQ58" si="144">(AN50*AI50*BJ50)-AZ50</f>
        <v>133280.136</v>
      </c>
      <c r="CR50" s="54"/>
      <c r="CS50" s="2"/>
      <c r="CT50" s="2"/>
      <c r="CU50" s="14" t="str">
        <f t="shared" si="114"/>
        <v/>
      </c>
      <c r="CV50" s="42" t="str">
        <f t="shared" si="115"/>
        <v/>
      </c>
      <c r="CW50" s="14" t="str">
        <f t="shared" si="116"/>
        <v/>
      </c>
      <c r="CX50" s="14" t="str">
        <f t="shared" si="117"/>
        <v/>
      </c>
      <c r="CY50" s="15" t="str">
        <f t="shared" si="118"/>
        <v/>
      </c>
      <c r="CZ50" s="2"/>
      <c r="DA50" s="41" t="str">
        <f t="shared" si="119"/>
        <v/>
      </c>
      <c r="DB50" s="2"/>
      <c r="DC50" s="39" t="str">
        <f t="shared" si="120"/>
        <v/>
      </c>
      <c r="DD50" s="40"/>
      <c r="DE50" s="16" t="str">
        <f t="shared" si="121"/>
        <v/>
      </c>
      <c r="DF50" s="2" t="str">
        <f t="shared" si="122"/>
        <v/>
      </c>
      <c r="DG50" s="14" t="str">
        <f t="shared" si="123"/>
        <v/>
      </c>
      <c r="DH50" s="2" t="str">
        <f t="shared" si="124"/>
        <v/>
      </c>
      <c r="DI50" s="39" t="str">
        <f t="shared" si="125"/>
        <v/>
      </c>
      <c r="DJ50" s="2" t="str">
        <f t="shared" si="140"/>
        <v/>
      </c>
      <c r="DK50" s="15" t="str">
        <f t="shared" si="126"/>
        <v/>
      </c>
      <c r="DL50" s="2"/>
      <c r="DM50" s="2"/>
      <c r="DN50" s="15" t="str">
        <f t="shared" si="127"/>
        <v/>
      </c>
      <c r="DO50" s="14" t="str">
        <f t="shared" si="128"/>
        <v/>
      </c>
      <c r="DP50" s="14" t="str">
        <f t="shared" si="129"/>
        <v/>
      </c>
      <c r="DQ50" s="15" t="str">
        <f t="shared" si="130"/>
        <v/>
      </c>
      <c r="DR50" s="15" t="str">
        <f t="shared" si="131"/>
        <v/>
      </c>
      <c r="DS50" s="2" t="str">
        <f t="shared" si="132"/>
        <v/>
      </c>
      <c r="DT50" s="2" t="str">
        <f t="shared" si="133"/>
        <v/>
      </c>
      <c r="DU50" s="2"/>
      <c r="DV50" s="2"/>
      <c r="DW50" s="2"/>
      <c r="DX50" s="2"/>
      <c r="DY50" s="2" t="s">
        <v>230</v>
      </c>
      <c r="DZ50" s="2"/>
      <c r="EA50" s="2" t="str">
        <f t="shared" si="134"/>
        <v/>
      </c>
      <c r="EB50" s="2"/>
      <c r="EC50" s="2"/>
      <c r="ED50" s="2"/>
      <c r="EE50" s="3">
        <v>4900009113</v>
      </c>
      <c r="EF50" s="7"/>
      <c r="EG50" s="3"/>
      <c r="EH50" s="3" t="s">
        <v>307</v>
      </c>
      <c r="EI50" s="3" t="s">
        <v>258</v>
      </c>
      <c r="EJ50" s="189">
        <f>BJ50</f>
        <v>79.191999999999993</v>
      </c>
      <c r="EK50" s="4">
        <v>1600</v>
      </c>
      <c r="EL50" s="4"/>
      <c r="EM50" s="9"/>
      <c r="EN50" s="46">
        <f t="shared" si="135"/>
        <v>126707.19999999998</v>
      </c>
      <c r="EO50" s="9" t="s">
        <v>232</v>
      </c>
      <c r="EP50" s="8"/>
      <c r="EQ50" s="4"/>
      <c r="ER50" s="4">
        <v>124173.06</v>
      </c>
      <c r="ES50" s="7"/>
      <c r="ET50" s="7"/>
      <c r="EU50" s="6"/>
      <c r="EV50" s="2" t="str">
        <f t="shared" si="136"/>
        <v>Export Loan</v>
      </c>
      <c r="EW50" s="46"/>
      <c r="EX50" s="46">
        <f t="shared" si="137"/>
        <v>0</v>
      </c>
      <c r="EY50" s="46" t="s">
        <v>233</v>
      </c>
      <c r="EZ50" s="24"/>
      <c r="FA50" s="2"/>
      <c r="FB50" s="24"/>
      <c r="FC50" s="53"/>
      <c r="FD50" s="46">
        <f t="shared" si="138"/>
        <v>0</v>
      </c>
      <c r="FE50" s="52"/>
      <c r="FF50" s="52"/>
      <c r="FG50" s="49"/>
      <c r="FH50" s="49"/>
      <c r="FI50" s="49"/>
      <c r="FJ50" s="49"/>
      <c r="FK50" s="49"/>
      <c r="FL50" s="49">
        <f t="shared" si="100"/>
        <v>0</v>
      </c>
      <c r="FM50" s="180">
        <f t="shared" si="101"/>
        <v>46106</v>
      </c>
      <c r="FN50" s="49"/>
      <c r="FO50" s="49"/>
      <c r="FP50" s="49"/>
      <c r="FQ50" s="49"/>
      <c r="FR50" s="49"/>
      <c r="FS50" s="34">
        <f t="shared" ref="FS50:FS58" si="145">Y50</f>
        <v>20009485</v>
      </c>
      <c r="FT50" s="34" t="str">
        <f t="shared" ref="FT50:FT58" si="146">AA50</f>
        <v>32014448-4</v>
      </c>
      <c r="FU50" s="3"/>
      <c r="FV50" s="3"/>
      <c r="FW50" s="3"/>
      <c r="FX50" s="3"/>
      <c r="FY50" s="3"/>
      <c r="FZ50" s="3"/>
      <c r="GA50" s="3"/>
      <c r="GB50" s="4"/>
      <c r="GC50" s="3"/>
      <c r="GD50" s="182"/>
      <c r="GE50" s="2"/>
      <c r="GF50" s="2"/>
      <c r="GG50" s="2"/>
      <c r="GH50" s="2"/>
      <c r="GI50" s="2"/>
      <c r="GJ50" s="2"/>
      <c r="GK50" s="2"/>
      <c r="GL50" s="2"/>
      <c r="GM50" s="2"/>
      <c r="GN50" s="2"/>
    </row>
    <row r="51" spans="1:196" s="1" customFormat="1" ht="68.099999999999994">
      <c r="A51" s="2" t="str">
        <f t="shared" si="102"/>
        <v>SI Sent, Shipment Awaited</v>
      </c>
      <c r="B51" s="282">
        <v>47</v>
      </c>
      <c r="C51" s="282">
        <v>205</v>
      </c>
      <c r="D51" s="182" t="s">
        <v>208</v>
      </c>
      <c r="E51" s="2" t="str">
        <f t="shared" si="103"/>
        <v>SHORT POSITION</v>
      </c>
      <c r="F51" s="646">
        <f t="shared" si="104"/>
        <v>32016284</v>
      </c>
      <c r="G51" s="271"/>
      <c r="H51" s="2" t="str">
        <f t="shared" si="105"/>
        <v>VIET AGRO PTE LTD</v>
      </c>
      <c r="I51" s="3" t="s">
        <v>291</v>
      </c>
      <c r="J51" s="2" t="s">
        <v>347</v>
      </c>
      <c r="K51" s="2" t="str">
        <f t="shared" si="106"/>
        <v>HCMC, VIETNAM</v>
      </c>
      <c r="L51" s="2" t="str">
        <f t="shared" si="142"/>
        <v/>
      </c>
      <c r="M51" s="2" t="str">
        <f t="shared" si="142"/>
        <v/>
      </c>
      <c r="N51" s="22" t="str">
        <f t="shared" si="107"/>
        <v/>
      </c>
      <c r="O51" s="22" t="str">
        <f t="shared" si="143"/>
        <v/>
      </c>
      <c r="P51" s="22" t="str">
        <f t="shared" si="108"/>
        <v>No OBL Yet</v>
      </c>
      <c r="Q51" s="2"/>
      <c r="R51" s="2" t="str">
        <f t="shared" si="109"/>
        <v>No CERTS Yet</v>
      </c>
      <c r="S51" s="2" t="str">
        <f t="shared" si="110"/>
        <v/>
      </c>
      <c r="T51" s="615" t="s">
        <v>482</v>
      </c>
      <c r="U51" s="279" t="s">
        <v>483</v>
      </c>
      <c r="V51" s="272" t="s">
        <v>399</v>
      </c>
      <c r="W51" s="619" t="s">
        <v>484</v>
      </c>
      <c r="X51" s="24">
        <v>46112</v>
      </c>
      <c r="Y51" s="273">
        <v>20010091</v>
      </c>
      <c r="Z51" s="24">
        <v>46112</v>
      </c>
      <c r="AA51" s="182">
        <v>32016284</v>
      </c>
      <c r="AB51" s="182" t="s">
        <v>485</v>
      </c>
      <c r="AC51" s="182" t="s">
        <v>263</v>
      </c>
      <c r="AD51" s="181">
        <v>46142</v>
      </c>
      <c r="AE51" s="30">
        <v>0.1</v>
      </c>
      <c r="AF51" s="277">
        <v>200</v>
      </c>
      <c r="AG51" s="4">
        <f t="shared" si="111"/>
        <v>180</v>
      </c>
      <c r="AH51" s="3" t="s">
        <v>215</v>
      </c>
      <c r="AI51" s="4">
        <v>1520</v>
      </c>
      <c r="AJ51" s="4">
        <f>AI51*AF51</f>
        <v>304000</v>
      </c>
      <c r="AK51" s="3" t="s">
        <v>249</v>
      </c>
      <c r="AL51" s="3" t="s">
        <v>404</v>
      </c>
      <c r="AM51" s="183">
        <v>0.1</v>
      </c>
      <c r="AN51" s="183">
        <v>0.88</v>
      </c>
      <c r="AO51" s="183">
        <v>0.02</v>
      </c>
      <c r="AP51" s="28" t="s">
        <v>218</v>
      </c>
      <c r="AQ51" s="3" t="s">
        <v>405</v>
      </c>
      <c r="AR51" s="18"/>
      <c r="AS51" s="27"/>
      <c r="AT51" s="3" t="s">
        <v>220</v>
      </c>
      <c r="AU51" s="3" t="s">
        <v>220</v>
      </c>
      <c r="AV51" s="3" t="s">
        <v>220</v>
      </c>
      <c r="AW51" s="9"/>
      <c r="AX51" s="3"/>
      <c r="AY51" s="47">
        <v>46129</v>
      </c>
      <c r="AZ51" s="278">
        <f t="shared" si="62"/>
        <v>30400</v>
      </c>
      <c r="BA51" s="18">
        <v>46134</v>
      </c>
      <c r="BB51" s="22">
        <v>46116</v>
      </c>
      <c r="BC51" s="22"/>
      <c r="BD51" s="22"/>
      <c r="BE51" s="22"/>
      <c r="BF51" s="22"/>
      <c r="BG51" s="18"/>
      <c r="BH51" s="18"/>
      <c r="BI51" s="3"/>
      <c r="BJ51" s="25"/>
      <c r="BK51" s="189" t="s">
        <v>222</v>
      </c>
      <c r="BL51" s="497"/>
      <c r="BM51" s="18"/>
      <c r="BN51" s="4"/>
      <c r="BO51" s="18"/>
      <c r="BP51" s="3" t="s">
        <v>400</v>
      </c>
      <c r="BQ51" s="21" t="s">
        <v>409</v>
      </c>
      <c r="BR51" s="2"/>
      <c r="BS51" s="2"/>
      <c r="BT51" s="2"/>
      <c r="BU51" s="2"/>
      <c r="BV51" s="20"/>
      <c r="BW51" s="19"/>
      <c r="BX51" s="189">
        <f t="shared" si="63"/>
        <v>0</v>
      </c>
      <c r="BY51" s="22"/>
      <c r="BZ51" s="22"/>
      <c r="CA51" s="22"/>
      <c r="CB51" s="22"/>
      <c r="CC51" s="22"/>
      <c r="CD51" s="22"/>
      <c r="CE51" s="22" t="str">
        <f t="shared" si="112"/>
        <v>No OBL Yet</v>
      </c>
      <c r="CF51" s="22"/>
      <c r="CG51" s="22"/>
      <c r="CH51" s="182"/>
      <c r="CI51" s="182"/>
      <c r="CJ51" s="182"/>
      <c r="CK51" s="2" t="str">
        <f t="shared" si="113"/>
        <v>No CERTS Yet</v>
      </c>
      <c r="CL51" s="48"/>
      <c r="CM51" s="22"/>
      <c r="CN51" s="55"/>
      <c r="CO51" s="55"/>
      <c r="CP51" s="55" t="str">
        <f>IF(CO51&lt;&gt;0,"Docs in Buyer's Bank",IF(CN51&lt;&gt;0,"Docs in Transit to Buyer's Bank",IF(CM51&lt;&gt;0,"Docs in Our Bank",IF(CL51="TT PAYMENT","Not Applicable",""))))</f>
        <v/>
      </c>
      <c r="CQ51" s="190">
        <f t="shared" si="144"/>
        <v>-30400</v>
      </c>
      <c r="CR51" s="54"/>
      <c r="CS51" s="2"/>
      <c r="CT51" s="2"/>
      <c r="CU51" s="14" t="str">
        <f t="shared" si="114"/>
        <v/>
      </c>
      <c r="CV51" s="191" t="str">
        <f t="shared" si="115"/>
        <v/>
      </c>
      <c r="CW51" s="14" t="str">
        <f t="shared" si="116"/>
        <v/>
      </c>
      <c r="CX51" s="14" t="str">
        <f t="shared" si="117"/>
        <v/>
      </c>
      <c r="CY51" s="15" t="str">
        <f t="shared" si="118"/>
        <v/>
      </c>
      <c r="CZ51" s="2"/>
      <c r="DA51" s="41" t="str">
        <f t="shared" si="119"/>
        <v/>
      </c>
      <c r="DB51" s="2"/>
      <c r="DC51" s="192" t="str">
        <f t="shared" si="120"/>
        <v/>
      </c>
      <c r="DD51" s="40"/>
      <c r="DE51" s="16" t="str">
        <f t="shared" si="121"/>
        <v/>
      </c>
      <c r="DF51" s="2" t="str">
        <f t="shared" si="122"/>
        <v/>
      </c>
      <c r="DG51" s="14" t="str">
        <f t="shared" si="123"/>
        <v/>
      </c>
      <c r="DH51" s="2" t="str">
        <f t="shared" si="124"/>
        <v/>
      </c>
      <c r="DI51" s="192" t="str">
        <f t="shared" si="125"/>
        <v/>
      </c>
      <c r="DJ51" s="2" t="str">
        <f>IF(CS51="","",IF(DE51&lt;0,DE51*CT51*AI51*10%,0))</f>
        <v/>
      </c>
      <c r="DK51" s="15" t="str">
        <f t="shared" si="126"/>
        <v/>
      </c>
      <c r="DL51" s="2"/>
      <c r="DM51" s="2"/>
      <c r="DN51" s="15" t="str">
        <f t="shared" si="127"/>
        <v/>
      </c>
      <c r="DO51" s="14" t="str">
        <f t="shared" si="128"/>
        <v/>
      </c>
      <c r="DP51" s="14" t="str">
        <f t="shared" si="129"/>
        <v/>
      </c>
      <c r="DQ51" s="15" t="str">
        <f t="shared" si="130"/>
        <v/>
      </c>
      <c r="DR51" s="15" t="str">
        <f t="shared" si="131"/>
        <v/>
      </c>
      <c r="DS51" s="2" t="str">
        <f t="shared" si="132"/>
        <v/>
      </c>
      <c r="DT51" s="2" t="str">
        <f t="shared" si="133"/>
        <v/>
      </c>
      <c r="DU51" s="2"/>
      <c r="DV51" s="2"/>
      <c r="DW51" s="2"/>
      <c r="DX51" s="2"/>
      <c r="DY51" s="2" t="s">
        <v>230</v>
      </c>
      <c r="DZ51" s="2"/>
      <c r="EA51" s="2" t="str">
        <f t="shared" si="134"/>
        <v/>
      </c>
      <c r="EB51" s="2"/>
      <c r="EC51" s="2"/>
      <c r="ED51" s="2"/>
      <c r="EE51" s="3"/>
      <c r="EF51" s="7"/>
      <c r="EG51" s="3"/>
      <c r="EH51" s="3" t="s">
        <v>302</v>
      </c>
      <c r="EI51" s="3"/>
      <c r="EJ51" s="189"/>
      <c r="EK51" s="4"/>
      <c r="EL51" s="9"/>
      <c r="EM51" s="9"/>
      <c r="EN51" s="189">
        <f t="shared" si="135"/>
        <v>0</v>
      </c>
      <c r="EO51" s="9"/>
      <c r="EP51" s="8"/>
      <c r="EQ51" s="4"/>
      <c r="ER51" s="4"/>
      <c r="ES51" s="7"/>
      <c r="ET51" s="7"/>
      <c r="EU51" s="6"/>
      <c r="EV51" s="2" t="str">
        <f t="shared" si="136"/>
        <v>Yet to load</v>
      </c>
      <c r="EW51" s="189"/>
      <c r="EX51" s="189" t="e">
        <f t="shared" si="137"/>
        <v>#DIV/0!</v>
      </c>
      <c r="EY51" s="189" t="s">
        <v>233</v>
      </c>
      <c r="EZ51" s="24"/>
      <c r="FA51" s="2"/>
      <c r="FB51" s="24"/>
      <c r="FC51" s="193"/>
      <c r="FD51" s="189">
        <f t="shared" si="138"/>
        <v>0</v>
      </c>
      <c r="FE51" s="52"/>
      <c r="FF51" s="52"/>
      <c r="FG51" s="49"/>
      <c r="FH51" s="49"/>
      <c r="FI51" s="49"/>
      <c r="FJ51" s="49"/>
      <c r="FK51" s="49"/>
      <c r="FL51" s="49">
        <f t="shared" si="100"/>
        <v>0</v>
      </c>
      <c r="FM51" s="180">
        <f t="shared" si="101"/>
        <v>0</v>
      </c>
      <c r="FN51" s="49"/>
      <c r="FO51" s="49"/>
      <c r="FP51" s="49"/>
      <c r="FQ51" s="49"/>
      <c r="FR51" s="49"/>
      <c r="FS51" s="34">
        <f t="shared" si="145"/>
        <v>20010091</v>
      </c>
      <c r="FT51" s="34">
        <f t="shared" si="146"/>
        <v>32016284</v>
      </c>
      <c r="FU51" s="3"/>
      <c r="FV51" s="3"/>
      <c r="FW51" s="3"/>
      <c r="FX51" s="3"/>
      <c r="FY51" s="3"/>
      <c r="FZ51" s="3"/>
      <c r="GA51" s="3"/>
      <c r="GB51" s="4"/>
      <c r="GC51" s="3"/>
      <c r="GD51" s="182"/>
      <c r="GE51" s="2"/>
      <c r="GF51" s="2"/>
      <c r="GG51" s="2"/>
      <c r="GH51" s="2"/>
      <c r="GI51" s="2"/>
      <c r="GJ51" s="2"/>
      <c r="GK51" s="2"/>
      <c r="GL51" s="2"/>
      <c r="GM51" s="2"/>
      <c r="GN51" s="2"/>
    </row>
    <row r="52" spans="1:196" s="1" customFormat="1" ht="36.950000000000003">
      <c r="A52" s="330" t="str">
        <f t="shared" si="102"/>
        <v>Sailed, OBL &amp; Certs Pending</v>
      </c>
      <c r="B52" s="282">
        <v>46</v>
      </c>
      <c r="C52" s="282">
        <v>200</v>
      </c>
      <c r="D52" s="182" t="s">
        <v>208</v>
      </c>
      <c r="E52" s="2" t="str">
        <f t="shared" si="103"/>
        <v>CLOSE POSITION</v>
      </c>
      <c r="F52" s="333" t="str">
        <f t="shared" si="104"/>
        <v>32016289-4</v>
      </c>
      <c r="G52" s="333"/>
      <c r="H52" s="330" t="str">
        <f t="shared" si="105"/>
        <v xml:space="preserve">VIET PHI AGRICULTURE JOINT 
STOCK COMPANY </v>
      </c>
      <c r="I52" s="329" t="s">
        <v>259</v>
      </c>
      <c r="J52" s="330" t="s">
        <v>347</v>
      </c>
      <c r="K52" s="330" t="str">
        <f t="shared" si="106"/>
        <v>HCMC, VIETNAM</v>
      </c>
      <c r="L52" s="330" t="str">
        <f t="shared" si="142"/>
        <v>HLCUAB1260400774</v>
      </c>
      <c r="M52" s="330">
        <f t="shared" si="142"/>
        <v>247.10499999999999</v>
      </c>
      <c r="N52" s="286">
        <f t="shared" si="107"/>
        <v>46163</v>
      </c>
      <c r="O52" s="286">
        <f t="shared" si="143"/>
        <v>46208</v>
      </c>
      <c r="P52" s="286" t="str">
        <f t="shared" si="108"/>
        <v>No OBL Yet</v>
      </c>
      <c r="Q52" s="2" t="s">
        <v>486</v>
      </c>
      <c r="R52" s="330" t="str">
        <f t="shared" si="109"/>
        <v>No CERTS Yet</v>
      </c>
      <c r="S52" s="2" t="str">
        <f t="shared" si="110"/>
        <v/>
      </c>
      <c r="T52" s="330" t="s">
        <v>428</v>
      </c>
      <c r="U52" s="329" t="s">
        <v>437</v>
      </c>
      <c r="V52" s="334"/>
      <c r="W52" s="3" t="s">
        <v>430</v>
      </c>
      <c r="X52" s="337">
        <v>46126</v>
      </c>
      <c r="Y52" s="356">
        <v>20010094</v>
      </c>
      <c r="Z52" s="337">
        <v>46126</v>
      </c>
      <c r="AA52" s="332" t="s">
        <v>487</v>
      </c>
      <c r="AB52" s="334" t="s">
        <v>432</v>
      </c>
      <c r="AC52" s="484">
        <v>46168</v>
      </c>
      <c r="AD52" s="484">
        <v>46173</v>
      </c>
      <c r="AE52" s="485">
        <v>0.05</v>
      </c>
      <c r="AF52" s="512">
        <v>250</v>
      </c>
      <c r="AG52" s="338">
        <f t="shared" si="111"/>
        <v>237.5</v>
      </c>
      <c r="AH52" s="329" t="s">
        <v>215</v>
      </c>
      <c r="AI52" s="338">
        <v>1520</v>
      </c>
      <c r="AJ52" s="338">
        <f>AI52*AF52</f>
        <v>380000</v>
      </c>
      <c r="AK52" s="329" t="s">
        <v>216</v>
      </c>
      <c r="AL52" s="329" t="s">
        <v>238</v>
      </c>
      <c r="AM52" s="357">
        <v>0.1</v>
      </c>
      <c r="AN52" s="357">
        <v>0.88</v>
      </c>
      <c r="AO52" s="357">
        <v>0.02</v>
      </c>
      <c r="AP52" s="358" t="s">
        <v>218</v>
      </c>
      <c r="AQ52" s="329" t="s">
        <v>354</v>
      </c>
      <c r="AR52" s="335" t="s">
        <v>251</v>
      </c>
      <c r="AS52" s="359"/>
      <c r="AT52" s="329" t="s">
        <v>220</v>
      </c>
      <c r="AU52" s="329" t="s">
        <v>220</v>
      </c>
      <c r="AV52" s="329" t="s">
        <v>220</v>
      </c>
      <c r="AW52" s="351"/>
      <c r="AX52" s="329"/>
      <c r="AY52" s="360">
        <v>46129</v>
      </c>
      <c r="AZ52" s="486">
        <f t="shared" si="62"/>
        <v>38000</v>
      </c>
      <c r="BA52" s="335">
        <v>46135</v>
      </c>
      <c r="BB52" s="286">
        <v>46129</v>
      </c>
      <c r="BC52" s="286"/>
      <c r="BD52" s="286"/>
      <c r="BE52" s="286"/>
      <c r="BF52" s="286"/>
      <c r="BG52" s="335"/>
      <c r="BH52" s="335"/>
      <c r="BI52" s="329" t="s">
        <v>488</v>
      </c>
      <c r="BJ52" s="487">
        <v>247.10499999999999</v>
      </c>
      <c r="BK52" s="336" t="s">
        <v>222</v>
      </c>
      <c r="BL52" s="501">
        <v>10</v>
      </c>
      <c r="BM52" s="335">
        <v>46163</v>
      </c>
      <c r="BN52" s="330"/>
      <c r="BO52" s="335">
        <v>46208</v>
      </c>
      <c r="BP52" s="329" t="s">
        <v>259</v>
      </c>
      <c r="BQ52" s="339" t="s">
        <v>409</v>
      </c>
      <c r="BR52" s="330" t="s">
        <v>434</v>
      </c>
      <c r="BS52" s="340"/>
      <c r="BT52" s="341" t="s">
        <v>435</v>
      </c>
      <c r="BU52" s="336"/>
      <c r="BV52" s="340"/>
      <c r="BW52" s="341"/>
      <c r="BX52" s="336">
        <f t="shared" si="63"/>
        <v>375599.6</v>
      </c>
      <c r="BY52" s="286"/>
      <c r="BZ52" s="286"/>
      <c r="CA52" s="286"/>
      <c r="CB52" s="286"/>
      <c r="CC52" s="286"/>
      <c r="CD52" s="286"/>
      <c r="CE52" s="286" t="str">
        <f t="shared" si="112"/>
        <v>No OBL Yet</v>
      </c>
      <c r="CF52" s="286"/>
      <c r="CG52" s="286"/>
      <c r="CH52" s="332"/>
      <c r="CI52" s="332"/>
      <c r="CJ52" s="332"/>
      <c r="CK52" s="330" t="str">
        <f t="shared" si="113"/>
        <v>No CERTS Yet</v>
      </c>
      <c r="CL52" s="342"/>
      <c r="CM52" s="286"/>
      <c r="CN52" s="343"/>
      <c r="CO52" s="343"/>
      <c r="CP52" s="343" t="str">
        <f>IF(CO52&lt;&gt;0,"Docs in Buyer's Bank",IF(CN52&lt;&gt;0,"Docs in Transit to Buyer's Bank",IF(CM52&lt;&gt;0,"Docs in Our Bank",IF(CL52="TT PAYMENT","Not Applicable",""))))</f>
        <v/>
      </c>
      <c r="CQ52" s="488">
        <f t="shared" si="144"/>
        <v>292527.64799999999</v>
      </c>
      <c r="CR52" s="344"/>
      <c r="CS52" s="330"/>
      <c r="CT52" s="330"/>
      <c r="CU52" s="345" t="str">
        <f t="shared" si="114"/>
        <v/>
      </c>
      <c r="CV52" s="489" t="str">
        <f t="shared" si="115"/>
        <v/>
      </c>
      <c r="CW52" s="345" t="str">
        <f t="shared" si="116"/>
        <v/>
      </c>
      <c r="CX52" s="345" t="str">
        <f t="shared" si="117"/>
        <v/>
      </c>
      <c r="CY52" s="346" t="str">
        <f t="shared" si="118"/>
        <v/>
      </c>
      <c r="CZ52" s="330"/>
      <c r="DA52" s="347" t="str">
        <f t="shared" si="119"/>
        <v/>
      </c>
      <c r="DB52" s="330"/>
      <c r="DC52" s="490" t="str">
        <f t="shared" si="120"/>
        <v/>
      </c>
      <c r="DD52" s="348"/>
      <c r="DE52" s="349" t="str">
        <f t="shared" si="121"/>
        <v/>
      </c>
      <c r="DF52" s="330" t="str">
        <f t="shared" si="122"/>
        <v/>
      </c>
      <c r="DG52" s="345" t="str">
        <f t="shared" si="123"/>
        <v/>
      </c>
      <c r="DH52" s="330" t="str">
        <f t="shared" si="124"/>
        <v/>
      </c>
      <c r="DI52" s="490" t="str">
        <f t="shared" si="125"/>
        <v/>
      </c>
      <c r="DJ52" s="330" t="str">
        <f>IF(CS52="","",IF(DE52&lt;0,DE52*CT52*AI52*10%,0))</f>
        <v/>
      </c>
      <c r="DK52" s="346" t="str">
        <f t="shared" si="126"/>
        <v/>
      </c>
      <c r="DL52" s="330"/>
      <c r="DM52" s="330"/>
      <c r="DN52" s="346" t="str">
        <f t="shared" si="127"/>
        <v/>
      </c>
      <c r="DO52" s="345" t="str">
        <f t="shared" si="128"/>
        <v/>
      </c>
      <c r="DP52" s="345" t="str">
        <f t="shared" si="129"/>
        <v/>
      </c>
      <c r="DQ52" s="346" t="str">
        <f t="shared" si="130"/>
        <v/>
      </c>
      <c r="DR52" s="346" t="str">
        <f t="shared" si="131"/>
        <v/>
      </c>
      <c r="DS52" s="330" t="str">
        <f t="shared" si="132"/>
        <v/>
      </c>
      <c r="DT52" s="330" t="str">
        <f t="shared" si="133"/>
        <v/>
      </c>
      <c r="DU52" s="330"/>
      <c r="DV52" s="330"/>
      <c r="DW52" s="330"/>
      <c r="DX52" s="330"/>
      <c r="DY52" s="330" t="s">
        <v>230</v>
      </c>
      <c r="DZ52" s="330"/>
      <c r="EA52" s="330" t="str">
        <f t="shared" si="134"/>
        <v/>
      </c>
      <c r="EB52" s="330"/>
      <c r="EC52" s="330"/>
      <c r="ED52" s="330"/>
      <c r="EE52" s="329"/>
      <c r="EF52" s="350"/>
      <c r="EG52" s="329"/>
      <c r="EH52" s="3" t="s">
        <v>266</v>
      </c>
      <c r="EI52" s="329"/>
      <c r="EJ52" s="336"/>
      <c r="EK52" s="338"/>
      <c r="EL52" s="351"/>
      <c r="EM52" s="351"/>
      <c r="EN52" s="336">
        <f t="shared" si="135"/>
        <v>0</v>
      </c>
      <c r="EO52" s="351"/>
      <c r="EP52" s="513"/>
      <c r="EQ52" s="338"/>
      <c r="ER52" s="338"/>
      <c r="ES52" s="350"/>
      <c r="ET52" s="350"/>
      <c r="EU52" s="352"/>
      <c r="EV52" s="330" t="str">
        <f t="shared" si="136"/>
        <v>Yet to load</v>
      </c>
      <c r="EW52" s="336"/>
      <c r="EX52" s="336">
        <f t="shared" si="137"/>
        <v>0</v>
      </c>
      <c r="EY52" s="336" t="s">
        <v>233</v>
      </c>
      <c r="EZ52" s="337"/>
      <c r="FA52" s="330"/>
      <c r="FB52" s="337"/>
      <c r="FC52" s="492"/>
      <c r="FD52" s="336">
        <f t="shared" si="138"/>
        <v>0</v>
      </c>
      <c r="FE52" s="353"/>
      <c r="FF52" s="353"/>
      <c r="FG52" s="354"/>
      <c r="FH52" s="354"/>
      <c r="FI52" s="354"/>
      <c r="FJ52" s="354"/>
      <c r="FK52" s="49"/>
      <c r="FL52" s="49">
        <f t="shared" si="100"/>
        <v>0</v>
      </c>
      <c r="FM52" s="180">
        <f t="shared" si="101"/>
        <v>46163</v>
      </c>
      <c r="FN52" s="49"/>
      <c r="FO52" s="49"/>
      <c r="FP52" s="49"/>
      <c r="FQ52" s="49"/>
      <c r="FR52" s="49"/>
      <c r="FS52" s="34">
        <f t="shared" si="145"/>
        <v>20010094</v>
      </c>
      <c r="FT52" s="34" t="str">
        <f t="shared" si="146"/>
        <v>32016289-4</v>
      </c>
      <c r="FU52" s="3"/>
      <c r="FV52" s="3"/>
      <c r="FW52" s="3"/>
      <c r="FX52" s="3"/>
      <c r="FY52" s="3"/>
      <c r="FZ52" s="3"/>
      <c r="GA52" s="3"/>
      <c r="GB52" s="4"/>
      <c r="GC52" s="3"/>
      <c r="GD52" s="182"/>
      <c r="GE52" s="3"/>
      <c r="GF52" s="3"/>
      <c r="GG52" s="3"/>
      <c r="GH52" s="3"/>
      <c r="GI52" s="3"/>
      <c r="GJ52" s="3"/>
      <c r="GK52" s="3"/>
      <c r="GL52" s="3"/>
      <c r="GM52" s="3"/>
      <c r="GN52" s="3"/>
    </row>
    <row r="53" spans="1:196" s="1" customFormat="1" ht="33.950000000000003">
      <c r="A53" s="2" t="str">
        <f t="shared" si="102"/>
        <v>SI Sent, Shipment Awaited</v>
      </c>
      <c r="B53" s="282">
        <v>47</v>
      </c>
      <c r="C53" s="282">
        <v>200</v>
      </c>
      <c r="D53" s="182" t="s">
        <v>208</v>
      </c>
      <c r="E53" s="2" t="str">
        <f t="shared" si="103"/>
        <v>SHORT POSITION</v>
      </c>
      <c r="F53" s="271">
        <f t="shared" si="104"/>
        <v>32015968</v>
      </c>
      <c r="G53" s="271"/>
      <c r="H53" s="2" t="str">
        <f t="shared" si="105"/>
        <v>Valency Agro (Processing)</v>
      </c>
      <c r="I53" s="3" t="s">
        <v>259</v>
      </c>
      <c r="J53" s="2" t="s">
        <v>210</v>
      </c>
      <c r="K53" s="2" t="str">
        <f t="shared" si="106"/>
        <v>MANGALORE, INDIA</v>
      </c>
      <c r="L53" s="2" t="str">
        <f t="shared" si="142"/>
        <v/>
      </c>
      <c r="M53" s="2" t="str">
        <f t="shared" si="142"/>
        <v/>
      </c>
      <c r="N53" s="22" t="str">
        <f t="shared" si="107"/>
        <v/>
      </c>
      <c r="O53" s="22" t="str">
        <f t="shared" si="143"/>
        <v/>
      </c>
      <c r="P53" s="22" t="str">
        <f t="shared" si="108"/>
        <v>No OBL Yet</v>
      </c>
      <c r="Q53" s="2"/>
      <c r="R53" s="2" t="str">
        <f t="shared" si="109"/>
        <v>No CERTS Yet</v>
      </c>
      <c r="S53" s="2" t="str">
        <f t="shared" si="110"/>
        <v/>
      </c>
      <c r="T53" s="2" t="s">
        <v>489</v>
      </c>
      <c r="U53" s="3" t="s">
        <v>490</v>
      </c>
      <c r="V53" s="272"/>
      <c r="W53" s="3"/>
      <c r="X53" s="24"/>
      <c r="Y53" s="273">
        <v>20009857</v>
      </c>
      <c r="Z53" s="24">
        <v>46107</v>
      </c>
      <c r="AA53" s="182">
        <v>32015968</v>
      </c>
      <c r="AB53" s="182" t="s">
        <v>247</v>
      </c>
      <c r="AC53" s="182" t="s">
        <v>385</v>
      </c>
      <c r="AD53" s="181">
        <v>46142</v>
      </c>
      <c r="AE53" s="30">
        <v>0.1</v>
      </c>
      <c r="AF53" s="277">
        <v>1000</v>
      </c>
      <c r="AG53" s="4">
        <f t="shared" si="111"/>
        <v>900</v>
      </c>
      <c r="AH53" s="3" t="s">
        <v>215</v>
      </c>
      <c r="AI53" s="4">
        <v>1508</v>
      </c>
      <c r="AJ53" s="4">
        <f>AI53*AF53</f>
        <v>1508000</v>
      </c>
      <c r="AK53" s="3" t="s">
        <v>249</v>
      </c>
      <c r="AL53" s="3" t="s">
        <v>238</v>
      </c>
      <c r="AM53" s="30">
        <v>0</v>
      </c>
      <c r="AN53" s="183">
        <v>1</v>
      </c>
      <c r="AO53" s="183">
        <v>0</v>
      </c>
      <c r="AP53" s="28" t="s">
        <v>218</v>
      </c>
      <c r="AQ53" s="18" t="s">
        <v>250</v>
      </c>
      <c r="AR53" s="18" t="s">
        <v>251</v>
      </c>
      <c r="AS53" s="27"/>
      <c r="AT53" s="3" t="s">
        <v>220</v>
      </c>
      <c r="AU53" s="3" t="s">
        <v>220</v>
      </c>
      <c r="AV53" s="3" t="s">
        <v>220</v>
      </c>
      <c r="AW53" s="9"/>
      <c r="AX53" s="3"/>
      <c r="AY53" s="47"/>
      <c r="AZ53" s="278">
        <f t="shared" si="62"/>
        <v>0</v>
      </c>
      <c r="BA53" s="18">
        <f>Z53</f>
        <v>46107</v>
      </c>
      <c r="BB53" s="22">
        <v>46077</v>
      </c>
      <c r="BC53" s="22"/>
      <c r="BD53" s="22"/>
      <c r="BE53" s="22"/>
      <c r="BF53" s="22">
        <v>46078</v>
      </c>
      <c r="BG53" s="18"/>
      <c r="BH53" s="18"/>
      <c r="BI53" s="3"/>
      <c r="BJ53" s="25"/>
      <c r="BK53" s="189" t="s">
        <v>222</v>
      </c>
      <c r="BL53" s="497"/>
      <c r="BM53" s="18"/>
      <c r="BN53" s="4"/>
      <c r="BO53" s="18"/>
      <c r="BP53" s="3" t="s">
        <v>259</v>
      </c>
      <c r="BQ53" s="21" t="s">
        <v>265</v>
      </c>
      <c r="BR53" s="2"/>
      <c r="BS53" s="2"/>
      <c r="BT53" s="2"/>
      <c r="BU53" s="2"/>
      <c r="BV53" s="20"/>
      <c r="BW53" s="19"/>
      <c r="BX53" s="189">
        <f t="shared" si="63"/>
        <v>0</v>
      </c>
      <c r="BY53" s="22"/>
      <c r="BZ53" s="22"/>
      <c r="CA53" s="2"/>
      <c r="CB53" s="22"/>
      <c r="CC53" s="22"/>
      <c r="CD53" s="22"/>
      <c r="CE53" s="22" t="str">
        <f t="shared" si="112"/>
        <v>No OBL Yet</v>
      </c>
      <c r="CF53" s="22"/>
      <c r="CG53" s="22"/>
      <c r="CH53" s="182"/>
      <c r="CI53" s="182"/>
      <c r="CJ53" s="182"/>
      <c r="CK53" s="2" t="str">
        <f t="shared" si="113"/>
        <v>No CERTS Yet</v>
      </c>
      <c r="CL53" s="48"/>
      <c r="CM53" s="22"/>
      <c r="CN53" s="55"/>
      <c r="CO53" s="55"/>
      <c r="CP53" s="55" t="str">
        <f>IF(CO53&lt;&gt;0,"Docs in Buyer's Nego Bank",IF(CN53&lt;&gt;0,"Docs in Transit to Buyer's Nego Bank",IF(CM53&lt;&gt;0,"Docs in Our Nego Bank",IF(CL53="TT PAYMENT","Not Applicable",""))))</f>
        <v/>
      </c>
      <c r="CQ53" s="190">
        <f t="shared" si="144"/>
        <v>0</v>
      </c>
      <c r="CR53" s="54"/>
      <c r="CS53" s="2"/>
      <c r="CT53" s="2"/>
      <c r="CU53" s="14" t="str">
        <f t="shared" si="114"/>
        <v/>
      </c>
      <c r="CV53" s="191" t="str">
        <f t="shared" si="115"/>
        <v/>
      </c>
      <c r="CW53" s="14" t="str">
        <f t="shared" si="116"/>
        <v/>
      </c>
      <c r="CX53" s="14" t="str">
        <f t="shared" si="117"/>
        <v/>
      </c>
      <c r="CY53" s="15" t="str">
        <f t="shared" si="118"/>
        <v/>
      </c>
      <c r="CZ53" s="2"/>
      <c r="DA53" s="41" t="str">
        <f t="shared" si="119"/>
        <v/>
      </c>
      <c r="DB53" s="2"/>
      <c r="DC53" s="192" t="str">
        <f t="shared" si="120"/>
        <v/>
      </c>
      <c r="DD53" s="40"/>
      <c r="DE53" s="16" t="str">
        <f t="shared" si="121"/>
        <v/>
      </c>
      <c r="DF53" s="2" t="str">
        <f t="shared" si="122"/>
        <v/>
      </c>
      <c r="DG53" s="14" t="str">
        <f t="shared" si="123"/>
        <v/>
      </c>
      <c r="DH53" s="2" t="str">
        <f t="shared" si="124"/>
        <v/>
      </c>
      <c r="DI53" s="192" t="str">
        <f t="shared" si="125"/>
        <v/>
      </c>
      <c r="DJ53" s="2" t="str">
        <f>IF(CS53="","",IF(DE53&lt;0,DE53*CT53*AI53*1%,0))</f>
        <v/>
      </c>
      <c r="DK53" s="15" t="str">
        <f t="shared" si="126"/>
        <v/>
      </c>
      <c r="DL53" s="2"/>
      <c r="DM53" s="2"/>
      <c r="DN53" s="15" t="str">
        <f t="shared" si="127"/>
        <v/>
      </c>
      <c r="DO53" s="14" t="str">
        <f t="shared" si="128"/>
        <v/>
      </c>
      <c r="DP53" s="14" t="str">
        <f t="shared" si="129"/>
        <v/>
      </c>
      <c r="DQ53" s="15" t="str">
        <f t="shared" si="130"/>
        <v/>
      </c>
      <c r="DR53" s="15" t="str">
        <f t="shared" si="131"/>
        <v/>
      </c>
      <c r="DS53" s="2" t="str">
        <f t="shared" si="132"/>
        <v/>
      </c>
      <c r="DT53" s="2" t="str">
        <f t="shared" si="133"/>
        <v/>
      </c>
      <c r="DU53" s="2"/>
      <c r="DV53" s="2"/>
      <c r="DW53" s="2"/>
      <c r="DX53" s="2"/>
      <c r="DY53" s="2" t="s">
        <v>230</v>
      </c>
      <c r="DZ53" s="2"/>
      <c r="EA53" s="2" t="str">
        <f t="shared" si="134"/>
        <v/>
      </c>
      <c r="EB53" s="2"/>
      <c r="EC53" s="2"/>
      <c r="ED53" s="2"/>
      <c r="EE53" s="3"/>
      <c r="EF53" s="7"/>
      <c r="EG53" s="3"/>
      <c r="EH53" s="3" t="s">
        <v>266</v>
      </c>
      <c r="EI53" s="3" t="s">
        <v>258</v>
      </c>
      <c r="EJ53" s="189"/>
      <c r="EK53" s="4"/>
      <c r="EL53" s="9"/>
      <c r="EM53" s="9"/>
      <c r="EN53" s="189">
        <f t="shared" si="135"/>
        <v>0</v>
      </c>
      <c r="EO53" s="9"/>
      <c r="EP53" s="8"/>
      <c r="EQ53" s="4"/>
      <c r="ER53" s="4"/>
      <c r="ES53" s="7"/>
      <c r="ET53" s="7"/>
      <c r="EU53" s="6"/>
      <c r="EV53" s="2" t="str">
        <f t="shared" si="136"/>
        <v>Yet to load</v>
      </c>
      <c r="EW53" s="189"/>
      <c r="EX53" s="189" t="e">
        <f t="shared" si="137"/>
        <v>#DIV/0!</v>
      </c>
      <c r="EY53" s="189" t="s">
        <v>233</v>
      </c>
      <c r="EZ53" s="24"/>
      <c r="FA53" s="2"/>
      <c r="FB53" s="24"/>
      <c r="FC53" s="193"/>
      <c r="FD53" s="189">
        <f t="shared" si="138"/>
        <v>0</v>
      </c>
      <c r="FE53" s="52"/>
      <c r="FF53" s="52"/>
      <c r="FG53" s="49"/>
      <c r="FH53" s="49"/>
      <c r="FI53" s="49"/>
      <c r="FJ53" s="49"/>
      <c r="FK53" s="49"/>
      <c r="FL53" s="49">
        <f t="shared" si="100"/>
        <v>0</v>
      </c>
      <c r="FM53" s="180">
        <f t="shared" si="101"/>
        <v>0</v>
      </c>
      <c r="FN53" s="49"/>
      <c r="FO53" s="49"/>
      <c r="FP53" s="49"/>
      <c r="FQ53" s="49"/>
      <c r="FR53" s="49"/>
      <c r="FS53" s="34">
        <f t="shared" si="145"/>
        <v>20009857</v>
      </c>
      <c r="FT53" s="34">
        <f t="shared" si="146"/>
        <v>32015968</v>
      </c>
      <c r="FU53" s="3"/>
      <c r="FV53" s="3"/>
      <c r="FW53" s="3"/>
      <c r="FX53" s="3"/>
      <c r="FY53" s="3"/>
      <c r="FZ53" s="3"/>
      <c r="GA53" s="3"/>
      <c r="GB53" s="4"/>
      <c r="GC53" s="3"/>
      <c r="GD53" s="182"/>
      <c r="GE53" s="3"/>
      <c r="GF53" s="3"/>
      <c r="GG53" s="3"/>
      <c r="GH53" s="3"/>
      <c r="GI53" s="3"/>
      <c r="GJ53" s="3"/>
      <c r="GK53" s="3"/>
      <c r="GL53" s="3"/>
      <c r="GM53" s="3"/>
      <c r="GN53" s="3"/>
    </row>
    <row r="54" spans="1:196" s="1" customFormat="1" ht="68.099999999999994">
      <c r="A54" s="2" t="str">
        <f t="shared" si="102"/>
        <v>Stuffed, Yet to Sail</v>
      </c>
      <c r="B54" s="282">
        <v>47</v>
      </c>
      <c r="C54" s="282">
        <v>185</v>
      </c>
      <c r="D54" s="182" t="s">
        <v>208</v>
      </c>
      <c r="E54" s="2" t="str">
        <f t="shared" si="103"/>
        <v>CLOSE POSITION</v>
      </c>
      <c r="F54" s="271" t="str">
        <f t="shared" si="104"/>
        <v>32016309-1</v>
      </c>
      <c r="G54" s="271"/>
      <c r="H54" s="2" t="str">
        <f t="shared" si="105"/>
        <v>Valency Agro (Processing)</v>
      </c>
      <c r="I54" s="3" t="s">
        <v>209</v>
      </c>
      <c r="J54" s="2" t="s">
        <v>210</v>
      </c>
      <c r="K54" s="2" t="str">
        <f t="shared" si="106"/>
        <v>MANGALORE, INDIA</v>
      </c>
      <c r="L54" s="2" t="str">
        <f t="shared" ref="L54:L97" si="147">IF(BI54&lt;&gt;0,BI54,"")</f>
        <v>MEDULG640948</v>
      </c>
      <c r="M54" s="2">
        <v>100.07599999999999</v>
      </c>
      <c r="N54" s="22" t="str">
        <f t="shared" si="107"/>
        <v/>
      </c>
      <c r="O54" s="22">
        <f t="shared" si="143"/>
        <v>46200</v>
      </c>
      <c r="P54" s="22" t="str">
        <f t="shared" si="108"/>
        <v>No OBL Yet</v>
      </c>
      <c r="Q54" s="2"/>
      <c r="R54" s="2" t="str">
        <f t="shared" si="109"/>
        <v>No CERTS Yet</v>
      </c>
      <c r="S54" s="2" t="str">
        <f t="shared" si="110"/>
        <v/>
      </c>
      <c r="T54" s="2" t="s">
        <v>491</v>
      </c>
      <c r="U54" s="421" t="s">
        <v>492</v>
      </c>
      <c r="V54" s="272"/>
      <c r="W54" s="421"/>
      <c r="X54" s="24"/>
      <c r="Y54" s="273">
        <v>20010137</v>
      </c>
      <c r="Z54" s="24">
        <v>46128</v>
      </c>
      <c r="AA54" s="182" t="s">
        <v>493</v>
      </c>
      <c r="AB54" s="182" t="s">
        <v>247</v>
      </c>
      <c r="AC54" s="181">
        <v>46138</v>
      </c>
      <c r="AD54" s="181">
        <v>46142</v>
      </c>
      <c r="AE54" s="30">
        <v>0.1</v>
      </c>
      <c r="AF54" s="277">
        <v>100.07599999999999</v>
      </c>
      <c r="AG54" s="4">
        <f t="shared" si="111"/>
        <v>90.068399999999997</v>
      </c>
      <c r="AH54" s="3" t="s">
        <v>215</v>
      </c>
      <c r="AI54" s="4">
        <v>1508</v>
      </c>
      <c r="AJ54" s="4">
        <f>AI54*AF54</f>
        <v>150914.60799999998</v>
      </c>
      <c r="AK54" s="3" t="s">
        <v>249</v>
      </c>
      <c r="AL54" s="3" t="s">
        <v>238</v>
      </c>
      <c r="AM54" s="30">
        <v>0</v>
      </c>
      <c r="AN54" s="183">
        <v>1</v>
      </c>
      <c r="AO54" s="183">
        <v>0</v>
      </c>
      <c r="AP54" s="28" t="s">
        <v>218</v>
      </c>
      <c r="AQ54" s="18" t="s">
        <v>250</v>
      </c>
      <c r="AR54" s="18" t="s">
        <v>251</v>
      </c>
      <c r="AS54" s="27"/>
      <c r="AT54" s="3" t="s">
        <v>220</v>
      </c>
      <c r="AU54" s="3" t="s">
        <v>220</v>
      </c>
      <c r="AV54" s="3" t="s">
        <v>220</v>
      </c>
      <c r="AW54" s="9"/>
      <c r="AX54" s="3"/>
      <c r="AY54" s="47"/>
      <c r="AZ54" s="278"/>
      <c r="BA54" s="18" t="s">
        <v>494</v>
      </c>
      <c r="BB54" s="22">
        <v>46127</v>
      </c>
      <c r="BC54" s="22"/>
      <c r="BD54" s="22"/>
      <c r="BE54" s="22"/>
      <c r="BF54" s="22">
        <v>46127</v>
      </c>
      <c r="BG54" s="18"/>
      <c r="BH54" s="18"/>
      <c r="BI54" s="3" t="s">
        <v>495</v>
      </c>
      <c r="BJ54" s="25">
        <f>AF54</f>
        <v>100.07599999999999</v>
      </c>
      <c r="BK54" s="189"/>
      <c r="BL54" s="497"/>
      <c r="BM54" s="18"/>
      <c r="BN54" s="4" t="s">
        <v>496</v>
      </c>
      <c r="BO54" s="18">
        <v>46200</v>
      </c>
      <c r="BP54" s="3" t="s">
        <v>278</v>
      </c>
      <c r="BQ54" s="21" t="s">
        <v>265</v>
      </c>
      <c r="BR54" s="2" t="s">
        <v>226</v>
      </c>
      <c r="BS54" s="2"/>
      <c r="BT54" s="2"/>
      <c r="BU54" s="2"/>
      <c r="BV54" s="20"/>
      <c r="BW54" s="19"/>
      <c r="BX54" s="189"/>
      <c r="BY54" s="22"/>
      <c r="BZ54" s="22"/>
      <c r="CA54" s="2"/>
      <c r="CB54" s="22"/>
      <c r="CC54" s="22"/>
      <c r="CD54" s="22"/>
      <c r="CE54" s="22" t="str">
        <f t="shared" si="112"/>
        <v>No OBL Yet</v>
      </c>
      <c r="CF54" s="22"/>
      <c r="CG54" s="22"/>
      <c r="CH54" s="182"/>
      <c r="CI54" s="182"/>
      <c r="CJ54" s="182"/>
      <c r="CK54" s="2" t="str">
        <f t="shared" si="113"/>
        <v>No CERTS Yet</v>
      </c>
      <c r="CL54" s="48"/>
      <c r="CM54" s="22"/>
      <c r="CN54" s="55"/>
      <c r="CO54" s="55"/>
      <c r="CP54" s="55" t="str">
        <f>IF(CO54&lt;&gt;0,"Docs in Buyer's Nego Bank",IF(CN54&lt;&gt;0,"Docs in Transit to Buyer's Nego Bank",IF(CM54&lt;&gt;0,"Docs in Our Nego Bank",IF(CL54="TT PAYMENT","Not Applicable",""))))</f>
        <v/>
      </c>
      <c r="CQ54" s="190">
        <f t="shared" si="144"/>
        <v>150914.60799999998</v>
      </c>
      <c r="CR54" s="54"/>
      <c r="CS54" s="2"/>
      <c r="CT54" s="2"/>
      <c r="CU54" s="14" t="str">
        <f t="shared" si="114"/>
        <v/>
      </c>
      <c r="CV54" s="191" t="str">
        <f t="shared" si="115"/>
        <v/>
      </c>
      <c r="CW54" s="14" t="str">
        <f t="shared" si="116"/>
        <v/>
      </c>
      <c r="CX54" s="14" t="str">
        <f t="shared" si="117"/>
        <v/>
      </c>
      <c r="CY54" s="15" t="str">
        <f t="shared" si="118"/>
        <v/>
      </c>
      <c r="CZ54" s="2"/>
      <c r="DA54" s="41" t="str">
        <f t="shared" si="119"/>
        <v/>
      </c>
      <c r="DB54" s="2"/>
      <c r="DC54" s="192" t="str">
        <f t="shared" si="120"/>
        <v/>
      </c>
      <c r="DD54" s="40"/>
      <c r="DE54" s="16" t="str">
        <f t="shared" si="121"/>
        <v/>
      </c>
      <c r="DF54" s="2" t="str">
        <f t="shared" si="122"/>
        <v/>
      </c>
      <c r="DG54" s="14" t="str">
        <f t="shared" si="123"/>
        <v/>
      </c>
      <c r="DH54" s="2" t="str">
        <f t="shared" si="124"/>
        <v/>
      </c>
      <c r="DI54" s="192" t="str">
        <f t="shared" si="125"/>
        <v/>
      </c>
      <c r="DJ54" s="2" t="str">
        <f>IF(CS54="","",IF(DE54&lt;0,DE54*CT54*AI54*1%,0))</f>
        <v/>
      </c>
      <c r="DK54" s="15" t="str">
        <f t="shared" si="126"/>
        <v/>
      </c>
      <c r="DL54" s="2"/>
      <c r="DM54" s="2"/>
      <c r="DN54" s="15" t="str">
        <f t="shared" si="127"/>
        <v/>
      </c>
      <c r="DO54" s="14" t="str">
        <f t="shared" si="128"/>
        <v/>
      </c>
      <c r="DP54" s="14" t="str">
        <f t="shared" si="129"/>
        <v/>
      </c>
      <c r="DQ54" s="15" t="str">
        <f t="shared" si="130"/>
        <v/>
      </c>
      <c r="DR54" s="15" t="str">
        <f t="shared" si="131"/>
        <v/>
      </c>
      <c r="DS54" s="2" t="str">
        <f t="shared" si="132"/>
        <v/>
      </c>
      <c r="DT54" s="2" t="str">
        <f t="shared" si="133"/>
        <v/>
      </c>
      <c r="DU54" s="2"/>
      <c r="DV54" s="2"/>
      <c r="DW54" s="2"/>
      <c r="DX54" s="2"/>
      <c r="DY54" s="2" t="s">
        <v>230</v>
      </c>
      <c r="DZ54" s="2"/>
      <c r="EA54" s="2" t="str">
        <f t="shared" si="134"/>
        <v/>
      </c>
      <c r="EB54" s="2"/>
      <c r="EC54" s="2"/>
      <c r="ED54" s="2"/>
      <c r="EE54" s="3">
        <v>4900008821</v>
      </c>
      <c r="EF54" s="7"/>
      <c r="EG54" s="3"/>
      <c r="EH54" s="3" t="s">
        <v>497</v>
      </c>
      <c r="EI54" s="3" t="s">
        <v>258</v>
      </c>
      <c r="EJ54" s="189">
        <v>100.07599999999999</v>
      </c>
      <c r="EK54" s="4">
        <v>1500</v>
      </c>
      <c r="EL54" s="9"/>
      <c r="EM54" s="9"/>
      <c r="EN54" s="189">
        <f t="shared" si="135"/>
        <v>150114</v>
      </c>
      <c r="EO54" s="9" t="s">
        <v>232</v>
      </c>
      <c r="EP54" s="8"/>
      <c r="EQ54" s="4"/>
      <c r="ER54" s="4">
        <v>134527.20000000001</v>
      </c>
      <c r="ES54" s="7"/>
      <c r="ET54" s="7"/>
      <c r="EU54" s="6"/>
      <c r="EV54" s="2" t="str">
        <f t="shared" si="136"/>
        <v>Yet to load</v>
      </c>
      <c r="EW54" s="189"/>
      <c r="EX54" s="189">
        <f t="shared" si="137"/>
        <v>0</v>
      </c>
      <c r="EY54" s="189" t="s">
        <v>233</v>
      </c>
      <c r="EZ54" s="24"/>
      <c r="FA54" s="2"/>
      <c r="FB54" s="24"/>
      <c r="FC54" s="193"/>
      <c r="FD54" s="189">
        <f t="shared" si="138"/>
        <v>0</v>
      </c>
      <c r="FE54" s="52"/>
      <c r="FF54" s="52"/>
      <c r="FG54" s="49"/>
      <c r="FH54" s="49"/>
      <c r="FI54" s="49"/>
      <c r="FJ54" s="49"/>
      <c r="FK54" s="49"/>
      <c r="FL54" s="49">
        <f t="shared" si="100"/>
        <v>0</v>
      </c>
      <c r="FM54" s="180">
        <f t="shared" si="101"/>
        <v>0</v>
      </c>
      <c r="FN54" s="49"/>
      <c r="FO54" s="49"/>
      <c r="FP54" s="49"/>
      <c r="FQ54" s="49"/>
      <c r="FR54" s="49"/>
      <c r="FS54" s="34">
        <f t="shared" si="145"/>
        <v>20010137</v>
      </c>
      <c r="FT54" s="34" t="str">
        <f t="shared" si="146"/>
        <v>32016309-1</v>
      </c>
      <c r="FU54" s="3"/>
      <c r="FV54" s="3"/>
      <c r="FW54" s="3"/>
      <c r="FX54" s="3"/>
      <c r="FY54" s="3"/>
      <c r="FZ54" s="3"/>
      <c r="GA54" s="3"/>
      <c r="GB54" s="4"/>
      <c r="GC54" s="3"/>
      <c r="GD54" s="182"/>
      <c r="GE54" s="2"/>
      <c r="GF54" s="2"/>
      <c r="GG54" s="2"/>
      <c r="GH54" s="2"/>
      <c r="GI54" s="2"/>
      <c r="GJ54" s="2"/>
      <c r="GK54" s="2"/>
      <c r="GL54" s="2"/>
      <c r="GM54" s="2"/>
      <c r="GN54" s="2"/>
    </row>
    <row r="55" spans="1:196" s="1" customFormat="1" ht="33.950000000000003">
      <c r="A55" s="2" t="str">
        <f t="shared" si="102"/>
        <v>Sailed, OBL &amp; Certs Pending</v>
      </c>
      <c r="B55" s="502">
        <v>47</v>
      </c>
      <c r="C55" s="502">
        <v>200</v>
      </c>
      <c r="D55" s="182" t="s">
        <v>208</v>
      </c>
      <c r="E55" s="2" t="str">
        <f t="shared" si="103"/>
        <v>LONG POSITION</v>
      </c>
      <c r="F55" s="271" t="str">
        <f t="shared" si="104"/>
        <v>TBA 18</v>
      </c>
      <c r="G55" s="271"/>
      <c r="H55" s="2" t="str">
        <f t="shared" si="105"/>
        <v>VALENCY VIETNAM UNSOLD</v>
      </c>
      <c r="I55" s="3" t="s">
        <v>259</v>
      </c>
      <c r="J55" s="2" t="s">
        <v>347</v>
      </c>
      <c r="K55" s="2" t="str">
        <f t="shared" si="106"/>
        <v>HCMC, VIETNAM</v>
      </c>
      <c r="L55" s="2" t="str">
        <f t="shared" si="147"/>
        <v xml:space="preserve">HLCUAB1260401269 </v>
      </c>
      <c r="M55" s="2">
        <f>IF(BJ55&lt;&gt;0,BJ55,"")</f>
        <v>248.43</v>
      </c>
      <c r="N55" s="22">
        <f t="shared" si="107"/>
        <v>46163</v>
      </c>
      <c r="O55" s="22">
        <f t="shared" si="143"/>
        <v>46215</v>
      </c>
      <c r="P55" s="22" t="str">
        <f t="shared" si="108"/>
        <v>Draft Rcvd</v>
      </c>
      <c r="Q55" s="2"/>
      <c r="R55" s="2" t="str">
        <f t="shared" si="109"/>
        <v>No CERTS Yet</v>
      </c>
      <c r="S55" s="2">
        <f t="shared" si="110"/>
        <v>0</v>
      </c>
      <c r="T55" s="2"/>
      <c r="U55" s="3" t="s">
        <v>498</v>
      </c>
      <c r="V55" s="272"/>
      <c r="W55" s="3" t="s">
        <v>499</v>
      </c>
      <c r="X55" s="24"/>
      <c r="Y55" s="273"/>
      <c r="Z55" s="24"/>
      <c r="AA55" s="182" t="s">
        <v>500</v>
      </c>
      <c r="AB55" s="182" t="s">
        <v>501</v>
      </c>
      <c r="AC55" s="182" t="s">
        <v>502</v>
      </c>
      <c r="AD55" s="181">
        <v>46173</v>
      </c>
      <c r="AE55" s="30">
        <v>0.1</v>
      </c>
      <c r="AF55" s="277">
        <v>250</v>
      </c>
      <c r="AG55" s="4">
        <f t="shared" si="111"/>
        <v>225</v>
      </c>
      <c r="AH55" s="3" t="s">
        <v>215</v>
      </c>
      <c r="AI55" s="4"/>
      <c r="AJ55" s="4"/>
      <c r="AK55" s="3"/>
      <c r="AL55" s="3"/>
      <c r="AM55" s="30"/>
      <c r="AN55" s="183"/>
      <c r="AO55" s="183"/>
      <c r="AP55" s="28"/>
      <c r="AQ55" s="18"/>
      <c r="AR55" s="18"/>
      <c r="AS55" s="359"/>
      <c r="AT55" s="3" t="s">
        <v>220</v>
      </c>
      <c r="AU55" s="3" t="s">
        <v>220</v>
      </c>
      <c r="AV55" s="3" t="s">
        <v>220</v>
      </c>
      <c r="AW55" s="9"/>
      <c r="AX55" s="3"/>
      <c r="AY55" s="47"/>
      <c r="AZ55" s="278"/>
      <c r="BA55" s="18"/>
      <c r="BB55" s="22"/>
      <c r="BC55" s="22"/>
      <c r="BD55" s="22"/>
      <c r="BE55" s="22"/>
      <c r="BF55" s="22"/>
      <c r="BG55" s="18"/>
      <c r="BH55" s="18"/>
      <c r="BI55" s="3" t="s">
        <v>503</v>
      </c>
      <c r="BJ55" s="25">
        <v>248.43</v>
      </c>
      <c r="BK55" s="189" t="s">
        <v>222</v>
      </c>
      <c r="BL55" s="497">
        <v>10</v>
      </c>
      <c r="BM55" s="18">
        <v>46163</v>
      </c>
      <c r="BN55" s="2"/>
      <c r="BO55" s="18">
        <v>46215</v>
      </c>
      <c r="BP55" s="20" t="s">
        <v>259</v>
      </c>
      <c r="BQ55" s="21" t="s">
        <v>409</v>
      </c>
      <c r="BR55" s="2" t="s">
        <v>434</v>
      </c>
      <c r="BS55" s="22"/>
      <c r="BT55" s="19" t="s">
        <v>435</v>
      </c>
      <c r="BU55" s="189"/>
      <c r="BV55" s="22"/>
      <c r="BW55" s="22"/>
      <c r="BX55" s="189">
        <f>BJ55*AI55</f>
        <v>0</v>
      </c>
      <c r="BY55" s="22">
        <v>46162</v>
      </c>
      <c r="BZ55" s="22"/>
      <c r="CA55" s="22"/>
      <c r="CB55" s="22"/>
      <c r="CC55" s="182"/>
      <c r="CD55" s="182"/>
      <c r="CE55" s="22" t="str">
        <f t="shared" si="112"/>
        <v>Draft Rcvd</v>
      </c>
      <c r="CF55" s="48"/>
      <c r="CG55" s="22"/>
      <c r="CH55" s="2"/>
      <c r="CI55" s="55"/>
      <c r="CJ55" s="55"/>
      <c r="CK55" s="2" t="str">
        <f t="shared" si="113"/>
        <v>No CERTS Yet</v>
      </c>
      <c r="CL55" s="54"/>
      <c r="CM55" s="2"/>
      <c r="CN55" s="55"/>
      <c r="CO55" s="14"/>
      <c r="CP55" s="191"/>
      <c r="CQ55" s="190">
        <f t="shared" si="144"/>
        <v>0</v>
      </c>
      <c r="CR55" s="14"/>
      <c r="CS55" s="15"/>
      <c r="CT55" s="2"/>
      <c r="CU55" s="41"/>
      <c r="CV55" s="2"/>
      <c r="CW55" s="192"/>
      <c r="CX55" s="40"/>
      <c r="CY55" s="16"/>
      <c r="CZ55" s="2"/>
      <c r="DA55" s="14"/>
      <c r="DB55" s="2"/>
      <c r="DC55" s="192"/>
      <c r="DD55" s="2"/>
      <c r="DE55" s="15"/>
      <c r="DF55" s="2"/>
      <c r="DG55" s="2"/>
      <c r="DH55" s="15"/>
      <c r="DI55" s="14"/>
      <c r="DJ55" s="14"/>
      <c r="DK55" s="15"/>
      <c r="DL55" s="15"/>
      <c r="DM55" s="2"/>
      <c r="DN55" s="2"/>
      <c r="DO55" s="2"/>
      <c r="DP55" s="2"/>
      <c r="DQ55" s="2"/>
      <c r="DR55" s="2"/>
      <c r="DS55" s="2"/>
      <c r="DT55" s="2"/>
      <c r="DU55" s="2"/>
      <c r="DV55" s="182"/>
      <c r="DW55" s="2"/>
      <c r="DX55" s="2"/>
      <c r="DY55" s="2" t="s">
        <v>230</v>
      </c>
      <c r="DZ55" s="2"/>
      <c r="EA55" s="3"/>
      <c r="EB55" s="3"/>
      <c r="EC55" s="3"/>
      <c r="ED55" s="189"/>
      <c r="EE55" s="4"/>
      <c r="EF55" s="9"/>
      <c r="EG55" s="9"/>
      <c r="EH55" s="3" t="s">
        <v>266</v>
      </c>
      <c r="EI55" s="9"/>
      <c r="EJ55" s="8"/>
      <c r="EK55" s="189"/>
      <c r="EL55" s="7"/>
      <c r="EM55" s="7"/>
      <c r="EN55" s="6"/>
      <c r="EO55" s="2"/>
      <c r="EP55" s="189"/>
      <c r="EQ55" s="189"/>
      <c r="ER55" s="189"/>
      <c r="ES55" s="2"/>
      <c r="ET55" s="24"/>
      <c r="EU55" s="2"/>
      <c r="EV55" s="2" t="str">
        <f t="shared" si="136"/>
        <v>Yet to load</v>
      </c>
      <c r="EW55" s="193"/>
      <c r="EX55" s="189"/>
      <c r="EY55" s="24"/>
      <c r="EZ55" s="52"/>
      <c r="FA55" s="49"/>
      <c r="FB55" s="49"/>
      <c r="FC55" s="180"/>
      <c r="FD55" s="49"/>
      <c r="FE55" s="49"/>
      <c r="FF55" s="49"/>
      <c r="FG55" s="49"/>
      <c r="FH55" s="49"/>
      <c r="FI55" s="49"/>
      <c r="FJ55" s="49"/>
      <c r="FK55" s="49"/>
      <c r="FL55" s="49">
        <f t="shared" si="100"/>
        <v>-46162</v>
      </c>
      <c r="FM55" s="180">
        <f t="shared" si="101"/>
        <v>46163</v>
      </c>
      <c r="FN55" s="49"/>
      <c r="FO55" s="49"/>
      <c r="FP55" s="49"/>
      <c r="FQ55" s="49"/>
      <c r="FR55" s="49"/>
      <c r="FS55" s="34">
        <f t="shared" si="145"/>
        <v>0</v>
      </c>
      <c r="FT55" s="34" t="str">
        <f t="shared" si="146"/>
        <v>TBA 18</v>
      </c>
      <c r="FU55" s="3"/>
      <c r="FV55" s="3"/>
      <c r="FW55" s="3"/>
      <c r="FX55" s="3"/>
      <c r="FY55" s="3"/>
      <c r="FZ55" s="3"/>
      <c r="GA55" s="3"/>
      <c r="GB55" s="4"/>
      <c r="GC55" s="3"/>
      <c r="GD55" s="182"/>
      <c r="GE55" s="3"/>
      <c r="GF55" s="3"/>
      <c r="GG55" s="3"/>
      <c r="GH55" s="3"/>
      <c r="GI55" s="3"/>
      <c r="GJ55" s="3"/>
      <c r="GK55" s="3"/>
      <c r="GL55" s="3"/>
      <c r="GM55" s="3"/>
      <c r="GN55" s="3"/>
    </row>
    <row r="56" spans="1:196" s="1" customFormat="1" ht="33.950000000000003">
      <c r="A56" s="2" t="str">
        <f t="shared" si="102"/>
        <v>Exp Dox Presented to Bank, Pmt Pending</v>
      </c>
      <c r="B56" s="281">
        <v>48</v>
      </c>
      <c r="C56" s="281">
        <v>200</v>
      </c>
      <c r="D56" s="182" t="s">
        <v>208</v>
      </c>
      <c r="E56" s="2" t="str">
        <f t="shared" si="103"/>
        <v>CLOSE POSITION</v>
      </c>
      <c r="F56" s="271" t="str">
        <f t="shared" si="104"/>
        <v>32014539-1</v>
      </c>
      <c r="G56" s="271"/>
      <c r="H56" s="2" t="str">
        <f t="shared" si="105"/>
        <v>ST. PAULS CASHEW FACTORY</v>
      </c>
      <c r="I56" s="3" t="s">
        <v>259</v>
      </c>
      <c r="J56" s="2" t="s">
        <v>210</v>
      </c>
      <c r="K56" s="2" t="str">
        <f t="shared" si="106"/>
        <v>TUTICORIN, INDIA</v>
      </c>
      <c r="L56" s="2">
        <f t="shared" si="147"/>
        <v>268715714</v>
      </c>
      <c r="M56" s="2">
        <f>IF(BJ56&lt;&gt;0,BJ56,"")</f>
        <v>100.84</v>
      </c>
      <c r="N56" s="22">
        <f t="shared" si="107"/>
        <v>46152</v>
      </c>
      <c r="O56" s="22">
        <f t="shared" si="143"/>
        <v>46175</v>
      </c>
      <c r="P56" s="22" t="str">
        <f t="shared" si="108"/>
        <v>OBL in Transit with Nego Docs - INDIA</v>
      </c>
      <c r="Q56" s="2"/>
      <c r="R56" s="2" t="str">
        <f t="shared" si="109"/>
        <v>CERTS in Destination - INDIA</v>
      </c>
      <c r="S56" s="2" t="str">
        <f t="shared" si="110"/>
        <v>Docs in Our Nego Bank</v>
      </c>
      <c r="T56" s="2"/>
      <c r="U56" s="438" t="s">
        <v>504</v>
      </c>
      <c r="V56" s="272"/>
      <c r="W56" s="3" t="s">
        <v>505</v>
      </c>
      <c r="X56" s="24">
        <v>46076</v>
      </c>
      <c r="Y56" s="273">
        <v>20009550</v>
      </c>
      <c r="Z56" s="24">
        <v>46074</v>
      </c>
      <c r="AA56" s="182" t="s">
        <v>506</v>
      </c>
      <c r="AB56" s="182" t="s">
        <v>237</v>
      </c>
      <c r="AC56" s="182" t="s">
        <v>456</v>
      </c>
      <c r="AD56" s="181">
        <v>46142</v>
      </c>
      <c r="AE56" s="30">
        <v>0.1</v>
      </c>
      <c r="AF56" s="277">
        <v>100</v>
      </c>
      <c r="AG56" s="35">
        <f t="shared" si="111"/>
        <v>90</v>
      </c>
      <c r="AH56" s="3" t="s">
        <v>215</v>
      </c>
      <c r="AI56" s="4">
        <v>1515</v>
      </c>
      <c r="AJ56" s="4">
        <f>AI56*AF56</f>
        <v>151500</v>
      </c>
      <c r="AK56" s="3" t="s">
        <v>249</v>
      </c>
      <c r="AL56" s="3" t="s">
        <v>238</v>
      </c>
      <c r="AM56" s="30">
        <v>0</v>
      </c>
      <c r="AN56" s="183">
        <v>1</v>
      </c>
      <c r="AO56" s="183">
        <v>0</v>
      </c>
      <c r="AP56" s="28" t="s">
        <v>218</v>
      </c>
      <c r="AQ56" s="18" t="s">
        <v>239</v>
      </c>
      <c r="AR56" s="18" t="s">
        <v>251</v>
      </c>
      <c r="AS56" s="27"/>
      <c r="AT56" s="3" t="s">
        <v>220</v>
      </c>
      <c r="AU56" s="3" t="s">
        <v>220</v>
      </c>
      <c r="AV56" s="3" t="s">
        <v>220</v>
      </c>
      <c r="AW56" s="9"/>
      <c r="AX56" s="3"/>
      <c r="AY56" s="47"/>
      <c r="AZ56" s="275">
        <f>AF56*AI56*AM56</f>
        <v>0</v>
      </c>
      <c r="BA56" s="18"/>
      <c r="BB56" s="22">
        <v>46083</v>
      </c>
      <c r="BC56" s="22"/>
      <c r="BD56" s="22"/>
      <c r="BE56" s="22"/>
      <c r="BF56" s="22">
        <v>46083</v>
      </c>
      <c r="BG56" s="18"/>
      <c r="BH56" s="18"/>
      <c r="BI56" s="3">
        <v>268715714</v>
      </c>
      <c r="BJ56" s="25">
        <v>100.84</v>
      </c>
      <c r="BK56" s="46" t="s">
        <v>222</v>
      </c>
      <c r="BL56" s="497">
        <v>4</v>
      </c>
      <c r="BM56" s="18">
        <v>46152</v>
      </c>
      <c r="BN56" s="4"/>
      <c r="BO56" s="18">
        <v>46175</v>
      </c>
      <c r="BP56" s="3" t="s">
        <v>259</v>
      </c>
      <c r="BQ56" s="21" t="s">
        <v>346</v>
      </c>
      <c r="BR56" s="2" t="s">
        <v>416</v>
      </c>
      <c r="BS56" s="2"/>
      <c r="BT56" s="2"/>
      <c r="BU56" s="2"/>
      <c r="BV56" s="20"/>
      <c r="BW56" s="19"/>
      <c r="BX56" s="46">
        <f>BJ56*AI56</f>
        <v>152772.6</v>
      </c>
      <c r="BY56" s="22">
        <v>46146</v>
      </c>
      <c r="BZ56" s="22" t="s">
        <v>507</v>
      </c>
      <c r="CA56" s="2"/>
      <c r="CB56" s="22"/>
      <c r="CC56" s="22"/>
      <c r="CD56" s="22"/>
      <c r="CE56" s="22" t="str">
        <f t="shared" si="112"/>
        <v>OBL in Transit with Nego Docs - INDIA</v>
      </c>
      <c r="CF56" s="22"/>
      <c r="CG56" s="22"/>
      <c r="CH56" s="181">
        <v>46154</v>
      </c>
      <c r="CI56" s="182">
        <v>6171900372</v>
      </c>
      <c r="CJ56" s="182" t="s">
        <v>508</v>
      </c>
      <c r="CK56" s="2" t="str">
        <f t="shared" si="113"/>
        <v>CERTS in Destination - INDIA</v>
      </c>
      <c r="CL56" s="48" t="s">
        <v>244</v>
      </c>
      <c r="CM56" s="22">
        <v>46168</v>
      </c>
      <c r="CN56" s="55"/>
      <c r="CO56" s="55"/>
      <c r="CP56" s="55" t="str">
        <f t="shared" ref="CP56:CP61" si="148">IF(CO56&lt;&gt;0,"Docs in Buyer's Nego Bank",IF(CN56&lt;&gt;0,"Docs in Transit to Buyer's Nego Bank",IF(CM56&lt;&gt;0,"Docs in Our Nego Bank",IF(CL56="TT PAYMENT","Not Applicable",""))))</f>
        <v>Docs in Our Nego Bank</v>
      </c>
      <c r="CQ56" s="50">
        <f t="shared" si="144"/>
        <v>152772.6</v>
      </c>
      <c r="CR56" s="54"/>
      <c r="CS56" s="2"/>
      <c r="CT56" s="2"/>
      <c r="CU56" s="14" t="str">
        <f t="shared" ref="CU56:CU61" si="149">IF(CS56="","",BJ56-CT56)</f>
        <v/>
      </c>
      <c r="CV56" s="42" t="str">
        <f t="shared" ref="CV56:CV61" si="150">IF(CS56="","",CU56/BJ56)</f>
        <v/>
      </c>
      <c r="CW56" s="14" t="str">
        <f t="shared" ref="CW56:CW61" si="151">IF(CS56="","",AZ56+CQ56)</f>
        <v/>
      </c>
      <c r="CX56" s="14" t="str">
        <f t="shared" ref="CX56:CX61" si="152">IF(CS56="","",BX56*2%)</f>
        <v/>
      </c>
      <c r="CY56" s="15" t="str">
        <f t="shared" ref="CY56:CY61" si="153">IF(CS56="","",AI56/B56)</f>
        <v/>
      </c>
      <c r="CZ56" s="2"/>
      <c r="DA56" s="41" t="str">
        <f t="shared" ref="DA56:DA61" si="154">IF(CS56="","",B56-CZ56)</f>
        <v/>
      </c>
      <c r="DB56" s="2"/>
      <c r="DC56" s="39" t="str">
        <f t="shared" ref="DC56:DC61" si="155">IF(CS56="","",IF(CS56="","",DB56-C56))</f>
        <v/>
      </c>
      <c r="DD56" s="40"/>
      <c r="DE56" s="16" t="str">
        <f t="shared" ref="DE56:DE61" si="156">IF(CS56="","",10%-DD56)</f>
        <v/>
      </c>
      <c r="DF56" s="2" t="str">
        <f t="shared" ref="DF56:DF61" si="157">IF(CS56="","",CU56*AI56)</f>
        <v/>
      </c>
      <c r="DG56" s="14" t="str">
        <f t="shared" ref="DG56:DG61" si="158">IF(CS56="","",IF(DA56&gt;2,2*DA56*CT56*CY56,DA56*CT56*CY56))</f>
        <v/>
      </c>
      <c r="DH56" s="2" t="str">
        <f t="shared" ref="DH56:DH61" si="159">IF(CS56="","",IF(DA56&gt;2,2*(DA56-2*CT56*CY56),0))</f>
        <v/>
      </c>
      <c r="DI56" s="39" t="str">
        <f t="shared" ref="DI56:DI61" si="160">IF(CS56="","",IF(DC56&gt;0,DC56*0.5*CT56,0))</f>
        <v/>
      </c>
      <c r="DJ56" s="2" t="str">
        <f t="shared" ref="DJ56:DJ61" si="161">IF(CS56="","",IF(DE56&lt;0,DE56*CT56*AI56*1%,0))</f>
        <v/>
      </c>
      <c r="DK56" s="15" t="str">
        <f t="shared" ref="DK56:DK61" si="162">IF(CS56="","",SUM(DF56:DJ56))</f>
        <v/>
      </c>
      <c r="DL56" s="2"/>
      <c r="DM56" s="2"/>
      <c r="DN56" s="15" t="str">
        <f t="shared" ref="DN56:DN61" si="163">IF(CS56="","",SUM(DK56:DL56))</f>
        <v/>
      </c>
      <c r="DO56" s="14" t="str">
        <f t="shared" ref="DO56:DO61" si="164">IF(CS56="","",BJ56*AI56-DN56)</f>
        <v/>
      </c>
      <c r="DP56" s="14" t="str">
        <f t="shared" ref="DP56:DP61" si="165">IF(CS56="","",AZ56+CQ56)</f>
        <v/>
      </c>
      <c r="DQ56" s="15" t="str">
        <f t="shared" ref="DQ56:DQ61" si="166">IF(CS56="","",IF((DP56-DO56)&gt;0,DP56-DO56,""))</f>
        <v/>
      </c>
      <c r="DR56" s="15" t="str">
        <f t="shared" ref="DR56:DR61" si="167">IF(CS56="","",IF((DO56-DP56)&gt;0,(DO56-DP56),""))</f>
        <v/>
      </c>
      <c r="DS56" s="2" t="str">
        <f t="shared" ref="DS56:DS61" si="168">IF(CS56="","",IF(DQ56="",H56,"VALENCY"))</f>
        <v/>
      </c>
      <c r="DT56" s="2" t="str">
        <f t="shared" ref="DT56:DT61" si="169">IF(DN56="","",IF(DN56&gt;0,"CN", "DN"))</f>
        <v/>
      </c>
      <c r="DU56" s="2"/>
      <c r="DV56" s="2"/>
      <c r="DW56" s="2"/>
      <c r="DX56" s="2"/>
      <c r="DY56" s="2" t="s">
        <v>230</v>
      </c>
      <c r="DZ56" s="2"/>
      <c r="EA56" s="2" t="str">
        <f t="shared" ref="EA56:EA61" si="170">IF(CS56="","",
   MIN(0,(IF(DA56&gt;2,2,1)*DA56*CT56*CY56))
)</f>
        <v/>
      </c>
      <c r="EB56" s="2"/>
      <c r="EC56" s="2"/>
      <c r="ED56" s="2"/>
      <c r="EE56" s="3"/>
      <c r="EF56" s="7"/>
      <c r="EG56" s="3"/>
      <c r="EH56" s="3" t="s">
        <v>266</v>
      </c>
      <c r="EI56" s="3"/>
      <c r="EJ56" s="189"/>
      <c r="EK56" s="4"/>
      <c r="EL56" s="4"/>
      <c r="EM56" s="9"/>
      <c r="EN56" s="46">
        <f t="shared" ref="EN56:EN61" si="171">EK56*EJ56</f>
        <v>0</v>
      </c>
      <c r="EO56" s="9"/>
      <c r="EP56" s="8"/>
      <c r="EQ56" s="4"/>
      <c r="ER56" s="4"/>
      <c r="ES56" s="7"/>
      <c r="ET56" s="7"/>
      <c r="EU56" s="6"/>
      <c r="EV56" s="2" t="str">
        <f t="shared" si="136"/>
        <v>Export Loan</v>
      </c>
      <c r="EW56" s="46"/>
      <c r="EX56" s="46">
        <f t="shared" ref="EX56:EX61" si="172">EW56/BJ56</f>
        <v>0</v>
      </c>
      <c r="EY56" s="46" t="s">
        <v>233</v>
      </c>
      <c r="EZ56" s="24"/>
      <c r="FA56" s="182" t="s">
        <v>509</v>
      </c>
      <c r="FB56" s="518">
        <v>46168</v>
      </c>
      <c r="FC56" s="53"/>
      <c r="FD56" s="46">
        <f t="shared" ref="FD56:FD61" si="173">FC56*BJ56</f>
        <v>0</v>
      </c>
      <c r="FE56" s="52"/>
      <c r="FF56" s="52"/>
      <c r="FG56" s="49"/>
      <c r="FH56" s="49"/>
      <c r="FI56" s="49"/>
      <c r="FJ56" s="49"/>
      <c r="FK56" s="49"/>
      <c r="FL56" s="49">
        <f t="shared" si="100"/>
        <v>-46146</v>
      </c>
      <c r="FM56" s="180" t="str">
        <f>IFERROR(BM56-#REF!,"")</f>
        <v/>
      </c>
      <c r="FN56" s="49"/>
      <c r="FO56" s="49"/>
      <c r="FP56" s="49"/>
      <c r="FQ56" s="49"/>
      <c r="FR56" s="49"/>
      <c r="FS56" s="34">
        <f t="shared" si="145"/>
        <v>20009550</v>
      </c>
      <c r="FT56" s="34" t="str">
        <f t="shared" si="146"/>
        <v>32014539-1</v>
      </c>
      <c r="FU56" s="3"/>
      <c r="FV56" s="3"/>
      <c r="FW56" s="3"/>
      <c r="FX56" s="3"/>
      <c r="FY56" s="3"/>
      <c r="FZ56" s="3"/>
      <c r="GA56" s="3"/>
      <c r="GB56" s="4"/>
      <c r="GC56" s="3"/>
      <c r="GD56" s="182"/>
      <c r="GE56" s="3"/>
      <c r="GF56" s="3"/>
      <c r="GG56" s="3"/>
      <c r="GH56" s="3"/>
      <c r="GI56" s="3"/>
      <c r="GJ56" s="3"/>
      <c r="GK56" s="3"/>
      <c r="GL56" s="3"/>
      <c r="GM56" s="3"/>
      <c r="GN56" s="3"/>
    </row>
    <row r="57" spans="1:196" s="1" customFormat="1" ht="68.099999999999994">
      <c r="A57" s="2" t="str">
        <f t="shared" si="102"/>
        <v>Stuffed, Yet to Sail</v>
      </c>
      <c r="B57" s="282">
        <v>47</v>
      </c>
      <c r="C57" s="282">
        <v>185</v>
      </c>
      <c r="D57" s="182" t="s">
        <v>208</v>
      </c>
      <c r="E57" s="2" t="str">
        <f t="shared" si="103"/>
        <v>CLOSE POSITION</v>
      </c>
      <c r="F57" s="271" t="str">
        <f t="shared" si="104"/>
        <v>32016309-2</v>
      </c>
      <c r="G57" s="271"/>
      <c r="H57" s="2" t="str">
        <f t="shared" si="105"/>
        <v>Valency Agro (Processing)</v>
      </c>
      <c r="I57" s="3" t="s">
        <v>209</v>
      </c>
      <c r="J57" s="2" t="s">
        <v>210</v>
      </c>
      <c r="K57" s="2" t="str">
        <f t="shared" si="106"/>
        <v>MANGALORE, INDIA</v>
      </c>
      <c r="L57" s="2" t="str">
        <f t="shared" si="147"/>
        <v>MEDULG640963</v>
      </c>
      <c r="M57" s="2">
        <f>EJ57</f>
        <v>100.04300000000001</v>
      </c>
      <c r="N57" s="22" t="str">
        <f t="shared" si="107"/>
        <v/>
      </c>
      <c r="O57" s="22" t="str">
        <f t="shared" si="143"/>
        <v/>
      </c>
      <c r="P57" s="22" t="str">
        <f t="shared" si="108"/>
        <v>No OBL Yet</v>
      </c>
      <c r="Q57" s="2"/>
      <c r="R57" s="2" t="str">
        <f t="shared" si="109"/>
        <v>No CERTS Yet</v>
      </c>
      <c r="S57" s="2" t="str">
        <f t="shared" si="110"/>
        <v/>
      </c>
      <c r="T57" s="2" t="s">
        <v>491</v>
      </c>
      <c r="U57" s="421" t="s">
        <v>492</v>
      </c>
      <c r="V57" s="272"/>
      <c r="W57" s="421"/>
      <c r="X57" s="24"/>
      <c r="Y57" s="273">
        <v>20010137</v>
      </c>
      <c r="Z57" s="24">
        <v>46128</v>
      </c>
      <c r="AA57" s="182" t="s">
        <v>510</v>
      </c>
      <c r="AB57" s="182" t="s">
        <v>247</v>
      </c>
      <c r="AC57" s="181">
        <v>46138</v>
      </c>
      <c r="AD57" s="181">
        <v>46142</v>
      </c>
      <c r="AE57" s="30">
        <v>0.1</v>
      </c>
      <c r="AF57" s="277">
        <v>100.04300000000001</v>
      </c>
      <c r="AG57" s="4">
        <f t="shared" si="111"/>
        <v>90.038700000000006</v>
      </c>
      <c r="AH57" s="3" t="s">
        <v>215</v>
      </c>
      <c r="AI57" s="4">
        <v>1508</v>
      </c>
      <c r="AJ57" s="4">
        <f>AI57*AF57</f>
        <v>150864.84400000001</v>
      </c>
      <c r="AK57" s="3" t="s">
        <v>249</v>
      </c>
      <c r="AL57" s="3" t="s">
        <v>238</v>
      </c>
      <c r="AM57" s="30">
        <v>0</v>
      </c>
      <c r="AN57" s="183">
        <v>1</v>
      </c>
      <c r="AO57" s="183">
        <v>0</v>
      </c>
      <c r="AP57" s="28" t="s">
        <v>218</v>
      </c>
      <c r="AQ57" s="18" t="s">
        <v>250</v>
      </c>
      <c r="AR57" s="18" t="s">
        <v>251</v>
      </c>
      <c r="AS57" s="27"/>
      <c r="AT57" s="3" t="s">
        <v>220</v>
      </c>
      <c r="AU57" s="3" t="s">
        <v>220</v>
      </c>
      <c r="AV57" s="3" t="s">
        <v>220</v>
      </c>
      <c r="AW57" s="9"/>
      <c r="AX57" s="3"/>
      <c r="AY57" s="47"/>
      <c r="AZ57" s="278"/>
      <c r="BA57" s="18" t="s">
        <v>494</v>
      </c>
      <c r="BB57" s="22">
        <v>46127</v>
      </c>
      <c r="BC57" s="22"/>
      <c r="BD57" s="22"/>
      <c r="BE57" s="22"/>
      <c r="BF57" s="22">
        <v>46127</v>
      </c>
      <c r="BG57" s="18"/>
      <c r="BH57" s="18"/>
      <c r="BI57" s="3" t="s">
        <v>511</v>
      </c>
      <c r="BJ57" s="277">
        <v>100.04300000000001</v>
      </c>
      <c r="BK57" s="189"/>
      <c r="BL57" s="497"/>
      <c r="BM57" s="18"/>
      <c r="BN57" s="3" t="s">
        <v>512</v>
      </c>
      <c r="BO57" s="18"/>
      <c r="BP57" s="3" t="s">
        <v>278</v>
      </c>
      <c r="BQ57" s="21" t="s">
        <v>265</v>
      </c>
      <c r="BR57" s="2" t="s">
        <v>226</v>
      </c>
      <c r="BS57" s="2"/>
      <c r="BT57" s="2"/>
      <c r="BU57" s="2"/>
      <c r="BV57" s="20"/>
      <c r="BW57" s="19"/>
      <c r="BX57" s="189"/>
      <c r="BY57" s="22"/>
      <c r="BZ57" s="22"/>
      <c r="CA57" s="2"/>
      <c r="CB57" s="22"/>
      <c r="CC57" s="22"/>
      <c r="CD57" s="22"/>
      <c r="CE57" s="22" t="str">
        <f t="shared" si="112"/>
        <v>No OBL Yet</v>
      </c>
      <c r="CF57" s="22"/>
      <c r="CG57" s="22"/>
      <c r="CH57" s="182"/>
      <c r="CI57" s="182"/>
      <c r="CJ57" s="182"/>
      <c r="CK57" s="2" t="str">
        <f t="shared" si="113"/>
        <v>No CERTS Yet</v>
      </c>
      <c r="CL57" s="48"/>
      <c r="CM57" s="22"/>
      <c r="CN57" s="55"/>
      <c r="CO57" s="55"/>
      <c r="CP57" s="55" t="str">
        <f t="shared" si="148"/>
        <v/>
      </c>
      <c r="CQ57" s="190">
        <f t="shared" si="144"/>
        <v>150864.84400000001</v>
      </c>
      <c r="CR57" s="54"/>
      <c r="CS57" s="2"/>
      <c r="CT57" s="2"/>
      <c r="CU57" s="14" t="str">
        <f t="shared" si="149"/>
        <v/>
      </c>
      <c r="CV57" s="191" t="str">
        <f t="shared" si="150"/>
        <v/>
      </c>
      <c r="CW57" s="14" t="str">
        <f t="shared" si="151"/>
        <v/>
      </c>
      <c r="CX57" s="14" t="str">
        <f t="shared" si="152"/>
        <v/>
      </c>
      <c r="CY57" s="15" t="str">
        <f t="shared" si="153"/>
        <v/>
      </c>
      <c r="CZ57" s="2"/>
      <c r="DA57" s="41" t="str">
        <f t="shared" si="154"/>
        <v/>
      </c>
      <c r="DB57" s="2"/>
      <c r="DC57" s="192" t="str">
        <f t="shared" si="155"/>
        <v/>
      </c>
      <c r="DD57" s="40"/>
      <c r="DE57" s="16" t="str">
        <f t="shared" si="156"/>
        <v/>
      </c>
      <c r="DF57" s="2" t="str">
        <f t="shared" si="157"/>
        <v/>
      </c>
      <c r="DG57" s="14" t="str">
        <f t="shared" si="158"/>
        <v/>
      </c>
      <c r="DH57" s="2" t="str">
        <f t="shared" si="159"/>
        <v/>
      </c>
      <c r="DI57" s="192" t="str">
        <f t="shared" si="160"/>
        <v/>
      </c>
      <c r="DJ57" s="2" t="str">
        <f t="shared" si="161"/>
        <v/>
      </c>
      <c r="DK57" s="15" t="str">
        <f t="shared" si="162"/>
        <v/>
      </c>
      <c r="DL57" s="2"/>
      <c r="DM57" s="2"/>
      <c r="DN57" s="15" t="str">
        <f t="shared" si="163"/>
        <v/>
      </c>
      <c r="DO57" s="14" t="str">
        <f t="shared" si="164"/>
        <v/>
      </c>
      <c r="DP57" s="14" t="str">
        <f t="shared" si="165"/>
        <v/>
      </c>
      <c r="DQ57" s="15" t="str">
        <f t="shared" si="166"/>
        <v/>
      </c>
      <c r="DR57" s="15" t="str">
        <f t="shared" si="167"/>
        <v/>
      </c>
      <c r="DS57" s="2" t="str">
        <f t="shared" si="168"/>
        <v/>
      </c>
      <c r="DT57" s="2" t="str">
        <f t="shared" si="169"/>
        <v/>
      </c>
      <c r="DU57" s="2"/>
      <c r="DV57" s="2"/>
      <c r="DW57" s="2"/>
      <c r="DX57" s="2"/>
      <c r="DY57" s="2" t="s">
        <v>230</v>
      </c>
      <c r="DZ57" s="2"/>
      <c r="EA57" s="2" t="str">
        <f t="shared" si="170"/>
        <v/>
      </c>
      <c r="EB57" s="2"/>
      <c r="EC57" s="2"/>
      <c r="ED57" s="2"/>
      <c r="EE57" s="3">
        <v>4900008821</v>
      </c>
      <c r="EF57" s="7"/>
      <c r="EG57" s="3"/>
      <c r="EH57" s="3" t="s">
        <v>497</v>
      </c>
      <c r="EI57" s="3" t="s">
        <v>258</v>
      </c>
      <c r="EJ57" s="189">
        <v>100.04300000000001</v>
      </c>
      <c r="EK57" s="4">
        <v>1500</v>
      </c>
      <c r="EL57" s="9"/>
      <c r="EM57" s="9"/>
      <c r="EN57" s="189">
        <f t="shared" si="171"/>
        <v>150064.5</v>
      </c>
      <c r="EO57" s="9" t="s">
        <v>232</v>
      </c>
      <c r="EP57" s="8"/>
      <c r="EQ57" s="4"/>
      <c r="ER57" s="4">
        <v>134482.79999999999</v>
      </c>
      <c r="ES57" s="7"/>
      <c r="ET57" s="7"/>
      <c r="EU57" s="6"/>
      <c r="EV57" s="2" t="str">
        <f t="shared" si="136"/>
        <v>Yet to load</v>
      </c>
      <c r="EW57" s="189"/>
      <c r="EX57" s="189">
        <f t="shared" si="172"/>
        <v>0</v>
      </c>
      <c r="EY57" s="189" t="s">
        <v>233</v>
      </c>
      <c r="EZ57" s="24"/>
      <c r="FA57" s="2"/>
      <c r="FB57" s="24"/>
      <c r="FC57" s="193"/>
      <c r="FD57" s="189">
        <f t="shared" si="173"/>
        <v>0</v>
      </c>
      <c r="FE57" s="52"/>
      <c r="FF57" s="52"/>
      <c r="FG57" s="49"/>
      <c r="FH57" s="49"/>
      <c r="FI57" s="49"/>
      <c r="FJ57" s="49"/>
      <c r="FK57" s="49"/>
      <c r="FL57" s="49">
        <f t="shared" si="100"/>
        <v>0</v>
      </c>
      <c r="FM57" s="180">
        <f t="shared" si="101"/>
        <v>0</v>
      </c>
      <c r="FN57" s="49"/>
      <c r="FO57" s="49"/>
      <c r="FP57" s="49"/>
      <c r="FQ57" s="49"/>
      <c r="FR57" s="49"/>
      <c r="FS57" s="34">
        <f t="shared" si="145"/>
        <v>20010137</v>
      </c>
      <c r="FT57" s="34" t="str">
        <f t="shared" si="146"/>
        <v>32016309-2</v>
      </c>
      <c r="FU57" s="3"/>
      <c r="FV57" s="3"/>
      <c r="FW57" s="3"/>
      <c r="FX57" s="3"/>
      <c r="FY57" s="3"/>
      <c r="FZ57" s="3"/>
      <c r="GA57" s="3"/>
      <c r="GB57" s="4"/>
      <c r="GC57" s="3"/>
      <c r="GD57" s="182"/>
      <c r="GE57" s="3"/>
      <c r="GF57" s="3"/>
      <c r="GG57" s="3"/>
      <c r="GH57" s="3"/>
      <c r="GI57" s="3"/>
      <c r="GJ57" s="3"/>
      <c r="GK57" s="3"/>
      <c r="GL57" s="3"/>
      <c r="GM57" s="3"/>
      <c r="GN57" s="3"/>
    </row>
    <row r="58" spans="1:196" s="1" customFormat="1" ht="84.95">
      <c r="A58" s="2" t="str">
        <f t="shared" si="102"/>
        <v>Exp Dox Presented to Bank, Pmt Pending</v>
      </c>
      <c r="B58" s="281">
        <v>50</v>
      </c>
      <c r="C58" s="281">
        <v>185</v>
      </c>
      <c r="D58" s="182" t="s">
        <v>208</v>
      </c>
      <c r="E58" s="2" t="str">
        <f t="shared" si="103"/>
        <v>CLOSE POSITION</v>
      </c>
      <c r="F58" s="271" t="str">
        <f t="shared" si="104"/>
        <v>32014448-5</v>
      </c>
      <c r="G58" s="271"/>
      <c r="H58" s="2" t="str">
        <f t="shared" si="105"/>
        <v>Valency Agro (Processing)</v>
      </c>
      <c r="I58" s="3" t="s">
        <v>209</v>
      </c>
      <c r="J58" s="2" t="s">
        <v>210</v>
      </c>
      <c r="K58" s="2" t="str">
        <f t="shared" si="106"/>
        <v>MANGALORE INDIA</v>
      </c>
      <c r="L58" s="2" t="str">
        <f t="shared" si="147"/>
        <v>MEDULG620791</v>
      </c>
      <c r="M58" s="2">
        <f t="shared" ref="M58:M89" si="174">IF(BJ58&lt;&gt;0,BJ58,"")</f>
        <v>25.55</v>
      </c>
      <c r="N58" s="22">
        <f t="shared" si="107"/>
        <v>46100</v>
      </c>
      <c r="O58" s="22">
        <f t="shared" si="143"/>
        <v>46163</v>
      </c>
      <c r="P58" s="22" t="str">
        <f t="shared" si="108"/>
        <v>OBL In Destination - INDIA</v>
      </c>
      <c r="Q58" s="2"/>
      <c r="R58" s="2" t="str">
        <f t="shared" si="109"/>
        <v>CERTS in Destination - INDIA</v>
      </c>
      <c r="S58" s="2" t="str">
        <f t="shared" si="110"/>
        <v>Docs in Buyer's Nego Bank</v>
      </c>
      <c r="T58" s="2" t="str">
        <f>IFERROR(_xlfn.XLOOKUP(F58,
'[2]Data 2026'!$H$12:$H$111,
'[2]Data 2026'!$CL$12:$CL$111),"")</f>
        <v/>
      </c>
      <c r="U58" s="3" t="s">
        <v>466</v>
      </c>
      <c r="V58" s="272"/>
      <c r="W58" s="3" t="s">
        <v>467</v>
      </c>
      <c r="X58" s="24">
        <v>46066</v>
      </c>
      <c r="Y58" s="273">
        <v>20009485</v>
      </c>
      <c r="Z58" s="24">
        <v>46066</v>
      </c>
      <c r="AA58" s="182" t="s">
        <v>310</v>
      </c>
      <c r="AB58" s="182" t="s">
        <v>247</v>
      </c>
      <c r="AC58" s="203">
        <v>46082</v>
      </c>
      <c r="AD58" s="203">
        <v>46112</v>
      </c>
      <c r="AE58" s="30">
        <v>0.1</v>
      </c>
      <c r="AF58" s="277">
        <f>BJ58</f>
        <v>25.55</v>
      </c>
      <c r="AG58" s="35">
        <f t="shared" si="111"/>
        <v>22.995000000000001</v>
      </c>
      <c r="AH58" s="3" t="s">
        <v>215</v>
      </c>
      <c r="AI58" s="4">
        <v>1683</v>
      </c>
      <c r="AJ58" s="4">
        <v>1700000</v>
      </c>
      <c r="AK58" s="3" t="s">
        <v>249</v>
      </c>
      <c r="AL58" s="3" t="s">
        <v>217</v>
      </c>
      <c r="AM58" s="30">
        <v>0</v>
      </c>
      <c r="AN58" s="183">
        <v>1</v>
      </c>
      <c r="AO58" s="183">
        <v>0</v>
      </c>
      <c r="AP58" s="28" t="s">
        <v>218</v>
      </c>
      <c r="AQ58" s="18" t="s">
        <v>250</v>
      </c>
      <c r="AR58" s="18" t="s">
        <v>251</v>
      </c>
      <c r="AS58" s="27"/>
      <c r="AT58" s="3" t="s">
        <v>220</v>
      </c>
      <c r="AU58" s="3" t="s">
        <v>220</v>
      </c>
      <c r="AV58" s="3" t="s">
        <v>220</v>
      </c>
      <c r="AW58" s="9"/>
      <c r="AX58" s="3"/>
      <c r="AY58" s="47"/>
      <c r="AZ58" s="275">
        <f>AF58*AI58*AM58</f>
        <v>0</v>
      </c>
      <c r="BA58" s="18">
        <v>46069</v>
      </c>
      <c r="BB58" s="22">
        <v>46073</v>
      </c>
      <c r="BC58" s="22"/>
      <c r="BD58" s="22"/>
      <c r="BE58" s="22"/>
      <c r="BF58" s="22">
        <v>46073</v>
      </c>
      <c r="BG58" s="18"/>
      <c r="BH58" s="18"/>
      <c r="BI58" s="420" t="s">
        <v>513</v>
      </c>
      <c r="BJ58" s="25">
        <v>25.55</v>
      </c>
      <c r="BK58" s="46" t="s">
        <v>222</v>
      </c>
      <c r="BL58" s="497">
        <v>1</v>
      </c>
      <c r="BM58" s="18">
        <v>46100</v>
      </c>
      <c r="BN58" s="4" t="s">
        <v>514</v>
      </c>
      <c r="BO58" s="18">
        <v>46163</v>
      </c>
      <c r="BP58" s="3" t="s">
        <v>278</v>
      </c>
      <c r="BQ58" s="21" t="s">
        <v>363</v>
      </c>
      <c r="BR58" s="2" t="s">
        <v>226</v>
      </c>
      <c r="BS58" s="2" t="s">
        <v>306</v>
      </c>
      <c r="BT58" s="2"/>
      <c r="BU58" s="2"/>
      <c r="BV58" s="20">
        <v>90084570</v>
      </c>
      <c r="BW58" s="19"/>
      <c r="BX58" s="46">
        <f t="shared" ref="BX58:BX83" si="175">BJ58*AI58</f>
        <v>43000.65</v>
      </c>
      <c r="BY58" s="22">
        <v>46123</v>
      </c>
      <c r="BZ58" s="22">
        <v>46127</v>
      </c>
      <c r="CA58" s="2">
        <v>9617295796</v>
      </c>
      <c r="CB58" s="22">
        <v>46132</v>
      </c>
      <c r="CC58" s="22"/>
      <c r="CD58" s="22"/>
      <c r="CE58" s="22" t="str">
        <f t="shared" si="112"/>
        <v>OBL In Destination - INDIA</v>
      </c>
      <c r="CF58" s="22"/>
      <c r="CG58" s="22"/>
      <c r="CH58" s="22">
        <v>46134</v>
      </c>
      <c r="CI58" s="182">
        <v>9882466941</v>
      </c>
      <c r="CJ58" s="52">
        <v>46140</v>
      </c>
      <c r="CK58" s="2" t="str">
        <f t="shared" si="113"/>
        <v>CERTS in Destination - INDIA</v>
      </c>
      <c r="CL58" s="48" t="s">
        <v>229</v>
      </c>
      <c r="CM58" s="22">
        <v>46139</v>
      </c>
      <c r="CN58" s="55">
        <v>8585994476</v>
      </c>
      <c r="CO58" s="54">
        <v>46147</v>
      </c>
      <c r="CP58" s="55" t="str">
        <f t="shared" si="148"/>
        <v>Docs in Buyer's Nego Bank</v>
      </c>
      <c r="CQ58" s="50">
        <f t="shared" si="144"/>
        <v>43000.65</v>
      </c>
      <c r="CR58" s="54"/>
      <c r="CS58" s="2"/>
      <c r="CT58" s="2"/>
      <c r="CU58" s="14" t="str">
        <f t="shared" si="149"/>
        <v/>
      </c>
      <c r="CV58" s="42" t="str">
        <f t="shared" si="150"/>
        <v/>
      </c>
      <c r="CW58" s="14" t="str">
        <f t="shared" si="151"/>
        <v/>
      </c>
      <c r="CX58" s="14" t="str">
        <f t="shared" si="152"/>
        <v/>
      </c>
      <c r="CY58" s="15" t="str">
        <f t="shared" si="153"/>
        <v/>
      </c>
      <c r="CZ58" s="2"/>
      <c r="DA58" s="41" t="str">
        <f t="shared" si="154"/>
        <v/>
      </c>
      <c r="DB58" s="2"/>
      <c r="DC58" s="39" t="str">
        <f t="shared" si="155"/>
        <v/>
      </c>
      <c r="DD58" s="40"/>
      <c r="DE58" s="16" t="str">
        <f t="shared" si="156"/>
        <v/>
      </c>
      <c r="DF58" s="2" t="str">
        <f t="shared" si="157"/>
        <v/>
      </c>
      <c r="DG58" s="14" t="str">
        <f t="shared" si="158"/>
        <v/>
      </c>
      <c r="DH58" s="2" t="str">
        <f t="shared" si="159"/>
        <v/>
      </c>
      <c r="DI58" s="39" t="str">
        <f t="shared" si="160"/>
        <v/>
      </c>
      <c r="DJ58" s="2" t="str">
        <f t="shared" si="161"/>
        <v/>
      </c>
      <c r="DK58" s="15" t="str">
        <f t="shared" si="162"/>
        <v/>
      </c>
      <c r="DL58" s="2"/>
      <c r="DM58" s="2"/>
      <c r="DN58" s="15" t="str">
        <f t="shared" si="163"/>
        <v/>
      </c>
      <c r="DO58" s="14" t="str">
        <f t="shared" si="164"/>
        <v/>
      </c>
      <c r="DP58" s="14" t="str">
        <f t="shared" si="165"/>
        <v/>
      </c>
      <c r="DQ58" s="15" t="str">
        <f t="shared" si="166"/>
        <v/>
      </c>
      <c r="DR58" s="15" t="str">
        <f t="shared" si="167"/>
        <v/>
      </c>
      <c r="DS58" s="2" t="str">
        <f t="shared" si="168"/>
        <v/>
      </c>
      <c r="DT58" s="2" t="str">
        <f t="shared" si="169"/>
        <v/>
      </c>
      <c r="DU58" s="2"/>
      <c r="DV58" s="2"/>
      <c r="DW58" s="2"/>
      <c r="DX58" s="2"/>
      <c r="DY58" s="2" t="s">
        <v>230</v>
      </c>
      <c r="DZ58" s="2"/>
      <c r="EA58" s="2" t="str">
        <f t="shared" si="170"/>
        <v/>
      </c>
      <c r="EB58" s="2"/>
      <c r="EC58" s="2"/>
      <c r="ED58" s="2"/>
      <c r="EE58" s="3">
        <v>4900009113</v>
      </c>
      <c r="EF58" s="7"/>
      <c r="EG58" s="3"/>
      <c r="EH58" s="3" t="s">
        <v>307</v>
      </c>
      <c r="EI58" s="3" t="s">
        <v>258</v>
      </c>
      <c r="EJ58" s="189">
        <f>BJ58</f>
        <v>25.55</v>
      </c>
      <c r="EK58" s="4">
        <v>1600</v>
      </c>
      <c r="EL58" s="4"/>
      <c r="EM58" s="9"/>
      <c r="EN58" s="46">
        <f t="shared" si="171"/>
        <v>40880</v>
      </c>
      <c r="EO58" s="9" t="s">
        <v>232</v>
      </c>
      <c r="EP58" s="8"/>
      <c r="EQ58" s="4"/>
      <c r="ER58" s="4">
        <v>40062.400000000001</v>
      </c>
      <c r="ES58" s="7"/>
      <c r="ET58" s="7"/>
      <c r="EU58" s="6"/>
      <c r="EV58" s="2" t="str">
        <f t="shared" si="136"/>
        <v>Export Loan</v>
      </c>
      <c r="EW58" s="46"/>
      <c r="EX58" s="46">
        <f t="shared" si="172"/>
        <v>0</v>
      </c>
      <c r="EY58" s="46" t="s">
        <v>233</v>
      </c>
      <c r="EZ58" s="24"/>
      <c r="FA58" s="2"/>
      <c r="FB58" s="24"/>
      <c r="FC58" s="53"/>
      <c r="FD58" s="46">
        <f t="shared" si="173"/>
        <v>0</v>
      </c>
      <c r="FE58" s="52"/>
      <c r="FF58" s="52"/>
      <c r="FG58" s="49"/>
      <c r="FH58" s="49"/>
      <c r="FI58" s="49"/>
      <c r="FJ58" s="49"/>
      <c r="FK58" s="49"/>
      <c r="FL58" s="49">
        <f t="shared" si="100"/>
        <v>-46123</v>
      </c>
      <c r="FM58" s="180">
        <f t="shared" si="101"/>
        <v>46100</v>
      </c>
      <c r="FN58" s="49"/>
      <c r="FO58" s="49"/>
      <c r="FP58" s="49"/>
      <c r="FQ58" s="49"/>
      <c r="FR58" s="49"/>
      <c r="FS58" s="34">
        <f t="shared" si="145"/>
        <v>20009485</v>
      </c>
      <c r="FT58" s="34" t="str">
        <f t="shared" si="146"/>
        <v>32014448-5</v>
      </c>
      <c r="FU58" s="3"/>
      <c r="FV58" s="3"/>
      <c r="FW58" s="3"/>
      <c r="FX58" s="3"/>
      <c r="FY58" s="3"/>
      <c r="FZ58" s="3"/>
      <c r="GA58" s="3"/>
      <c r="GB58" s="4"/>
      <c r="GC58" s="3"/>
      <c r="GD58" s="182"/>
      <c r="GE58" s="2"/>
      <c r="GF58" s="2"/>
      <c r="GG58" s="2"/>
      <c r="GH58" s="2"/>
      <c r="GI58" s="2"/>
      <c r="GJ58" s="2"/>
      <c r="GK58" s="2"/>
      <c r="GL58" s="2"/>
      <c r="GM58" s="2"/>
      <c r="GN58" s="2"/>
    </row>
    <row r="59" spans="1:196" s="1" customFormat="1" ht="68.099999999999994">
      <c r="A59" s="2" t="str">
        <f t="shared" si="102"/>
        <v xml:space="preserve"> Final Pmt Recd , FNF Pending</v>
      </c>
      <c r="B59" s="281">
        <v>51</v>
      </c>
      <c r="C59" s="281">
        <v>190</v>
      </c>
      <c r="D59" s="182" t="s">
        <v>208</v>
      </c>
      <c r="E59" s="2" t="str">
        <f t="shared" si="103"/>
        <v>CLOSE POSITION</v>
      </c>
      <c r="F59" s="271">
        <f t="shared" si="104"/>
        <v>32013805</v>
      </c>
      <c r="G59" s="271"/>
      <c r="H59" s="2" t="str">
        <f t="shared" si="105"/>
        <v>AGGARWAL AND COMPANY</v>
      </c>
      <c r="I59" s="3" t="s">
        <v>209</v>
      </c>
      <c r="J59" s="2" t="s">
        <v>210</v>
      </c>
      <c r="K59" s="2" t="str">
        <f t="shared" si="106"/>
        <v>MUNDRA, INDIA</v>
      </c>
      <c r="L59" s="2" t="str">
        <f t="shared" si="147"/>
        <v>MEDULG623779</v>
      </c>
      <c r="M59" s="2">
        <f t="shared" si="174"/>
        <v>100.002</v>
      </c>
      <c r="N59" s="22">
        <f t="shared" si="107"/>
        <v>46105</v>
      </c>
      <c r="O59" s="22">
        <f t="shared" si="143"/>
        <v>46164</v>
      </c>
      <c r="P59" s="22" t="str">
        <f t="shared" si="108"/>
        <v>OBL In Destination - INDIA</v>
      </c>
      <c r="Q59" s="2"/>
      <c r="R59" s="2" t="str">
        <f t="shared" si="109"/>
        <v>CERTS in Destination - INDIA</v>
      </c>
      <c r="S59" s="2" t="str">
        <f t="shared" si="110"/>
        <v>Docs in Buyer's Nego Bank</v>
      </c>
      <c r="T59" s="2" t="str">
        <f>IFERROR(_xlfn.XLOOKUP(F59,
'[2]Data 2026'!$H$12:$H$111,
'[2]Data 2026'!$CL$12:$CL$111),"")</f>
        <v/>
      </c>
      <c r="U59" s="3" t="s">
        <v>515</v>
      </c>
      <c r="V59" s="272"/>
      <c r="W59" s="3"/>
      <c r="X59" s="24">
        <v>46034</v>
      </c>
      <c r="Y59" s="273">
        <v>20009167</v>
      </c>
      <c r="Z59" s="24">
        <v>46035</v>
      </c>
      <c r="AA59" s="182">
        <v>32013805</v>
      </c>
      <c r="AB59" s="182" t="s">
        <v>516</v>
      </c>
      <c r="AC59" s="182" t="s">
        <v>517</v>
      </c>
      <c r="AD59" s="181">
        <v>46112</v>
      </c>
      <c r="AE59" s="30">
        <v>0.1</v>
      </c>
      <c r="AF59" s="508">
        <v>100.002</v>
      </c>
      <c r="AG59" s="35">
        <f t="shared" si="111"/>
        <v>90.001800000000003</v>
      </c>
      <c r="AH59" s="3" t="s">
        <v>215</v>
      </c>
      <c r="AI59" s="4">
        <v>1620</v>
      </c>
      <c r="AJ59" s="4">
        <v>162000</v>
      </c>
      <c r="AK59" s="3" t="s">
        <v>249</v>
      </c>
      <c r="AL59" s="3" t="s">
        <v>238</v>
      </c>
      <c r="AM59" s="183">
        <v>0.1</v>
      </c>
      <c r="AN59" s="183">
        <v>0.9</v>
      </c>
      <c r="AO59" s="183">
        <v>0</v>
      </c>
      <c r="AP59" s="28" t="s">
        <v>218</v>
      </c>
      <c r="AQ59" s="18" t="s">
        <v>239</v>
      </c>
      <c r="AR59" s="18" t="s">
        <v>518</v>
      </c>
      <c r="AS59" s="27">
        <v>5</v>
      </c>
      <c r="AT59" s="3" t="s">
        <v>220</v>
      </c>
      <c r="AU59" s="3" t="s">
        <v>220</v>
      </c>
      <c r="AV59" s="3" t="s">
        <v>220</v>
      </c>
      <c r="AW59" s="9"/>
      <c r="AX59" s="3"/>
      <c r="AY59" s="47">
        <v>46042</v>
      </c>
      <c r="AZ59" s="275">
        <f>AF59*AI59*AM59</f>
        <v>16200.324000000001</v>
      </c>
      <c r="BA59" s="22">
        <v>46042</v>
      </c>
      <c r="BB59" s="22">
        <v>46042</v>
      </c>
      <c r="BC59" s="22"/>
      <c r="BD59" s="22"/>
      <c r="BE59" s="22"/>
      <c r="BF59" s="22">
        <v>46042</v>
      </c>
      <c r="BG59" s="18"/>
      <c r="BH59" s="18"/>
      <c r="BI59" s="3" t="s">
        <v>519</v>
      </c>
      <c r="BJ59" s="25">
        <v>100.002</v>
      </c>
      <c r="BK59" s="46" t="s">
        <v>222</v>
      </c>
      <c r="BL59" s="497">
        <v>4</v>
      </c>
      <c r="BM59" s="18">
        <v>46105</v>
      </c>
      <c r="BN59" s="4" t="s">
        <v>520</v>
      </c>
      <c r="BO59" s="18">
        <v>46164</v>
      </c>
      <c r="BP59" s="3" t="s">
        <v>278</v>
      </c>
      <c r="BQ59" s="21" t="s">
        <v>253</v>
      </c>
      <c r="BR59" s="2" t="s">
        <v>226</v>
      </c>
      <c r="BS59" s="2"/>
      <c r="BT59" s="2"/>
      <c r="BU59" s="2"/>
      <c r="BV59" s="20">
        <v>90084848</v>
      </c>
      <c r="BW59" s="7">
        <v>46141</v>
      </c>
      <c r="BX59" s="46">
        <f t="shared" si="175"/>
        <v>162003.24</v>
      </c>
      <c r="BY59" s="22"/>
      <c r="BZ59" s="22">
        <v>46130</v>
      </c>
      <c r="CA59" s="2">
        <v>46130</v>
      </c>
      <c r="CB59" s="22">
        <v>46134</v>
      </c>
      <c r="CC59" s="22"/>
      <c r="CD59" s="22"/>
      <c r="CE59" s="22" t="str">
        <f t="shared" si="112"/>
        <v>OBL In Destination - INDIA</v>
      </c>
      <c r="CF59" s="22"/>
      <c r="CG59" s="22"/>
      <c r="CH59" s="22">
        <v>46139</v>
      </c>
      <c r="CI59" s="2">
        <v>8305124866</v>
      </c>
      <c r="CJ59" s="22">
        <v>46157</v>
      </c>
      <c r="CK59" s="2" t="str">
        <f t="shared" si="113"/>
        <v>CERTS in Destination - INDIA</v>
      </c>
      <c r="CL59" s="48" t="s">
        <v>244</v>
      </c>
      <c r="CM59" s="22">
        <v>46142</v>
      </c>
      <c r="CN59" s="55">
        <v>6385613113</v>
      </c>
      <c r="CO59" s="54">
        <v>46150</v>
      </c>
      <c r="CP59" s="55" t="str">
        <f t="shared" si="148"/>
        <v>Docs in Buyer's Nego Bank</v>
      </c>
      <c r="CQ59" s="50">
        <v>145803.24</v>
      </c>
      <c r="CR59" s="54">
        <v>46170</v>
      </c>
      <c r="CS59" s="2"/>
      <c r="CT59" s="2"/>
      <c r="CU59" s="14" t="str">
        <f t="shared" si="149"/>
        <v/>
      </c>
      <c r="CV59" s="42" t="str">
        <f t="shared" si="150"/>
        <v/>
      </c>
      <c r="CW59" s="14" t="str">
        <f t="shared" si="151"/>
        <v/>
      </c>
      <c r="CX59" s="14" t="str">
        <f t="shared" si="152"/>
        <v/>
      </c>
      <c r="CY59" s="15" t="str">
        <f t="shared" si="153"/>
        <v/>
      </c>
      <c r="CZ59" s="2"/>
      <c r="DA59" s="41" t="str">
        <f t="shared" si="154"/>
        <v/>
      </c>
      <c r="DB59" s="2"/>
      <c r="DC59" s="39" t="str">
        <f t="shared" si="155"/>
        <v/>
      </c>
      <c r="DD59" s="40"/>
      <c r="DE59" s="16" t="str">
        <f t="shared" si="156"/>
        <v/>
      </c>
      <c r="DF59" s="2" t="str">
        <f t="shared" si="157"/>
        <v/>
      </c>
      <c r="DG59" s="14" t="str">
        <f t="shared" si="158"/>
        <v/>
      </c>
      <c r="DH59" s="2" t="str">
        <f t="shared" si="159"/>
        <v/>
      </c>
      <c r="DI59" s="39" t="str">
        <f t="shared" si="160"/>
        <v/>
      </c>
      <c r="DJ59" s="2" t="str">
        <f t="shared" si="161"/>
        <v/>
      </c>
      <c r="DK59" s="15" t="str">
        <f t="shared" si="162"/>
        <v/>
      </c>
      <c r="DL59" s="2"/>
      <c r="DM59" s="2"/>
      <c r="DN59" s="15" t="str">
        <f t="shared" si="163"/>
        <v/>
      </c>
      <c r="DO59" s="14" t="str">
        <f t="shared" si="164"/>
        <v/>
      </c>
      <c r="DP59" s="14" t="str">
        <f t="shared" si="165"/>
        <v/>
      </c>
      <c r="DQ59" s="15" t="str">
        <f t="shared" si="166"/>
        <v/>
      </c>
      <c r="DR59" s="15" t="str">
        <f t="shared" si="167"/>
        <v/>
      </c>
      <c r="DS59" s="2" t="str">
        <f t="shared" si="168"/>
        <v/>
      </c>
      <c r="DT59" s="2" t="str">
        <f t="shared" si="169"/>
        <v/>
      </c>
      <c r="DU59" s="2"/>
      <c r="DV59" s="2"/>
      <c r="DW59" s="2"/>
      <c r="DX59" s="2"/>
      <c r="DY59" s="2" t="s">
        <v>230</v>
      </c>
      <c r="DZ59" s="2"/>
      <c r="EA59" s="2" t="str">
        <f t="shared" si="170"/>
        <v/>
      </c>
      <c r="EB59" s="2">
        <v>47.23</v>
      </c>
      <c r="EC59" s="2">
        <v>192</v>
      </c>
      <c r="ED59" s="2">
        <v>8.75</v>
      </c>
      <c r="EE59" s="3">
        <v>4900008821</v>
      </c>
      <c r="EF59" s="7">
        <v>46032</v>
      </c>
      <c r="EG59" s="3"/>
      <c r="EH59" s="3" t="s">
        <v>497</v>
      </c>
      <c r="EI59" s="3" t="s">
        <v>258</v>
      </c>
      <c r="EJ59" s="507">
        <v>100.002</v>
      </c>
      <c r="EK59" s="4">
        <v>1500</v>
      </c>
      <c r="EL59" s="11" t="s">
        <v>220</v>
      </c>
      <c r="EM59" s="7"/>
      <c r="EN59" s="46">
        <f t="shared" si="171"/>
        <v>150003</v>
      </c>
      <c r="EO59" s="3" t="s">
        <v>232</v>
      </c>
      <c r="EP59" s="3"/>
      <c r="EQ59" s="3"/>
      <c r="ER59" s="3">
        <v>138479.20000000001</v>
      </c>
      <c r="ES59" s="7"/>
      <c r="ET59" s="3"/>
      <c r="EU59" s="3"/>
      <c r="EV59" s="2" t="str">
        <f t="shared" si="136"/>
        <v>Final Pmt Recd</v>
      </c>
      <c r="EW59" s="46"/>
      <c r="EX59" s="46">
        <f t="shared" si="172"/>
        <v>0</v>
      </c>
      <c r="EY59" s="46" t="s">
        <v>233</v>
      </c>
      <c r="EZ59" s="24"/>
      <c r="FA59" s="2">
        <v>22138858</v>
      </c>
      <c r="FB59" s="24"/>
      <c r="FC59" s="53"/>
      <c r="FD59" s="46">
        <f t="shared" si="173"/>
        <v>0</v>
      </c>
      <c r="FE59" s="52"/>
      <c r="FF59" s="52"/>
      <c r="FG59" s="49"/>
      <c r="FH59" s="49"/>
      <c r="FI59" s="49"/>
      <c r="FJ59" s="49"/>
      <c r="FK59" s="49"/>
      <c r="FL59" s="49">
        <f t="shared" si="100"/>
        <v>0</v>
      </c>
      <c r="FM59" s="180">
        <f t="shared" si="101"/>
        <v>46105</v>
      </c>
      <c r="FN59" s="49"/>
      <c r="FO59" s="49"/>
      <c r="FP59" s="49"/>
      <c r="FQ59" s="49"/>
      <c r="FR59" s="49"/>
      <c r="FS59" s="6">
        <v>20009167</v>
      </c>
      <c r="FT59" s="3">
        <v>32013805</v>
      </c>
      <c r="FU59" s="3">
        <v>4900008821</v>
      </c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4"/>
    </row>
    <row r="60" spans="1:196" s="1" customFormat="1" ht="51">
      <c r="A60" s="2" t="str">
        <f t="shared" si="102"/>
        <v xml:space="preserve"> Final Pmt Recd , FNF Pending</v>
      </c>
      <c r="B60" s="281">
        <v>51</v>
      </c>
      <c r="C60" s="281">
        <v>190</v>
      </c>
      <c r="D60" s="182" t="s">
        <v>208</v>
      </c>
      <c r="E60" s="2" t="str">
        <f t="shared" si="103"/>
        <v>CLOSE POSITION</v>
      </c>
      <c r="F60" s="271">
        <f t="shared" si="104"/>
        <v>32013806</v>
      </c>
      <c r="G60" s="271"/>
      <c r="H60" s="2" t="str">
        <f t="shared" si="105"/>
        <v>AGGARWAL AND COMPANY</v>
      </c>
      <c r="I60" s="3" t="s">
        <v>209</v>
      </c>
      <c r="J60" s="2" t="s">
        <v>210</v>
      </c>
      <c r="K60" s="2" t="str">
        <f t="shared" si="106"/>
        <v>MUNDRA, INDIA</v>
      </c>
      <c r="L60" s="2" t="str">
        <f t="shared" si="147"/>
        <v>ONEYLOSG01116600</v>
      </c>
      <c r="M60" s="2">
        <f t="shared" si="174"/>
        <v>107.34</v>
      </c>
      <c r="N60" s="22">
        <f t="shared" si="107"/>
        <v>46130</v>
      </c>
      <c r="O60" s="22">
        <f t="shared" si="143"/>
        <v>46163</v>
      </c>
      <c r="P60" s="22" t="str">
        <f t="shared" si="108"/>
        <v>OBL In Destination - INDIA</v>
      </c>
      <c r="Q60" s="2"/>
      <c r="R60" s="2" t="str">
        <f t="shared" si="109"/>
        <v>CERTS in Destination - INDIA</v>
      </c>
      <c r="S60" s="2" t="str">
        <f t="shared" si="110"/>
        <v>Docs in Buyer's Nego Bank</v>
      </c>
      <c r="T60" s="2" t="str">
        <f>IFERROR(_xlfn.XLOOKUP(F60,
'[2]Data 2026'!$H$12:$H$111,
'[2]Data 2026'!$CL$12:$CL$111),"")</f>
        <v/>
      </c>
      <c r="U60" s="3" t="s">
        <v>292</v>
      </c>
      <c r="V60" s="272"/>
      <c r="W60" s="3"/>
      <c r="X60" s="24">
        <v>46034</v>
      </c>
      <c r="Y60" s="273">
        <v>20009168</v>
      </c>
      <c r="Z60" s="24">
        <v>46035</v>
      </c>
      <c r="AA60" s="182">
        <v>32013806</v>
      </c>
      <c r="AB60" s="182" t="s">
        <v>516</v>
      </c>
      <c r="AC60" s="182" t="s">
        <v>517</v>
      </c>
      <c r="AD60" s="181">
        <v>46112</v>
      </c>
      <c r="AE60" s="30">
        <v>0.1</v>
      </c>
      <c r="AF60" s="277">
        <v>100</v>
      </c>
      <c r="AG60" s="35">
        <f t="shared" si="111"/>
        <v>90</v>
      </c>
      <c r="AH60" s="3" t="s">
        <v>215</v>
      </c>
      <c r="AI60" s="4">
        <v>1620</v>
      </c>
      <c r="AJ60" s="4">
        <v>162000</v>
      </c>
      <c r="AK60" s="3" t="s">
        <v>249</v>
      </c>
      <c r="AL60" s="3" t="s">
        <v>238</v>
      </c>
      <c r="AM60" s="183">
        <v>0.1</v>
      </c>
      <c r="AN60" s="183">
        <v>0.9</v>
      </c>
      <c r="AO60" s="183">
        <v>0</v>
      </c>
      <c r="AP60" s="28" t="s">
        <v>218</v>
      </c>
      <c r="AQ60" s="18" t="s">
        <v>239</v>
      </c>
      <c r="AR60" s="18" t="s">
        <v>518</v>
      </c>
      <c r="AS60" s="27">
        <v>5</v>
      </c>
      <c r="AT60" s="3" t="s">
        <v>220</v>
      </c>
      <c r="AU60" s="3" t="s">
        <v>220</v>
      </c>
      <c r="AV60" s="3" t="s">
        <v>220</v>
      </c>
      <c r="AW60" s="9"/>
      <c r="AX60" s="3"/>
      <c r="AY60" s="47">
        <v>46042</v>
      </c>
      <c r="AZ60" s="275">
        <f>AF60*AI60*AM60</f>
        <v>16200</v>
      </c>
      <c r="BA60" s="22">
        <v>46042</v>
      </c>
      <c r="BB60" s="22">
        <v>46042</v>
      </c>
      <c r="BC60" s="22"/>
      <c r="BD60" s="22"/>
      <c r="BE60" s="22"/>
      <c r="BF60" s="22">
        <v>46042</v>
      </c>
      <c r="BG60" s="18"/>
      <c r="BH60" s="18"/>
      <c r="BI60" s="3" t="s">
        <v>521</v>
      </c>
      <c r="BJ60" s="25">
        <v>107.34</v>
      </c>
      <c r="BK60" s="46" t="s">
        <v>222</v>
      </c>
      <c r="BL60" s="497">
        <v>4</v>
      </c>
      <c r="BM60" s="18">
        <v>46130</v>
      </c>
      <c r="BN60" s="4"/>
      <c r="BO60" s="18">
        <v>46163</v>
      </c>
      <c r="BP60" s="3" t="s">
        <v>278</v>
      </c>
      <c r="BQ60" s="21" t="s">
        <v>253</v>
      </c>
      <c r="BR60" s="2" t="s">
        <v>288</v>
      </c>
      <c r="BS60" s="2"/>
      <c r="BT60" s="2" t="s">
        <v>299</v>
      </c>
      <c r="BU60" s="2"/>
      <c r="BV60" s="20">
        <v>90085096</v>
      </c>
      <c r="BW60" s="7">
        <v>46142</v>
      </c>
      <c r="BX60" s="46">
        <f t="shared" si="175"/>
        <v>173890.80000000002</v>
      </c>
      <c r="BY60" s="22"/>
      <c r="BZ60" s="22">
        <v>46134</v>
      </c>
      <c r="CA60" s="2">
        <v>46135</v>
      </c>
      <c r="CB60" s="22">
        <v>46139</v>
      </c>
      <c r="CC60" s="22"/>
      <c r="CD60" s="22"/>
      <c r="CE60" s="22" t="str">
        <f t="shared" si="112"/>
        <v>OBL In Destination - INDIA</v>
      </c>
      <c r="CF60" s="22"/>
      <c r="CG60" s="22"/>
      <c r="CH60" s="22">
        <v>46142</v>
      </c>
      <c r="CI60" s="2">
        <v>8305124866</v>
      </c>
      <c r="CJ60" s="22">
        <v>46157</v>
      </c>
      <c r="CK60" s="2" t="str">
        <f t="shared" si="113"/>
        <v>CERTS in Destination - INDIA</v>
      </c>
      <c r="CL60" s="48" t="s">
        <v>522</v>
      </c>
      <c r="CM60" s="22">
        <v>46149</v>
      </c>
      <c r="CN60" s="55">
        <v>6644874342</v>
      </c>
      <c r="CO60" s="54">
        <v>46150</v>
      </c>
      <c r="CP60" s="55" t="str">
        <f t="shared" si="148"/>
        <v>Docs in Buyer's Nego Bank</v>
      </c>
      <c r="CQ60" s="50">
        <v>157690.79999999999</v>
      </c>
      <c r="CR60" s="54">
        <v>46169</v>
      </c>
      <c r="CS60" s="2"/>
      <c r="CT60" s="2"/>
      <c r="CU60" s="14" t="str">
        <f t="shared" si="149"/>
        <v/>
      </c>
      <c r="CV60" s="42" t="str">
        <f t="shared" si="150"/>
        <v/>
      </c>
      <c r="CW60" s="14" t="str">
        <f t="shared" si="151"/>
        <v/>
      </c>
      <c r="CX60" s="14" t="str">
        <f t="shared" si="152"/>
        <v/>
      </c>
      <c r="CY60" s="15" t="str">
        <f t="shared" si="153"/>
        <v/>
      </c>
      <c r="CZ60" s="2"/>
      <c r="DA60" s="41" t="str">
        <f t="shared" si="154"/>
        <v/>
      </c>
      <c r="DB60" s="2"/>
      <c r="DC60" s="39" t="str">
        <f t="shared" si="155"/>
        <v/>
      </c>
      <c r="DD60" s="40"/>
      <c r="DE60" s="16" t="str">
        <f t="shared" si="156"/>
        <v/>
      </c>
      <c r="DF60" s="2" t="str">
        <f t="shared" si="157"/>
        <v/>
      </c>
      <c r="DG60" s="14" t="str">
        <f t="shared" si="158"/>
        <v/>
      </c>
      <c r="DH60" s="2" t="str">
        <f t="shared" si="159"/>
        <v/>
      </c>
      <c r="DI60" s="39" t="str">
        <f t="shared" si="160"/>
        <v/>
      </c>
      <c r="DJ60" s="2" t="str">
        <f t="shared" si="161"/>
        <v/>
      </c>
      <c r="DK60" s="15" t="str">
        <f t="shared" si="162"/>
        <v/>
      </c>
      <c r="DL60" s="2"/>
      <c r="DM60" s="2"/>
      <c r="DN60" s="15" t="str">
        <f t="shared" si="163"/>
        <v/>
      </c>
      <c r="DO60" s="14" t="str">
        <f t="shared" si="164"/>
        <v/>
      </c>
      <c r="DP60" s="14" t="str">
        <f t="shared" si="165"/>
        <v/>
      </c>
      <c r="DQ60" s="15" t="str">
        <f t="shared" si="166"/>
        <v/>
      </c>
      <c r="DR60" s="15" t="str">
        <f t="shared" si="167"/>
        <v/>
      </c>
      <c r="DS60" s="2" t="str">
        <f t="shared" si="168"/>
        <v/>
      </c>
      <c r="DT60" s="2" t="str">
        <f t="shared" si="169"/>
        <v/>
      </c>
      <c r="DU60" s="2"/>
      <c r="DV60" s="2"/>
      <c r="DW60" s="2"/>
      <c r="DX60" s="2"/>
      <c r="DY60" s="2" t="s">
        <v>230</v>
      </c>
      <c r="DZ60" s="2"/>
      <c r="EA60" s="2" t="str">
        <f t="shared" si="170"/>
        <v/>
      </c>
      <c r="EB60" s="2">
        <v>48.06</v>
      </c>
      <c r="EC60" s="2">
        <v>181</v>
      </c>
      <c r="ED60" s="16">
        <v>7.9299999999999995E-2</v>
      </c>
      <c r="EE60" s="3"/>
      <c r="EF60" s="7"/>
      <c r="EG60" s="3"/>
      <c r="EH60" s="3" t="s">
        <v>231</v>
      </c>
      <c r="EI60" s="3"/>
      <c r="EJ60" s="4">
        <v>100</v>
      </c>
      <c r="EK60" s="4"/>
      <c r="EL60" s="11" t="s">
        <v>220</v>
      </c>
      <c r="EM60" s="7"/>
      <c r="EN60" s="46">
        <f t="shared" si="171"/>
        <v>0</v>
      </c>
      <c r="EO60" s="3"/>
      <c r="EP60" s="3"/>
      <c r="EQ60" s="3"/>
      <c r="ER60" s="3"/>
      <c r="ES60" s="7"/>
      <c r="ET60" s="3"/>
      <c r="EU60" s="3"/>
      <c r="EV60" s="2" t="str">
        <f t="shared" si="136"/>
        <v>Final Pmt Recd</v>
      </c>
      <c r="EW60" s="46"/>
      <c r="EX60" s="46">
        <f t="shared" si="172"/>
        <v>0</v>
      </c>
      <c r="EY60" s="46" t="s">
        <v>233</v>
      </c>
      <c r="EZ60" s="24"/>
      <c r="FA60" s="2">
        <v>22140450</v>
      </c>
      <c r="FB60" s="24"/>
      <c r="FC60" s="53"/>
      <c r="FD60" s="46">
        <f t="shared" si="173"/>
        <v>0</v>
      </c>
      <c r="FE60" s="52"/>
      <c r="FF60" s="52"/>
      <c r="FG60" s="49"/>
      <c r="FH60" s="49"/>
      <c r="FI60" s="49"/>
      <c r="FJ60" s="49"/>
      <c r="FK60" s="49"/>
      <c r="FL60" s="49">
        <f t="shared" si="100"/>
        <v>0</v>
      </c>
      <c r="FM60" s="180">
        <f t="shared" si="101"/>
        <v>46130</v>
      </c>
      <c r="FN60" s="49"/>
      <c r="FO60" s="49"/>
      <c r="FP60" s="49"/>
      <c r="FQ60" s="49"/>
      <c r="FR60" s="49"/>
      <c r="FS60" s="6">
        <v>20009168</v>
      </c>
      <c r="FT60" s="3">
        <v>32013806</v>
      </c>
      <c r="FU60" s="3">
        <v>4900008821</v>
      </c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4"/>
    </row>
    <row r="61" spans="1:196" s="1" customFormat="1" ht="33.950000000000003">
      <c r="A61" s="2" t="str">
        <f t="shared" si="102"/>
        <v>Stuffed, Yet to Sail</v>
      </c>
      <c r="B61" s="281">
        <v>49</v>
      </c>
      <c r="C61" s="281">
        <v>200</v>
      </c>
      <c r="D61" s="182" t="s">
        <v>208</v>
      </c>
      <c r="E61" s="2" t="str">
        <f t="shared" si="103"/>
        <v>CLOSE POSITION</v>
      </c>
      <c r="F61" s="271">
        <f t="shared" si="104"/>
        <v>32014470</v>
      </c>
      <c r="G61" s="271"/>
      <c r="H61" s="2" t="str">
        <f t="shared" si="105"/>
        <v xml:space="preserve">VALENCY AGRO // HSS // Orissa Cashew Industries </v>
      </c>
      <c r="I61" s="3" t="s">
        <v>259</v>
      </c>
      <c r="J61" s="2" t="s">
        <v>210</v>
      </c>
      <c r="K61" s="2" t="str">
        <f t="shared" si="106"/>
        <v>Vishakhapatnam, INDIA</v>
      </c>
      <c r="L61" s="2">
        <f t="shared" si="147"/>
        <v>267466662</v>
      </c>
      <c r="M61" s="2">
        <f t="shared" si="174"/>
        <v>95.45</v>
      </c>
      <c r="N61" s="22" t="str">
        <f t="shared" si="107"/>
        <v/>
      </c>
      <c r="O61" s="22">
        <f t="shared" si="143"/>
        <v>46183</v>
      </c>
      <c r="P61" s="22" t="str">
        <f t="shared" si="108"/>
        <v>No OBL Yet</v>
      </c>
      <c r="Q61" s="2"/>
      <c r="R61" s="2" t="str">
        <f t="shared" si="109"/>
        <v>No CERTS Yet</v>
      </c>
      <c r="S61" s="2" t="str">
        <f t="shared" si="110"/>
        <v/>
      </c>
      <c r="T61" s="2" t="s">
        <v>260</v>
      </c>
      <c r="U61" s="3" t="s">
        <v>523</v>
      </c>
      <c r="V61" s="272"/>
      <c r="W61" s="272"/>
      <c r="X61" s="24">
        <v>46067</v>
      </c>
      <c r="Y61" s="273">
        <v>20009516</v>
      </c>
      <c r="Z61" s="24">
        <v>46067</v>
      </c>
      <c r="AA61" s="182">
        <v>32014470</v>
      </c>
      <c r="AB61" s="182" t="s">
        <v>524</v>
      </c>
      <c r="AC61" s="182" t="s">
        <v>263</v>
      </c>
      <c r="AD61" s="181">
        <v>46142</v>
      </c>
      <c r="AE61" s="30">
        <v>0.05</v>
      </c>
      <c r="AF61" s="277">
        <v>100</v>
      </c>
      <c r="AG61" s="35">
        <f t="shared" si="111"/>
        <v>95</v>
      </c>
      <c r="AH61" s="3" t="s">
        <v>215</v>
      </c>
      <c r="AI61" s="4">
        <v>1560</v>
      </c>
      <c r="AJ61" s="4">
        <f>AI61*AF61</f>
        <v>156000</v>
      </c>
      <c r="AK61" s="3" t="s">
        <v>249</v>
      </c>
      <c r="AL61" s="3" t="s">
        <v>238</v>
      </c>
      <c r="AM61" s="30">
        <v>0</v>
      </c>
      <c r="AN61" s="183">
        <v>1</v>
      </c>
      <c r="AO61" s="183">
        <v>0</v>
      </c>
      <c r="AP61" s="28" t="s">
        <v>218</v>
      </c>
      <c r="AQ61" s="18" t="s">
        <v>331</v>
      </c>
      <c r="AR61" s="18" t="s">
        <v>251</v>
      </c>
      <c r="AS61" s="27"/>
      <c r="AT61" s="3" t="s">
        <v>220</v>
      </c>
      <c r="AU61" s="3" t="s">
        <v>220</v>
      </c>
      <c r="AV61" s="3" t="s">
        <v>220</v>
      </c>
      <c r="AW61" s="9"/>
      <c r="AX61" s="3"/>
      <c r="AY61" s="47"/>
      <c r="AZ61" s="275">
        <f>AF61*AI61*AM61</f>
        <v>0</v>
      </c>
      <c r="BA61" s="18">
        <v>46067</v>
      </c>
      <c r="BB61" s="22">
        <v>46083</v>
      </c>
      <c r="BC61" s="22"/>
      <c r="BD61" s="22"/>
      <c r="BE61" s="22"/>
      <c r="BF61" s="22">
        <v>46083</v>
      </c>
      <c r="BG61" s="18"/>
      <c r="BH61" s="18"/>
      <c r="BI61" s="3">
        <v>267466662</v>
      </c>
      <c r="BJ61" s="25">
        <v>95.45</v>
      </c>
      <c r="BK61" s="46" t="s">
        <v>222</v>
      </c>
      <c r="BL61" s="497"/>
      <c r="BM61" s="18"/>
      <c r="BN61" s="4"/>
      <c r="BO61" s="18">
        <v>46183</v>
      </c>
      <c r="BP61" s="3" t="s">
        <v>259</v>
      </c>
      <c r="BQ61" s="21" t="s">
        <v>525</v>
      </c>
      <c r="BR61" s="2" t="s">
        <v>416</v>
      </c>
      <c r="BS61" s="2"/>
      <c r="BT61" s="2" t="s">
        <v>460</v>
      </c>
      <c r="BU61" s="2" t="s">
        <v>461</v>
      </c>
      <c r="BV61" s="20"/>
      <c r="BW61" s="19"/>
      <c r="BX61" s="46">
        <f t="shared" si="175"/>
        <v>148902</v>
      </c>
      <c r="BY61" s="22"/>
      <c r="BZ61" s="22"/>
      <c r="CA61" s="22"/>
      <c r="CB61" s="22"/>
      <c r="CC61" s="22"/>
      <c r="CD61" s="22"/>
      <c r="CE61" s="22" t="str">
        <f t="shared" si="112"/>
        <v>No OBL Yet</v>
      </c>
      <c r="CF61" s="22"/>
      <c r="CG61" s="22"/>
      <c r="CH61" s="22"/>
      <c r="CI61" s="2"/>
      <c r="CJ61" s="2"/>
      <c r="CK61" s="2" t="str">
        <f t="shared" si="113"/>
        <v>No CERTS Yet</v>
      </c>
      <c r="CL61" s="48"/>
      <c r="CM61" s="22"/>
      <c r="CN61" s="55"/>
      <c r="CO61" s="54"/>
      <c r="CP61" s="55" t="str">
        <f t="shared" si="148"/>
        <v/>
      </c>
      <c r="CQ61" s="50">
        <f>(AN61*AI61*BJ61)-AZ61</f>
        <v>148902</v>
      </c>
      <c r="CR61" s="54"/>
      <c r="CS61" s="2"/>
      <c r="CT61" s="2"/>
      <c r="CU61" s="14" t="str">
        <f t="shared" si="149"/>
        <v/>
      </c>
      <c r="CV61" s="42" t="str">
        <f t="shared" si="150"/>
        <v/>
      </c>
      <c r="CW61" s="14" t="str">
        <f t="shared" si="151"/>
        <v/>
      </c>
      <c r="CX61" s="14" t="str">
        <f t="shared" si="152"/>
        <v/>
      </c>
      <c r="CY61" s="15" t="str">
        <f t="shared" si="153"/>
        <v/>
      </c>
      <c r="CZ61" s="2"/>
      <c r="DA61" s="41" t="str">
        <f t="shared" si="154"/>
        <v/>
      </c>
      <c r="DB61" s="2"/>
      <c r="DC61" s="39" t="str">
        <f t="shared" si="155"/>
        <v/>
      </c>
      <c r="DD61" s="40"/>
      <c r="DE61" s="16" t="str">
        <f t="shared" si="156"/>
        <v/>
      </c>
      <c r="DF61" s="2" t="str">
        <f t="shared" si="157"/>
        <v/>
      </c>
      <c r="DG61" s="14" t="str">
        <f t="shared" si="158"/>
        <v/>
      </c>
      <c r="DH61" s="2" t="str">
        <f t="shared" si="159"/>
        <v/>
      </c>
      <c r="DI61" s="39" t="str">
        <f t="shared" si="160"/>
        <v/>
      </c>
      <c r="DJ61" s="2" t="str">
        <f t="shared" si="161"/>
        <v/>
      </c>
      <c r="DK61" s="15" t="str">
        <f t="shared" si="162"/>
        <v/>
      </c>
      <c r="DL61" s="2"/>
      <c r="DM61" s="2"/>
      <c r="DN61" s="15" t="str">
        <f t="shared" si="163"/>
        <v/>
      </c>
      <c r="DO61" s="14" t="str">
        <f t="shared" si="164"/>
        <v/>
      </c>
      <c r="DP61" s="14" t="str">
        <f t="shared" si="165"/>
        <v/>
      </c>
      <c r="DQ61" s="15" t="str">
        <f t="shared" si="166"/>
        <v/>
      </c>
      <c r="DR61" s="15" t="str">
        <f t="shared" si="167"/>
        <v/>
      </c>
      <c r="DS61" s="2" t="str">
        <f t="shared" si="168"/>
        <v/>
      </c>
      <c r="DT61" s="2" t="str">
        <f t="shared" si="169"/>
        <v/>
      </c>
      <c r="DU61" s="2"/>
      <c r="DV61" s="2"/>
      <c r="DW61" s="2"/>
      <c r="DX61" s="2"/>
      <c r="DY61" s="2" t="s">
        <v>230</v>
      </c>
      <c r="DZ61" s="2"/>
      <c r="EA61" s="2" t="str">
        <f t="shared" si="170"/>
        <v/>
      </c>
      <c r="EB61" s="2"/>
      <c r="EC61" s="2"/>
      <c r="ED61" s="2"/>
      <c r="EE61" s="3"/>
      <c r="EF61" s="7"/>
      <c r="EG61" s="3"/>
      <c r="EH61" s="3" t="s">
        <v>266</v>
      </c>
      <c r="EI61" s="3" t="s">
        <v>258</v>
      </c>
      <c r="EJ61" s="189"/>
      <c r="EK61" s="4"/>
      <c r="EL61" s="9"/>
      <c r="EM61" s="9"/>
      <c r="EN61" s="46">
        <f t="shared" si="171"/>
        <v>0</v>
      </c>
      <c r="EO61" s="9"/>
      <c r="EP61" s="8"/>
      <c r="EQ61" s="4"/>
      <c r="ER61" s="4"/>
      <c r="ES61" s="7"/>
      <c r="ET61" s="7"/>
      <c r="EU61" s="6"/>
      <c r="EV61" s="2" t="str">
        <f t="shared" si="136"/>
        <v>Yet to load</v>
      </c>
      <c r="EW61" s="46"/>
      <c r="EX61" s="46">
        <f t="shared" si="172"/>
        <v>0</v>
      </c>
      <c r="EY61" s="46" t="s">
        <v>233</v>
      </c>
      <c r="EZ61" s="24"/>
      <c r="FA61" s="2"/>
      <c r="FB61" s="24"/>
      <c r="FC61" s="53"/>
      <c r="FD61" s="46">
        <f t="shared" si="173"/>
        <v>0</v>
      </c>
      <c r="FE61" s="52"/>
      <c r="FF61" s="52"/>
      <c r="FG61" s="49"/>
      <c r="FH61" s="49"/>
      <c r="FI61" s="49"/>
      <c r="FJ61" s="49"/>
      <c r="FK61" s="49"/>
      <c r="FL61" s="49">
        <f t="shared" si="100"/>
        <v>0</v>
      </c>
      <c r="FM61" s="180">
        <f t="shared" si="101"/>
        <v>0</v>
      </c>
      <c r="FN61" s="49"/>
      <c r="FO61" s="49"/>
      <c r="FP61" s="49"/>
      <c r="FQ61" s="49"/>
      <c r="FR61" s="49"/>
      <c r="FS61" s="34">
        <f t="shared" ref="FS61:FS97" si="176">Y61</f>
        <v>20009516</v>
      </c>
      <c r="FT61" s="34">
        <f t="shared" ref="FT61:FT97" si="177">AA61</f>
        <v>32014470</v>
      </c>
      <c r="FU61" s="3"/>
      <c r="FV61" s="3">
        <v>5000278140</v>
      </c>
      <c r="FW61" s="3" t="s">
        <v>526</v>
      </c>
      <c r="FX61" s="3">
        <v>5105713224</v>
      </c>
      <c r="FY61" s="3"/>
      <c r="FZ61" s="3"/>
      <c r="GA61" s="3"/>
      <c r="GB61" s="4"/>
      <c r="GC61" s="3">
        <v>40083015</v>
      </c>
      <c r="GD61" s="182">
        <v>90085007</v>
      </c>
      <c r="GE61" s="3"/>
      <c r="GF61" s="3"/>
      <c r="GG61" s="3"/>
      <c r="GH61" s="3"/>
      <c r="GI61" s="3"/>
      <c r="GJ61" s="3"/>
      <c r="GK61" s="3"/>
      <c r="GL61" s="3"/>
      <c r="GM61" s="3"/>
      <c r="GN61" s="3"/>
    </row>
    <row r="62" spans="1:196" s="1" customFormat="1" ht="33.950000000000003">
      <c r="A62" s="2" t="str">
        <f t="shared" si="102"/>
        <v>Sailed, OBL &amp; Certs Pending</v>
      </c>
      <c r="B62" s="502">
        <v>47</v>
      </c>
      <c r="C62" s="502">
        <v>200</v>
      </c>
      <c r="D62" s="182" t="s">
        <v>208</v>
      </c>
      <c r="E62" s="2" t="str">
        <f t="shared" si="103"/>
        <v>LONG POSITION</v>
      </c>
      <c r="F62" s="271" t="str">
        <f t="shared" si="104"/>
        <v>TBA 19</v>
      </c>
      <c r="G62" s="271"/>
      <c r="H62" s="2" t="str">
        <f t="shared" si="105"/>
        <v>VALENCY VIETNAM UNSOLD</v>
      </c>
      <c r="I62" s="3" t="s">
        <v>259</v>
      </c>
      <c r="J62" s="2" t="s">
        <v>347</v>
      </c>
      <c r="K62" s="2" t="str">
        <f t="shared" si="106"/>
        <v>HCMC, VIETNAM</v>
      </c>
      <c r="L62" s="2" t="str">
        <f t="shared" si="147"/>
        <v>HLCUAB1260401236</v>
      </c>
      <c r="M62" s="2">
        <f t="shared" si="174"/>
        <v>253.16</v>
      </c>
      <c r="N62" s="22">
        <f t="shared" si="107"/>
        <v>46163</v>
      </c>
      <c r="O62" s="22">
        <f t="shared" si="143"/>
        <v>46208</v>
      </c>
      <c r="P62" s="22" t="str">
        <f t="shared" si="108"/>
        <v>Draft Rcvd</v>
      </c>
      <c r="Q62" s="2"/>
      <c r="R62" s="2" t="str">
        <f t="shared" si="109"/>
        <v>No CERTS Yet</v>
      </c>
      <c r="S62" s="2">
        <f t="shared" si="110"/>
        <v>0</v>
      </c>
      <c r="T62" s="2"/>
      <c r="U62" s="3" t="s">
        <v>498</v>
      </c>
      <c r="V62" s="272"/>
      <c r="W62" s="3" t="s">
        <v>499</v>
      </c>
      <c r="X62" s="24"/>
      <c r="Y62" s="273"/>
      <c r="Z62" s="24"/>
      <c r="AA62" s="182" t="s">
        <v>527</v>
      </c>
      <c r="AB62" s="182" t="s">
        <v>501</v>
      </c>
      <c r="AC62" s="182" t="s">
        <v>502</v>
      </c>
      <c r="AD62" s="181">
        <v>46173</v>
      </c>
      <c r="AE62" s="30">
        <v>0.1</v>
      </c>
      <c r="AF62" s="277">
        <v>250</v>
      </c>
      <c r="AG62" s="4">
        <f t="shared" si="111"/>
        <v>225</v>
      </c>
      <c r="AH62" s="3" t="s">
        <v>215</v>
      </c>
      <c r="AI62" s="4"/>
      <c r="AJ62" s="4"/>
      <c r="AK62" s="3"/>
      <c r="AL62" s="3"/>
      <c r="AM62" s="30"/>
      <c r="AN62" s="183"/>
      <c r="AO62" s="183"/>
      <c r="AP62" s="28"/>
      <c r="AQ62" s="18"/>
      <c r="AR62" s="18"/>
      <c r="AS62" s="359"/>
      <c r="AT62" s="3" t="s">
        <v>220</v>
      </c>
      <c r="AU62" s="3" t="s">
        <v>220</v>
      </c>
      <c r="AV62" s="3" t="s">
        <v>220</v>
      </c>
      <c r="AW62" s="9"/>
      <c r="AX62" s="3"/>
      <c r="AY62" s="47"/>
      <c r="AZ62" s="278"/>
      <c r="BA62" s="18"/>
      <c r="BB62" s="22"/>
      <c r="BC62" s="22"/>
      <c r="BD62" s="22"/>
      <c r="BE62" s="22"/>
      <c r="BF62" s="22"/>
      <c r="BG62" s="18"/>
      <c r="BH62" s="18"/>
      <c r="BI62" s="3" t="s">
        <v>528</v>
      </c>
      <c r="BJ62" s="25">
        <v>253.16</v>
      </c>
      <c r="BK62" s="189" t="s">
        <v>222</v>
      </c>
      <c r="BL62" s="497">
        <v>10</v>
      </c>
      <c r="BM62" s="18">
        <v>46163</v>
      </c>
      <c r="BN62" s="2"/>
      <c r="BO62" s="18">
        <v>46208</v>
      </c>
      <c r="BP62" s="20" t="s">
        <v>259</v>
      </c>
      <c r="BQ62" s="21" t="s">
        <v>409</v>
      </c>
      <c r="BR62" s="2" t="s">
        <v>434</v>
      </c>
      <c r="BS62" s="22"/>
      <c r="BT62" s="19" t="s">
        <v>435</v>
      </c>
      <c r="BU62" s="189"/>
      <c r="BV62" s="22"/>
      <c r="BW62" s="22"/>
      <c r="BX62" s="189">
        <f t="shared" si="175"/>
        <v>0</v>
      </c>
      <c r="BY62" s="22">
        <v>46162</v>
      </c>
      <c r="BZ62" s="22"/>
      <c r="CA62" s="22"/>
      <c r="CB62" s="22"/>
      <c r="CC62" s="182"/>
      <c r="CD62" s="182"/>
      <c r="CE62" s="22" t="str">
        <f t="shared" si="112"/>
        <v>Draft Rcvd</v>
      </c>
      <c r="CF62" s="48"/>
      <c r="CG62" s="22"/>
      <c r="CH62" s="2"/>
      <c r="CI62" s="55"/>
      <c r="CJ62" s="55"/>
      <c r="CK62" s="2" t="str">
        <f t="shared" si="113"/>
        <v>No CERTS Yet</v>
      </c>
      <c r="CL62" s="54"/>
      <c r="CM62" s="2"/>
      <c r="CN62" s="55"/>
      <c r="CO62" s="14"/>
      <c r="CP62" s="191"/>
      <c r="CQ62" s="190">
        <f>(AN62*AI62*BJ62)-AZ62</f>
        <v>0</v>
      </c>
      <c r="CR62" s="14"/>
      <c r="CS62" s="15"/>
      <c r="CT62" s="2"/>
      <c r="CU62" s="41"/>
      <c r="CV62" s="2"/>
      <c r="CW62" s="192"/>
      <c r="CX62" s="40"/>
      <c r="CY62" s="16"/>
      <c r="CZ62" s="2"/>
      <c r="DA62" s="14"/>
      <c r="DB62" s="2"/>
      <c r="DC62" s="192"/>
      <c r="DD62" s="2"/>
      <c r="DE62" s="15"/>
      <c r="DF62" s="2"/>
      <c r="DG62" s="2"/>
      <c r="DH62" s="15"/>
      <c r="DI62" s="14"/>
      <c r="DJ62" s="14"/>
      <c r="DK62" s="15"/>
      <c r="DL62" s="15"/>
      <c r="DM62" s="2"/>
      <c r="DN62" s="2"/>
      <c r="DO62" s="2"/>
      <c r="DP62" s="2"/>
      <c r="DQ62" s="2"/>
      <c r="DR62" s="2"/>
      <c r="DS62" s="2"/>
      <c r="DT62" s="2"/>
      <c r="DU62" s="2"/>
      <c r="DV62" s="182"/>
      <c r="DW62" s="2"/>
      <c r="DX62" s="2"/>
      <c r="DY62" s="2" t="s">
        <v>230</v>
      </c>
      <c r="DZ62" s="2"/>
      <c r="EA62" s="3"/>
      <c r="EB62" s="3"/>
      <c r="EC62" s="3"/>
      <c r="ED62" s="189"/>
      <c r="EE62" s="4"/>
      <c r="EF62" s="9"/>
      <c r="EG62" s="9"/>
      <c r="EH62" s="3" t="s">
        <v>266</v>
      </c>
      <c r="EI62" s="9"/>
      <c r="EJ62" s="8"/>
      <c r="EK62" s="189"/>
      <c r="EL62" s="7"/>
      <c r="EM62" s="7"/>
      <c r="EN62" s="6"/>
      <c r="EO62" s="2"/>
      <c r="EP62" s="189"/>
      <c r="EQ62" s="189"/>
      <c r="ER62" s="189"/>
      <c r="ES62" s="2"/>
      <c r="ET62" s="24"/>
      <c r="EU62" s="2"/>
      <c r="EV62" s="2" t="str">
        <f t="shared" si="136"/>
        <v>Yet to load</v>
      </c>
      <c r="EW62" s="193"/>
      <c r="EX62" s="189"/>
      <c r="EY62" s="24"/>
      <c r="EZ62" s="52"/>
      <c r="FA62" s="49"/>
      <c r="FB62" s="49"/>
      <c r="FC62" s="180"/>
      <c r="FD62" s="49"/>
      <c r="FE62" s="49"/>
      <c r="FF62" s="49"/>
      <c r="FG62" s="49"/>
      <c r="FH62" s="49"/>
      <c r="FI62" s="49"/>
      <c r="FJ62" s="49"/>
      <c r="FK62" s="49"/>
      <c r="FL62" s="49">
        <f t="shared" si="100"/>
        <v>-46162</v>
      </c>
      <c r="FM62" s="180">
        <f t="shared" si="101"/>
        <v>46163</v>
      </c>
      <c r="FN62" s="49"/>
      <c r="FO62" s="49"/>
      <c r="FP62" s="49"/>
      <c r="FQ62" s="49"/>
      <c r="FR62" s="49"/>
      <c r="FS62" s="34">
        <f t="shared" si="176"/>
        <v>0</v>
      </c>
      <c r="FT62" s="34" t="str">
        <f t="shared" si="177"/>
        <v>TBA 19</v>
      </c>
      <c r="FU62" s="3"/>
      <c r="FV62" s="3"/>
      <c r="FW62" s="3"/>
      <c r="FX62" s="3"/>
      <c r="FY62" s="3"/>
      <c r="FZ62" s="3"/>
      <c r="GA62" s="3"/>
      <c r="GB62" s="4"/>
      <c r="GC62" s="3"/>
      <c r="GE62" s="3"/>
      <c r="GF62" s="3"/>
      <c r="GG62" s="3"/>
      <c r="GH62" s="3"/>
      <c r="GI62" s="3"/>
      <c r="GJ62" s="3"/>
      <c r="GK62" s="3"/>
      <c r="GL62" s="3"/>
      <c r="GM62" s="3"/>
      <c r="GN62" s="3"/>
    </row>
    <row r="63" spans="1:196" s="1" customFormat="1" ht="33.950000000000003">
      <c r="A63" s="2" t="str">
        <f t="shared" si="102"/>
        <v>Sailed, OBL &amp; Certs Pending</v>
      </c>
      <c r="B63" s="502">
        <v>47</v>
      </c>
      <c r="C63" s="502">
        <v>200</v>
      </c>
      <c r="D63" s="182" t="s">
        <v>208</v>
      </c>
      <c r="E63" s="2" t="str">
        <f t="shared" si="103"/>
        <v>LONG POSITION</v>
      </c>
      <c r="F63" s="271" t="str">
        <f t="shared" si="104"/>
        <v>TBA 20</v>
      </c>
      <c r="G63" s="271"/>
      <c r="H63" s="2" t="str">
        <f t="shared" si="105"/>
        <v>VALENCY VIETNAM UNSOLD</v>
      </c>
      <c r="I63" s="3" t="s">
        <v>259</v>
      </c>
      <c r="J63" s="2" t="s">
        <v>347</v>
      </c>
      <c r="K63" s="2" t="str">
        <f t="shared" si="106"/>
        <v>HCMC, VIETNAM</v>
      </c>
      <c r="L63" s="2" t="str">
        <f t="shared" si="147"/>
        <v xml:space="preserve"> HLCUAB1260400763</v>
      </c>
      <c r="M63" s="2">
        <f t="shared" si="174"/>
        <v>248.54</v>
      </c>
      <c r="N63" s="22">
        <f t="shared" si="107"/>
        <v>46163</v>
      </c>
      <c r="O63" s="22">
        <f t="shared" si="143"/>
        <v>46208</v>
      </c>
      <c r="P63" s="22" t="str">
        <f t="shared" si="108"/>
        <v>Draft Rcvd</v>
      </c>
      <c r="Q63" s="2"/>
      <c r="R63" s="2" t="str">
        <f t="shared" si="109"/>
        <v>No CERTS Yet</v>
      </c>
      <c r="S63" s="2">
        <f t="shared" si="110"/>
        <v>0</v>
      </c>
      <c r="T63" s="2"/>
      <c r="U63" s="3" t="s">
        <v>498</v>
      </c>
      <c r="V63" s="272"/>
      <c r="W63" s="3" t="s">
        <v>499</v>
      </c>
      <c r="X63" s="24"/>
      <c r="Y63" s="273"/>
      <c r="Z63" s="24"/>
      <c r="AA63" s="182" t="s">
        <v>529</v>
      </c>
      <c r="AB63" s="182" t="s">
        <v>501</v>
      </c>
      <c r="AC63" s="182" t="s">
        <v>502</v>
      </c>
      <c r="AD63" s="181">
        <v>46173</v>
      </c>
      <c r="AE63" s="30">
        <v>0.1</v>
      </c>
      <c r="AF63" s="277">
        <v>250</v>
      </c>
      <c r="AG63" s="4">
        <f t="shared" si="111"/>
        <v>225</v>
      </c>
      <c r="AH63" s="3" t="s">
        <v>215</v>
      </c>
      <c r="AI63" s="4"/>
      <c r="AJ63" s="4"/>
      <c r="AK63" s="3"/>
      <c r="AL63" s="3"/>
      <c r="AM63" s="30"/>
      <c r="AN63" s="183"/>
      <c r="AO63" s="183"/>
      <c r="AP63" s="28"/>
      <c r="AQ63" s="18"/>
      <c r="AR63" s="18"/>
      <c r="AS63" s="359"/>
      <c r="AT63" s="3" t="s">
        <v>220</v>
      </c>
      <c r="AU63" s="3" t="s">
        <v>220</v>
      </c>
      <c r="AV63" s="3" t="s">
        <v>220</v>
      </c>
      <c r="AW63" s="9"/>
      <c r="AX63" s="3"/>
      <c r="AY63" s="47"/>
      <c r="AZ63" s="278"/>
      <c r="BA63" s="18"/>
      <c r="BB63" s="22"/>
      <c r="BC63" s="22"/>
      <c r="BD63" s="22"/>
      <c r="BE63" s="22"/>
      <c r="BF63" s="22"/>
      <c r="BG63" s="18"/>
      <c r="BH63" s="18"/>
      <c r="BI63" s="3" t="s">
        <v>530</v>
      </c>
      <c r="BJ63" s="25">
        <v>248.54</v>
      </c>
      <c r="BK63" s="189" t="s">
        <v>222</v>
      </c>
      <c r="BL63" s="497">
        <v>10</v>
      </c>
      <c r="BM63" s="18">
        <v>46163</v>
      </c>
      <c r="BN63" s="2"/>
      <c r="BO63" s="18">
        <v>46208</v>
      </c>
      <c r="BP63" s="20" t="s">
        <v>259</v>
      </c>
      <c r="BQ63" s="21" t="s">
        <v>409</v>
      </c>
      <c r="BR63" s="2" t="s">
        <v>434</v>
      </c>
      <c r="BS63" s="22"/>
      <c r="BT63" s="19" t="s">
        <v>435</v>
      </c>
      <c r="BU63" s="189"/>
      <c r="BV63" s="22"/>
      <c r="BW63" s="22"/>
      <c r="BX63" s="189">
        <f t="shared" si="175"/>
        <v>0</v>
      </c>
      <c r="BY63" s="22">
        <v>46162</v>
      </c>
      <c r="BZ63" s="22"/>
      <c r="CA63" s="22"/>
      <c r="CB63" s="22"/>
      <c r="CC63" s="182"/>
      <c r="CD63" s="182"/>
      <c r="CE63" s="22" t="str">
        <f t="shared" si="112"/>
        <v>Draft Rcvd</v>
      </c>
      <c r="CF63" s="48"/>
      <c r="CG63" s="22"/>
      <c r="CH63" s="2"/>
      <c r="CI63" s="55"/>
      <c r="CJ63" s="55"/>
      <c r="CK63" s="2" t="str">
        <f t="shared" si="113"/>
        <v>No CERTS Yet</v>
      </c>
      <c r="CL63" s="54"/>
      <c r="CM63" s="2"/>
      <c r="CN63" s="55"/>
      <c r="CO63" s="14"/>
      <c r="CP63" s="191"/>
      <c r="CQ63" s="190">
        <f>(AN63*AI63*BJ63)-AZ63</f>
        <v>0</v>
      </c>
      <c r="CR63" s="14"/>
      <c r="CS63" s="15"/>
      <c r="CT63" s="2"/>
      <c r="CU63" s="41"/>
      <c r="CV63" s="2"/>
      <c r="CW63" s="192"/>
      <c r="CX63" s="40"/>
      <c r="CY63" s="16"/>
      <c r="CZ63" s="2"/>
      <c r="DA63" s="14"/>
      <c r="DB63" s="2"/>
      <c r="DC63" s="192"/>
      <c r="DD63" s="2"/>
      <c r="DE63" s="15"/>
      <c r="DF63" s="2"/>
      <c r="DG63" s="2"/>
      <c r="DH63" s="15"/>
      <c r="DI63" s="14"/>
      <c r="DJ63" s="14"/>
      <c r="DK63" s="15"/>
      <c r="DL63" s="15"/>
      <c r="DM63" s="2"/>
      <c r="DN63" s="2"/>
      <c r="DO63" s="2"/>
      <c r="DP63" s="2"/>
      <c r="DQ63" s="2"/>
      <c r="DR63" s="2"/>
      <c r="DS63" s="2"/>
      <c r="DT63" s="2"/>
      <c r="DU63" s="2"/>
      <c r="DV63" s="182"/>
      <c r="DW63" s="2"/>
      <c r="DX63" s="2"/>
      <c r="DY63" s="2" t="s">
        <v>230</v>
      </c>
      <c r="DZ63" s="2"/>
      <c r="EA63" s="3"/>
      <c r="EB63" s="3"/>
      <c r="EC63" s="3"/>
      <c r="ED63" s="189"/>
      <c r="EE63" s="4"/>
      <c r="EF63" s="9"/>
      <c r="EG63" s="9"/>
      <c r="EH63" s="3" t="s">
        <v>266</v>
      </c>
      <c r="EI63" s="9"/>
      <c r="EJ63" s="8"/>
      <c r="EK63" s="189"/>
      <c r="EL63" s="7"/>
      <c r="EM63" s="7"/>
      <c r="EN63" s="6"/>
      <c r="EO63" s="2"/>
      <c r="EP63" s="189"/>
      <c r="EQ63" s="189"/>
      <c r="ER63" s="189"/>
      <c r="ES63" s="2"/>
      <c r="ET63" s="24"/>
      <c r="EU63" s="2"/>
      <c r="EV63" s="2" t="str">
        <f t="shared" si="136"/>
        <v>Yet to load</v>
      </c>
      <c r="EW63" s="193"/>
      <c r="EX63" s="189"/>
      <c r="EY63" s="24"/>
      <c r="EZ63" s="52"/>
      <c r="FA63" s="49"/>
      <c r="FB63" s="49"/>
      <c r="FC63" s="180"/>
      <c r="FD63" s="49"/>
      <c r="FE63" s="49"/>
      <c r="FF63" s="49"/>
      <c r="FG63" s="49"/>
      <c r="FH63" s="49"/>
      <c r="FI63" s="49"/>
      <c r="FJ63" s="49"/>
      <c r="FK63" s="49"/>
      <c r="FL63" s="49">
        <f t="shared" si="100"/>
        <v>-46162</v>
      </c>
      <c r="FM63" s="180">
        <f t="shared" si="101"/>
        <v>46163</v>
      </c>
      <c r="FN63" s="49"/>
      <c r="FO63" s="49"/>
      <c r="FP63" s="49"/>
      <c r="FQ63" s="49"/>
      <c r="FR63" s="49"/>
      <c r="FS63" s="34">
        <f t="shared" si="176"/>
        <v>0</v>
      </c>
      <c r="FT63" s="34" t="str">
        <f t="shared" si="177"/>
        <v>TBA 20</v>
      </c>
      <c r="FU63" s="3"/>
      <c r="FV63" s="3"/>
      <c r="FW63" s="3"/>
      <c r="FX63" s="3"/>
      <c r="FY63" s="3"/>
      <c r="FZ63" s="3"/>
      <c r="GA63" s="3"/>
      <c r="GB63" s="4"/>
      <c r="GC63" s="3"/>
      <c r="GD63" s="182"/>
      <c r="GE63" s="3"/>
      <c r="GF63" s="3"/>
      <c r="GG63" s="3"/>
      <c r="GH63" s="3"/>
      <c r="GI63" s="3"/>
      <c r="GJ63" s="3"/>
      <c r="GK63" s="3"/>
      <c r="GL63" s="3"/>
      <c r="GM63" s="3"/>
      <c r="GN63" s="3"/>
    </row>
    <row r="64" spans="1:196" s="1" customFormat="1" ht="33.950000000000003">
      <c r="A64" s="2" t="str">
        <f t="shared" si="102"/>
        <v>Exp Dox Presented to Bank, Pmt Pending</v>
      </c>
      <c r="B64" s="281">
        <v>50</v>
      </c>
      <c r="C64" s="281">
        <v>185</v>
      </c>
      <c r="D64" s="182" t="s">
        <v>208</v>
      </c>
      <c r="E64" s="2" t="str">
        <f t="shared" si="103"/>
        <v>CLOSE POSITION</v>
      </c>
      <c r="F64" s="271" t="str">
        <f t="shared" si="104"/>
        <v>32014448-1</v>
      </c>
      <c r="G64" s="271"/>
      <c r="H64" s="2" t="str">
        <f t="shared" si="105"/>
        <v>Valency Agro (Processing)</v>
      </c>
      <c r="I64" s="3" t="s">
        <v>209</v>
      </c>
      <c r="J64" s="2" t="s">
        <v>210</v>
      </c>
      <c r="K64" s="2" t="str">
        <f t="shared" si="106"/>
        <v>MANGALORE, INDIA</v>
      </c>
      <c r="L64" s="2" t="str">
        <f t="shared" si="147"/>
        <v>ONEYLOSG01116601</v>
      </c>
      <c r="M64" s="2">
        <f t="shared" si="174"/>
        <v>383.22500000000002</v>
      </c>
      <c r="N64" s="22">
        <f t="shared" si="107"/>
        <v>46130</v>
      </c>
      <c r="O64" s="22">
        <f t="shared" si="143"/>
        <v>46163</v>
      </c>
      <c r="P64" s="22" t="str">
        <f t="shared" si="108"/>
        <v>OBL In Destination - INDIA</v>
      </c>
      <c r="Q64" s="2"/>
      <c r="R64" s="2" t="str">
        <f t="shared" si="109"/>
        <v>CERTS in Destination - INDIA</v>
      </c>
      <c r="S64" s="2" t="str">
        <f t="shared" si="110"/>
        <v>Docs in Buyer's Nego Bank</v>
      </c>
      <c r="T64" s="2" t="str">
        <f>IFERROR(_xlfn.XLOOKUP(F64,
'[2]Data 2026'!$H$12:$H$111,
'[2]Data 2026'!$CL$12:$CL$111),"")</f>
        <v/>
      </c>
      <c r="U64" s="3" t="s">
        <v>466</v>
      </c>
      <c r="V64" s="272"/>
      <c r="W64" s="3" t="s">
        <v>531</v>
      </c>
      <c r="X64" s="24">
        <v>46066</v>
      </c>
      <c r="Y64" s="273">
        <v>20009485</v>
      </c>
      <c r="Z64" s="24">
        <v>46066</v>
      </c>
      <c r="AA64" s="182" t="s">
        <v>532</v>
      </c>
      <c r="AB64" s="182" t="s">
        <v>247</v>
      </c>
      <c r="AC64" s="203">
        <v>46082</v>
      </c>
      <c r="AD64" s="203">
        <v>46112</v>
      </c>
      <c r="AE64" s="30">
        <v>0.1</v>
      </c>
      <c r="AF64" s="277">
        <v>500</v>
      </c>
      <c r="AG64" s="35">
        <f t="shared" si="111"/>
        <v>450</v>
      </c>
      <c r="AH64" s="3" t="s">
        <v>215</v>
      </c>
      <c r="AI64" s="4">
        <v>1683</v>
      </c>
      <c r="AJ64" s="4">
        <v>1700000</v>
      </c>
      <c r="AK64" s="3" t="s">
        <v>249</v>
      </c>
      <c r="AL64" s="3" t="s">
        <v>217</v>
      </c>
      <c r="AM64" s="30">
        <v>0</v>
      </c>
      <c r="AN64" s="183">
        <v>1</v>
      </c>
      <c r="AO64" s="183">
        <v>0</v>
      </c>
      <c r="AP64" s="28" t="s">
        <v>218</v>
      </c>
      <c r="AQ64" s="18" t="s">
        <v>250</v>
      </c>
      <c r="AR64" s="18" t="s">
        <v>251</v>
      </c>
      <c r="AS64" s="27"/>
      <c r="AT64" s="3" t="s">
        <v>220</v>
      </c>
      <c r="AU64" s="3" t="s">
        <v>220</v>
      </c>
      <c r="AV64" s="3" t="s">
        <v>220</v>
      </c>
      <c r="AW64" s="9"/>
      <c r="AX64" s="3"/>
      <c r="AY64" s="47"/>
      <c r="AZ64" s="275">
        <f t="shared" ref="AZ64:AZ104" si="178">AF64*AI64*AM64</f>
        <v>0</v>
      </c>
      <c r="BA64" s="18">
        <v>46069</v>
      </c>
      <c r="BB64" s="22">
        <v>46073</v>
      </c>
      <c r="BC64" s="22"/>
      <c r="BD64" s="22"/>
      <c r="BE64" s="22"/>
      <c r="BF64" s="22">
        <v>46073</v>
      </c>
      <c r="BG64" s="18"/>
      <c r="BH64" s="18"/>
      <c r="BI64" s="3" t="s">
        <v>533</v>
      </c>
      <c r="BJ64" s="25">
        <v>383.22500000000002</v>
      </c>
      <c r="BK64" s="46" t="s">
        <v>222</v>
      </c>
      <c r="BL64" s="497">
        <v>14</v>
      </c>
      <c r="BM64" s="18">
        <v>46130</v>
      </c>
      <c r="BN64" s="4"/>
      <c r="BO64" s="18">
        <v>46163</v>
      </c>
      <c r="BP64" s="3" t="s">
        <v>278</v>
      </c>
      <c r="BQ64" s="21" t="s">
        <v>265</v>
      </c>
      <c r="BR64" s="2" t="s">
        <v>288</v>
      </c>
      <c r="BS64" s="2"/>
      <c r="BT64" s="2" t="s">
        <v>299</v>
      </c>
      <c r="BU64" s="2"/>
      <c r="BV64" s="20">
        <v>90085099</v>
      </c>
      <c r="BW64" s="7">
        <v>46142</v>
      </c>
      <c r="BX64" s="46">
        <f t="shared" si="175"/>
        <v>644967.67500000005</v>
      </c>
      <c r="BY64" s="22"/>
      <c r="BZ64" s="22">
        <v>46135</v>
      </c>
      <c r="CA64" s="2">
        <v>4850828205</v>
      </c>
      <c r="CB64" s="22">
        <v>46146</v>
      </c>
      <c r="CC64" s="22"/>
      <c r="CD64" s="22"/>
      <c r="CE64" s="22" t="str">
        <f t="shared" si="112"/>
        <v>OBL In Destination - INDIA</v>
      </c>
      <c r="CF64" s="22"/>
      <c r="CG64" s="22"/>
      <c r="CH64" s="22">
        <v>46143</v>
      </c>
      <c r="CI64" s="271">
        <v>8329191135</v>
      </c>
      <c r="CJ64" s="22">
        <v>46157</v>
      </c>
      <c r="CK64" s="2" t="str">
        <f t="shared" si="113"/>
        <v>CERTS in Destination - INDIA</v>
      </c>
      <c r="CL64" s="48" t="s">
        <v>229</v>
      </c>
      <c r="CM64" s="22">
        <v>46149</v>
      </c>
      <c r="CN64" s="55">
        <v>2667456702</v>
      </c>
      <c r="CO64" s="54">
        <v>46155</v>
      </c>
      <c r="CP64" s="55" t="str">
        <f t="shared" ref="CP64:CP108" si="179">IF(CO64&lt;&gt;0,"Docs in Buyer's Nego Bank",IF(CN64&lt;&gt;0,"Docs in Transit to Buyer's Nego Bank",IF(CM64&lt;&gt;0,"Docs in Our Nego Bank",IF(CL64="TT PAYMENT","Not Applicable",""))))</f>
        <v>Docs in Buyer's Nego Bank</v>
      </c>
      <c r="CQ64" s="50">
        <f>(AN64*AI64*BJ64)-AZ64</f>
        <v>644967.67500000005</v>
      </c>
      <c r="CR64" s="54"/>
      <c r="CS64" s="2"/>
      <c r="CT64" s="2"/>
      <c r="CU64" s="14" t="str">
        <f t="shared" ref="CU64:CU92" si="180">IF(CS64="","",BJ64-CT64)</f>
        <v/>
      </c>
      <c r="CV64" s="42" t="str">
        <f t="shared" ref="CV64:CV92" si="181">IF(CS64="","",CU64/BJ64)</f>
        <v/>
      </c>
      <c r="CW64" s="14" t="str">
        <f t="shared" ref="CW64:CW92" si="182">IF(CS64="","",AZ64+CQ64)</f>
        <v/>
      </c>
      <c r="CX64" s="14" t="str">
        <f t="shared" ref="CX64:CX92" si="183">IF(CS64="","",BX64*2%)</f>
        <v/>
      </c>
      <c r="CY64" s="15" t="str">
        <f t="shared" ref="CY64:CY92" si="184">IF(CS64="","",AI64/B64)</f>
        <v/>
      </c>
      <c r="CZ64" s="2"/>
      <c r="DA64" s="41" t="str">
        <f t="shared" ref="DA64:DA92" si="185">IF(CS64="","",B64-CZ64)</f>
        <v/>
      </c>
      <c r="DB64" s="2"/>
      <c r="DC64" s="39" t="str">
        <f t="shared" ref="DC64:DC92" si="186">IF(CS64="","",IF(CS64="","",DB64-C64))</f>
        <v/>
      </c>
      <c r="DD64" s="40"/>
      <c r="DE64" s="16" t="str">
        <f t="shared" ref="DE64:DE92" si="187">IF(CS64="","",10%-DD64)</f>
        <v/>
      </c>
      <c r="DF64" s="2" t="str">
        <f t="shared" ref="DF64:DF92" si="188">IF(CS64="","",CU64*AI64)</f>
        <v/>
      </c>
      <c r="DG64" s="14" t="str">
        <f t="shared" ref="DG64:DG92" si="189">IF(CS64="","",IF(DA64&gt;2,2*DA64*CT64*CY64,DA64*CT64*CY64))</f>
        <v/>
      </c>
      <c r="DH64" s="2" t="str">
        <f t="shared" ref="DH64:DH92" si="190">IF(CS64="","",IF(DA64&gt;2,2*(DA64-2*CT64*CY64),0))</f>
        <v/>
      </c>
      <c r="DI64" s="39" t="str">
        <f t="shared" ref="DI64:DI92" si="191">IF(CS64="","",IF(DC64&gt;0,DC64*0.5*CT64,0))</f>
        <v/>
      </c>
      <c r="DJ64" s="2" t="str">
        <f t="shared" ref="DJ64:DJ92" si="192">IF(CS64="","",IF(DE64&lt;0,DE64*CT64*AI64*1%,0))</f>
        <v/>
      </c>
      <c r="DK64" s="15" t="str">
        <f t="shared" ref="DK64:DK92" si="193">IF(CS64="","",SUM(DF64:DJ64))</f>
        <v/>
      </c>
      <c r="DL64" s="2"/>
      <c r="DM64" s="2"/>
      <c r="DN64" s="15" t="str">
        <f t="shared" ref="DN64:DN92" si="194">IF(CS64="","",SUM(DK64:DL64))</f>
        <v/>
      </c>
      <c r="DO64" s="14" t="str">
        <f t="shared" ref="DO64:DO92" si="195">IF(CS64="","",BJ64*AI64-DN64)</f>
        <v/>
      </c>
      <c r="DP64" s="14" t="str">
        <f t="shared" ref="DP64:DP92" si="196">IF(CS64="","",AZ64+CQ64)</f>
        <v/>
      </c>
      <c r="DQ64" s="15" t="str">
        <f t="shared" ref="DQ64:DQ92" si="197">IF(CS64="","",IF((DP64-DO64)&gt;0,DP64-DO64,""))</f>
        <v/>
      </c>
      <c r="DR64" s="15" t="str">
        <f t="shared" ref="DR64:DR92" si="198">IF(CS64="","",IF((DO64-DP64)&gt;0,(DO64-DP64),""))</f>
        <v/>
      </c>
      <c r="DS64" s="2" t="str">
        <f t="shared" ref="DS64:DS92" si="199">IF(CS64="","",IF(DQ64="",H64,"VALENCY"))</f>
        <v/>
      </c>
      <c r="DT64" s="2" t="str">
        <f t="shared" ref="DT64:DT92" si="200">IF(DN64="","",IF(DN64&gt;0,"CN", "DN"))</f>
        <v/>
      </c>
      <c r="DU64" s="2"/>
      <c r="DV64" s="2"/>
      <c r="DW64" s="2"/>
      <c r="DX64" s="2"/>
      <c r="DY64" s="2" t="s">
        <v>230</v>
      </c>
      <c r="DZ64" s="2"/>
      <c r="EA64" s="2" t="str">
        <f t="shared" ref="EA64:EA92" si="201">IF(CS64="","",
   MIN(0,(IF(DA64&gt;2,2,1)*DA64*CT64*CY64))
)</f>
        <v/>
      </c>
      <c r="EB64" s="2"/>
      <c r="EC64" s="2"/>
      <c r="ED64" s="2"/>
      <c r="EE64" s="3"/>
      <c r="EF64" s="7"/>
      <c r="EG64" s="3"/>
      <c r="EH64" s="3" t="s">
        <v>231</v>
      </c>
      <c r="EI64" s="3" t="s">
        <v>258</v>
      </c>
      <c r="EJ64" s="189">
        <f>BJ64</f>
        <v>383.22500000000002</v>
      </c>
      <c r="EK64" s="4"/>
      <c r="EL64" s="9"/>
      <c r="EM64" s="9"/>
      <c r="EN64" s="46">
        <f t="shared" ref="EN64:EN92" si="202">EK64*EJ64</f>
        <v>0</v>
      </c>
      <c r="EO64" s="9"/>
      <c r="EP64" s="8"/>
      <c r="EQ64" s="4"/>
      <c r="ER64" s="4"/>
      <c r="ES64" s="7"/>
      <c r="ET64" s="7"/>
      <c r="EU64" s="6"/>
      <c r="EV64" s="2" t="str">
        <f t="shared" si="136"/>
        <v>Export Loan</v>
      </c>
      <c r="EW64" s="46"/>
      <c r="EX64" s="46">
        <f t="shared" ref="EX64:EX92" si="203">EW64/BJ64</f>
        <v>0</v>
      </c>
      <c r="EY64" s="46" t="s">
        <v>233</v>
      </c>
      <c r="EZ64" s="24"/>
      <c r="FA64" s="2">
        <v>22140454</v>
      </c>
      <c r="FB64" s="24"/>
      <c r="FC64" s="53"/>
      <c r="FD64" s="46">
        <f t="shared" ref="FD64:FD92" si="204">FC64*BJ64</f>
        <v>0</v>
      </c>
      <c r="FE64" s="52"/>
      <c r="FF64" s="52"/>
      <c r="FG64" s="49"/>
      <c r="FH64" s="49"/>
      <c r="FI64" s="49"/>
      <c r="FJ64" s="49"/>
      <c r="FK64" s="49"/>
      <c r="FL64" s="49">
        <f t="shared" si="100"/>
        <v>0</v>
      </c>
      <c r="FM64" s="180">
        <f t="shared" si="101"/>
        <v>46130</v>
      </c>
      <c r="FN64" s="49"/>
      <c r="FO64" s="49"/>
      <c r="FP64" s="49"/>
      <c r="FQ64" s="49"/>
      <c r="FR64" s="49"/>
      <c r="FS64" s="34">
        <f t="shared" si="176"/>
        <v>20009485</v>
      </c>
      <c r="FT64" s="34" t="str">
        <f t="shared" si="177"/>
        <v>32014448-1</v>
      </c>
      <c r="FU64" s="3"/>
      <c r="FV64" s="3"/>
      <c r="FW64" s="3"/>
      <c r="FX64" s="3"/>
      <c r="FY64" s="3"/>
      <c r="FZ64" s="3"/>
      <c r="GA64" s="3"/>
      <c r="GB64" s="4"/>
      <c r="GC64" s="3"/>
      <c r="GD64" s="182"/>
      <c r="GE64" s="2"/>
      <c r="GF64" s="2"/>
      <c r="GG64" s="2"/>
      <c r="GH64" s="2"/>
      <c r="GI64" s="2"/>
      <c r="GJ64" s="2"/>
      <c r="GK64" s="2"/>
      <c r="GL64" s="2"/>
      <c r="GM64" s="2"/>
      <c r="GN64" s="2"/>
    </row>
    <row r="65" spans="1:196" s="1" customFormat="1" ht="33.950000000000003">
      <c r="A65" s="2" t="str">
        <f t="shared" si="102"/>
        <v>Exp Dox Presented to Bank, Pmt Pending</v>
      </c>
      <c r="B65" s="281">
        <v>51</v>
      </c>
      <c r="C65" s="281">
        <v>185</v>
      </c>
      <c r="D65" s="182" t="s">
        <v>208</v>
      </c>
      <c r="E65" s="2" t="str">
        <f t="shared" si="103"/>
        <v>CLOSE POSITION</v>
      </c>
      <c r="F65" s="271">
        <f t="shared" si="104"/>
        <v>32014413</v>
      </c>
      <c r="G65" s="271"/>
      <c r="H65" s="2" t="str">
        <f t="shared" si="105"/>
        <v>Jagannath Cashew Processing</v>
      </c>
      <c r="I65" s="3" t="s">
        <v>209</v>
      </c>
      <c r="J65" s="2" t="s">
        <v>210</v>
      </c>
      <c r="K65" s="2" t="str">
        <f t="shared" si="106"/>
        <v>VIZAG, INDIA</v>
      </c>
      <c r="L65" s="2" t="str">
        <f t="shared" si="147"/>
        <v>MEDULG628414</v>
      </c>
      <c r="M65" s="2">
        <f t="shared" si="174"/>
        <v>104.755</v>
      </c>
      <c r="N65" s="22">
        <f t="shared" si="107"/>
        <v>46108</v>
      </c>
      <c r="O65" s="22">
        <f t="shared" si="143"/>
        <v>46166</v>
      </c>
      <c r="P65" s="22" t="str">
        <f t="shared" si="108"/>
        <v>OBL In Destination - INDIA</v>
      </c>
      <c r="Q65" s="2"/>
      <c r="R65" s="2" t="str">
        <f t="shared" si="109"/>
        <v>CERTS in Destination - INDIA</v>
      </c>
      <c r="S65" s="2" t="str">
        <f t="shared" si="110"/>
        <v>Docs in Buyer's Nego Bank</v>
      </c>
      <c r="T65" s="2" t="str">
        <f>IFERROR(_xlfn.XLOOKUP(F65,
'[2]Data 2026'!$H$12:$H$111,
'[2]Data 2026'!$CL$12:$CL$111),"")</f>
        <v/>
      </c>
      <c r="U65" s="438" t="s">
        <v>534</v>
      </c>
      <c r="V65" s="272"/>
      <c r="W65" s="438" t="s">
        <v>535</v>
      </c>
      <c r="X65" s="24">
        <v>46052</v>
      </c>
      <c r="Y65" s="273">
        <v>20009406</v>
      </c>
      <c r="Z65" s="24">
        <v>46052</v>
      </c>
      <c r="AA65" s="182">
        <v>32014413</v>
      </c>
      <c r="AB65" s="182" t="s">
        <v>536</v>
      </c>
      <c r="AC65" s="203">
        <v>46082</v>
      </c>
      <c r="AD65" s="203">
        <v>46112</v>
      </c>
      <c r="AE65" s="30">
        <v>0.1</v>
      </c>
      <c r="AF65" s="277">
        <f>EJ65</f>
        <v>104.755</v>
      </c>
      <c r="AG65" s="35">
        <f t="shared" si="111"/>
        <v>94.279499999999999</v>
      </c>
      <c r="AH65" s="3" t="s">
        <v>215</v>
      </c>
      <c r="AI65" s="4">
        <v>1630</v>
      </c>
      <c r="AJ65" s="4">
        <v>163000</v>
      </c>
      <c r="AK65" s="3" t="s">
        <v>249</v>
      </c>
      <c r="AL65" s="3" t="s">
        <v>238</v>
      </c>
      <c r="AM65" s="183">
        <v>0.1</v>
      </c>
      <c r="AN65" s="183">
        <v>0.9</v>
      </c>
      <c r="AO65" s="183">
        <v>0</v>
      </c>
      <c r="AP65" s="28" t="s">
        <v>218</v>
      </c>
      <c r="AQ65" s="18" t="s">
        <v>331</v>
      </c>
      <c r="AR65" s="18" t="s">
        <v>251</v>
      </c>
      <c r="AS65" s="27"/>
      <c r="AT65" s="3" t="s">
        <v>220</v>
      </c>
      <c r="AU65" s="3" t="s">
        <v>220</v>
      </c>
      <c r="AV65" s="3" t="s">
        <v>220</v>
      </c>
      <c r="AW65" s="9"/>
      <c r="AX65" s="3"/>
      <c r="AY65" s="47">
        <v>46060</v>
      </c>
      <c r="AZ65" s="275">
        <f t="shared" si="178"/>
        <v>17075.064999999999</v>
      </c>
      <c r="BA65" s="18">
        <v>46066</v>
      </c>
      <c r="BB65" s="22">
        <v>46062</v>
      </c>
      <c r="BC65" s="22"/>
      <c r="BD65" s="22"/>
      <c r="BE65" s="22"/>
      <c r="BF65" s="22">
        <v>46062</v>
      </c>
      <c r="BG65" s="18"/>
      <c r="BH65" s="18"/>
      <c r="BI65" s="3" t="s">
        <v>537</v>
      </c>
      <c r="BJ65" s="25">
        <v>104.755</v>
      </c>
      <c r="BK65" s="46" t="s">
        <v>222</v>
      </c>
      <c r="BL65" s="497">
        <v>4</v>
      </c>
      <c r="BM65" s="18">
        <v>46108</v>
      </c>
      <c r="BN65" s="4" t="s">
        <v>538</v>
      </c>
      <c r="BO65" s="18">
        <v>46166</v>
      </c>
      <c r="BP65" s="3" t="s">
        <v>278</v>
      </c>
      <c r="BQ65" s="21" t="s">
        <v>539</v>
      </c>
      <c r="BR65" s="2" t="s">
        <v>226</v>
      </c>
      <c r="BS65" s="2"/>
      <c r="BT65" s="2"/>
      <c r="BU65" s="2"/>
      <c r="BV65" s="20">
        <v>90084811</v>
      </c>
      <c r="BW65" s="7">
        <v>46141</v>
      </c>
      <c r="BX65" s="46">
        <f t="shared" si="175"/>
        <v>170750.65</v>
      </c>
      <c r="BY65" s="22"/>
      <c r="BZ65" s="22">
        <v>46129</v>
      </c>
      <c r="CA65" s="418">
        <v>4567280594</v>
      </c>
      <c r="CB65" s="22">
        <v>46134</v>
      </c>
      <c r="CC65" s="22"/>
      <c r="CD65" s="22"/>
      <c r="CE65" s="22" t="str">
        <f>IF(J65="VIETNAM",
IF(CG65&lt;&gt;"","OBL in Vietnam Office",
IF(CF65&lt;&gt;"","OBL in Transit from Vietnam Office",
IF(CD65&lt;&gt;0,"OBL In Destination - "&amp;J65,
IF(CC65&lt;&gt;0,"OBL in Transit to Destination - "&amp;J65,
IF(CB65&lt;&gt;0,"OBL in SIG Office",
IF(#REF!&lt;&gt;0,"OBL in Transit from Origin to SIG",
IF(BZ65&lt;&gt;0,"OBL in Origin - "&amp;I65,
IF(BY65&lt;&gt;0,"Draft Rcvd","No OBL Yet")))))))),
IF(CO65&lt;&gt;0,"OBL In Destination - "&amp;J65,
IF(CM65&lt;&gt;0,"OBL in Transit with Nego Docs - "&amp;J65,
IF(CB65&lt;&gt;0,"OBL in SIG Office",
IF(#REF!&lt;&gt;0,"OBL in Transit from Origin to SIG",
IF(BZ65&lt;&gt;0,"OBL in Origin - "&amp;I65,
IF(BY65&lt;&gt;0,"Draft Rcvd","No OBL Yet")))))))</f>
        <v>OBL In Destination - INDIA</v>
      </c>
      <c r="CF65" s="22"/>
      <c r="CG65" s="22"/>
      <c r="CH65" s="22">
        <v>46141</v>
      </c>
      <c r="CI65" s="418">
        <v>8329312003</v>
      </c>
      <c r="CJ65" s="22">
        <v>46156</v>
      </c>
      <c r="CK65" s="2" t="str">
        <f t="shared" si="113"/>
        <v>CERTS in Destination - INDIA</v>
      </c>
      <c r="CL65" s="48" t="s">
        <v>411</v>
      </c>
      <c r="CM65" s="22">
        <v>46141</v>
      </c>
      <c r="CN65" s="55">
        <v>8586132660</v>
      </c>
      <c r="CO65" s="54">
        <v>46142</v>
      </c>
      <c r="CP65" s="55" t="str">
        <f t="shared" si="179"/>
        <v>Docs in Buyer's Nego Bank</v>
      </c>
      <c r="CQ65" s="50">
        <f>(AN65*AI65*BJ65)-AZ65</f>
        <v>136600.51999999999</v>
      </c>
      <c r="CR65" s="54"/>
      <c r="CS65" s="2"/>
      <c r="CT65" s="2"/>
      <c r="CU65" s="14" t="str">
        <f t="shared" si="180"/>
        <v/>
      </c>
      <c r="CV65" s="42" t="str">
        <f t="shared" si="181"/>
        <v/>
      </c>
      <c r="CW65" s="14" t="str">
        <f t="shared" si="182"/>
        <v/>
      </c>
      <c r="CX65" s="14" t="str">
        <f t="shared" si="183"/>
        <v/>
      </c>
      <c r="CY65" s="15" t="str">
        <f t="shared" si="184"/>
        <v/>
      </c>
      <c r="CZ65" s="2"/>
      <c r="DA65" s="41" t="str">
        <f t="shared" si="185"/>
        <v/>
      </c>
      <c r="DB65" s="2"/>
      <c r="DC65" s="39" t="str">
        <f t="shared" si="186"/>
        <v/>
      </c>
      <c r="DD65" s="40"/>
      <c r="DE65" s="16" t="str">
        <f t="shared" si="187"/>
        <v/>
      </c>
      <c r="DF65" s="2" t="str">
        <f t="shared" si="188"/>
        <v/>
      </c>
      <c r="DG65" s="14" t="str">
        <f t="shared" si="189"/>
        <v/>
      </c>
      <c r="DH65" s="2" t="str">
        <f t="shared" si="190"/>
        <v/>
      </c>
      <c r="DI65" s="39" t="str">
        <f t="shared" si="191"/>
        <v/>
      </c>
      <c r="DJ65" s="2" t="str">
        <f t="shared" si="192"/>
        <v/>
      </c>
      <c r="DK65" s="15" t="str">
        <f t="shared" si="193"/>
        <v/>
      </c>
      <c r="DL65" s="2"/>
      <c r="DM65" s="2"/>
      <c r="DN65" s="15" t="str">
        <f t="shared" si="194"/>
        <v/>
      </c>
      <c r="DO65" s="14" t="str">
        <f t="shared" si="195"/>
        <v/>
      </c>
      <c r="DP65" s="14" t="str">
        <f t="shared" si="196"/>
        <v/>
      </c>
      <c r="DQ65" s="15" t="str">
        <f t="shared" si="197"/>
        <v/>
      </c>
      <c r="DR65" s="15" t="str">
        <f t="shared" si="198"/>
        <v/>
      </c>
      <c r="DS65" s="2" t="str">
        <f t="shared" si="199"/>
        <v/>
      </c>
      <c r="DT65" s="2" t="str">
        <f t="shared" si="200"/>
        <v/>
      </c>
      <c r="DU65" s="2"/>
      <c r="DV65" s="2"/>
      <c r="DW65" s="2"/>
      <c r="DX65" s="2"/>
      <c r="DY65" s="2" t="s">
        <v>230</v>
      </c>
      <c r="DZ65" s="2"/>
      <c r="EA65" s="2" t="str">
        <f t="shared" si="201"/>
        <v/>
      </c>
      <c r="EB65" s="2">
        <v>48</v>
      </c>
      <c r="EC65" s="2">
        <v>196</v>
      </c>
      <c r="ED65" s="2">
        <v>8.1300000000000008</v>
      </c>
      <c r="EE65" s="3">
        <v>4900008912</v>
      </c>
      <c r="EF65" s="7"/>
      <c r="EG65" s="3"/>
      <c r="EH65" s="3" t="s">
        <v>326</v>
      </c>
      <c r="EI65" s="3" t="s">
        <v>258</v>
      </c>
      <c r="EJ65" s="189">
        <v>104.755</v>
      </c>
      <c r="EK65" s="4">
        <v>1500</v>
      </c>
      <c r="EL65" s="9"/>
      <c r="EM65" s="9"/>
      <c r="EN65" s="46">
        <f t="shared" si="202"/>
        <v>157132.5</v>
      </c>
      <c r="EO65" s="9" t="s">
        <v>232</v>
      </c>
      <c r="EP65" s="8"/>
      <c r="EQ65" s="4"/>
      <c r="ER65" s="4">
        <v>141419.25</v>
      </c>
      <c r="ES65" s="7"/>
      <c r="ET65" s="7"/>
      <c r="EU65" s="6"/>
      <c r="EV65" s="2" t="str">
        <f t="shared" si="136"/>
        <v>Export Loan</v>
      </c>
      <c r="EW65" s="46"/>
      <c r="EX65" s="46">
        <f t="shared" si="203"/>
        <v>0</v>
      </c>
      <c r="EY65" s="46" t="s">
        <v>233</v>
      </c>
      <c r="EZ65" s="24"/>
      <c r="FA65" s="2">
        <v>22138891</v>
      </c>
      <c r="FB65" s="24"/>
      <c r="FC65" s="53"/>
      <c r="FD65" s="46">
        <f t="shared" si="204"/>
        <v>0</v>
      </c>
      <c r="FE65" s="52"/>
      <c r="FF65" s="52"/>
      <c r="FG65" s="49"/>
      <c r="FH65" s="49"/>
      <c r="FI65" s="49"/>
      <c r="FJ65" s="49"/>
      <c r="FK65" s="49"/>
      <c r="FL65" s="49">
        <f t="shared" si="100"/>
        <v>0</v>
      </c>
      <c r="FM65" s="180">
        <f t="shared" si="101"/>
        <v>46108</v>
      </c>
      <c r="FN65" s="49"/>
      <c r="FO65" s="49"/>
      <c r="FP65" s="49"/>
      <c r="FQ65" s="49"/>
      <c r="FR65" s="49"/>
      <c r="FS65" s="34">
        <f t="shared" si="176"/>
        <v>20009406</v>
      </c>
      <c r="FT65" s="34">
        <f t="shared" si="177"/>
        <v>32014413</v>
      </c>
      <c r="FU65" s="3"/>
      <c r="FV65" s="3"/>
      <c r="FW65" s="3"/>
      <c r="FX65" s="3"/>
      <c r="FY65" s="3"/>
      <c r="FZ65" s="3"/>
      <c r="GA65" s="3"/>
      <c r="GB65" s="4"/>
      <c r="GC65" s="3"/>
      <c r="GD65" s="182"/>
      <c r="GE65" s="2"/>
      <c r="GF65" s="2"/>
      <c r="GG65" s="2"/>
      <c r="GH65" s="2"/>
      <c r="GI65" s="2"/>
      <c r="GJ65" s="2"/>
      <c r="GK65" s="2"/>
      <c r="GL65" s="2"/>
      <c r="GM65" s="2"/>
      <c r="GN65" s="2"/>
    </row>
    <row r="66" spans="1:196" s="1" customFormat="1" ht="33.950000000000003">
      <c r="A66" s="2" t="str">
        <f t="shared" si="102"/>
        <v xml:space="preserve"> Final Pmt Recd , FNF Pending</v>
      </c>
      <c r="B66" s="282">
        <v>48</v>
      </c>
      <c r="C66" s="282">
        <v>200</v>
      </c>
      <c r="D66" s="182" t="s">
        <v>208</v>
      </c>
      <c r="E66" s="2" t="str">
        <f t="shared" si="103"/>
        <v>CLOSE POSITION</v>
      </c>
      <c r="F66" s="271">
        <f t="shared" si="104"/>
        <v>32016124</v>
      </c>
      <c r="G66" s="271"/>
      <c r="H66" s="2" t="str">
        <f t="shared" si="105"/>
        <v>RED RIVER FOODS</v>
      </c>
      <c r="I66" s="3" t="s">
        <v>245</v>
      </c>
      <c r="J66" s="2" t="s">
        <v>347</v>
      </c>
      <c r="K66" s="2" t="str">
        <f t="shared" si="106"/>
        <v>Qui Nhon, Vietnam</v>
      </c>
      <c r="L66" s="2" t="str">
        <f t="shared" si="147"/>
        <v>ONEYTEMG00369600</v>
      </c>
      <c r="M66" s="2">
        <f t="shared" si="174"/>
        <v>206.4</v>
      </c>
      <c r="N66" s="22">
        <f t="shared" si="107"/>
        <v>46120</v>
      </c>
      <c r="O66" s="22">
        <f t="shared" si="143"/>
        <v>46166</v>
      </c>
      <c r="P66" s="22" t="str">
        <f t="shared" si="108"/>
        <v>OBL In Destination - VIETNAM</v>
      </c>
      <c r="Q66" s="2" t="s">
        <v>540</v>
      </c>
      <c r="R66" s="2" t="str">
        <f t="shared" si="109"/>
        <v>CERTS in Destination - VIETNAM</v>
      </c>
      <c r="S66" s="2" t="str">
        <f t="shared" si="110"/>
        <v>Docs in Buyer's Nego Bank</v>
      </c>
      <c r="T66" s="2"/>
      <c r="U66" s="3" t="s">
        <v>292</v>
      </c>
      <c r="V66" s="272"/>
      <c r="W66" s="3" t="s">
        <v>541</v>
      </c>
      <c r="X66" s="24">
        <v>46111</v>
      </c>
      <c r="Y66" s="273">
        <v>20009925</v>
      </c>
      <c r="Z66" s="24">
        <v>46111</v>
      </c>
      <c r="AA66" s="182">
        <v>32016124</v>
      </c>
      <c r="AB66" s="182" t="s">
        <v>380</v>
      </c>
      <c r="AC66" s="182" t="s">
        <v>263</v>
      </c>
      <c r="AD66" s="181">
        <v>46142</v>
      </c>
      <c r="AE66" s="30">
        <v>0.05</v>
      </c>
      <c r="AF66" s="277">
        <v>200</v>
      </c>
      <c r="AG66" s="4">
        <f t="shared" si="111"/>
        <v>190</v>
      </c>
      <c r="AH66" s="3" t="s">
        <v>215</v>
      </c>
      <c r="AI66" s="4">
        <v>1580</v>
      </c>
      <c r="AJ66" s="4">
        <f>AI66*AF66</f>
        <v>316000</v>
      </c>
      <c r="AK66" s="3" t="s">
        <v>249</v>
      </c>
      <c r="AL66" s="3" t="s">
        <v>238</v>
      </c>
      <c r="AM66" s="183">
        <v>0.1</v>
      </c>
      <c r="AN66" s="183">
        <v>0.88</v>
      </c>
      <c r="AO66" s="183">
        <v>0.02</v>
      </c>
      <c r="AP66" s="28" t="s">
        <v>218</v>
      </c>
      <c r="AQ66" s="3" t="s">
        <v>354</v>
      </c>
      <c r="AR66" s="18" t="s">
        <v>251</v>
      </c>
      <c r="AS66" s="27"/>
      <c r="AT66" s="3" t="s">
        <v>220</v>
      </c>
      <c r="AU66" s="3" t="s">
        <v>220</v>
      </c>
      <c r="AV66" s="3" t="s">
        <v>220</v>
      </c>
      <c r="AW66" s="9"/>
      <c r="AX66" s="3"/>
      <c r="AY66" s="47">
        <v>46120</v>
      </c>
      <c r="AZ66" s="278">
        <f t="shared" si="178"/>
        <v>31600</v>
      </c>
      <c r="BA66" s="18">
        <v>46120</v>
      </c>
      <c r="BB66" s="22"/>
      <c r="BC66" s="22"/>
      <c r="BD66" s="22"/>
      <c r="BE66" s="22"/>
      <c r="BF66" s="22"/>
      <c r="BG66" s="18"/>
      <c r="BH66" s="18"/>
      <c r="BI66" s="3" t="s">
        <v>542</v>
      </c>
      <c r="BJ66" s="25">
        <v>206.4</v>
      </c>
      <c r="BK66" s="189" t="s">
        <v>222</v>
      </c>
      <c r="BL66" s="497">
        <v>8</v>
      </c>
      <c r="BM66" s="18">
        <v>46120</v>
      </c>
      <c r="BN66" s="4"/>
      <c r="BO66" s="18">
        <v>46166</v>
      </c>
      <c r="BP66" s="3" t="s">
        <v>298</v>
      </c>
      <c r="BQ66" s="21" t="s">
        <v>381</v>
      </c>
      <c r="BR66" s="2" t="s">
        <v>288</v>
      </c>
      <c r="BS66" s="2"/>
      <c r="BT66" s="504" t="s">
        <v>543</v>
      </c>
      <c r="BU66" s="2"/>
      <c r="BV66" s="20">
        <v>90084581</v>
      </c>
      <c r="BW66" s="7">
        <v>46136</v>
      </c>
      <c r="BX66" s="189">
        <f t="shared" si="175"/>
        <v>326112</v>
      </c>
      <c r="BY66" s="22"/>
      <c r="BZ66" s="22">
        <v>46129</v>
      </c>
      <c r="CA66" s="418">
        <v>7884744394</v>
      </c>
      <c r="CB66" s="22">
        <v>46133</v>
      </c>
      <c r="CC66" s="22" t="s">
        <v>544</v>
      </c>
      <c r="CD66" s="22">
        <v>46141</v>
      </c>
      <c r="CE66" s="22" t="str">
        <f>IF(J66="VIETNAM",
IF(CG66&lt;&gt;"","OBL in Vietnam Office",
IF(CF66&lt;&gt;"","OBL in Transit from Vietnam Office",
IF(CD66&lt;&gt;0,"OBL In Destination - "&amp;J66,
IF(CC66&lt;&gt;0,"OBL in Transit to Destination - "&amp;J66,
IF(CB66&lt;&gt;0,"OBL in SIG Office",
IF(CA66&lt;&gt;0,"OBL in Transit from Origin to SIG",
IF(BZ66&lt;&gt;0,"OBL in Origin - "&amp;I66,
IF(BY66&lt;&gt;0,"Draft Rcvd","No OBL Yet")))))))),
IF(CO66&lt;&gt;0,"OBL In Destination - "&amp;J66,
IF(CM66&lt;&gt;0,"OBL in Transit with Nego Docs - "&amp;J66,
IF(CB66&lt;&gt;0,"OBL in SIG Office",
IF(CA66&lt;&gt;0,"OBL in Transit from Origin to SIG",
IF(BZ66&lt;&gt;0,"OBL in Origin - "&amp;I66,
IF(BY66&lt;&gt;0,"Draft Rcvd","No OBL Yet")))))))</f>
        <v>OBL In Destination - VIETNAM</v>
      </c>
      <c r="CF66" s="22"/>
      <c r="CG66" s="22"/>
      <c r="CH66" s="181">
        <v>46140</v>
      </c>
      <c r="CI66" s="182">
        <v>3889012621</v>
      </c>
      <c r="CJ66" s="181">
        <v>46161</v>
      </c>
      <c r="CK66" s="2" t="str">
        <f t="shared" si="113"/>
        <v>CERTS in Destination - VIETNAM</v>
      </c>
      <c r="CL66" s="48" t="s">
        <v>244</v>
      </c>
      <c r="CM66" s="22">
        <v>46140</v>
      </c>
      <c r="CN66" s="55">
        <v>3146173682</v>
      </c>
      <c r="CO66" s="54">
        <v>46171</v>
      </c>
      <c r="CP66" s="55" t="str">
        <f t="shared" si="179"/>
        <v>Docs in Buyer's Nego Bank</v>
      </c>
      <c r="CQ66" s="190">
        <v>287989.76000000001</v>
      </c>
      <c r="CR66" s="54">
        <v>46169</v>
      </c>
      <c r="CS66" s="2"/>
      <c r="CT66" s="2"/>
      <c r="CU66" s="14" t="str">
        <f t="shared" si="180"/>
        <v/>
      </c>
      <c r="CV66" s="191" t="str">
        <f t="shared" si="181"/>
        <v/>
      </c>
      <c r="CW66" s="14" t="str">
        <f t="shared" si="182"/>
        <v/>
      </c>
      <c r="CX66" s="14" t="str">
        <f t="shared" si="183"/>
        <v/>
      </c>
      <c r="CY66" s="15" t="str">
        <f t="shared" si="184"/>
        <v/>
      </c>
      <c r="CZ66" s="2"/>
      <c r="DA66" s="41" t="str">
        <f t="shared" si="185"/>
        <v/>
      </c>
      <c r="DB66" s="2"/>
      <c r="DC66" s="192" t="str">
        <f t="shared" si="186"/>
        <v/>
      </c>
      <c r="DD66" s="40"/>
      <c r="DE66" s="16" t="str">
        <f t="shared" si="187"/>
        <v/>
      </c>
      <c r="DF66" s="2" t="str">
        <f t="shared" si="188"/>
        <v/>
      </c>
      <c r="DG66" s="14" t="str">
        <f t="shared" si="189"/>
        <v/>
      </c>
      <c r="DH66" s="2" t="str">
        <f t="shared" si="190"/>
        <v/>
      </c>
      <c r="DI66" s="192" t="str">
        <f t="shared" si="191"/>
        <v/>
      </c>
      <c r="DJ66" s="2" t="str">
        <f t="shared" si="192"/>
        <v/>
      </c>
      <c r="DK66" s="15" t="str">
        <f t="shared" si="193"/>
        <v/>
      </c>
      <c r="DL66" s="2"/>
      <c r="DM66" s="2"/>
      <c r="DN66" s="15" t="str">
        <f t="shared" si="194"/>
        <v/>
      </c>
      <c r="DO66" s="14" t="str">
        <f t="shared" si="195"/>
        <v/>
      </c>
      <c r="DP66" s="14" t="str">
        <f t="shared" si="196"/>
        <v/>
      </c>
      <c r="DQ66" s="15" t="str">
        <f t="shared" si="197"/>
        <v/>
      </c>
      <c r="DR66" s="15" t="str">
        <f t="shared" si="198"/>
        <v/>
      </c>
      <c r="DS66" s="2" t="str">
        <f t="shared" si="199"/>
        <v/>
      </c>
      <c r="DT66" s="2" t="str">
        <f t="shared" si="200"/>
        <v/>
      </c>
      <c r="DU66" s="2"/>
      <c r="DV66" s="2"/>
      <c r="DW66" s="2"/>
      <c r="DX66" s="2"/>
      <c r="DY66" s="2" t="s">
        <v>230</v>
      </c>
      <c r="DZ66" s="2"/>
      <c r="EA66" s="2" t="str">
        <f t="shared" si="201"/>
        <v/>
      </c>
      <c r="EB66" s="2"/>
      <c r="EC66" s="2"/>
      <c r="ED66" s="2"/>
      <c r="EE66" s="3"/>
      <c r="EF66" s="7"/>
      <c r="EG66" s="3"/>
      <c r="EH66" s="3" t="s">
        <v>257</v>
      </c>
      <c r="EI66" s="3"/>
      <c r="EJ66" s="189"/>
      <c r="EK66" s="4"/>
      <c r="EL66" s="9"/>
      <c r="EM66" s="9"/>
      <c r="EN66" s="189">
        <f t="shared" si="202"/>
        <v>0</v>
      </c>
      <c r="EO66" s="9"/>
      <c r="EP66" s="8"/>
      <c r="EQ66" s="4"/>
      <c r="ER66" s="4"/>
      <c r="ES66" s="7"/>
      <c r="ET66" s="7"/>
      <c r="EU66" s="6"/>
      <c r="EV66" s="2" t="str">
        <f t="shared" si="136"/>
        <v>Final Pmt Recd</v>
      </c>
      <c r="EW66" s="189"/>
      <c r="EX66" s="189">
        <f t="shared" si="203"/>
        <v>0</v>
      </c>
      <c r="EY66" s="189" t="s">
        <v>233</v>
      </c>
      <c r="EZ66" s="24"/>
      <c r="FA66" s="2">
        <v>22138886</v>
      </c>
      <c r="FB66" s="24"/>
      <c r="FC66" s="193"/>
      <c r="FD66" s="189">
        <f t="shared" si="204"/>
        <v>0</v>
      </c>
      <c r="FE66" s="52"/>
      <c r="FF66" s="52"/>
      <c r="FG66" s="49"/>
      <c r="FH66" s="49"/>
      <c r="FI66" s="49"/>
      <c r="FJ66" s="49"/>
      <c r="FK66" s="49"/>
      <c r="FL66" s="49">
        <f t="shared" si="100"/>
        <v>0</v>
      </c>
      <c r="FM66" s="180">
        <f t="shared" si="101"/>
        <v>46120</v>
      </c>
      <c r="FN66" s="49"/>
      <c r="FO66" s="49"/>
      <c r="FP66" s="49"/>
      <c r="FQ66" s="49"/>
      <c r="FR66" s="49"/>
      <c r="FS66" s="34">
        <f t="shared" si="176"/>
        <v>20009925</v>
      </c>
      <c r="FT66" s="34">
        <f t="shared" si="177"/>
        <v>32016124</v>
      </c>
      <c r="FU66" s="3"/>
      <c r="FV66" s="3"/>
      <c r="FW66" s="3"/>
      <c r="FX66" s="3"/>
      <c r="FY66" s="3"/>
      <c r="FZ66" s="3"/>
      <c r="GA66" s="3"/>
      <c r="GB66" s="4"/>
      <c r="GC66" s="3"/>
      <c r="GD66" s="182"/>
      <c r="GE66" s="3"/>
      <c r="GF66" s="3"/>
      <c r="GG66" s="3"/>
      <c r="GH66" s="3"/>
      <c r="GI66" s="3"/>
      <c r="GJ66" s="3"/>
      <c r="GK66" s="3"/>
      <c r="GL66" s="3"/>
      <c r="GM66" s="3"/>
      <c r="GN66" s="3"/>
    </row>
    <row r="67" spans="1:196" s="1" customFormat="1" ht="33.950000000000003">
      <c r="A67" s="2" t="str">
        <f t="shared" si="102"/>
        <v>Exp Dox Presented to Bank, Pmt Pending</v>
      </c>
      <c r="B67" s="281">
        <v>51</v>
      </c>
      <c r="C67" s="281">
        <v>190</v>
      </c>
      <c r="D67" s="182" t="s">
        <v>208</v>
      </c>
      <c r="E67" s="2" t="str">
        <f t="shared" si="103"/>
        <v>CLOSE POSITION</v>
      </c>
      <c r="F67" s="271">
        <f t="shared" si="104"/>
        <v>32014392</v>
      </c>
      <c r="G67" s="271"/>
      <c r="H67" s="2" t="str">
        <f t="shared" si="105"/>
        <v>SSS INTERNATIONAL AGRO</v>
      </c>
      <c r="I67" s="3" t="s">
        <v>209</v>
      </c>
      <c r="J67" s="2" t="s">
        <v>210</v>
      </c>
      <c r="K67" s="2" t="str">
        <f t="shared" si="106"/>
        <v>VIZAG, INDIA</v>
      </c>
      <c r="L67" s="2" t="str">
        <f t="shared" si="147"/>
        <v>MEDULG626996</v>
      </c>
      <c r="M67" s="2">
        <f t="shared" si="174"/>
        <v>104.02</v>
      </c>
      <c r="N67" s="22">
        <f t="shared" si="107"/>
        <v>46110</v>
      </c>
      <c r="O67" s="22">
        <f t="shared" si="143"/>
        <v>46165</v>
      </c>
      <c r="P67" s="22" t="str">
        <f t="shared" si="108"/>
        <v>OBL In Destination - INDIA</v>
      </c>
      <c r="Q67" s="2"/>
      <c r="R67" s="2" t="str">
        <f t="shared" si="109"/>
        <v>CERTS in Destination - INDIA</v>
      </c>
      <c r="S67" s="2" t="str">
        <f t="shared" si="110"/>
        <v>Docs in Buyer's Nego Bank</v>
      </c>
      <c r="T67" s="2" t="str">
        <f>IFERROR(_xlfn.XLOOKUP(F67,
'[2]Data 2026'!$H$12:$H$111,
'[2]Data 2026'!$CL$12:$CL$111),"")</f>
        <v/>
      </c>
      <c r="U67" s="438" t="s">
        <v>534</v>
      </c>
      <c r="V67" s="272"/>
      <c r="W67" s="438" t="s">
        <v>535</v>
      </c>
      <c r="X67" s="24">
        <v>46052</v>
      </c>
      <c r="Y67" s="273">
        <v>20009355</v>
      </c>
      <c r="Z67" s="24">
        <v>46052</v>
      </c>
      <c r="AA67" s="182">
        <v>32014392</v>
      </c>
      <c r="AB67" s="182" t="s">
        <v>474</v>
      </c>
      <c r="AC67" s="203">
        <v>46082</v>
      </c>
      <c r="AD67" s="203">
        <v>46112</v>
      </c>
      <c r="AE67" s="30">
        <v>0.1</v>
      </c>
      <c r="AF67" s="277">
        <f>EJ67</f>
        <v>104.02</v>
      </c>
      <c r="AG67" s="35">
        <f t="shared" si="111"/>
        <v>93.617999999999995</v>
      </c>
      <c r="AH67" s="3" t="s">
        <v>215</v>
      </c>
      <c r="AI67" s="4">
        <v>1630</v>
      </c>
      <c r="AJ67" s="4">
        <v>163000</v>
      </c>
      <c r="AK67" s="3" t="s">
        <v>249</v>
      </c>
      <c r="AL67" s="3" t="s">
        <v>238</v>
      </c>
      <c r="AM67" s="183">
        <v>0.1</v>
      </c>
      <c r="AN67" s="183">
        <v>0.9</v>
      </c>
      <c r="AO67" s="183">
        <v>0</v>
      </c>
      <c r="AP67" s="28" t="s">
        <v>218</v>
      </c>
      <c r="AQ67" s="18" t="s">
        <v>239</v>
      </c>
      <c r="AR67" s="18" t="s">
        <v>251</v>
      </c>
      <c r="AS67" s="27"/>
      <c r="AT67" s="3" t="s">
        <v>220</v>
      </c>
      <c r="AU67" s="3" t="s">
        <v>220</v>
      </c>
      <c r="AV67" s="3" t="s">
        <v>220</v>
      </c>
      <c r="AW67" s="9"/>
      <c r="AX67" s="3"/>
      <c r="AY67" s="47">
        <v>46059</v>
      </c>
      <c r="AZ67" s="275">
        <f t="shared" si="178"/>
        <v>16955.260000000002</v>
      </c>
      <c r="BA67" s="18">
        <v>46065</v>
      </c>
      <c r="BB67" s="22">
        <v>46062</v>
      </c>
      <c r="BC67" s="22"/>
      <c r="BD67" s="22"/>
      <c r="BE67" s="22"/>
      <c r="BF67" s="22">
        <v>46062</v>
      </c>
      <c r="BG67" s="18"/>
      <c r="BH67" s="18"/>
      <c r="BI67" s="3" t="s">
        <v>545</v>
      </c>
      <c r="BJ67" s="25">
        <v>104.02</v>
      </c>
      <c r="BK67" s="46" t="s">
        <v>222</v>
      </c>
      <c r="BL67" s="497">
        <v>4</v>
      </c>
      <c r="BM67" s="18">
        <v>46110</v>
      </c>
      <c r="BN67" s="4" t="s">
        <v>546</v>
      </c>
      <c r="BO67" s="18">
        <v>46165</v>
      </c>
      <c r="BP67" s="3" t="s">
        <v>278</v>
      </c>
      <c r="BQ67" s="21" t="s">
        <v>539</v>
      </c>
      <c r="BR67" s="2" t="s">
        <v>226</v>
      </c>
      <c r="BS67" s="2"/>
      <c r="BT67" s="505" t="s">
        <v>547</v>
      </c>
      <c r="BU67" s="2" t="s">
        <v>325</v>
      </c>
      <c r="BV67" s="20">
        <v>90084819</v>
      </c>
      <c r="BW67" s="7">
        <v>46141</v>
      </c>
      <c r="BX67" s="46">
        <f t="shared" si="175"/>
        <v>169552.6</v>
      </c>
      <c r="BY67" s="22"/>
      <c r="BZ67" s="22">
        <v>46129</v>
      </c>
      <c r="CA67" s="271">
        <v>4567280594</v>
      </c>
      <c r="CB67" s="22">
        <v>46134</v>
      </c>
      <c r="CC67" s="22"/>
      <c r="CD67" s="22"/>
      <c r="CE67" s="22" t="str">
        <f>IF(J67="VIETNAM",
IF(CG67&lt;&gt;"","OBL in Vietnam Office",
IF(CF67&lt;&gt;"","OBL in Transit from Vietnam Office",
IF(CD67&lt;&gt;0,"OBL In Destination - "&amp;J67,
IF(CC67&lt;&gt;0,"OBL in Transit to Destination - "&amp;J67,
IF(CB67&lt;&gt;0,"OBL in SIG Office",
IF(CA67&lt;&gt;0,"OBL in Transit from Origin to SIG",
IF(BZ67&lt;&gt;0,"OBL in Origin - "&amp;I67,
IF(BY67&lt;&gt;0,"Draft Rcvd","No OBL Yet")))))))),
IF(CO67&lt;&gt;0,"OBL In Destination - "&amp;J67,
IF(CM67&lt;&gt;0,"OBL in Transit with Nego Docs - "&amp;J67,
IF(CB67&lt;&gt;0,"OBL in SIG Office",
IF(CA67&lt;&gt;0,"OBL in Transit from Origin to SIG",
IF(BZ67&lt;&gt;0,"OBL in Origin - "&amp;I67,
IF(BY67&lt;&gt;0,"Draft Rcvd","No OBL Yet")))))))</f>
        <v>OBL In Destination - INDIA</v>
      </c>
      <c r="CF67" s="22"/>
      <c r="CG67" s="22"/>
      <c r="CH67" s="22">
        <v>46141</v>
      </c>
      <c r="CI67" s="418">
        <v>2667739491</v>
      </c>
      <c r="CJ67" s="22">
        <v>46157</v>
      </c>
      <c r="CK67" s="2" t="str">
        <f t="shared" si="113"/>
        <v>CERTS in Destination - INDIA</v>
      </c>
      <c r="CL67" s="48" t="s">
        <v>244</v>
      </c>
      <c r="CM67" s="22">
        <v>46141</v>
      </c>
      <c r="CN67" s="55">
        <v>6049179651</v>
      </c>
      <c r="CO67" s="54">
        <v>46149</v>
      </c>
      <c r="CP67" s="55" t="str">
        <f t="shared" si="179"/>
        <v>Docs in Buyer's Nego Bank</v>
      </c>
      <c r="CQ67" s="50">
        <f t="shared" ref="CQ67:CQ98" si="205">(AN67*AI67*BJ67)-AZ67</f>
        <v>135642.07999999999</v>
      </c>
      <c r="CR67" s="54"/>
      <c r="CS67" s="2"/>
      <c r="CT67" s="2"/>
      <c r="CU67" s="14" t="str">
        <f t="shared" si="180"/>
        <v/>
      </c>
      <c r="CV67" s="42" t="str">
        <f t="shared" si="181"/>
        <v/>
      </c>
      <c r="CW67" s="14" t="str">
        <f t="shared" si="182"/>
        <v/>
      </c>
      <c r="CX67" s="14" t="str">
        <f t="shared" si="183"/>
        <v/>
      </c>
      <c r="CY67" s="15" t="str">
        <f t="shared" si="184"/>
        <v/>
      </c>
      <c r="CZ67" s="2"/>
      <c r="DA67" s="41" t="str">
        <f t="shared" si="185"/>
        <v/>
      </c>
      <c r="DB67" s="2"/>
      <c r="DC67" s="39" t="str">
        <f t="shared" si="186"/>
        <v/>
      </c>
      <c r="DD67" s="40"/>
      <c r="DE67" s="16" t="str">
        <f t="shared" si="187"/>
        <v/>
      </c>
      <c r="DF67" s="2" t="str">
        <f t="shared" si="188"/>
        <v/>
      </c>
      <c r="DG67" s="14" t="str">
        <f t="shared" si="189"/>
        <v/>
      </c>
      <c r="DH67" s="2" t="str">
        <f t="shared" si="190"/>
        <v/>
      </c>
      <c r="DI67" s="39" t="str">
        <f t="shared" si="191"/>
        <v/>
      </c>
      <c r="DJ67" s="2" t="str">
        <f t="shared" si="192"/>
        <v/>
      </c>
      <c r="DK67" s="15" t="str">
        <f t="shared" si="193"/>
        <v/>
      </c>
      <c r="DL67" s="2"/>
      <c r="DM67" s="2"/>
      <c r="DN67" s="15" t="str">
        <f t="shared" si="194"/>
        <v/>
      </c>
      <c r="DO67" s="14" t="str">
        <f t="shared" si="195"/>
        <v/>
      </c>
      <c r="DP67" s="14" t="str">
        <f t="shared" si="196"/>
        <v/>
      </c>
      <c r="DQ67" s="15" t="str">
        <f t="shared" si="197"/>
        <v/>
      </c>
      <c r="DR67" s="15" t="str">
        <f t="shared" si="198"/>
        <v/>
      </c>
      <c r="DS67" s="2" t="str">
        <f t="shared" si="199"/>
        <v/>
      </c>
      <c r="DT67" s="2" t="str">
        <f t="shared" si="200"/>
        <v/>
      </c>
      <c r="DU67" s="2"/>
      <c r="DV67" s="2"/>
      <c r="DW67" s="2"/>
      <c r="DX67" s="2"/>
      <c r="DY67" s="2" t="s">
        <v>230</v>
      </c>
      <c r="DZ67" s="2"/>
      <c r="EA67" s="2" t="str">
        <f t="shared" si="201"/>
        <v/>
      </c>
      <c r="EB67" s="2">
        <v>48.04</v>
      </c>
      <c r="EC67" s="2">
        <v>182</v>
      </c>
      <c r="ED67" s="2">
        <v>7.84</v>
      </c>
      <c r="EE67" s="3">
        <v>4900008912</v>
      </c>
      <c r="EF67" s="7"/>
      <c r="EG67" s="3"/>
      <c r="EH67" s="3" t="s">
        <v>326</v>
      </c>
      <c r="EI67" s="3" t="s">
        <v>258</v>
      </c>
      <c r="EJ67" s="189">
        <v>104.02</v>
      </c>
      <c r="EK67" s="4">
        <v>1500</v>
      </c>
      <c r="EL67" s="9"/>
      <c r="EM67" s="9"/>
      <c r="EN67" s="46">
        <f t="shared" si="202"/>
        <v>156030</v>
      </c>
      <c r="EO67" s="9" t="s">
        <v>232</v>
      </c>
      <c r="EP67" s="8"/>
      <c r="EQ67" s="4"/>
      <c r="ER67" s="4">
        <v>140427</v>
      </c>
      <c r="ES67" s="7"/>
      <c r="ET67" s="7"/>
      <c r="EU67" s="6"/>
      <c r="EV67" s="2" t="str">
        <f t="shared" si="136"/>
        <v>Export Loan</v>
      </c>
      <c r="EW67" s="46"/>
      <c r="EX67" s="46">
        <f t="shared" si="203"/>
        <v>0</v>
      </c>
      <c r="EY67" s="46" t="s">
        <v>233</v>
      </c>
      <c r="EZ67" s="24"/>
      <c r="FA67" s="2">
        <v>22138874</v>
      </c>
      <c r="FB67" s="24"/>
      <c r="FC67" s="53"/>
      <c r="FD67" s="46">
        <f t="shared" si="204"/>
        <v>0</v>
      </c>
      <c r="FE67" s="52"/>
      <c r="FF67" s="52"/>
      <c r="FG67" s="49"/>
      <c r="FH67" s="49"/>
      <c r="FI67" s="49"/>
      <c r="FJ67" s="49"/>
      <c r="FK67" s="49"/>
      <c r="FL67" s="49">
        <f t="shared" ref="FL67:FL98" si="206">IFERROR(EZ67-BY67,"")</f>
        <v>0</v>
      </c>
      <c r="FM67" s="180">
        <f t="shared" ref="FM67:FM98" si="207">IFERROR(BM67-FB67,"")</f>
        <v>46110</v>
      </c>
      <c r="FN67" s="49"/>
      <c r="FO67" s="49"/>
      <c r="FP67" s="49"/>
      <c r="FQ67" s="49"/>
      <c r="FR67" s="49"/>
      <c r="FS67" s="34">
        <f t="shared" si="176"/>
        <v>20009355</v>
      </c>
      <c r="FT67" s="34">
        <f t="shared" si="177"/>
        <v>32014392</v>
      </c>
      <c r="FU67" s="3"/>
      <c r="FV67" s="3"/>
      <c r="FW67" s="3"/>
      <c r="FX67" s="3"/>
      <c r="FY67" s="3"/>
      <c r="FZ67" s="3"/>
      <c r="GA67" s="3"/>
      <c r="GB67" s="4"/>
      <c r="GC67" s="3"/>
      <c r="GD67" s="182"/>
      <c r="GE67" s="3"/>
      <c r="GF67" s="3"/>
      <c r="GG67" s="3"/>
      <c r="GH67" s="3"/>
      <c r="GI67" s="3"/>
      <c r="GJ67" s="3"/>
      <c r="GK67" s="3"/>
      <c r="GL67" s="3"/>
      <c r="GM67" s="3"/>
      <c r="GN67" s="3"/>
    </row>
    <row r="68" spans="1:196" s="1" customFormat="1" ht="33.950000000000003">
      <c r="A68" s="2" t="str">
        <f t="shared" si="102"/>
        <v xml:space="preserve"> Final Pmt Recd , FNF Pending</v>
      </c>
      <c r="B68" s="282">
        <v>48</v>
      </c>
      <c r="C68" s="282">
        <v>185</v>
      </c>
      <c r="D68" s="182" t="s">
        <v>208</v>
      </c>
      <c r="E68" s="2" t="str">
        <f t="shared" si="103"/>
        <v>CLOSE POSITION</v>
      </c>
      <c r="F68" s="271" t="str">
        <f t="shared" si="104"/>
        <v>32015280-1</v>
      </c>
      <c r="G68" s="271"/>
      <c r="H68" s="2" t="str">
        <f t="shared" si="105"/>
        <v>Valency Agro (Processing)</v>
      </c>
      <c r="I68" s="3" t="s">
        <v>245</v>
      </c>
      <c r="J68" s="2" t="s">
        <v>210</v>
      </c>
      <c r="K68" s="2" t="str">
        <f t="shared" si="106"/>
        <v>MANGALORE, INDIA</v>
      </c>
      <c r="L68" s="2" t="str">
        <f t="shared" si="147"/>
        <v>TMA0158631B</v>
      </c>
      <c r="M68" s="2">
        <f t="shared" si="174"/>
        <v>101.78</v>
      </c>
      <c r="N68" s="22">
        <f t="shared" si="107"/>
        <v>46095</v>
      </c>
      <c r="O68" s="22">
        <f t="shared" si="143"/>
        <v>46159</v>
      </c>
      <c r="P68" s="22" t="str">
        <f t="shared" si="108"/>
        <v>OBL In Destination - INDIA</v>
      </c>
      <c r="Q68" s="2"/>
      <c r="R68" s="2" t="str">
        <f t="shared" si="109"/>
        <v>CERTS in Destination - INDIA</v>
      </c>
      <c r="S68" s="2" t="str">
        <f t="shared" si="110"/>
        <v>Docs in Buyer's Nego Bank</v>
      </c>
      <c r="T68" s="2" t="str">
        <f>IFERROR(_xlfn.XLOOKUP(F68,
'[2]Data 2026'!$H$12:$H$111,
'[2]Data 2026'!$CL$12:$CL$111),"")</f>
        <v/>
      </c>
      <c r="U68" s="3" t="s">
        <v>548</v>
      </c>
      <c r="V68" s="272"/>
      <c r="W68" s="3"/>
      <c r="X68" s="24">
        <v>46093</v>
      </c>
      <c r="Y68" s="273">
        <v>20009738</v>
      </c>
      <c r="Z68" s="24">
        <f>X68</f>
        <v>46093</v>
      </c>
      <c r="AA68" s="182" t="s">
        <v>549</v>
      </c>
      <c r="AB68" s="182" t="s">
        <v>247</v>
      </c>
      <c r="AC68" s="182" t="s">
        <v>248</v>
      </c>
      <c r="AD68" s="181">
        <v>46112</v>
      </c>
      <c r="AE68" s="44">
        <v>0.1</v>
      </c>
      <c r="AF68" s="276">
        <v>100</v>
      </c>
      <c r="AG68" s="35">
        <f t="shared" si="111"/>
        <v>90</v>
      </c>
      <c r="AH68" s="3" t="s">
        <v>215</v>
      </c>
      <c r="AI68" s="35">
        <v>1585</v>
      </c>
      <c r="AJ68" s="35">
        <f>AI68*AF68</f>
        <v>158500</v>
      </c>
      <c r="AK68" s="3" t="s">
        <v>249</v>
      </c>
      <c r="AL68" s="3" t="s">
        <v>238</v>
      </c>
      <c r="AM68" s="44">
        <v>0</v>
      </c>
      <c r="AN68" s="183">
        <v>1</v>
      </c>
      <c r="AO68" s="183">
        <v>0</v>
      </c>
      <c r="AP68" s="28" t="s">
        <v>218</v>
      </c>
      <c r="AQ68" s="18" t="s">
        <v>250</v>
      </c>
      <c r="AR68" s="18" t="s">
        <v>251</v>
      </c>
      <c r="AS68" s="27"/>
      <c r="AT68" s="3" t="s">
        <v>220</v>
      </c>
      <c r="AU68" s="3" t="s">
        <v>220</v>
      </c>
      <c r="AV68" s="3" t="s">
        <v>220</v>
      </c>
      <c r="AW68" s="9"/>
      <c r="AX68" s="3"/>
      <c r="AY68" s="47"/>
      <c r="AZ68" s="275">
        <f t="shared" si="178"/>
        <v>0</v>
      </c>
      <c r="BA68" s="18"/>
      <c r="BB68" s="22"/>
      <c r="BC68" s="22"/>
      <c r="BD68" s="22"/>
      <c r="BE68" s="22"/>
      <c r="BF68" s="22">
        <v>46078</v>
      </c>
      <c r="BG68" s="18"/>
      <c r="BH68" s="18"/>
      <c r="BI68" s="3" t="s">
        <v>550</v>
      </c>
      <c r="BJ68" s="43">
        <v>101.78</v>
      </c>
      <c r="BK68" s="46" t="s">
        <v>222</v>
      </c>
      <c r="BL68" s="498">
        <v>4</v>
      </c>
      <c r="BM68" s="18">
        <v>46095</v>
      </c>
      <c r="BN68" s="35"/>
      <c r="BO68" s="18">
        <v>46159</v>
      </c>
      <c r="BP68" s="3" t="s">
        <v>245</v>
      </c>
      <c r="BQ68" s="21" t="s">
        <v>265</v>
      </c>
      <c r="BR68" s="2" t="s">
        <v>254</v>
      </c>
      <c r="BS68" s="2"/>
      <c r="BT68" s="2" t="s">
        <v>551</v>
      </c>
      <c r="BU68" s="2" t="s">
        <v>552</v>
      </c>
      <c r="BV68" s="20">
        <v>90082896</v>
      </c>
      <c r="BW68" s="19"/>
      <c r="BX68" s="46">
        <f t="shared" si="175"/>
        <v>161321.29999999999</v>
      </c>
      <c r="BY68" s="22"/>
      <c r="BZ68" s="22">
        <v>46113</v>
      </c>
      <c r="CA68" s="2">
        <v>6399084285</v>
      </c>
      <c r="CB68" s="22">
        <v>46108</v>
      </c>
      <c r="CC68" s="182"/>
      <c r="CD68" s="22"/>
      <c r="CE68" s="22" t="str">
        <f>IF(J68="VIETNAM",
IF(CG68&lt;&gt;"","OBL in Vietnam Office",
IF(CF68&lt;&gt;"","OBL in Transit from Vietnam Office",
IF(CD68&lt;&gt;0,"OBL In Destination - "&amp;J68,
IF(CA68&lt;&gt;0,"OBL in Transit to Destination - "&amp;J68,
IF(CB68&lt;&gt;0,"OBL in SIG Office",
IF(#REF!&lt;&gt;0,"OBL in Transit from Origin to SIG",
IF(BZ68&lt;&gt;0,"OBL in Origin - "&amp;I68,
IF(BY68&lt;&gt;0,"Draft Rcvd","No OBL Yet")))))))),
IF(CO68&lt;&gt;0,"OBL In Destination - "&amp;J68,
IF(CM68&lt;&gt;0,"OBL in Transit with Nego Docs - "&amp;J68,
IF(CB68&lt;&gt;0,"OBL in SIG Office",
IF(#REF!&lt;&gt;0,"OBL in Transit from Origin to SIG",
IF(BZ68&lt;&gt;0,"OBL in Origin - "&amp;I68,
IF(BY68&lt;&gt;0,"Draft Rcvd","No OBL Yet")))))))</f>
        <v>OBL In Destination - INDIA</v>
      </c>
      <c r="CF68" s="22"/>
      <c r="CG68" s="22"/>
      <c r="CH68" s="181">
        <v>46113</v>
      </c>
      <c r="CI68" s="1" t="s">
        <v>553</v>
      </c>
      <c r="CJ68" s="181">
        <v>46125</v>
      </c>
      <c r="CK68" s="2" t="str">
        <f t="shared" si="113"/>
        <v>CERTS in Destination - INDIA</v>
      </c>
      <c r="CL68" s="48" t="s">
        <v>229</v>
      </c>
      <c r="CM68" s="22">
        <v>46113</v>
      </c>
      <c r="CN68" s="55">
        <v>2354998531</v>
      </c>
      <c r="CO68" s="54">
        <v>46119</v>
      </c>
      <c r="CP68" s="55" t="str">
        <f t="shared" si="179"/>
        <v>Docs in Buyer's Nego Bank</v>
      </c>
      <c r="CQ68" s="50">
        <f t="shared" si="205"/>
        <v>161321.29999999999</v>
      </c>
      <c r="CR68" s="54">
        <v>46162</v>
      </c>
      <c r="CS68" s="2"/>
      <c r="CT68" s="2"/>
      <c r="CU68" s="14" t="str">
        <f t="shared" si="180"/>
        <v/>
      </c>
      <c r="CV68" s="42" t="str">
        <f t="shared" si="181"/>
        <v/>
      </c>
      <c r="CW68" s="14" t="str">
        <f t="shared" si="182"/>
        <v/>
      </c>
      <c r="CX68" s="14" t="str">
        <f t="shared" si="183"/>
        <v/>
      </c>
      <c r="CY68" s="15" t="str">
        <f t="shared" si="184"/>
        <v/>
      </c>
      <c r="CZ68" s="2"/>
      <c r="DA68" s="41" t="str">
        <f t="shared" si="185"/>
        <v/>
      </c>
      <c r="DB68" s="2"/>
      <c r="DC68" s="39" t="str">
        <f t="shared" si="186"/>
        <v/>
      </c>
      <c r="DD68" s="40"/>
      <c r="DE68" s="16" t="str">
        <f t="shared" si="187"/>
        <v/>
      </c>
      <c r="DF68" s="2" t="str">
        <f t="shared" si="188"/>
        <v/>
      </c>
      <c r="DG68" s="14" t="str">
        <f t="shared" si="189"/>
        <v/>
      </c>
      <c r="DH68" s="2" t="str">
        <f t="shared" si="190"/>
        <v/>
      </c>
      <c r="DI68" s="39" t="str">
        <f t="shared" si="191"/>
        <v/>
      </c>
      <c r="DJ68" s="2" t="str">
        <f t="shared" si="192"/>
        <v/>
      </c>
      <c r="DK68" s="15" t="str">
        <f t="shared" si="193"/>
        <v/>
      </c>
      <c r="DL68" s="2"/>
      <c r="DM68" s="2"/>
      <c r="DN68" s="15" t="str">
        <f t="shared" si="194"/>
        <v/>
      </c>
      <c r="DO68" s="14" t="str">
        <f t="shared" si="195"/>
        <v/>
      </c>
      <c r="DP68" s="14" t="str">
        <f t="shared" si="196"/>
        <v/>
      </c>
      <c r="DQ68" s="15" t="str">
        <f t="shared" si="197"/>
        <v/>
      </c>
      <c r="DR68" s="15" t="str">
        <f t="shared" si="198"/>
        <v/>
      </c>
      <c r="DS68" s="2" t="str">
        <f t="shared" si="199"/>
        <v/>
      </c>
      <c r="DT68" s="2" t="str">
        <f t="shared" si="200"/>
        <v/>
      </c>
      <c r="DU68" s="2"/>
      <c r="DV68" s="2"/>
      <c r="DW68" s="2"/>
      <c r="DX68" s="2"/>
      <c r="DY68" s="2" t="s">
        <v>230</v>
      </c>
      <c r="DZ68" s="2"/>
      <c r="EA68" s="2" t="str">
        <f t="shared" si="201"/>
        <v/>
      </c>
      <c r="EB68" s="2"/>
      <c r="EC68" s="2"/>
      <c r="ED68" s="2"/>
      <c r="EE68" s="3"/>
      <c r="EF68" s="7"/>
      <c r="EG68" s="3"/>
      <c r="EH68" s="3" t="s">
        <v>257</v>
      </c>
      <c r="EI68" s="3" t="s">
        <v>258</v>
      </c>
      <c r="EJ68" s="46"/>
      <c r="EK68" s="35"/>
      <c r="EL68" s="9"/>
      <c r="EM68" s="9"/>
      <c r="EN68" s="46">
        <f t="shared" si="202"/>
        <v>0</v>
      </c>
      <c r="EO68" s="9"/>
      <c r="EP68" s="448"/>
      <c r="EQ68" s="35"/>
      <c r="ER68" s="35"/>
      <c r="ES68" s="7"/>
      <c r="ET68" s="7"/>
      <c r="EU68" s="6"/>
      <c r="EV68" s="2" t="str">
        <f t="shared" si="136"/>
        <v>Final Pmt Recd</v>
      </c>
      <c r="EW68" s="46"/>
      <c r="EX68" s="46">
        <f t="shared" si="203"/>
        <v>0</v>
      </c>
      <c r="EY68" s="46" t="s">
        <v>233</v>
      </c>
      <c r="EZ68" s="24"/>
      <c r="FA68" s="2"/>
      <c r="FB68" s="24"/>
      <c r="FC68" s="53"/>
      <c r="FD68" s="46">
        <f t="shared" si="204"/>
        <v>0</v>
      </c>
      <c r="FE68" s="52"/>
      <c r="FF68" s="52"/>
      <c r="FG68" s="49"/>
      <c r="FH68" s="49"/>
      <c r="FI68" s="49"/>
      <c r="FJ68" s="49"/>
      <c r="FK68" s="49"/>
      <c r="FL68" s="49">
        <f t="shared" si="206"/>
        <v>0</v>
      </c>
      <c r="FM68" s="180">
        <f t="shared" si="207"/>
        <v>46095</v>
      </c>
      <c r="FN68" s="49"/>
      <c r="FO68" s="49"/>
      <c r="FP68" s="49"/>
      <c r="FQ68" s="49"/>
      <c r="FR68" s="49"/>
      <c r="FS68" s="34">
        <f t="shared" si="176"/>
        <v>20009738</v>
      </c>
      <c r="FT68" s="34" t="str">
        <f t="shared" si="177"/>
        <v>32015280-1</v>
      </c>
      <c r="FU68" s="3"/>
      <c r="FV68" s="3"/>
      <c r="FW68" s="3"/>
      <c r="FX68" s="3"/>
      <c r="FY68" s="3"/>
      <c r="FZ68" s="3"/>
      <c r="GA68" s="3"/>
      <c r="GB68" s="35"/>
      <c r="GC68" s="3"/>
      <c r="GD68" s="182">
        <v>90082896</v>
      </c>
      <c r="GE68" s="2"/>
      <c r="GF68" s="2" t="s">
        <v>235</v>
      </c>
      <c r="GG68" s="2"/>
      <c r="GH68" s="2"/>
      <c r="GI68" s="2"/>
      <c r="GJ68" s="2"/>
      <c r="GK68" s="2"/>
      <c r="GL68" s="2"/>
      <c r="GM68" s="2"/>
      <c r="GN68" s="2"/>
    </row>
    <row r="69" spans="1:196" s="1" customFormat="1" ht="33.950000000000003">
      <c r="A69" s="2" t="str">
        <f t="shared" si="102"/>
        <v xml:space="preserve"> Final Pmt Recd , FNF Pending</v>
      </c>
      <c r="B69" s="282">
        <v>48</v>
      </c>
      <c r="C69" s="282">
        <v>185</v>
      </c>
      <c r="D69" s="182" t="s">
        <v>208</v>
      </c>
      <c r="E69" s="2" t="str">
        <f t="shared" si="103"/>
        <v>CLOSE POSITION</v>
      </c>
      <c r="F69" s="271" t="str">
        <f t="shared" si="104"/>
        <v>32015280-2</v>
      </c>
      <c r="G69" s="271"/>
      <c r="H69" s="2" t="str">
        <f t="shared" si="105"/>
        <v>Valency Agro (Processing)</v>
      </c>
      <c r="I69" s="3" t="s">
        <v>245</v>
      </c>
      <c r="J69" s="2" t="s">
        <v>210</v>
      </c>
      <c r="K69" s="2" t="str">
        <f t="shared" si="106"/>
        <v>MANGALORE, INDIA</v>
      </c>
      <c r="L69" s="2" t="str">
        <f t="shared" si="147"/>
        <v>TMA0158845A</v>
      </c>
      <c r="M69" s="2">
        <f t="shared" si="174"/>
        <v>103.78</v>
      </c>
      <c r="N69" s="22">
        <f t="shared" si="107"/>
        <v>46105</v>
      </c>
      <c r="O69" s="22">
        <f t="shared" si="143"/>
        <v>46159</v>
      </c>
      <c r="P69" s="22" t="str">
        <f t="shared" si="108"/>
        <v>OBL In Destination - INDIA</v>
      </c>
      <c r="Q69" s="2"/>
      <c r="R69" s="2" t="str">
        <f t="shared" si="109"/>
        <v>CERTS in Destination - INDIA</v>
      </c>
      <c r="S69" s="2" t="str">
        <f t="shared" si="110"/>
        <v>Docs in Buyer's Nego Bank</v>
      </c>
      <c r="T69" s="2" t="str">
        <f>IFERROR(_xlfn.XLOOKUP(F69,
'[2]Data 2026'!$H$12:$H$111,
'[2]Data 2026'!$CL$12:$CL$111),"")</f>
        <v/>
      </c>
      <c r="U69" s="3" t="s">
        <v>548</v>
      </c>
      <c r="V69" s="272"/>
      <c r="W69" s="3"/>
      <c r="X69" s="24">
        <v>46093</v>
      </c>
      <c r="Y69" s="273">
        <v>20009738</v>
      </c>
      <c r="Z69" s="24">
        <f>X69</f>
        <v>46093</v>
      </c>
      <c r="AA69" s="182" t="s">
        <v>554</v>
      </c>
      <c r="AB69" s="182" t="s">
        <v>247</v>
      </c>
      <c r="AC69" s="182" t="s">
        <v>248</v>
      </c>
      <c r="AD69" s="181">
        <v>46112</v>
      </c>
      <c r="AE69" s="44">
        <v>0.1</v>
      </c>
      <c r="AF69" s="276">
        <v>100</v>
      </c>
      <c r="AG69" s="35">
        <f t="shared" si="111"/>
        <v>90</v>
      </c>
      <c r="AH69" s="3" t="s">
        <v>215</v>
      </c>
      <c r="AI69" s="35">
        <v>1585</v>
      </c>
      <c r="AJ69" s="35">
        <f>AI69*AF69</f>
        <v>158500</v>
      </c>
      <c r="AK69" s="3" t="s">
        <v>249</v>
      </c>
      <c r="AL69" s="3" t="s">
        <v>238</v>
      </c>
      <c r="AM69" s="44">
        <v>0</v>
      </c>
      <c r="AN69" s="183">
        <v>1</v>
      </c>
      <c r="AO69" s="183">
        <v>0</v>
      </c>
      <c r="AP69" s="28" t="s">
        <v>218</v>
      </c>
      <c r="AQ69" s="18" t="s">
        <v>250</v>
      </c>
      <c r="AR69" s="18" t="s">
        <v>251</v>
      </c>
      <c r="AS69" s="27"/>
      <c r="AT69" s="3" t="s">
        <v>220</v>
      </c>
      <c r="AU69" s="3" t="s">
        <v>220</v>
      </c>
      <c r="AV69" s="3" t="s">
        <v>220</v>
      </c>
      <c r="AW69" s="9"/>
      <c r="AX69" s="3"/>
      <c r="AY69" s="47"/>
      <c r="AZ69" s="275">
        <f t="shared" si="178"/>
        <v>0</v>
      </c>
      <c r="BA69" s="18">
        <f>Z69</f>
        <v>46093</v>
      </c>
      <c r="BB69" s="22">
        <v>46078</v>
      </c>
      <c r="BC69" s="22"/>
      <c r="BD69" s="22"/>
      <c r="BE69" s="22"/>
      <c r="BF69" s="22">
        <v>46078</v>
      </c>
      <c r="BG69" s="18"/>
      <c r="BH69" s="18"/>
      <c r="BI69" s="3" t="s">
        <v>555</v>
      </c>
      <c r="BJ69" s="43">
        <v>103.78</v>
      </c>
      <c r="BK69" s="46" t="s">
        <v>222</v>
      </c>
      <c r="BL69" s="498">
        <v>4</v>
      </c>
      <c r="BM69" s="18">
        <v>46105</v>
      </c>
      <c r="BN69" s="35"/>
      <c r="BO69" s="18">
        <v>46159</v>
      </c>
      <c r="BP69" s="3" t="s">
        <v>245</v>
      </c>
      <c r="BQ69" s="21" t="s">
        <v>265</v>
      </c>
      <c r="BR69" s="2" t="s">
        <v>254</v>
      </c>
      <c r="BS69" s="2"/>
      <c r="BT69" s="2" t="s">
        <v>255</v>
      </c>
      <c r="BU69" s="2" t="s">
        <v>256</v>
      </c>
      <c r="BV69" s="20">
        <v>90082897</v>
      </c>
      <c r="BW69" s="19"/>
      <c r="BX69" s="46">
        <f t="shared" si="175"/>
        <v>164491.29999999999</v>
      </c>
      <c r="BY69" s="22"/>
      <c r="BZ69" s="22">
        <v>46118</v>
      </c>
      <c r="CA69" s="2">
        <v>2359932374</v>
      </c>
      <c r="CB69" s="22">
        <v>46118</v>
      </c>
      <c r="CC69" s="3"/>
      <c r="CD69" s="22"/>
      <c r="CE69" s="22" t="str">
        <f>IF(J69="VIETNAM",
IF(CG69&lt;&gt;"","OBL in Vietnam Office",
IF(CF69&lt;&gt;"","OBL in Transit from Vietnam Office",
IF(CD69&lt;&gt;0,"OBL In Destination - "&amp;J69,
IF(CC69&lt;&gt;0,"OBL in Transit to Destination - "&amp;J69,
IF(CB69&lt;&gt;0,"OBL in SIG Office",
IF(CA69&lt;&gt;0,"OBL in Transit from Origin to SIG",
IF(BZ69&lt;&gt;0,"OBL in Origin - "&amp;I69,
IF(BY69&lt;&gt;0,"Draft Rcvd","No OBL Yet")))))))),
IF(CO69&lt;&gt;0,"OBL In Destination - "&amp;J69,
IF(CM69&lt;&gt;0,"OBL in Transit with Nego Docs - "&amp;J69,
IF(CB69&lt;&gt;0,"OBL in SIG Office",
IF(CA69&lt;&gt;0,"OBL in Transit from Origin to SIG",
IF(BZ69&lt;&gt;0,"OBL in Origin - "&amp;I69,
IF(BY69&lt;&gt;0,"Draft Rcvd","No OBL Yet")))))))</f>
        <v>OBL In Destination - INDIA</v>
      </c>
      <c r="CF69" s="22"/>
      <c r="CG69" s="22"/>
      <c r="CH69" s="182"/>
      <c r="CI69" s="182">
        <v>4806189765</v>
      </c>
      <c r="CJ69" s="181">
        <v>46132</v>
      </c>
      <c r="CK69" s="2" t="str">
        <f t="shared" si="113"/>
        <v>CERTS in Destination - INDIA</v>
      </c>
      <c r="CL69" s="48" t="s">
        <v>229</v>
      </c>
      <c r="CM69" s="22">
        <v>46119</v>
      </c>
      <c r="CN69" s="55">
        <v>2349086390</v>
      </c>
      <c r="CO69" s="54">
        <v>46122</v>
      </c>
      <c r="CP69" s="55" t="str">
        <f t="shared" si="179"/>
        <v>Docs in Buyer's Nego Bank</v>
      </c>
      <c r="CQ69" s="50">
        <f t="shared" si="205"/>
        <v>164491.29999999999</v>
      </c>
      <c r="CR69" s="54">
        <v>46162</v>
      </c>
      <c r="CS69" s="2"/>
      <c r="CT69" s="2"/>
      <c r="CU69" s="14" t="str">
        <f t="shared" si="180"/>
        <v/>
      </c>
      <c r="CV69" s="42" t="str">
        <f t="shared" si="181"/>
        <v/>
      </c>
      <c r="CW69" s="14" t="str">
        <f t="shared" si="182"/>
        <v/>
      </c>
      <c r="CX69" s="14" t="str">
        <f t="shared" si="183"/>
        <v/>
      </c>
      <c r="CY69" s="15" t="str">
        <f t="shared" si="184"/>
        <v/>
      </c>
      <c r="CZ69" s="2"/>
      <c r="DA69" s="41" t="str">
        <f t="shared" si="185"/>
        <v/>
      </c>
      <c r="DB69" s="2"/>
      <c r="DC69" s="39" t="str">
        <f t="shared" si="186"/>
        <v/>
      </c>
      <c r="DD69" s="40"/>
      <c r="DE69" s="16" t="str">
        <f t="shared" si="187"/>
        <v/>
      </c>
      <c r="DF69" s="2" t="str">
        <f t="shared" si="188"/>
        <v/>
      </c>
      <c r="DG69" s="14" t="str">
        <f t="shared" si="189"/>
        <v/>
      </c>
      <c r="DH69" s="2" t="str">
        <f t="shared" si="190"/>
        <v/>
      </c>
      <c r="DI69" s="39" t="str">
        <f t="shared" si="191"/>
        <v/>
      </c>
      <c r="DJ69" s="2" t="str">
        <f t="shared" si="192"/>
        <v/>
      </c>
      <c r="DK69" s="15" t="str">
        <f t="shared" si="193"/>
        <v/>
      </c>
      <c r="DL69" s="2"/>
      <c r="DM69" s="2"/>
      <c r="DN69" s="15" t="str">
        <f t="shared" si="194"/>
        <v/>
      </c>
      <c r="DO69" s="14" t="str">
        <f t="shared" si="195"/>
        <v/>
      </c>
      <c r="DP69" s="14" t="str">
        <f t="shared" si="196"/>
        <v/>
      </c>
      <c r="DQ69" s="15" t="str">
        <f t="shared" si="197"/>
        <v/>
      </c>
      <c r="DR69" s="15" t="str">
        <f t="shared" si="198"/>
        <v/>
      </c>
      <c r="DS69" s="2" t="str">
        <f t="shared" si="199"/>
        <v/>
      </c>
      <c r="DT69" s="2" t="str">
        <f t="shared" si="200"/>
        <v/>
      </c>
      <c r="DU69" s="2"/>
      <c r="DV69" s="2"/>
      <c r="DW69" s="2"/>
      <c r="DX69" s="2"/>
      <c r="DY69" s="2" t="s">
        <v>230</v>
      </c>
      <c r="DZ69" s="2"/>
      <c r="EA69" s="2" t="str">
        <f t="shared" si="201"/>
        <v/>
      </c>
      <c r="EB69" s="2"/>
      <c r="EC69" s="2"/>
      <c r="ED69" s="2"/>
      <c r="EE69" s="3"/>
      <c r="EF69" s="7"/>
      <c r="EG69" s="3"/>
      <c r="EH69" s="3" t="s">
        <v>257</v>
      </c>
      <c r="EI69" s="3" t="s">
        <v>258</v>
      </c>
      <c r="EJ69" s="46"/>
      <c r="EK69" s="35"/>
      <c r="EL69" s="9"/>
      <c r="EM69" s="9"/>
      <c r="EN69" s="46">
        <f t="shared" si="202"/>
        <v>0</v>
      </c>
      <c r="EO69" s="9"/>
      <c r="EP69" s="448"/>
      <c r="EQ69" s="35"/>
      <c r="ER69" s="35"/>
      <c r="ES69" s="7"/>
      <c r="ET69" s="7"/>
      <c r="EU69" s="6"/>
      <c r="EV69" s="2" t="str">
        <f t="shared" si="136"/>
        <v>Final Pmt Recd</v>
      </c>
      <c r="EW69" s="46"/>
      <c r="EX69" s="46">
        <f t="shared" si="203"/>
        <v>0</v>
      </c>
      <c r="EY69" s="46" t="s">
        <v>233</v>
      </c>
      <c r="EZ69" s="24"/>
      <c r="FA69" s="2"/>
      <c r="FB69" s="24"/>
      <c r="FC69" s="53"/>
      <c r="FD69" s="46">
        <f t="shared" si="204"/>
        <v>0</v>
      </c>
      <c r="FE69" s="52"/>
      <c r="FF69" s="52"/>
      <c r="FG69" s="49"/>
      <c r="FH69" s="49"/>
      <c r="FI69" s="49"/>
      <c r="FJ69" s="49"/>
      <c r="FK69" s="49"/>
      <c r="FL69" s="49">
        <f t="shared" si="206"/>
        <v>0</v>
      </c>
      <c r="FM69" s="180">
        <f t="shared" si="207"/>
        <v>46105</v>
      </c>
      <c r="FN69" s="49"/>
      <c r="FO69" s="49"/>
      <c r="FP69" s="49"/>
      <c r="FQ69" s="49"/>
      <c r="FR69" s="49"/>
      <c r="FS69" s="34">
        <f t="shared" si="176"/>
        <v>20009738</v>
      </c>
      <c r="FT69" s="34" t="str">
        <f t="shared" si="177"/>
        <v>32015280-2</v>
      </c>
      <c r="FU69" s="420">
        <v>4900009397</v>
      </c>
      <c r="FV69" s="420">
        <v>5000270166</v>
      </c>
      <c r="FW69" s="449" t="s">
        <v>556</v>
      </c>
      <c r="FX69" s="420">
        <v>5105709276</v>
      </c>
      <c r="FY69" s="3"/>
      <c r="FZ69" s="3"/>
      <c r="GA69" s="3"/>
      <c r="GB69" s="35"/>
      <c r="GC69" s="420">
        <v>40081315</v>
      </c>
      <c r="GD69" s="420">
        <v>90082897</v>
      </c>
      <c r="GE69" s="2"/>
      <c r="GF69" s="2" t="s">
        <v>235</v>
      </c>
      <c r="GG69" s="2"/>
      <c r="GH69" s="2"/>
      <c r="GI69" s="2"/>
      <c r="GJ69" s="2"/>
      <c r="GK69" s="2"/>
      <c r="GL69" s="2"/>
      <c r="GM69" s="2"/>
      <c r="GN69" s="2"/>
    </row>
    <row r="70" spans="1:196" s="1" customFormat="1" ht="33.950000000000003">
      <c r="A70" s="2" t="str">
        <f t="shared" ref="A70:A101" si="208">IF(DZ70="CLOSE","Trade closed",IF(DZ70="PMT Pending","FNF Settlement is Due",IF(CS70&lt;&gt;0,"FNF Reconcillation Onging",IF(CR70&lt;&gt;0," Final Pmt Recd , FNF Pending",IF(CM70&lt;&gt;0,"Exp Dox Presented to Bank, Pmt Pending",IF(BZ70&lt;&gt;0,"OBL Scan Recd, Nego Pending",IF(BM70&lt;&gt;0,"Sailed, OBL &amp; Certs Pending",IF(BJ70&lt;&gt;0,"Stuffed, Yet to Sail",IF(BB70&lt;&gt;0,"SI Sent, Shipment Awaited",IF(BA70&lt;&gt;0,"Advance Rcvd, SI Pending",IF(Z70&lt;&gt;0,"SC Raised, Advance Pending",IF(X70&lt;&gt;0,"Deal Ticket Rcvd SC Pending", "Entry Pending"))))))))))))</f>
        <v xml:space="preserve"> Final Pmt Recd , FNF Pending</v>
      </c>
      <c r="B70" s="282">
        <v>48</v>
      </c>
      <c r="C70" s="282">
        <v>185</v>
      </c>
      <c r="D70" s="182" t="s">
        <v>208</v>
      </c>
      <c r="E70" s="2" t="str">
        <f t="shared" ref="E70:E101" si="209">IF(AND(LEFT(TRIM(AA70&amp;""),1)="3",BI70&lt;&gt;""),"CLOSE POSITION",
IF(AND(LEFT(TRIM(AA70&amp;""),1)="3",BI70=""),"SHORT POSITION",
IF(AND(LEFT(TRIM(AA70&amp;""),1)&lt;&gt;"3",BI70&lt;&gt;""),"LONG POSITION","ENTRY PENDING")))</f>
        <v>CLOSE POSITION</v>
      </c>
      <c r="F70" s="271" t="str">
        <f t="shared" ref="F70:F84" si="210">AA70</f>
        <v>32015280-3</v>
      </c>
      <c r="G70" s="271"/>
      <c r="H70" s="2" t="str">
        <f t="shared" ref="H70:H101" si="211">AB70</f>
        <v>Valency Agro (Processing)</v>
      </c>
      <c r="I70" s="3" t="s">
        <v>245</v>
      </c>
      <c r="J70" s="2" t="s">
        <v>210</v>
      </c>
      <c r="K70" s="2" t="str">
        <f t="shared" ref="K70:K101" si="212">IF(BQ70&lt;&gt;0,BQ70,"")</f>
        <v>MANGALORE, INDIA</v>
      </c>
      <c r="L70" s="2" t="str">
        <f t="shared" si="147"/>
        <v>TMA0158845B</v>
      </c>
      <c r="M70" s="2">
        <f t="shared" si="174"/>
        <v>103.44</v>
      </c>
      <c r="N70" s="22">
        <f t="shared" ref="N70:N101" si="213">IF(BM70&lt;&gt;0,BM70,"")</f>
        <v>46105</v>
      </c>
      <c r="O70" s="22">
        <f t="shared" si="143"/>
        <v>46159</v>
      </c>
      <c r="P70" s="22" t="str">
        <f t="shared" ref="P70:P101" si="214">CE70</f>
        <v>OBL In Destination - INDIA</v>
      </c>
      <c r="Q70" s="2"/>
      <c r="R70" s="2" t="str">
        <f t="shared" ref="R70:R101" si="215">CK70</f>
        <v>CERTS in Destination - INDIA</v>
      </c>
      <c r="S70" s="2" t="str">
        <f t="shared" ref="S70:S101" si="216">CP70</f>
        <v>Docs in Buyer's Nego Bank</v>
      </c>
      <c r="T70" s="2" t="str">
        <f>IFERROR(_xlfn.XLOOKUP(F70,
'[2]Data 2026'!$H$12:$H$111,
'[2]Data 2026'!$CL$12:$CL$111),"")</f>
        <v/>
      </c>
      <c r="U70" s="3" t="s">
        <v>548</v>
      </c>
      <c r="V70" s="272"/>
      <c r="W70" s="3"/>
      <c r="X70" s="24">
        <v>46093</v>
      </c>
      <c r="Y70" s="273">
        <v>20009738</v>
      </c>
      <c r="Z70" s="24">
        <f>X70</f>
        <v>46093</v>
      </c>
      <c r="AA70" s="182" t="s">
        <v>557</v>
      </c>
      <c r="AB70" s="182" t="s">
        <v>247</v>
      </c>
      <c r="AC70" s="182" t="s">
        <v>248</v>
      </c>
      <c r="AD70" s="181">
        <v>46112</v>
      </c>
      <c r="AE70" s="44">
        <v>0.1</v>
      </c>
      <c r="AF70" s="276">
        <v>100</v>
      </c>
      <c r="AG70" s="35">
        <f t="shared" ref="AG70:AG101" si="217">AF70*(1-AE70)</f>
        <v>90</v>
      </c>
      <c r="AH70" s="3" t="s">
        <v>215</v>
      </c>
      <c r="AI70" s="35">
        <v>1585</v>
      </c>
      <c r="AJ70" s="35">
        <f>AI70*AF70</f>
        <v>158500</v>
      </c>
      <c r="AK70" s="3" t="s">
        <v>249</v>
      </c>
      <c r="AL70" s="3" t="s">
        <v>238</v>
      </c>
      <c r="AM70" s="44">
        <v>0</v>
      </c>
      <c r="AN70" s="183">
        <v>1</v>
      </c>
      <c r="AO70" s="183">
        <v>0</v>
      </c>
      <c r="AP70" s="28" t="s">
        <v>218</v>
      </c>
      <c r="AQ70" s="18" t="s">
        <v>250</v>
      </c>
      <c r="AR70" s="18" t="s">
        <v>251</v>
      </c>
      <c r="AS70" s="27"/>
      <c r="AT70" s="3" t="s">
        <v>220</v>
      </c>
      <c r="AU70" s="3" t="s">
        <v>220</v>
      </c>
      <c r="AV70" s="3" t="s">
        <v>220</v>
      </c>
      <c r="AW70" s="9"/>
      <c r="AX70" s="3"/>
      <c r="AY70" s="47"/>
      <c r="AZ70" s="275">
        <f t="shared" si="178"/>
        <v>0</v>
      </c>
      <c r="BA70" s="18">
        <f>Z70</f>
        <v>46093</v>
      </c>
      <c r="BB70" s="22">
        <v>46078</v>
      </c>
      <c r="BC70" s="22"/>
      <c r="BD70" s="22"/>
      <c r="BE70" s="22"/>
      <c r="BF70" s="22">
        <v>46078</v>
      </c>
      <c r="BG70" s="18"/>
      <c r="BH70" s="18"/>
      <c r="BI70" s="3" t="s">
        <v>558</v>
      </c>
      <c r="BJ70" s="43">
        <v>103.44</v>
      </c>
      <c r="BK70" s="46" t="s">
        <v>222</v>
      </c>
      <c r="BL70" s="498">
        <v>4</v>
      </c>
      <c r="BM70" s="18">
        <v>46105</v>
      </c>
      <c r="BN70" s="35"/>
      <c r="BO70" s="18">
        <v>46159</v>
      </c>
      <c r="BP70" s="3" t="s">
        <v>245</v>
      </c>
      <c r="BQ70" s="21" t="s">
        <v>265</v>
      </c>
      <c r="BR70" s="2" t="s">
        <v>254</v>
      </c>
      <c r="BS70" s="2"/>
      <c r="BT70" s="2" t="s">
        <v>255</v>
      </c>
      <c r="BU70" s="2" t="s">
        <v>256</v>
      </c>
      <c r="BV70" s="20">
        <v>90082899</v>
      </c>
      <c r="BW70" s="19"/>
      <c r="BX70" s="46">
        <f t="shared" si="175"/>
        <v>163952.4</v>
      </c>
      <c r="BY70" s="22"/>
      <c r="BZ70" s="22">
        <v>46118</v>
      </c>
      <c r="CA70" s="2">
        <v>2359932374</v>
      </c>
      <c r="CB70" s="22">
        <v>46118</v>
      </c>
      <c r="CC70" s="292"/>
      <c r="CD70" s="22"/>
      <c r="CE70" s="22" t="str">
        <f>IF(J70="VIETNAM",
IF(CG70&lt;&gt;"","OBL in Vietnam Office",
IF(CF70&lt;&gt;"","OBL in Transit from Vietnam Office",
IF(CD70&lt;&gt;0,"OBL In Destination - "&amp;J70,
IF(CC70&lt;&gt;0,"OBL in Transit to Destination - "&amp;J70,
IF(CB70&lt;&gt;0,"OBL in SIG Office",
IF(CA70&lt;&gt;0,"OBL in Transit from Origin to SIG",
IF(BZ70&lt;&gt;0,"OBL in Origin - "&amp;I70,
IF(BY70&lt;&gt;0,"Draft Rcvd","No OBL Yet")))))))),
IF(CO70&lt;&gt;0,"OBL In Destination - "&amp;J70,
IF(CM70&lt;&gt;0,"OBL in Transit with Nego Docs - "&amp;J70,
IF(CB70&lt;&gt;0,"OBL in SIG Office",
IF(CA70&lt;&gt;0,"OBL in Transit from Origin to SIG",
IF(BZ70&lt;&gt;0,"OBL in Origin - "&amp;I70,
IF(BY70&lt;&gt;0,"Draft Rcvd","No OBL Yet")))))))</f>
        <v>OBL In Destination - INDIA</v>
      </c>
      <c r="CF70" s="22"/>
      <c r="CG70" s="22"/>
      <c r="CH70" s="182"/>
      <c r="CI70" s="182">
        <v>4806189765</v>
      </c>
      <c r="CJ70" s="181">
        <v>46132</v>
      </c>
      <c r="CK70" s="2" t="str">
        <f t="shared" ref="CK70:CK101" si="218">IF(CJ70&lt;&gt;0,"CERTS in Destination - "&amp;J70,IF(CI70&lt;&gt;0,"CERT in Transit to -"&amp;J70,IF(CH70&lt;&gt;0,"CERT in Origin - "&amp;I70,IF(CH70="","No CERTS Yet"))))</f>
        <v>CERTS in Destination - INDIA</v>
      </c>
      <c r="CL70" s="48" t="s">
        <v>229</v>
      </c>
      <c r="CM70" s="22">
        <v>46119</v>
      </c>
      <c r="CN70" s="55">
        <v>2349086390</v>
      </c>
      <c r="CO70" s="54">
        <v>46122</v>
      </c>
      <c r="CP70" s="55" t="str">
        <f t="shared" si="179"/>
        <v>Docs in Buyer's Nego Bank</v>
      </c>
      <c r="CQ70" s="50">
        <f t="shared" si="205"/>
        <v>163952.4</v>
      </c>
      <c r="CR70" s="54">
        <v>46162</v>
      </c>
      <c r="CS70" s="2"/>
      <c r="CT70" s="2"/>
      <c r="CU70" s="14" t="str">
        <f t="shared" si="180"/>
        <v/>
      </c>
      <c r="CV70" s="42" t="str">
        <f t="shared" si="181"/>
        <v/>
      </c>
      <c r="CW70" s="14" t="str">
        <f t="shared" si="182"/>
        <v/>
      </c>
      <c r="CX70" s="14" t="str">
        <f t="shared" si="183"/>
        <v/>
      </c>
      <c r="CY70" s="15" t="str">
        <f t="shared" si="184"/>
        <v/>
      </c>
      <c r="CZ70" s="2"/>
      <c r="DA70" s="41" t="str">
        <f t="shared" si="185"/>
        <v/>
      </c>
      <c r="DB70" s="2"/>
      <c r="DC70" s="39" t="str">
        <f t="shared" si="186"/>
        <v/>
      </c>
      <c r="DD70" s="40"/>
      <c r="DE70" s="16" t="str">
        <f t="shared" si="187"/>
        <v/>
      </c>
      <c r="DF70" s="2" t="str">
        <f t="shared" si="188"/>
        <v/>
      </c>
      <c r="DG70" s="14" t="str">
        <f t="shared" si="189"/>
        <v/>
      </c>
      <c r="DH70" s="2" t="str">
        <f t="shared" si="190"/>
        <v/>
      </c>
      <c r="DI70" s="39" t="str">
        <f t="shared" si="191"/>
        <v/>
      </c>
      <c r="DJ70" s="2" t="str">
        <f t="shared" si="192"/>
        <v/>
      </c>
      <c r="DK70" s="15" t="str">
        <f t="shared" si="193"/>
        <v/>
      </c>
      <c r="DL70" s="2"/>
      <c r="DM70" s="2"/>
      <c r="DN70" s="15" t="str">
        <f t="shared" si="194"/>
        <v/>
      </c>
      <c r="DO70" s="14" t="str">
        <f t="shared" si="195"/>
        <v/>
      </c>
      <c r="DP70" s="14" t="str">
        <f t="shared" si="196"/>
        <v/>
      </c>
      <c r="DQ70" s="15" t="str">
        <f t="shared" si="197"/>
        <v/>
      </c>
      <c r="DR70" s="15" t="str">
        <f t="shared" si="198"/>
        <v/>
      </c>
      <c r="DS70" s="2" t="str">
        <f t="shared" si="199"/>
        <v/>
      </c>
      <c r="DT70" s="2" t="str">
        <f t="shared" si="200"/>
        <v/>
      </c>
      <c r="DU70" s="2"/>
      <c r="DV70" s="2"/>
      <c r="DW70" s="2"/>
      <c r="DX70" s="2"/>
      <c r="DY70" s="2" t="s">
        <v>230</v>
      </c>
      <c r="DZ70" s="2"/>
      <c r="EA70" s="2" t="str">
        <f t="shared" si="201"/>
        <v/>
      </c>
      <c r="EB70" s="2"/>
      <c r="EC70" s="2"/>
      <c r="ED70" s="2"/>
      <c r="EE70" s="3"/>
      <c r="EF70" s="7"/>
      <c r="EG70" s="3"/>
      <c r="EH70" s="3" t="s">
        <v>257</v>
      </c>
      <c r="EI70" s="3" t="s">
        <v>258</v>
      </c>
      <c r="EJ70" s="46"/>
      <c r="EK70" s="35"/>
      <c r="EL70" s="9"/>
      <c r="EM70" s="9"/>
      <c r="EN70" s="46">
        <f t="shared" si="202"/>
        <v>0</v>
      </c>
      <c r="EO70" s="9"/>
      <c r="EP70" s="448"/>
      <c r="EQ70" s="35"/>
      <c r="ER70" s="35"/>
      <c r="ES70" s="7"/>
      <c r="ET70" s="7"/>
      <c r="EU70" s="6"/>
      <c r="EV70" s="2" t="str">
        <f t="shared" ref="EV70:EV101" si="219">IF(CR70&lt;&gt;0,"Final Pmt Recd",IF(CM70&lt;&gt;0,"Export Loan",IF(BZ70&lt;&gt;0,"Nego Pending",IF(Z70&lt;&gt;0,"Yet to load","Yet to load"))))</f>
        <v>Final Pmt Recd</v>
      </c>
      <c r="EW70" s="46"/>
      <c r="EX70" s="46">
        <f t="shared" si="203"/>
        <v>0</v>
      </c>
      <c r="EY70" s="46" t="s">
        <v>233</v>
      </c>
      <c r="EZ70" s="24"/>
      <c r="FA70" s="2"/>
      <c r="FB70" s="24"/>
      <c r="FC70" s="53"/>
      <c r="FD70" s="46">
        <f t="shared" si="204"/>
        <v>0</v>
      </c>
      <c r="FE70" s="52"/>
      <c r="FF70" s="52"/>
      <c r="FG70" s="49"/>
      <c r="FH70" s="49"/>
      <c r="FI70" s="49"/>
      <c r="FJ70" s="49"/>
      <c r="FK70" s="49"/>
      <c r="FL70" s="49">
        <f t="shared" si="206"/>
        <v>0</v>
      </c>
      <c r="FM70" s="180">
        <f t="shared" si="207"/>
        <v>46105</v>
      </c>
      <c r="FN70" s="49"/>
      <c r="FO70" s="49"/>
      <c r="FP70" s="49"/>
      <c r="FQ70" s="49"/>
      <c r="FR70" s="49"/>
      <c r="FS70" s="34">
        <f t="shared" si="176"/>
        <v>20009738</v>
      </c>
      <c r="FT70" s="34" t="str">
        <f t="shared" si="177"/>
        <v>32015280-3</v>
      </c>
      <c r="FU70" s="420">
        <v>4900009399</v>
      </c>
      <c r="FV70" s="420">
        <v>5000270173</v>
      </c>
      <c r="FW70" s="449" t="s">
        <v>559</v>
      </c>
      <c r="FX70" s="420">
        <v>5105709278</v>
      </c>
      <c r="FY70" s="3"/>
      <c r="FZ70" s="3"/>
      <c r="GA70" s="3"/>
      <c r="GB70" s="35"/>
      <c r="GC70" s="420">
        <v>40081316</v>
      </c>
      <c r="GD70" s="420">
        <v>90082899</v>
      </c>
      <c r="GE70" s="2"/>
      <c r="GF70" s="2" t="s">
        <v>235</v>
      </c>
      <c r="GG70" s="2"/>
      <c r="GH70" s="2"/>
      <c r="GI70" s="2"/>
      <c r="GJ70" s="2"/>
      <c r="GK70" s="2"/>
      <c r="GL70" s="2"/>
      <c r="GM70" s="2"/>
      <c r="GN70" s="2"/>
    </row>
    <row r="71" spans="1:196" s="270" customFormat="1" ht="33.950000000000003">
      <c r="A71" s="2" t="str">
        <f t="shared" si="208"/>
        <v>Exp Dox Presented to Bank, Pmt Pending</v>
      </c>
      <c r="B71" s="281">
        <v>50</v>
      </c>
      <c r="C71" s="281">
        <v>185</v>
      </c>
      <c r="D71" s="182" t="s">
        <v>208</v>
      </c>
      <c r="E71" s="2" t="str">
        <f t="shared" si="209"/>
        <v>CLOSE POSITION</v>
      </c>
      <c r="F71" s="271" t="str">
        <f t="shared" si="210"/>
        <v>32014566-1</v>
      </c>
      <c r="G71" s="271"/>
      <c r="H71" s="2" t="str">
        <f t="shared" si="211"/>
        <v>Valency Agro (Processing)</v>
      </c>
      <c r="I71" s="3" t="s">
        <v>209</v>
      </c>
      <c r="J71" s="2" t="s">
        <v>210</v>
      </c>
      <c r="K71" s="2" t="str">
        <f t="shared" si="212"/>
        <v>MANGALORE INDIA</v>
      </c>
      <c r="L71" s="2" t="str">
        <f t="shared" si="147"/>
        <v>ONEYLOSG01115500</v>
      </c>
      <c r="M71" s="2">
        <f t="shared" si="174"/>
        <v>493.10430000000002</v>
      </c>
      <c r="N71" s="22">
        <f t="shared" si="213"/>
        <v>46115</v>
      </c>
      <c r="O71" s="22">
        <f t="shared" si="143"/>
        <v>46167</v>
      </c>
      <c r="P71" s="22" t="str">
        <f t="shared" si="214"/>
        <v>OBL In Destination - INDIA</v>
      </c>
      <c r="Q71" s="2"/>
      <c r="R71" s="2" t="str">
        <f t="shared" si="215"/>
        <v>CERTS in Destination - INDIA</v>
      </c>
      <c r="S71" s="2" t="str">
        <f t="shared" si="216"/>
        <v>Docs in Buyer's Nego Bank</v>
      </c>
      <c r="T71" s="2" t="str">
        <f>IFERROR(_xlfn.XLOOKUP(F71,
'[2]Data 2026'!$H$12:$H$111,
'[2]Data 2026'!$CL$12:$CL$111),"")</f>
        <v/>
      </c>
      <c r="U71" s="3" t="s">
        <v>466</v>
      </c>
      <c r="V71" s="272"/>
      <c r="W71" s="3"/>
      <c r="X71" s="24">
        <v>46073</v>
      </c>
      <c r="Y71" s="273">
        <v>20009588</v>
      </c>
      <c r="Z71" s="24">
        <v>46074</v>
      </c>
      <c r="AA71" s="182" t="s">
        <v>560</v>
      </c>
      <c r="AB71" s="182" t="s">
        <v>247</v>
      </c>
      <c r="AC71" s="203">
        <v>46082</v>
      </c>
      <c r="AD71" s="203">
        <v>46112</v>
      </c>
      <c r="AE71" s="30">
        <v>0.1</v>
      </c>
      <c r="AF71" s="277">
        <v>400</v>
      </c>
      <c r="AG71" s="35">
        <f t="shared" si="217"/>
        <v>360</v>
      </c>
      <c r="AH71" s="3" t="s">
        <v>215</v>
      </c>
      <c r="AI71" s="4">
        <v>1683</v>
      </c>
      <c r="AJ71" s="4">
        <v>850000</v>
      </c>
      <c r="AK71" s="3" t="s">
        <v>249</v>
      </c>
      <c r="AL71" s="3" t="s">
        <v>217</v>
      </c>
      <c r="AM71" s="30">
        <v>0</v>
      </c>
      <c r="AN71" s="183">
        <v>1</v>
      </c>
      <c r="AO71" s="183">
        <v>0</v>
      </c>
      <c r="AP71" s="28" t="s">
        <v>218</v>
      </c>
      <c r="AQ71" s="18" t="s">
        <v>250</v>
      </c>
      <c r="AR71" s="18" t="s">
        <v>251</v>
      </c>
      <c r="AS71" s="27"/>
      <c r="AT71" s="3" t="s">
        <v>220</v>
      </c>
      <c r="AU71" s="3" t="s">
        <v>220</v>
      </c>
      <c r="AV71" s="3" t="s">
        <v>220</v>
      </c>
      <c r="AW71" s="9"/>
      <c r="AX71" s="3"/>
      <c r="AY71" s="47"/>
      <c r="AZ71" s="275">
        <f t="shared" si="178"/>
        <v>0</v>
      </c>
      <c r="BA71" s="18">
        <v>46073</v>
      </c>
      <c r="BB71" s="22">
        <v>46078</v>
      </c>
      <c r="BC71" s="22"/>
      <c r="BD71" s="22"/>
      <c r="BE71" s="22"/>
      <c r="BF71" s="22">
        <v>46078</v>
      </c>
      <c r="BG71" s="18"/>
      <c r="BH71" s="18"/>
      <c r="BI71" s="3" t="s">
        <v>561</v>
      </c>
      <c r="BJ71" s="25">
        <v>493.10430000000002</v>
      </c>
      <c r="BK71" s="46" t="s">
        <v>222</v>
      </c>
      <c r="BL71" s="497"/>
      <c r="BM71" s="18">
        <v>46115</v>
      </c>
      <c r="BN71" s="4"/>
      <c r="BO71" s="18">
        <v>46167</v>
      </c>
      <c r="BP71" s="3" t="s">
        <v>278</v>
      </c>
      <c r="BQ71" s="21" t="s">
        <v>363</v>
      </c>
      <c r="BR71" s="2" t="s">
        <v>288</v>
      </c>
      <c r="BS71" s="2"/>
      <c r="BT71" s="2"/>
      <c r="BU71" s="2"/>
      <c r="BV71" s="20">
        <v>90085098</v>
      </c>
      <c r="BW71" s="7">
        <v>46142</v>
      </c>
      <c r="BX71" s="46">
        <f t="shared" si="175"/>
        <v>829894.53690000006</v>
      </c>
      <c r="BY71" s="22"/>
      <c r="BZ71" s="22">
        <v>46128</v>
      </c>
      <c r="CA71" s="2">
        <v>4567280594</v>
      </c>
      <c r="CB71" s="22">
        <v>46134</v>
      </c>
      <c r="CC71" s="22"/>
      <c r="CD71" s="22"/>
      <c r="CE71" s="22" t="str">
        <f>IF(J71="VIETNAM",
IF(CG71&lt;&gt;"","OBL in Vietnam Office",
IF(CF71&lt;&gt;"","OBL in Transit from Vietnam Office",
IF(CD71&lt;&gt;0,"OBL In Destination - "&amp;J71,
IF(CC71&lt;&gt;0,"OBL in Transit to Destination - "&amp;J71,
IF(CB71&lt;&gt;0,"OBL in SIG Office",
IF(CA71&lt;&gt;0,"OBL in Transit from Origin to SIG",
IF(BZ71&lt;&gt;0,"OBL in Origin - "&amp;I71,
IF(BY71&lt;&gt;0,"Draft Rcvd","No OBL Yet")))))))),
IF(CO71&lt;&gt;0,"OBL In Destination - "&amp;J71,
IF(CM71&lt;&gt;0,"OBL in Transit with Nego Docs - "&amp;J71,
IF(CB71&lt;&gt;0,"OBL in SIG Office",
IF(CA71&lt;&gt;0,"OBL in Transit from Origin to SIG",
IF(BZ71&lt;&gt;0,"OBL in Origin - "&amp;I71,
IF(BY71&lt;&gt;0,"Draft Rcvd","No OBL Yet")))))))</f>
        <v>OBL In Destination - INDIA</v>
      </c>
      <c r="CF71" s="22"/>
      <c r="CG71" s="22"/>
      <c r="CH71" s="181">
        <v>46136</v>
      </c>
      <c r="CI71" s="182">
        <v>6419355176</v>
      </c>
      <c r="CJ71" s="181">
        <v>46146</v>
      </c>
      <c r="CK71" s="2" t="str">
        <f t="shared" si="218"/>
        <v>CERTS in Destination - INDIA</v>
      </c>
      <c r="CL71" s="48" t="s">
        <v>522</v>
      </c>
      <c r="CM71" s="22">
        <v>46149</v>
      </c>
      <c r="CN71" s="55">
        <v>2667456702</v>
      </c>
      <c r="CO71" s="437">
        <v>46155</v>
      </c>
      <c r="CP71" s="55" t="str">
        <f t="shared" si="179"/>
        <v>Docs in Buyer's Nego Bank</v>
      </c>
      <c r="CQ71" s="50">
        <f t="shared" si="205"/>
        <v>829894.53690000006</v>
      </c>
      <c r="CR71" s="54"/>
      <c r="CS71" s="2"/>
      <c r="CT71" s="2"/>
      <c r="CU71" s="14" t="str">
        <f t="shared" si="180"/>
        <v/>
      </c>
      <c r="CV71" s="42" t="str">
        <f t="shared" si="181"/>
        <v/>
      </c>
      <c r="CW71" s="14" t="str">
        <f t="shared" si="182"/>
        <v/>
      </c>
      <c r="CX71" s="14" t="str">
        <f t="shared" si="183"/>
        <v/>
      </c>
      <c r="CY71" s="15" t="str">
        <f t="shared" si="184"/>
        <v/>
      </c>
      <c r="CZ71" s="2"/>
      <c r="DA71" s="41" t="str">
        <f t="shared" si="185"/>
        <v/>
      </c>
      <c r="DB71" s="2"/>
      <c r="DC71" s="39" t="str">
        <f t="shared" si="186"/>
        <v/>
      </c>
      <c r="DD71" s="40"/>
      <c r="DE71" s="16" t="str">
        <f t="shared" si="187"/>
        <v/>
      </c>
      <c r="DF71" s="2" t="str">
        <f t="shared" si="188"/>
        <v/>
      </c>
      <c r="DG71" s="14" t="str">
        <f t="shared" si="189"/>
        <v/>
      </c>
      <c r="DH71" s="2" t="str">
        <f t="shared" si="190"/>
        <v/>
      </c>
      <c r="DI71" s="39" t="str">
        <f t="shared" si="191"/>
        <v/>
      </c>
      <c r="DJ71" s="2" t="str">
        <f t="shared" si="192"/>
        <v/>
      </c>
      <c r="DK71" s="15" t="str">
        <f t="shared" si="193"/>
        <v/>
      </c>
      <c r="DL71" s="2"/>
      <c r="DM71" s="2"/>
      <c r="DN71" s="15" t="str">
        <f t="shared" si="194"/>
        <v/>
      </c>
      <c r="DO71" s="14" t="str">
        <f t="shared" si="195"/>
        <v/>
      </c>
      <c r="DP71" s="14" t="str">
        <f t="shared" si="196"/>
        <v/>
      </c>
      <c r="DQ71" s="15" t="str">
        <f t="shared" si="197"/>
        <v/>
      </c>
      <c r="DR71" s="15" t="str">
        <f t="shared" si="198"/>
        <v/>
      </c>
      <c r="DS71" s="2" t="str">
        <f t="shared" si="199"/>
        <v/>
      </c>
      <c r="DT71" s="2" t="str">
        <f t="shared" si="200"/>
        <v/>
      </c>
      <c r="DU71" s="2"/>
      <c r="DV71" s="2"/>
      <c r="DW71" s="2"/>
      <c r="DX71" s="2"/>
      <c r="DY71" s="2" t="s">
        <v>230</v>
      </c>
      <c r="DZ71" s="2"/>
      <c r="EA71" s="2" t="str">
        <f t="shared" si="201"/>
        <v/>
      </c>
      <c r="EB71" s="2"/>
      <c r="EC71" s="2"/>
      <c r="ED71" s="2"/>
      <c r="EE71" s="3"/>
      <c r="EF71" s="7"/>
      <c r="EG71" s="3"/>
      <c r="EH71" s="3" t="s">
        <v>231</v>
      </c>
      <c r="EI71" s="3" t="s">
        <v>258</v>
      </c>
      <c r="EJ71" s="189">
        <v>1000</v>
      </c>
      <c r="EK71" s="4"/>
      <c r="EL71" s="9"/>
      <c r="EM71" s="9"/>
      <c r="EN71" s="46">
        <f t="shared" si="202"/>
        <v>0</v>
      </c>
      <c r="EO71" s="9"/>
      <c r="EP71" s="8"/>
      <c r="EQ71" s="4"/>
      <c r="ER71" s="4"/>
      <c r="ES71" s="7"/>
      <c r="ET71" s="7"/>
      <c r="EU71" s="6"/>
      <c r="EV71" s="2" t="str">
        <f t="shared" si="219"/>
        <v>Export Loan</v>
      </c>
      <c r="EW71" s="46"/>
      <c r="EX71" s="46">
        <f t="shared" si="203"/>
        <v>0</v>
      </c>
      <c r="EY71" s="46" t="s">
        <v>233</v>
      </c>
      <c r="EZ71" s="24"/>
      <c r="FA71" s="2">
        <v>22140453</v>
      </c>
      <c r="FB71" s="24"/>
      <c r="FC71" s="53"/>
      <c r="FD71" s="46">
        <f t="shared" si="204"/>
        <v>0</v>
      </c>
      <c r="FE71" s="52"/>
      <c r="FF71" s="52"/>
      <c r="FG71" s="49"/>
      <c r="FH71" s="49"/>
      <c r="FI71" s="49"/>
      <c r="FJ71" s="49"/>
      <c r="FK71" s="49"/>
      <c r="FL71" s="49">
        <f t="shared" si="206"/>
        <v>0</v>
      </c>
      <c r="FM71" s="180">
        <f t="shared" si="207"/>
        <v>46115</v>
      </c>
      <c r="FN71" s="49"/>
      <c r="FO71" s="49"/>
      <c r="FP71" s="49"/>
      <c r="FQ71" s="49"/>
      <c r="FR71" s="49"/>
      <c r="FS71" s="34">
        <f t="shared" si="176"/>
        <v>20009588</v>
      </c>
      <c r="FT71" s="34" t="str">
        <f t="shared" si="177"/>
        <v>32014566-1</v>
      </c>
      <c r="FU71" s="3"/>
      <c r="FV71" s="3"/>
      <c r="FW71" s="3"/>
      <c r="FX71" s="3"/>
      <c r="FY71" s="3"/>
      <c r="FZ71" s="3"/>
      <c r="GA71" s="3"/>
      <c r="GB71" s="4"/>
      <c r="GC71" s="3"/>
      <c r="GD71" s="182"/>
      <c r="GE71" s="2"/>
      <c r="GF71" s="2"/>
      <c r="GG71" s="2"/>
      <c r="GH71" s="2"/>
      <c r="GI71" s="2"/>
      <c r="GJ71" s="2"/>
      <c r="GK71" s="2"/>
      <c r="GL71" s="2"/>
      <c r="GM71" s="2"/>
      <c r="GN71" s="2"/>
    </row>
    <row r="72" spans="1:196" s="1" customFormat="1" ht="33.950000000000003">
      <c r="A72" s="2" t="str">
        <f t="shared" si="208"/>
        <v>Exp Dox Presented to Bank, Pmt Pending</v>
      </c>
      <c r="B72" s="281">
        <v>48</v>
      </c>
      <c r="C72" s="281">
        <v>185</v>
      </c>
      <c r="D72" s="182" t="s">
        <v>208</v>
      </c>
      <c r="E72" s="2" t="str">
        <f t="shared" si="209"/>
        <v>CLOSE POSITION</v>
      </c>
      <c r="F72" s="271">
        <f t="shared" si="210"/>
        <v>32015929</v>
      </c>
      <c r="G72" s="271"/>
      <c r="H72" s="2" t="str">
        <f t="shared" si="211"/>
        <v>VALENCY AGRO //HSS//Saffron Home LLP</v>
      </c>
      <c r="I72" s="3" t="s">
        <v>269</v>
      </c>
      <c r="J72" s="2" t="s">
        <v>210</v>
      </c>
      <c r="K72" s="2" t="str">
        <f t="shared" si="212"/>
        <v>TUTICORIN, INDIA</v>
      </c>
      <c r="L72" s="2" t="str">
        <f t="shared" si="147"/>
        <v>MEDULG628422</v>
      </c>
      <c r="M72" s="2">
        <f t="shared" si="174"/>
        <v>100.107</v>
      </c>
      <c r="N72" s="22">
        <f t="shared" si="213"/>
        <v>46127</v>
      </c>
      <c r="O72" s="22">
        <f t="shared" si="143"/>
        <v>46172</v>
      </c>
      <c r="P72" s="22" t="str">
        <f t="shared" si="214"/>
        <v>OBL In Destination - INDIA</v>
      </c>
      <c r="Q72" s="2"/>
      <c r="R72" s="2" t="str">
        <f t="shared" si="215"/>
        <v>CERTS in Destination - INDIA</v>
      </c>
      <c r="S72" s="2" t="str">
        <f t="shared" si="216"/>
        <v>Docs in Buyer's Nego Bank</v>
      </c>
      <c r="T72" s="2" t="str">
        <f>IFERROR(_xlfn.XLOOKUP(F72,
'[2]Data 2026'!$H$12:$H$111,
'[2]Data 2026'!$CL$12:$CL$111),"")</f>
        <v/>
      </c>
      <c r="U72" s="3" t="s">
        <v>562</v>
      </c>
      <c r="V72" s="272"/>
      <c r="W72" s="3"/>
      <c r="X72" s="24">
        <v>46100</v>
      </c>
      <c r="Y72" s="273">
        <v>20009786</v>
      </c>
      <c r="Z72" s="24">
        <v>46100</v>
      </c>
      <c r="AA72" s="182">
        <v>32015929</v>
      </c>
      <c r="AB72" s="182" t="s">
        <v>563</v>
      </c>
      <c r="AC72" s="182" t="s">
        <v>263</v>
      </c>
      <c r="AD72" s="181">
        <v>46142</v>
      </c>
      <c r="AE72" s="30">
        <v>0.1</v>
      </c>
      <c r="AF72" s="277">
        <v>100</v>
      </c>
      <c r="AG72" s="35">
        <f t="shared" si="217"/>
        <v>90</v>
      </c>
      <c r="AH72" s="3" t="s">
        <v>215</v>
      </c>
      <c r="AI72" s="4">
        <v>1565</v>
      </c>
      <c r="AJ72" s="4">
        <f>AI72*AF72</f>
        <v>156500</v>
      </c>
      <c r="AK72" s="3" t="s">
        <v>249</v>
      </c>
      <c r="AL72" s="3" t="s">
        <v>217</v>
      </c>
      <c r="AM72" s="30">
        <v>0</v>
      </c>
      <c r="AN72" s="183">
        <v>1</v>
      </c>
      <c r="AO72" s="183">
        <v>0</v>
      </c>
      <c r="AP72" s="28" t="s">
        <v>218</v>
      </c>
      <c r="AQ72" s="18" t="s">
        <v>239</v>
      </c>
      <c r="AR72" s="18" t="s">
        <v>251</v>
      </c>
      <c r="AS72" s="27"/>
      <c r="AT72" s="3" t="s">
        <v>220</v>
      </c>
      <c r="AU72" s="3" t="s">
        <v>220</v>
      </c>
      <c r="AV72" s="3" t="s">
        <v>220</v>
      </c>
      <c r="AW72" s="9"/>
      <c r="AX72" s="3"/>
      <c r="AY72" s="47"/>
      <c r="AZ72" s="275">
        <f t="shared" si="178"/>
        <v>0</v>
      </c>
      <c r="BA72" s="18">
        <f>Z72</f>
        <v>46100</v>
      </c>
      <c r="BB72" s="22">
        <v>46099</v>
      </c>
      <c r="BC72" s="22"/>
      <c r="BD72" s="22"/>
      <c r="BE72" s="22"/>
      <c r="BF72" s="22">
        <v>46099</v>
      </c>
      <c r="BG72" s="18"/>
      <c r="BH72" s="18"/>
      <c r="BI72" s="3" t="s">
        <v>564</v>
      </c>
      <c r="BJ72" s="25">
        <v>100.107</v>
      </c>
      <c r="BK72" s="46" t="s">
        <v>222</v>
      </c>
      <c r="BL72" s="497">
        <v>4</v>
      </c>
      <c r="BM72" s="18">
        <v>46127</v>
      </c>
      <c r="BN72" s="4" t="s">
        <v>565</v>
      </c>
      <c r="BO72" s="18">
        <v>46172</v>
      </c>
      <c r="BP72" s="3" t="s">
        <v>278</v>
      </c>
      <c r="BQ72" s="21" t="s">
        <v>346</v>
      </c>
      <c r="BR72" s="2" t="s">
        <v>226</v>
      </c>
      <c r="BS72" s="2"/>
      <c r="BT72" s="2"/>
      <c r="BU72" s="2"/>
      <c r="BV72" s="20">
        <v>90085384</v>
      </c>
      <c r="BW72" s="19">
        <v>46131</v>
      </c>
      <c r="BX72" s="46">
        <f t="shared" si="175"/>
        <v>156667.45499999999</v>
      </c>
      <c r="BY72" s="22"/>
      <c r="BZ72" s="22">
        <v>46142</v>
      </c>
      <c r="CA72" s="2">
        <v>1474552870</v>
      </c>
      <c r="CB72" s="22">
        <v>46153</v>
      </c>
      <c r="CC72" s="22"/>
      <c r="CD72" s="22"/>
      <c r="CE72" s="22" t="str">
        <f>IF(J72="VIETNAM",
IF(CG72&lt;&gt;"","OBL in Vietnam Office",
IF(CF72&lt;&gt;"","OBL in Transit from Vietnam Office",
IF(CD72&lt;&gt;0,"OBL In Destination - "&amp;J72,
IF(CC72&lt;&gt;0,"OBL in Transit to Destination - "&amp;J72,
IF(CB72&lt;&gt;0,"OBL in SIG Office",
IF(CA72&lt;&gt;0,"OBL in Transit from Origin to SIG",
IF(BZ72&lt;&gt;0,"OBL in Origin - "&amp;I72,
IF(BY72&lt;&gt;0,"Draft Rcvd","No OBL Yet")))))))),
IF(CO72&lt;&gt;0,"OBL In Destination - "&amp;J72,
IF(CM72&lt;&gt;0,"OBL in Transit with Nego Docs - "&amp;J72,
IF(CB72&lt;&gt;0,"OBL in SIG Office",
IF(CA72&lt;&gt;0,"OBL in Transit from Origin to SIG",
IF(BZ72&lt;&gt;0,"OBL in Origin - "&amp;I72,
IF(BY72&lt;&gt;0,"Draft Rcvd","No OBL Yet")))))))</f>
        <v>OBL In Destination - INDIA</v>
      </c>
      <c r="CF72" s="22"/>
      <c r="CG72" s="22"/>
      <c r="CH72" s="181">
        <v>46150</v>
      </c>
      <c r="CI72" s="182">
        <v>2416587692</v>
      </c>
      <c r="CJ72" s="181">
        <v>46159</v>
      </c>
      <c r="CK72" s="2" t="str">
        <f t="shared" si="218"/>
        <v>CERTS in Destination - INDIA</v>
      </c>
      <c r="CL72" s="48" t="s">
        <v>229</v>
      </c>
      <c r="CM72" s="22">
        <v>46155</v>
      </c>
      <c r="CN72" s="55">
        <v>6456903961</v>
      </c>
      <c r="CO72" s="181">
        <v>46160</v>
      </c>
      <c r="CP72" s="55" t="str">
        <f t="shared" si="179"/>
        <v>Docs in Buyer's Nego Bank</v>
      </c>
      <c r="CQ72" s="50">
        <f t="shared" si="205"/>
        <v>156667.45499999999</v>
      </c>
      <c r="CR72" s="54"/>
      <c r="CS72" s="2"/>
      <c r="CT72" s="2"/>
      <c r="CU72" s="14" t="str">
        <f t="shared" si="180"/>
        <v/>
      </c>
      <c r="CV72" s="42" t="str">
        <f t="shared" si="181"/>
        <v/>
      </c>
      <c r="CW72" s="14" t="str">
        <f t="shared" si="182"/>
        <v/>
      </c>
      <c r="CX72" s="14" t="str">
        <f t="shared" si="183"/>
        <v/>
      </c>
      <c r="CY72" s="15" t="str">
        <f t="shared" si="184"/>
        <v/>
      </c>
      <c r="CZ72" s="2"/>
      <c r="DA72" s="41" t="str">
        <f t="shared" si="185"/>
        <v/>
      </c>
      <c r="DB72" s="2"/>
      <c r="DC72" s="39" t="str">
        <f t="shared" si="186"/>
        <v/>
      </c>
      <c r="DD72" s="40"/>
      <c r="DE72" s="16" t="str">
        <f t="shared" si="187"/>
        <v/>
      </c>
      <c r="DF72" s="2" t="str">
        <f t="shared" si="188"/>
        <v/>
      </c>
      <c r="DG72" s="14" t="str">
        <f t="shared" si="189"/>
        <v/>
      </c>
      <c r="DH72" s="2" t="str">
        <f t="shared" si="190"/>
        <v/>
      </c>
      <c r="DI72" s="39" t="str">
        <f t="shared" si="191"/>
        <v/>
      </c>
      <c r="DJ72" s="2" t="str">
        <f t="shared" si="192"/>
        <v/>
      </c>
      <c r="DK72" s="15" t="str">
        <f t="shared" si="193"/>
        <v/>
      </c>
      <c r="DL72" s="2"/>
      <c r="DM72" s="2"/>
      <c r="DN72" s="15" t="str">
        <f t="shared" si="194"/>
        <v/>
      </c>
      <c r="DO72" s="14" t="str">
        <f t="shared" si="195"/>
        <v/>
      </c>
      <c r="DP72" s="14" t="str">
        <f t="shared" si="196"/>
        <v/>
      </c>
      <c r="DQ72" s="15" t="str">
        <f t="shared" si="197"/>
        <v/>
      </c>
      <c r="DR72" s="15" t="str">
        <f t="shared" si="198"/>
        <v/>
      </c>
      <c r="DS72" s="2" t="str">
        <f t="shared" si="199"/>
        <v/>
      </c>
      <c r="DT72" s="2" t="str">
        <f t="shared" si="200"/>
        <v/>
      </c>
      <c r="DU72" s="2"/>
      <c r="DV72" s="2"/>
      <c r="DW72" s="2"/>
      <c r="DX72" s="2"/>
      <c r="DY72" s="2" t="s">
        <v>230</v>
      </c>
      <c r="DZ72" s="2"/>
      <c r="EA72" s="2" t="str">
        <f t="shared" si="201"/>
        <v/>
      </c>
      <c r="EB72" s="2"/>
      <c r="EC72" s="2"/>
      <c r="ED72" s="2"/>
      <c r="EE72" s="3"/>
      <c r="EF72" s="7"/>
      <c r="EG72" s="3"/>
      <c r="EH72" s="3" t="s">
        <v>231</v>
      </c>
      <c r="EI72" s="3"/>
      <c r="EJ72" s="189"/>
      <c r="EK72" s="4"/>
      <c r="EL72" s="9"/>
      <c r="EM72" s="9"/>
      <c r="EN72" s="46">
        <f t="shared" si="202"/>
        <v>0</v>
      </c>
      <c r="EO72" s="9"/>
      <c r="EP72" s="8"/>
      <c r="EQ72" s="4"/>
      <c r="ER72" s="4"/>
      <c r="ES72" s="7"/>
      <c r="ET72" s="7"/>
      <c r="EU72" s="6"/>
      <c r="EV72" s="2" t="str">
        <f t="shared" si="219"/>
        <v>Export Loan</v>
      </c>
      <c r="EW72" s="46"/>
      <c r="EX72" s="46">
        <f t="shared" si="203"/>
        <v>0</v>
      </c>
      <c r="EY72" s="46" t="s">
        <v>233</v>
      </c>
      <c r="EZ72" s="24"/>
      <c r="FA72" s="2">
        <v>22141436</v>
      </c>
      <c r="FB72" s="24"/>
      <c r="FC72" s="53"/>
      <c r="FD72" s="46">
        <f t="shared" si="204"/>
        <v>0</v>
      </c>
      <c r="FE72" s="52"/>
      <c r="FF72" s="52"/>
      <c r="FG72" s="49"/>
      <c r="FH72" s="49"/>
      <c r="FI72" s="49"/>
      <c r="FJ72" s="49"/>
      <c r="FK72" s="49"/>
      <c r="FL72" s="49">
        <f t="shared" si="206"/>
        <v>0</v>
      </c>
      <c r="FM72" s="180">
        <f t="shared" si="207"/>
        <v>46127</v>
      </c>
      <c r="FN72" s="49"/>
      <c r="FO72" s="49"/>
      <c r="FP72" s="49"/>
      <c r="FQ72" s="49"/>
      <c r="FR72" s="49"/>
      <c r="FS72" s="34">
        <f t="shared" si="176"/>
        <v>20009786</v>
      </c>
      <c r="FT72" s="34">
        <f t="shared" si="177"/>
        <v>32015929</v>
      </c>
      <c r="FU72" s="3"/>
      <c r="FV72" s="3"/>
      <c r="FW72" s="3"/>
      <c r="FX72" s="3"/>
      <c r="FY72" s="3"/>
      <c r="FZ72" s="3"/>
      <c r="GA72" s="3"/>
      <c r="GB72" s="4"/>
      <c r="GC72" s="3"/>
      <c r="GD72" s="182">
        <v>90085384</v>
      </c>
      <c r="GE72" s="3"/>
      <c r="GF72" s="3" t="s">
        <v>235</v>
      </c>
      <c r="GG72" s="3"/>
      <c r="GH72" s="3"/>
      <c r="GI72" s="3"/>
      <c r="GJ72" s="3"/>
      <c r="GK72" s="3"/>
      <c r="GL72" s="3"/>
      <c r="GM72" s="3"/>
      <c r="GN72" s="3"/>
    </row>
    <row r="73" spans="1:196" s="270" customFormat="1" ht="51">
      <c r="A73" s="2" t="str">
        <f t="shared" si="208"/>
        <v>Exp Dox Presented to Bank, Pmt Pending</v>
      </c>
      <c r="B73" s="282">
        <v>48</v>
      </c>
      <c r="C73" s="282">
        <v>200</v>
      </c>
      <c r="D73" s="182" t="s">
        <v>208</v>
      </c>
      <c r="E73" s="2" t="str">
        <f t="shared" si="209"/>
        <v>CLOSE POSITION</v>
      </c>
      <c r="F73" s="271">
        <f t="shared" si="210"/>
        <v>32015795</v>
      </c>
      <c r="G73" s="271"/>
      <c r="H73" s="2" t="str">
        <f t="shared" si="211"/>
        <v xml:space="preserve">KIEU LOAN COMPANY LIMITED </v>
      </c>
      <c r="I73" s="3" t="s">
        <v>245</v>
      </c>
      <c r="J73" s="2" t="s">
        <v>347</v>
      </c>
      <c r="K73" s="2" t="str">
        <f t="shared" si="212"/>
        <v>Cat Lai/ SPCT in HCM City, VIETNAM</v>
      </c>
      <c r="L73" s="2" t="str">
        <f t="shared" si="147"/>
        <v>TEM600018300</v>
      </c>
      <c r="M73" s="2">
        <f t="shared" si="174"/>
        <v>205.48</v>
      </c>
      <c r="N73" s="22">
        <f t="shared" si="213"/>
        <v>46113</v>
      </c>
      <c r="O73" s="22">
        <f t="shared" si="143"/>
        <v>46168</v>
      </c>
      <c r="P73" s="22" t="str">
        <f t="shared" si="214"/>
        <v>OBL In Destination - VIETNAM</v>
      </c>
      <c r="Q73" s="2" t="s">
        <v>566</v>
      </c>
      <c r="R73" s="2" t="str">
        <f t="shared" si="215"/>
        <v>CERTS in Destination - VIETNAM</v>
      </c>
      <c r="S73" s="2" t="str">
        <f t="shared" si="216"/>
        <v>Docs in Buyer's Nego Bank</v>
      </c>
      <c r="T73" s="2" t="str">
        <f>IFERROR(_xlfn.XLOOKUP(F73,
'[2]Data 2026'!$H$12:$H$111,
'[2]Data 2026'!$CL$12:$CL$111),"")</f>
        <v/>
      </c>
      <c r="U73" s="3" t="s">
        <v>567</v>
      </c>
      <c r="V73" s="272"/>
      <c r="W73" s="3" t="s">
        <v>568</v>
      </c>
      <c r="X73" s="24">
        <v>46104</v>
      </c>
      <c r="Y73" s="273">
        <v>20009802</v>
      </c>
      <c r="Z73" s="24">
        <v>46104</v>
      </c>
      <c r="AA73" s="182">
        <v>32015795</v>
      </c>
      <c r="AB73" s="182" t="s">
        <v>569</v>
      </c>
      <c r="AC73" s="182" t="s">
        <v>263</v>
      </c>
      <c r="AD73" s="181">
        <v>46142</v>
      </c>
      <c r="AE73" s="30">
        <v>0.1</v>
      </c>
      <c r="AF73" s="277">
        <v>200</v>
      </c>
      <c r="AG73" s="35">
        <f t="shared" si="217"/>
        <v>180</v>
      </c>
      <c r="AH73" s="3" t="s">
        <v>215</v>
      </c>
      <c r="AI73" s="4">
        <v>1570</v>
      </c>
      <c r="AJ73" s="4">
        <f>AI73*AF73</f>
        <v>314000</v>
      </c>
      <c r="AK73" s="3" t="s">
        <v>249</v>
      </c>
      <c r="AL73" s="3" t="s">
        <v>404</v>
      </c>
      <c r="AM73" s="183">
        <v>0.1</v>
      </c>
      <c r="AN73" s="183">
        <v>0.88</v>
      </c>
      <c r="AO73" s="183">
        <v>0.02</v>
      </c>
      <c r="AP73" s="28" t="s">
        <v>218</v>
      </c>
      <c r="AQ73" s="18" t="s">
        <v>370</v>
      </c>
      <c r="AR73" s="18" t="s">
        <v>251</v>
      </c>
      <c r="AS73" s="27"/>
      <c r="AT73" s="3" t="s">
        <v>220</v>
      </c>
      <c r="AU73" s="3" t="s">
        <v>220</v>
      </c>
      <c r="AV73" s="3" t="s">
        <v>220</v>
      </c>
      <c r="AW73" s="9"/>
      <c r="AX73" s="3"/>
      <c r="AY73" s="47">
        <v>46105</v>
      </c>
      <c r="AZ73" s="278">
        <f t="shared" si="178"/>
        <v>31400</v>
      </c>
      <c r="BA73" s="18">
        <v>46114</v>
      </c>
      <c r="BB73" s="22">
        <v>46078</v>
      </c>
      <c r="BC73" s="22"/>
      <c r="BD73" s="22"/>
      <c r="BE73" s="22"/>
      <c r="BF73" s="22">
        <v>46078</v>
      </c>
      <c r="BG73" s="18"/>
      <c r="BH73" s="18"/>
      <c r="BI73" s="3" t="s">
        <v>570</v>
      </c>
      <c r="BJ73" s="25">
        <v>205.48</v>
      </c>
      <c r="BK73" s="189" t="s">
        <v>222</v>
      </c>
      <c r="BL73" s="497">
        <v>8</v>
      </c>
      <c r="BM73" s="18">
        <v>46113</v>
      </c>
      <c r="BN73" s="4"/>
      <c r="BO73" s="18">
        <v>46168</v>
      </c>
      <c r="BP73" s="3" t="s">
        <v>298</v>
      </c>
      <c r="BQ73" s="21" t="s">
        <v>571</v>
      </c>
      <c r="BR73" s="2" t="s">
        <v>572</v>
      </c>
      <c r="BS73" s="2"/>
      <c r="BT73" s="2" t="s">
        <v>573</v>
      </c>
      <c r="BU73" s="2" t="s">
        <v>574</v>
      </c>
      <c r="BV73" s="20">
        <v>90084579</v>
      </c>
      <c r="BW73" s="7">
        <v>46136</v>
      </c>
      <c r="BX73" s="189">
        <f t="shared" si="175"/>
        <v>322603.59999999998</v>
      </c>
      <c r="BY73" s="22"/>
      <c r="BZ73" s="22">
        <v>46127</v>
      </c>
      <c r="CA73" s="182">
        <v>3273526863</v>
      </c>
      <c r="CB73" s="22">
        <v>46132</v>
      </c>
      <c r="CC73" s="291" t="s">
        <v>544</v>
      </c>
      <c r="CD73" s="22">
        <v>46141</v>
      </c>
      <c r="CE73" s="22" t="str">
        <f>IF(J73="VIETNAM",
IF(CG73&lt;&gt;"","OBL in Vietnam Office",
IF(CF73&lt;&gt;"","OBL in Transit from Vietnam Office",
IF(CD73&lt;&gt;0,"OBL In Destination - "&amp;J73,
IF(CC73&lt;&gt;0,"OBL in Transit to Destination - "&amp;J73,
IF(CB73&lt;&gt;0,"OBL in SIG Office",
IF(CA70&lt;&gt;0,"OBL in Transit from Origin to SIG",
IF(BZ73&lt;&gt;0,"OBL in Origin - "&amp;I73,
IF(BY73&lt;&gt;0,"Draft Rcvd","No OBL Yet")))))))),
IF(CO73&lt;&gt;0,"OBL In Destination - "&amp;J73,
IF(CM73&lt;&gt;0,"OBL in Transit with Nego Docs - "&amp;J73,
IF(CB73&lt;&gt;0,"OBL in SIG Office",
IF(CA70&lt;&gt;0,"OBL in Transit from Origin to SIG",
IF(BZ73&lt;&gt;0,"OBL in Origin - "&amp;I73,
IF(BY73&lt;&gt;0,"Draft Rcvd","No OBL Yet")))))))</f>
        <v>OBL In Destination - VIETNAM</v>
      </c>
      <c r="CF73" s="22"/>
      <c r="CG73" s="22"/>
      <c r="CH73" s="181">
        <v>46130</v>
      </c>
      <c r="CI73" s="182">
        <v>4960753114</v>
      </c>
      <c r="CJ73" s="181">
        <v>46149</v>
      </c>
      <c r="CK73" s="2" t="str">
        <f t="shared" si="218"/>
        <v>CERTS in Destination - VIETNAM</v>
      </c>
      <c r="CL73" s="48" t="s">
        <v>244</v>
      </c>
      <c r="CM73" s="22">
        <v>46140</v>
      </c>
      <c r="CN73" s="55">
        <v>6796668675</v>
      </c>
      <c r="CO73" s="437">
        <v>46141</v>
      </c>
      <c r="CP73" s="55" t="str">
        <f t="shared" si="179"/>
        <v>Docs in Buyer's Nego Bank</v>
      </c>
      <c r="CQ73" s="190">
        <f t="shared" si="205"/>
        <v>252491.16799999995</v>
      </c>
      <c r="CR73" s="54"/>
      <c r="CS73" s="2"/>
      <c r="CT73" s="2"/>
      <c r="CU73" s="14" t="str">
        <f t="shared" si="180"/>
        <v/>
      </c>
      <c r="CV73" s="191" t="str">
        <f t="shared" si="181"/>
        <v/>
      </c>
      <c r="CW73" s="14" t="str">
        <f t="shared" si="182"/>
        <v/>
      </c>
      <c r="CX73" s="14" t="str">
        <f t="shared" si="183"/>
        <v/>
      </c>
      <c r="CY73" s="15" t="str">
        <f t="shared" si="184"/>
        <v/>
      </c>
      <c r="CZ73" s="2"/>
      <c r="DA73" s="41" t="str">
        <f t="shared" si="185"/>
        <v/>
      </c>
      <c r="DB73" s="2"/>
      <c r="DC73" s="192" t="str">
        <f t="shared" si="186"/>
        <v/>
      </c>
      <c r="DD73" s="40"/>
      <c r="DE73" s="16" t="str">
        <f t="shared" si="187"/>
        <v/>
      </c>
      <c r="DF73" s="2" t="str">
        <f t="shared" si="188"/>
        <v/>
      </c>
      <c r="DG73" s="14" t="str">
        <f t="shared" si="189"/>
        <v/>
      </c>
      <c r="DH73" s="2" t="str">
        <f t="shared" si="190"/>
        <v/>
      </c>
      <c r="DI73" s="192" t="str">
        <f t="shared" si="191"/>
        <v/>
      </c>
      <c r="DJ73" s="2" t="str">
        <f t="shared" si="192"/>
        <v/>
      </c>
      <c r="DK73" s="15" t="str">
        <f t="shared" si="193"/>
        <v/>
      </c>
      <c r="DL73" s="2"/>
      <c r="DM73" s="2"/>
      <c r="DN73" s="15" t="str">
        <f t="shared" si="194"/>
        <v/>
      </c>
      <c r="DO73" s="14" t="str">
        <f t="shared" si="195"/>
        <v/>
      </c>
      <c r="DP73" s="14" t="str">
        <f t="shared" si="196"/>
        <v/>
      </c>
      <c r="DQ73" s="15" t="str">
        <f t="shared" si="197"/>
        <v/>
      </c>
      <c r="DR73" s="15" t="str">
        <f t="shared" si="198"/>
        <v/>
      </c>
      <c r="DS73" s="2" t="str">
        <f t="shared" si="199"/>
        <v/>
      </c>
      <c r="DT73" s="2" t="str">
        <f t="shared" si="200"/>
        <v/>
      </c>
      <c r="DU73" s="2"/>
      <c r="DV73" s="2"/>
      <c r="DW73" s="2"/>
      <c r="DX73" s="2"/>
      <c r="DY73" s="2" t="s">
        <v>230</v>
      </c>
      <c r="DZ73" s="2"/>
      <c r="EA73" s="2" t="str">
        <f t="shared" si="201"/>
        <v/>
      </c>
      <c r="EB73" s="2"/>
      <c r="EC73" s="2"/>
      <c r="ED73" s="2"/>
      <c r="EE73" s="3">
        <v>4900009570</v>
      </c>
      <c r="EF73" s="7"/>
      <c r="EG73" s="3"/>
      <c r="EH73" s="3" t="s">
        <v>257</v>
      </c>
      <c r="EI73" s="3"/>
      <c r="EJ73" s="189"/>
      <c r="EK73" s="4"/>
      <c r="EL73" s="9"/>
      <c r="EM73" s="9"/>
      <c r="EN73" s="189">
        <f t="shared" si="202"/>
        <v>0</v>
      </c>
      <c r="EO73" s="9"/>
      <c r="EP73" s="8"/>
      <c r="EQ73" s="4"/>
      <c r="ER73" s="4"/>
      <c r="ES73" s="7"/>
      <c r="ET73" s="7"/>
      <c r="EU73" s="6"/>
      <c r="EV73" s="2" t="str">
        <f t="shared" si="219"/>
        <v>Export Loan</v>
      </c>
      <c r="EW73" s="189"/>
      <c r="EX73" s="189">
        <f t="shared" si="203"/>
        <v>0</v>
      </c>
      <c r="EY73" s="189" t="s">
        <v>233</v>
      </c>
      <c r="EZ73" s="24"/>
      <c r="FA73" s="2">
        <v>22138882</v>
      </c>
      <c r="FB73" s="24"/>
      <c r="FC73" s="193"/>
      <c r="FD73" s="189">
        <f t="shared" si="204"/>
        <v>0</v>
      </c>
      <c r="FE73" s="52"/>
      <c r="FF73" s="52"/>
      <c r="FG73" s="49"/>
      <c r="FH73" s="49"/>
      <c r="FI73" s="49"/>
      <c r="FJ73" s="49"/>
      <c r="FK73" s="49"/>
      <c r="FL73" s="49">
        <f t="shared" si="206"/>
        <v>0</v>
      </c>
      <c r="FM73" s="180">
        <f t="shared" si="207"/>
        <v>46113</v>
      </c>
      <c r="FN73" s="49"/>
      <c r="FO73" s="49"/>
      <c r="FP73" s="49"/>
      <c r="FQ73" s="49"/>
      <c r="FR73" s="49"/>
      <c r="FS73" s="34">
        <f t="shared" si="176"/>
        <v>20009802</v>
      </c>
      <c r="FT73" s="34">
        <f t="shared" si="177"/>
        <v>32015795</v>
      </c>
      <c r="FU73" s="3"/>
      <c r="FV73" s="3"/>
      <c r="FW73" s="3"/>
      <c r="FX73" s="3"/>
      <c r="FY73" s="3"/>
      <c r="FZ73" s="3"/>
      <c r="GA73" s="3"/>
      <c r="GB73" s="4"/>
      <c r="GC73" s="3"/>
      <c r="GD73" s="182"/>
      <c r="GE73" s="3"/>
      <c r="GF73" s="3"/>
      <c r="GG73" s="3"/>
      <c r="GH73" s="3"/>
      <c r="GI73" s="3"/>
      <c r="GJ73" s="3"/>
      <c r="GK73" s="3"/>
      <c r="GL73" s="3"/>
      <c r="GM73" s="3"/>
      <c r="GN73" s="3"/>
    </row>
    <row r="74" spans="1:196" s="1" customFormat="1" ht="51">
      <c r="A74" s="2" t="str">
        <f t="shared" si="208"/>
        <v>Exp Dox Presented to Bank, Pmt Pending</v>
      </c>
      <c r="B74" s="282">
        <v>48</v>
      </c>
      <c r="C74" s="282">
        <v>200</v>
      </c>
      <c r="D74" s="182" t="s">
        <v>208</v>
      </c>
      <c r="E74" s="2" t="str">
        <f t="shared" si="209"/>
        <v>CLOSE POSITION</v>
      </c>
      <c r="F74" s="271">
        <f t="shared" si="210"/>
        <v>32016319</v>
      </c>
      <c r="G74" s="271"/>
      <c r="H74" s="2" t="str">
        <f t="shared" si="211"/>
        <v>TERRA NUTS GROUP JOINT STOCK COMPANY</v>
      </c>
      <c r="I74" s="3" t="s">
        <v>245</v>
      </c>
      <c r="J74" s="2" t="s">
        <v>347</v>
      </c>
      <c r="K74" s="2" t="str">
        <f t="shared" si="212"/>
        <v>HCMC, VIETNAM</v>
      </c>
      <c r="L74" s="2" t="str">
        <f t="shared" si="147"/>
        <v>TMA0159447</v>
      </c>
      <c r="M74" s="2">
        <f t="shared" si="174"/>
        <v>258.61</v>
      </c>
      <c r="N74" s="22">
        <f t="shared" si="213"/>
        <v>46133</v>
      </c>
      <c r="O74" s="22">
        <f t="shared" si="143"/>
        <v>46169</v>
      </c>
      <c r="P74" s="22" t="str">
        <f t="shared" si="214"/>
        <v>OBL In Destination - VIETNAM</v>
      </c>
      <c r="Q74" s="2" t="s">
        <v>575</v>
      </c>
      <c r="R74" s="2" t="str">
        <f t="shared" si="215"/>
        <v>CERTS in Destination - VIETNAM</v>
      </c>
      <c r="S74" s="2" t="str">
        <f t="shared" si="216"/>
        <v>Docs in Buyer's Nego Bank</v>
      </c>
      <c r="T74" s="2"/>
      <c r="U74" s="279" t="s">
        <v>576</v>
      </c>
      <c r="V74" s="272"/>
      <c r="W74" s="3" t="s">
        <v>568</v>
      </c>
      <c r="X74" s="24">
        <v>46133</v>
      </c>
      <c r="Y74" s="273">
        <v>20010157</v>
      </c>
      <c r="Z74" s="24">
        <v>46133</v>
      </c>
      <c r="AA74" s="182">
        <v>32016319</v>
      </c>
      <c r="AB74" s="182" t="s">
        <v>577</v>
      </c>
      <c r="AC74" s="182" t="s">
        <v>263</v>
      </c>
      <c r="AD74" s="181">
        <v>46142</v>
      </c>
      <c r="AE74" s="30">
        <v>0.1</v>
      </c>
      <c r="AF74" s="277">
        <v>250</v>
      </c>
      <c r="AG74" s="4">
        <f t="shared" si="217"/>
        <v>225</v>
      </c>
      <c r="AH74" s="3" t="s">
        <v>215</v>
      </c>
      <c r="AI74" s="4">
        <v>1585</v>
      </c>
      <c r="AJ74" s="4">
        <f>AI74*AF74</f>
        <v>396250</v>
      </c>
      <c r="AK74" s="3" t="s">
        <v>249</v>
      </c>
      <c r="AL74" s="3" t="s">
        <v>404</v>
      </c>
      <c r="AM74" s="183">
        <v>0.1</v>
      </c>
      <c r="AN74" s="183">
        <v>0.88</v>
      </c>
      <c r="AO74" s="183">
        <v>0.02</v>
      </c>
      <c r="AP74" s="28" t="s">
        <v>218</v>
      </c>
      <c r="AQ74" s="3" t="s">
        <v>405</v>
      </c>
      <c r="AR74" s="18"/>
      <c r="AS74" s="27"/>
      <c r="AT74" s="3" t="s">
        <v>220</v>
      </c>
      <c r="AU74" s="3" t="s">
        <v>220</v>
      </c>
      <c r="AV74" s="3" t="s">
        <v>220</v>
      </c>
      <c r="AW74" s="9"/>
      <c r="AX74" s="3"/>
      <c r="AY74" s="47">
        <v>46128</v>
      </c>
      <c r="AZ74" s="278">
        <f t="shared" si="178"/>
        <v>39625</v>
      </c>
      <c r="BA74" s="18">
        <v>46149</v>
      </c>
      <c r="BB74" s="22"/>
      <c r="BC74" s="22"/>
      <c r="BD74" s="22"/>
      <c r="BE74" s="22"/>
      <c r="BF74" s="22"/>
      <c r="BG74" s="18"/>
      <c r="BH74" s="18"/>
      <c r="BI74" s="3" t="s">
        <v>578</v>
      </c>
      <c r="BJ74" s="25">
        <v>258.61</v>
      </c>
      <c r="BK74" s="189" t="s">
        <v>222</v>
      </c>
      <c r="BL74" s="497">
        <v>10</v>
      </c>
      <c r="BM74" s="18">
        <v>46133</v>
      </c>
      <c r="BN74" s="4"/>
      <c r="BO74" s="18">
        <v>46169</v>
      </c>
      <c r="BP74" s="3" t="s">
        <v>245</v>
      </c>
      <c r="BQ74" s="21" t="s">
        <v>409</v>
      </c>
      <c r="BR74" s="2" t="s">
        <v>254</v>
      </c>
      <c r="BS74" s="2"/>
      <c r="BT74" s="2"/>
      <c r="BU74" s="2"/>
      <c r="BV74" s="20">
        <v>90085659</v>
      </c>
      <c r="BW74" s="19">
        <v>46133</v>
      </c>
      <c r="BX74" s="189">
        <f t="shared" si="175"/>
        <v>409896.85000000003</v>
      </c>
      <c r="BY74" s="22">
        <v>46129</v>
      </c>
      <c r="BZ74" s="22">
        <v>46154</v>
      </c>
      <c r="CA74" s="2">
        <v>9898524193</v>
      </c>
      <c r="CB74" s="22">
        <v>46160</v>
      </c>
      <c r="CC74" s="2" t="s">
        <v>579</v>
      </c>
      <c r="CD74" s="22">
        <v>46164</v>
      </c>
      <c r="CE74" s="22" t="str">
        <f t="shared" ref="CE74:CE105" si="220">IF(J74="VIETNAM",
IF(CG74&lt;&gt;"","OBL in Vietnam Office",
IF(CF74&lt;&gt;"","OBL in Transit from Vietnam Office",
IF(CD74&lt;&gt;0,"OBL In Destination - "&amp;J74,
IF(CC74&lt;&gt;0,"OBL in Transit to Destination - "&amp;J74,
IF(CB74&lt;&gt;0,"OBL in SIG Office",
IF(CA74&lt;&gt;0,"OBL in Transit from Origin to SIG",
IF(BZ74&lt;&gt;0,"OBL in Origin - "&amp;I74,
IF(BY74&lt;&gt;0,"Draft Rcvd","No OBL Yet")))))))),
IF(CO74&lt;&gt;0,"OBL In Destination - "&amp;J74,
IF(CM74&lt;&gt;0,"OBL in Transit with Nego Docs - "&amp;J74,
IF(CB74&lt;&gt;0,"OBL in SIG Office",
IF(CA74&lt;&gt;0,"OBL in Transit from Origin to SIG",
IF(BZ74&lt;&gt;0,"OBL in Origin - "&amp;I74,
IF(BY74&lt;&gt;0,"Draft Rcvd","No OBL Yet")))))))</f>
        <v>OBL In Destination - VIETNAM</v>
      </c>
      <c r="CF74" s="22"/>
      <c r="CG74" s="22"/>
      <c r="CH74" s="181">
        <v>46160</v>
      </c>
      <c r="CI74" s="182">
        <v>4169630485</v>
      </c>
      <c r="CJ74" s="181">
        <v>46163</v>
      </c>
      <c r="CK74" s="2" t="str">
        <f t="shared" si="218"/>
        <v>CERTS in Destination - VIETNAM</v>
      </c>
      <c r="CL74" s="48" t="s">
        <v>244</v>
      </c>
      <c r="CM74" s="22">
        <v>46157</v>
      </c>
      <c r="CN74" s="55">
        <v>1470723413</v>
      </c>
      <c r="CO74" s="494">
        <v>46161</v>
      </c>
      <c r="CP74" s="55" t="str">
        <f t="shared" si="179"/>
        <v>Docs in Buyer's Nego Bank</v>
      </c>
      <c r="CQ74" s="190">
        <f t="shared" si="205"/>
        <v>321084.228</v>
      </c>
      <c r="CR74" s="54"/>
      <c r="CS74" s="2"/>
      <c r="CT74" s="2"/>
      <c r="CU74" s="14" t="str">
        <f t="shared" si="180"/>
        <v/>
      </c>
      <c r="CV74" s="191" t="str">
        <f t="shared" si="181"/>
        <v/>
      </c>
      <c r="CW74" s="14" t="str">
        <f t="shared" si="182"/>
        <v/>
      </c>
      <c r="CX74" s="14" t="str">
        <f t="shared" si="183"/>
        <v/>
      </c>
      <c r="CY74" s="15" t="str">
        <f t="shared" si="184"/>
        <v/>
      </c>
      <c r="CZ74" s="2"/>
      <c r="DA74" s="41" t="str">
        <f t="shared" si="185"/>
        <v/>
      </c>
      <c r="DB74" s="2"/>
      <c r="DC74" s="192" t="str">
        <f t="shared" si="186"/>
        <v/>
      </c>
      <c r="DD74" s="40"/>
      <c r="DE74" s="16" t="str">
        <f t="shared" si="187"/>
        <v/>
      </c>
      <c r="DF74" s="2" t="str">
        <f t="shared" si="188"/>
        <v/>
      </c>
      <c r="DG74" s="14" t="str">
        <f t="shared" si="189"/>
        <v/>
      </c>
      <c r="DH74" s="2" t="str">
        <f t="shared" si="190"/>
        <v/>
      </c>
      <c r="DI74" s="192" t="str">
        <f t="shared" si="191"/>
        <v/>
      </c>
      <c r="DJ74" s="2" t="str">
        <f t="shared" si="192"/>
        <v/>
      </c>
      <c r="DK74" s="15" t="str">
        <f t="shared" si="193"/>
        <v/>
      </c>
      <c r="DL74" s="2"/>
      <c r="DM74" s="2"/>
      <c r="DN74" s="15" t="str">
        <f t="shared" si="194"/>
        <v/>
      </c>
      <c r="DO74" s="14" t="str">
        <f t="shared" si="195"/>
        <v/>
      </c>
      <c r="DP74" s="14" t="str">
        <f t="shared" si="196"/>
        <v/>
      </c>
      <c r="DQ74" s="15" t="str">
        <f t="shared" si="197"/>
        <v/>
      </c>
      <c r="DR74" s="15" t="str">
        <f t="shared" si="198"/>
        <v/>
      </c>
      <c r="DS74" s="2" t="str">
        <f t="shared" si="199"/>
        <v/>
      </c>
      <c r="DT74" s="2" t="str">
        <f t="shared" si="200"/>
        <v/>
      </c>
      <c r="DU74" s="2"/>
      <c r="DV74" s="2"/>
      <c r="DW74" s="2"/>
      <c r="DX74" s="2"/>
      <c r="DY74" s="2" t="s">
        <v>230</v>
      </c>
      <c r="DZ74" s="2"/>
      <c r="EA74" s="2" t="str">
        <f t="shared" si="201"/>
        <v/>
      </c>
      <c r="EB74" s="2"/>
      <c r="EC74" s="2"/>
      <c r="ED74" s="2"/>
      <c r="EE74" s="3"/>
      <c r="EF74" s="7"/>
      <c r="EG74" s="3"/>
      <c r="EH74" s="3" t="s">
        <v>257</v>
      </c>
      <c r="EI74" s="3"/>
      <c r="EJ74" s="189"/>
      <c r="EK74" s="4"/>
      <c r="EL74" s="9"/>
      <c r="EM74" s="9"/>
      <c r="EN74" s="189">
        <f t="shared" si="202"/>
        <v>0</v>
      </c>
      <c r="EO74" s="9"/>
      <c r="EP74" s="8"/>
      <c r="EQ74" s="4"/>
      <c r="ER74" s="4"/>
      <c r="ES74" s="7"/>
      <c r="ET74" s="7"/>
      <c r="EU74" s="6"/>
      <c r="EV74" s="2" t="str">
        <f t="shared" si="219"/>
        <v>Export Loan</v>
      </c>
      <c r="EW74" s="189"/>
      <c r="EX74" s="189">
        <f t="shared" si="203"/>
        <v>0</v>
      </c>
      <c r="EY74" s="189" t="s">
        <v>233</v>
      </c>
      <c r="EZ74" s="24"/>
      <c r="FA74" s="2">
        <v>22142821</v>
      </c>
      <c r="FB74" s="24"/>
      <c r="FC74" s="193"/>
      <c r="FD74" s="189">
        <f t="shared" si="204"/>
        <v>0</v>
      </c>
      <c r="FE74" s="52"/>
      <c r="FF74" s="52"/>
      <c r="FG74" s="49"/>
      <c r="FH74" s="49"/>
      <c r="FI74" s="49"/>
      <c r="FJ74" s="49"/>
      <c r="FK74" s="49"/>
      <c r="FL74" s="49">
        <f t="shared" si="206"/>
        <v>-46129</v>
      </c>
      <c r="FM74" s="180">
        <f t="shared" si="207"/>
        <v>46133</v>
      </c>
      <c r="FN74" s="49"/>
      <c r="FO74" s="49"/>
      <c r="FP74" s="49"/>
      <c r="FQ74" s="49"/>
      <c r="FR74" s="49"/>
      <c r="FS74" s="34">
        <f t="shared" si="176"/>
        <v>20010157</v>
      </c>
      <c r="FT74" s="34">
        <f t="shared" si="177"/>
        <v>32016319</v>
      </c>
      <c r="FU74" s="3"/>
      <c r="FV74" s="3"/>
      <c r="FW74" s="3"/>
      <c r="FX74" s="3"/>
      <c r="FY74" s="3"/>
      <c r="FZ74" s="3"/>
      <c r="GA74" s="3"/>
      <c r="GB74" s="4"/>
      <c r="GC74" s="3"/>
      <c r="GD74" s="182">
        <v>90085659</v>
      </c>
      <c r="GE74" s="3"/>
      <c r="GF74" s="3" t="s">
        <v>235</v>
      </c>
      <c r="GG74" s="3"/>
      <c r="GH74" s="3"/>
      <c r="GI74" s="3"/>
      <c r="GJ74" s="3"/>
      <c r="GK74" s="3"/>
      <c r="GL74" s="3"/>
      <c r="GM74" s="3"/>
      <c r="GN74" s="3"/>
    </row>
    <row r="75" spans="1:196" s="1" customFormat="1" ht="68.099999999999994">
      <c r="A75" s="2" t="str">
        <f t="shared" si="208"/>
        <v>Exp Dox Presented to Bank, Pmt Pending</v>
      </c>
      <c r="B75" s="282">
        <v>47</v>
      </c>
      <c r="C75" s="282">
        <v>205</v>
      </c>
      <c r="D75" s="182" t="s">
        <v>208</v>
      </c>
      <c r="E75" s="2" t="str">
        <f t="shared" si="209"/>
        <v>CLOSE POSITION</v>
      </c>
      <c r="F75" s="271">
        <f t="shared" si="210"/>
        <v>32016295</v>
      </c>
      <c r="G75" s="271"/>
      <c r="H75" s="2" t="str">
        <f t="shared" si="211"/>
        <v xml:space="preserve">VALENCY AGRO //HSS//THE NUT COMPPANY   </v>
      </c>
      <c r="I75" s="3" t="s">
        <v>291</v>
      </c>
      <c r="J75" s="2" t="s">
        <v>210</v>
      </c>
      <c r="K75" s="2" t="str">
        <f t="shared" si="212"/>
        <v>VIZAG, INDIA</v>
      </c>
      <c r="L75" s="2">
        <f t="shared" si="147"/>
        <v>267576176</v>
      </c>
      <c r="M75" s="2">
        <f t="shared" si="174"/>
        <v>90.302000000000007</v>
      </c>
      <c r="N75" s="22">
        <f t="shared" si="213"/>
        <v>46111</v>
      </c>
      <c r="O75" s="22">
        <f t="shared" si="143"/>
        <v>46171</v>
      </c>
      <c r="P75" s="22" t="str">
        <f t="shared" si="214"/>
        <v>OBL In Destination - INDIA</v>
      </c>
      <c r="Q75" s="2"/>
      <c r="R75" s="2" t="str">
        <f t="shared" si="215"/>
        <v>CERTS in Destination - INDIA</v>
      </c>
      <c r="S75" s="2" t="str">
        <f t="shared" si="216"/>
        <v>Docs in Buyer's Nego Bank</v>
      </c>
      <c r="T75" s="2"/>
      <c r="U75" s="272" t="s">
        <v>580</v>
      </c>
      <c r="V75" s="272"/>
      <c r="W75" s="3" t="s">
        <v>568</v>
      </c>
      <c r="X75" s="24"/>
      <c r="Y75" s="273">
        <v>20010119</v>
      </c>
      <c r="Z75" s="24"/>
      <c r="AA75" s="182">
        <v>32016295</v>
      </c>
      <c r="AB75" s="182" t="s">
        <v>581</v>
      </c>
      <c r="AC75" s="182" t="s">
        <v>385</v>
      </c>
      <c r="AD75" s="181">
        <v>46142</v>
      </c>
      <c r="AE75" s="30">
        <v>0.1</v>
      </c>
      <c r="AF75" s="277">
        <v>100</v>
      </c>
      <c r="AG75" s="35">
        <f t="shared" si="217"/>
        <v>90</v>
      </c>
      <c r="AH75" s="3" t="s">
        <v>215</v>
      </c>
      <c r="AI75" s="4">
        <v>1520</v>
      </c>
      <c r="AJ75" s="4">
        <f>AI75*AF75</f>
        <v>152000</v>
      </c>
      <c r="AK75" s="3" t="s">
        <v>249</v>
      </c>
      <c r="AL75" s="3" t="s">
        <v>217</v>
      </c>
      <c r="AM75" s="30">
        <v>0</v>
      </c>
      <c r="AN75" s="183">
        <v>1</v>
      </c>
      <c r="AO75" s="183">
        <v>0</v>
      </c>
      <c r="AP75" s="28" t="s">
        <v>218</v>
      </c>
      <c r="AQ75" s="18" t="s">
        <v>239</v>
      </c>
      <c r="AR75" s="18" t="s">
        <v>251</v>
      </c>
      <c r="AS75" s="27"/>
      <c r="AT75" s="3" t="s">
        <v>220</v>
      </c>
      <c r="AU75" s="3" t="s">
        <v>220</v>
      </c>
      <c r="AV75" s="3" t="s">
        <v>220</v>
      </c>
      <c r="AW75" s="9"/>
      <c r="AX75" s="3"/>
      <c r="AY75" s="47"/>
      <c r="AZ75" s="278">
        <f t="shared" si="178"/>
        <v>0</v>
      </c>
      <c r="BA75" s="18"/>
      <c r="BB75" s="22">
        <v>46099</v>
      </c>
      <c r="BC75" s="22"/>
      <c r="BD75" s="22"/>
      <c r="BE75" s="22"/>
      <c r="BF75" s="22"/>
      <c r="BG75" s="18"/>
      <c r="BH75" s="18"/>
      <c r="BI75" s="3">
        <v>267576176</v>
      </c>
      <c r="BJ75" s="25">
        <v>90.302000000000007</v>
      </c>
      <c r="BK75" s="189" t="s">
        <v>222</v>
      </c>
      <c r="BL75" s="497">
        <v>4</v>
      </c>
      <c r="BM75" s="18">
        <v>46111</v>
      </c>
      <c r="BN75" s="4"/>
      <c r="BO75" s="18">
        <v>46171</v>
      </c>
      <c r="BP75" s="3" t="s">
        <v>298</v>
      </c>
      <c r="BQ75" s="21" t="s">
        <v>539</v>
      </c>
      <c r="BR75" s="2" t="s">
        <v>416</v>
      </c>
      <c r="BS75" s="2"/>
      <c r="BT75" s="2" t="s">
        <v>582</v>
      </c>
      <c r="BU75" s="2" t="s">
        <v>583</v>
      </c>
      <c r="BV75" s="20">
        <v>90085008</v>
      </c>
      <c r="BW75" s="7">
        <v>46125</v>
      </c>
      <c r="BX75" s="189">
        <f t="shared" si="175"/>
        <v>137259.04</v>
      </c>
      <c r="BY75" s="22"/>
      <c r="BZ75" s="22">
        <v>46137</v>
      </c>
      <c r="CA75" s="2">
        <v>5182275906</v>
      </c>
      <c r="CB75" s="22">
        <v>46146</v>
      </c>
      <c r="CC75" s="22"/>
      <c r="CD75" s="22"/>
      <c r="CE75" s="22" t="str">
        <f t="shared" si="220"/>
        <v>OBL In Destination - INDIA</v>
      </c>
      <c r="CF75" s="22"/>
      <c r="CG75" s="22"/>
      <c r="CH75" s="181">
        <v>46153</v>
      </c>
      <c r="CI75" s="182">
        <v>1738475152</v>
      </c>
      <c r="CJ75" s="571">
        <v>46169</v>
      </c>
      <c r="CK75" s="2" t="str">
        <f t="shared" si="218"/>
        <v>CERTS in Destination - INDIA</v>
      </c>
      <c r="CL75" s="48" t="s">
        <v>229</v>
      </c>
      <c r="CM75" s="22">
        <v>46146</v>
      </c>
      <c r="CN75" s="55">
        <v>1261918781</v>
      </c>
      <c r="CO75" s="437">
        <v>46149</v>
      </c>
      <c r="CP75" s="55" t="str">
        <f t="shared" si="179"/>
        <v>Docs in Buyer's Nego Bank</v>
      </c>
      <c r="CQ75" s="190">
        <f t="shared" si="205"/>
        <v>137259.04</v>
      </c>
      <c r="CR75" s="54"/>
      <c r="CS75" s="2"/>
      <c r="CT75" s="2"/>
      <c r="CU75" s="14" t="str">
        <f t="shared" si="180"/>
        <v/>
      </c>
      <c r="CV75" s="191" t="str">
        <f t="shared" si="181"/>
        <v/>
      </c>
      <c r="CW75" s="14" t="str">
        <f t="shared" si="182"/>
        <v/>
      </c>
      <c r="CX75" s="14" t="str">
        <f t="shared" si="183"/>
        <v/>
      </c>
      <c r="CY75" s="15" t="str">
        <f t="shared" si="184"/>
        <v/>
      </c>
      <c r="CZ75" s="2"/>
      <c r="DA75" s="41" t="str">
        <f t="shared" si="185"/>
        <v/>
      </c>
      <c r="DB75" s="2"/>
      <c r="DC75" s="192" t="str">
        <f t="shared" si="186"/>
        <v/>
      </c>
      <c r="DD75" s="40"/>
      <c r="DE75" s="16" t="str">
        <f t="shared" si="187"/>
        <v/>
      </c>
      <c r="DF75" s="2" t="str">
        <f t="shared" si="188"/>
        <v/>
      </c>
      <c r="DG75" s="14" t="str">
        <f t="shared" si="189"/>
        <v/>
      </c>
      <c r="DH75" s="2" t="str">
        <f t="shared" si="190"/>
        <v/>
      </c>
      <c r="DI75" s="192" t="str">
        <f t="shared" si="191"/>
        <v/>
      </c>
      <c r="DJ75" s="2" t="str">
        <f t="shared" si="192"/>
        <v/>
      </c>
      <c r="DK75" s="15" t="str">
        <f t="shared" si="193"/>
        <v/>
      </c>
      <c r="DL75" s="2"/>
      <c r="DM75" s="2"/>
      <c r="DN75" s="15" t="str">
        <f t="shared" si="194"/>
        <v/>
      </c>
      <c r="DO75" s="14" t="str">
        <f t="shared" si="195"/>
        <v/>
      </c>
      <c r="DP75" s="14" t="str">
        <f t="shared" si="196"/>
        <v/>
      </c>
      <c r="DQ75" s="15" t="str">
        <f t="shared" si="197"/>
        <v/>
      </c>
      <c r="DR75" s="15" t="str">
        <f t="shared" si="198"/>
        <v/>
      </c>
      <c r="DS75" s="2" t="str">
        <f t="shared" si="199"/>
        <v/>
      </c>
      <c r="DT75" s="2" t="str">
        <f t="shared" si="200"/>
        <v/>
      </c>
      <c r="DU75" s="2"/>
      <c r="DV75" s="2"/>
      <c r="DW75" s="2"/>
      <c r="DX75" s="2"/>
      <c r="DY75" s="2" t="s">
        <v>230</v>
      </c>
      <c r="DZ75" s="2"/>
      <c r="EA75" s="2" t="str">
        <f t="shared" si="201"/>
        <v/>
      </c>
      <c r="EB75" s="2"/>
      <c r="EC75" s="2"/>
      <c r="ED75" s="2"/>
      <c r="EE75" s="3">
        <v>4900009633</v>
      </c>
      <c r="EF75" s="7"/>
      <c r="EG75" s="3"/>
      <c r="EH75" s="3" t="s">
        <v>302</v>
      </c>
      <c r="EI75" s="3"/>
      <c r="EJ75" s="25">
        <f>BJ75</f>
        <v>90.302000000000007</v>
      </c>
      <c r="EK75" s="4">
        <v>1200</v>
      </c>
      <c r="EL75" s="9"/>
      <c r="EM75" s="9"/>
      <c r="EN75" s="189">
        <f t="shared" si="202"/>
        <v>108362.40000000001</v>
      </c>
      <c r="EO75" s="9"/>
      <c r="EP75" s="8"/>
      <c r="EQ75" s="4"/>
      <c r="ER75" s="4"/>
      <c r="ES75" s="7"/>
      <c r="ET75" s="7"/>
      <c r="EU75" s="6"/>
      <c r="EV75" s="2" t="str">
        <f t="shared" si="219"/>
        <v>Export Loan</v>
      </c>
      <c r="EW75" s="189"/>
      <c r="EX75" s="189">
        <f t="shared" si="203"/>
        <v>0</v>
      </c>
      <c r="EY75" s="189" t="s">
        <v>233</v>
      </c>
      <c r="EZ75" s="24"/>
      <c r="FA75" s="2">
        <v>22141473</v>
      </c>
      <c r="FB75" s="24"/>
      <c r="FC75" s="193"/>
      <c r="FD75" s="189">
        <f t="shared" si="204"/>
        <v>0</v>
      </c>
      <c r="FE75" s="52"/>
      <c r="FF75" s="52"/>
      <c r="FG75" s="49"/>
      <c r="FH75" s="49"/>
      <c r="FI75" s="49"/>
      <c r="FJ75" s="49"/>
      <c r="FK75" s="49"/>
      <c r="FL75" s="49">
        <f t="shared" si="206"/>
        <v>0</v>
      </c>
      <c r="FM75" s="180">
        <f t="shared" si="207"/>
        <v>46111</v>
      </c>
      <c r="FN75" s="49"/>
      <c r="FO75" s="49"/>
      <c r="FP75" s="49"/>
      <c r="FQ75" s="49"/>
      <c r="FR75" s="49"/>
      <c r="FS75" s="34">
        <f t="shared" si="176"/>
        <v>20010119</v>
      </c>
      <c r="FT75" s="34">
        <f t="shared" si="177"/>
        <v>32016295</v>
      </c>
      <c r="FU75" s="3"/>
      <c r="FV75" s="3">
        <v>5000278141</v>
      </c>
      <c r="FW75" s="3" t="s">
        <v>584</v>
      </c>
      <c r="FX75" s="3">
        <v>5105713225</v>
      </c>
      <c r="FY75" s="3"/>
      <c r="FZ75" s="3"/>
      <c r="GA75" s="3"/>
      <c r="GB75" s="4"/>
      <c r="GC75" s="3">
        <v>40083016</v>
      </c>
      <c r="GD75" s="182">
        <v>90085008</v>
      </c>
      <c r="GE75" s="3"/>
      <c r="GF75" s="3"/>
      <c r="GG75" s="3"/>
      <c r="GH75" s="3"/>
      <c r="GI75" s="3"/>
      <c r="GJ75" s="3"/>
      <c r="GK75" s="3"/>
      <c r="GL75" s="3"/>
      <c r="GM75" s="3"/>
      <c r="GN75" s="3"/>
    </row>
    <row r="76" spans="1:196" s="1" customFormat="1" ht="33.950000000000003">
      <c r="A76" s="2" t="str">
        <f t="shared" si="208"/>
        <v>Exp Dox Presented to Bank, Pmt Pending</v>
      </c>
      <c r="B76" s="281">
        <v>50</v>
      </c>
      <c r="C76" s="281">
        <v>190</v>
      </c>
      <c r="D76" s="182" t="s">
        <v>208</v>
      </c>
      <c r="E76" s="2" t="str">
        <f t="shared" si="209"/>
        <v>CLOSE POSITION</v>
      </c>
      <c r="F76" s="271">
        <f t="shared" si="210"/>
        <v>32014661</v>
      </c>
      <c r="G76" s="271"/>
      <c r="H76" s="2" t="str">
        <f t="shared" si="211"/>
        <v xml:space="preserve">VALENCY AGRO // HSS // Jaya Cashews
</v>
      </c>
      <c r="I76" s="3" t="s">
        <v>209</v>
      </c>
      <c r="J76" s="2" t="s">
        <v>210</v>
      </c>
      <c r="K76" s="2" t="str">
        <f t="shared" si="212"/>
        <v>TUTICORIN, INDIA</v>
      </c>
      <c r="L76" s="2" t="str">
        <f t="shared" si="147"/>
        <v>ONEYLOSG01231400</v>
      </c>
      <c r="M76" s="2">
        <f t="shared" si="174"/>
        <v>101.446</v>
      </c>
      <c r="N76" s="22">
        <f t="shared" si="213"/>
        <v>46130</v>
      </c>
      <c r="O76" s="22">
        <f t="shared" si="143"/>
        <v>46180</v>
      </c>
      <c r="P76" s="22" t="str">
        <f t="shared" si="214"/>
        <v>OBL In Destination - INDIA</v>
      </c>
      <c r="Q76" s="2"/>
      <c r="R76" s="2" t="str">
        <f t="shared" si="215"/>
        <v>CERTS in Destination - INDIA</v>
      </c>
      <c r="S76" s="2" t="str">
        <f t="shared" si="216"/>
        <v>Docs in Buyer's Nego Bank</v>
      </c>
      <c r="T76" s="2" t="str">
        <f>IFERROR(_xlfn.XLOOKUP(F76,
'[2]Data 2026'!$H$12:$H$111,
'[2]Data 2026'!$CL$12:$CL$111),"")</f>
        <v/>
      </c>
      <c r="U76" s="3" t="s">
        <v>576</v>
      </c>
      <c r="V76" s="272"/>
      <c r="W76" s="3"/>
      <c r="X76" s="24">
        <v>46073</v>
      </c>
      <c r="Y76" s="273">
        <v>20009612</v>
      </c>
      <c r="Z76" s="24">
        <v>46072</v>
      </c>
      <c r="AA76" s="182">
        <v>32014661</v>
      </c>
      <c r="AB76" s="182" t="s">
        <v>585</v>
      </c>
      <c r="AC76" s="203">
        <v>46082</v>
      </c>
      <c r="AD76" s="203">
        <v>46112</v>
      </c>
      <c r="AE76" s="30">
        <v>0.1</v>
      </c>
      <c r="AF76" s="277">
        <v>100</v>
      </c>
      <c r="AG76" s="35">
        <f t="shared" si="217"/>
        <v>90</v>
      </c>
      <c r="AH76" s="3" t="s">
        <v>215</v>
      </c>
      <c r="AI76" s="4">
        <v>1620</v>
      </c>
      <c r="AJ76" s="4">
        <v>162000</v>
      </c>
      <c r="AK76" s="3" t="s">
        <v>249</v>
      </c>
      <c r="AL76" s="3" t="s">
        <v>217</v>
      </c>
      <c r="AM76" s="30">
        <v>0</v>
      </c>
      <c r="AN76" s="183">
        <v>1</v>
      </c>
      <c r="AO76" s="183">
        <v>0</v>
      </c>
      <c r="AP76" s="28" t="s">
        <v>218</v>
      </c>
      <c r="AQ76" s="18" t="s">
        <v>239</v>
      </c>
      <c r="AR76" s="18" t="s">
        <v>251</v>
      </c>
      <c r="AS76" s="27"/>
      <c r="AT76" s="3" t="s">
        <v>220</v>
      </c>
      <c r="AU76" s="3" t="s">
        <v>220</v>
      </c>
      <c r="AV76" s="3" t="s">
        <v>220</v>
      </c>
      <c r="AW76" s="9"/>
      <c r="AX76" s="3"/>
      <c r="AY76" s="47"/>
      <c r="AZ76" s="275">
        <f t="shared" si="178"/>
        <v>0</v>
      </c>
      <c r="BA76" s="18">
        <v>46073</v>
      </c>
      <c r="BB76" s="22">
        <v>46078</v>
      </c>
      <c r="BC76" s="22"/>
      <c r="BD76" s="22"/>
      <c r="BE76" s="22"/>
      <c r="BF76" s="22">
        <v>46078</v>
      </c>
      <c r="BG76" s="18"/>
      <c r="BH76" s="18"/>
      <c r="BI76" s="3" t="s">
        <v>586</v>
      </c>
      <c r="BJ76" s="25">
        <v>101.446</v>
      </c>
      <c r="BK76" s="46" t="s">
        <v>222</v>
      </c>
      <c r="BL76" s="497"/>
      <c r="BM76" s="18">
        <v>46130</v>
      </c>
      <c r="BN76" s="4"/>
      <c r="BO76" s="18">
        <v>46180</v>
      </c>
      <c r="BP76" s="3" t="s">
        <v>278</v>
      </c>
      <c r="BQ76" s="21" t="s">
        <v>346</v>
      </c>
      <c r="BR76" s="2" t="s">
        <v>288</v>
      </c>
      <c r="BS76" s="2"/>
      <c r="BT76" s="2"/>
      <c r="BU76" s="2"/>
      <c r="BV76" s="20">
        <v>90085330</v>
      </c>
      <c r="BW76" s="19"/>
      <c r="BX76" s="46">
        <f t="shared" si="175"/>
        <v>164342.51999999999</v>
      </c>
      <c r="BY76" s="22"/>
      <c r="BZ76" s="22">
        <v>46135</v>
      </c>
      <c r="CA76" s="271">
        <v>4850828205</v>
      </c>
      <c r="CB76" s="22">
        <v>46146</v>
      </c>
      <c r="CC76" s="22"/>
      <c r="CD76" s="22"/>
      <c r="CE76" s="22" t="str">
        <f t="shared" si="220"/>
        <v>OBL In Destination - INDIA</v>
      </c>
      <c r="CF76" s="22"/>
      <c r="CG76" s="22"/>
      <c r="CH76" s="181">
        <v>46141</v>
      </c>
      <c r="CI76" s="182">
        <v>2185630370</v>
      </c>
      <c r="CJ76" s="181">
        <v>46151</v>
      </c>
      <c r="CK76" s="2" t="str">
        <f t="shared" si="218"/>
        <v>CERTS in Destination - INDIA</v>
      </c>
      <c r="CL76" s="48" t="s">
        <v>229</v>
      </c>
      <c r="CM76" s="22">
        <v>46153</v>
      </c>
      <c r="CN76" s="55">
        <v>3113727234</v>
      </c>
      <c r="CO76" s="54">
        <v>46156</v>
      </c>
      <c r="CP76" s="55" t="str">
        <f t="shared" si="179"/>
        <v>Docs in Buyer's Nego Bank</v>
      </c>
      <c r="CQ76" s="50">
        <f t="shared" si="205"/>
        <v>164342.51999999999</v>
      </c>
      <c r="CR76" s="54"/>
      <c r="CS76" s="2"/>
      <c r="CT76" s="2"/>
      <c r="CU76" s="14" t="str">
        <f t="shared" si="180"/>
        <v/>
      </c>
      <c r="CV76" s="42" t="str">
        <f t="shared" si="181"/>
        <v/>
      </c>
      <c r="CW76" s="14" t="str">
        <f t="shared" si="182"/>
        <v/>
      </c>
      <c r="CX76" s="14" t="str">
        <f t="shared" si="183"/>
        <v/>
      </c>
      <c r="CY76" s="15" t="str">
        <f t="shared" si="184"/>
        <v/>
      </c>
      <c r="CZ76" s="2"/>
      <c r="DA76" s="41" t="str">
        <f t="shared" si="185"/>
        <v/>
      </c>
      <c r="DB76" s="2"/>
      <c r="DC76" s="39" t="str">
        <f t="shared" si="186"/>
        <v/>
      </c>
      <c r="DD76" s="40"/>
      <c r="DE76" s="16" t="str">
        <f t="shared" si="187"/>
        <v/>
      </c>
      <c r="DF76" s="2" t="str">
        <f t="shared" si="188"/>
        <v/>
      </c>
      <c r="DG76" s="14" t="str">
        <f t="shared" si="189"/>
        <v/>
      </c>
      <c r="DH76" s="2" t="str">
        <f t="shared" si="190"/>
        <v/>
      </c>
      <c r="DI76" s="39" t="str">
        <f t="shared" si="191"/>
        <v/>
      </c>
      <c r="DJ76" s="2" t="str">
        <f t="shared" si="192"/>
        <v/>
      </c>
      <c r="DK76" s="15" t="str">
        <f t="shared" si="193"/>
        <v/>
      </c>
      <c r="DL76" s="2"/>
      <c r="DM76" s="2"/>
      <c r="DN76" s="15" t="str">
        <f t="shared" si="194"/>
        <v/>
      </c>
      <c r="DO76" s="14" t="str">
        <f t="shared" si="195"/>
        <v/>
      </c>
      <c r="DP76" s="14" t="str">
        <f t="shared" si="196"/>
        <v/>
      </c>
      <c r="DQ76" s="15" t="str">
        <f t="shared" si="197"/>
        <v/>
      </c>
      <c r="DR76" s="15" t="str">
        <f t="shared" si="198"/>
        <v/>
      </c>
      <c r="DS76" s="2" t="str">
        <f t="shared" si="199"/>
        <v/>
      </c>
      <c r="DT76" s="2" t="str">
        <f t="shared" si="200"/>
        <v/>
      </c>
      <c r="DU76" s="2"/>
      <c r="DV76" s="2"/>
      <c r="DW76" s="2"/>
      <c r="DX76" s="2"/>
      <c r="DY76" s="2" t="s">
        <v>230</v>
      </c>
      <c r="DZ76" s="2"/>
      <c r="EA76" s="2" t="str">
        <f t="shared" si="201"/>
        <v/>
      </c>
      <c r="EB76" s="2">
        <v>48.43</v>
      </c>
      <c r="EC76" s="2">
        <v>192</v>
      </c>
      <c r="ED76" s="16">
        <v>8.0299999999999996E-2</v>
      </c>
      <c r="EE76" s="3"/>
      <c r="EF76" s="7"/>
      <c r="EG76" s="3"/>
      <c r="EH76" s="3" t="s">
        <v>231</v>
      </c>
      <c r="EI76" s="3" t="s">
        <v>258</v>
      </c>
      <c r="EJ76" s="189">
        <v>1000</v>
      </c>
      <c r="EK76" s="4"/>
      <c r="EL76" s="9"/>
      <c r="EM76" s="9"/>
      <c r="EN76" s="46">
        <f t="shared" si="202"/>
        <v>0</v>
      </c>
      <c r="EO76" s="9"/>
      <c r="EP76" s="8"/>
      <c r="EQ76" s="4"/>
      <c r="ER76" s="4"/>
      <c r="ES76" s="7"/>
      <c r="ET76" s="7"/>
      <c r="EU76" s="6"/>
      <c r="EV76" s="2" t="str">
        <f t="shared" si="219"/>
        <v>Export Loan</v>
      </c>
      <c r="EW76" s="46"/>
      <c r="EX76" s="46">
        <f t="shared" si="203"/>
        <v>0</v>
      </c>
      <c r="EY76" s="46" t="s">
        <v>233</v>
      </c>
      <c r="EZ76" s="24"/>
      <c r="FA76" s="2">
        <v>22141444</v>
      </c>
      <c r="FB76" s="24"/>
      <c r="FC76" s="53"/>
      <c r="FD76" s="46">
        <f t="shared" si="204"/>
        <v>0</v>
      </c>
      <c r="FE76" s="52"/>
      <c r="FF76" s="52"/>
      <c r="FG76" s="49"/>
      <c r="FH76" s="49"/>
      <c r="FI76" s="49"/>
      <c r="FJ76" s="49"/>
      <c r="FK76" s="49"/>
      <c r="FL76" s="49">
        <f t="shared" si="206"/>
        <v>0</v>
      </c>
      <c r="FM76" s="180">
        <f t="shared" si="207"/>
        <v>46130</v>
      </c>
      <c r="FN76" s="49"/>
      <c r="FO76" s="49"/>
      <c r="FP76" s="49"/>
      <c r="FQ76" s="49"/>
      <c r="FR76" s="49"/>
      <c r="FS76" s="34">
        <f t="shared" si="176"/>
        <v>20009612</v>
      </c>
      <c r="FT76" s="34">
        <f t="shared" si="177"/>
        <v>32014661</v>
      </c>
      <c r="FU76" s="3"/>
      <c r="FV76" s="3"/>
      <c r="FW76" s="3"/>
      <c r="FX76" s="3"/>
      <c r="FY76" s="3"/>
      <c r="FZ76" s="3"/>
      <c r="GA76" s="3"/>
      <c r="GB76" s="4"/>
      <c r="GC76" s="3"/>
      <c r="GD76" s="182"/>
      <c r="GE76" s="2"/>
      <c r="GF76" s="2"/>
      <c r="GG76" s="2"/>
      <c r="GH76" s="2"/>
      <c r="GI76" s="2"/>
      <c r="GJ76" s="2"/>
      <c r="GK76" s="2"/>
      <c r="GL76" s="2"/>
      <c r="GM76" s="2"/>
      <c r="GN76" s="2"/>
    </row>
    <row r="77" spans="1:196" s="1" customFormat="1" ht="33.950000000000003">
      <c r="A77" s="2" t="str">
        <f t="shared" si="208"/>
        <v>Exp Dox Presented to Bank, Pmt Pending</v>
      </c>
      <c r="B77" s="281">
        <v>48</v>
      </c>
      <c r="C77" s="281">
        <v>200</v>
      </c>
      <c r="D77" s="182" t="s">
        <v>208</v>
      </c>
      <c r="E77" s="2" t="str">
        <f t="shared" si="209"/>
        <v>CLOSE POSITION</v>
      </c>
      <c r="F77" s="271">
        <f t="shared" si="210"/>
        <v>32014996</v>
      </c>
      <c r="G77" s="271"/>
      <c r="H77" s="2" t="str">
        <f t="shared" si="211"/>
        <v>RED RIVER FOODS</v>
      </c>
      <c r="I77" s="3" t="s">
        <v>259</v>
      </c>
      <c r="J77" s="2" t="s">
        <v>347</v>
      </c>
      <c r="K77" s="2" t="str">
        <f t="shared" si="212"/>
        <v>Qui Nhon, Vietnam</v>
      </c>
      <c r="L77" s="2" t="str">
        <f t="shared" si="147"/>
        <v>ONEYABJG00392800</v>
      </c>
      <c r="M77" s="2">
        <f t="shared" si="174"/>
        <v>288.39</v>
      </c>
      <c r="N77" s="22">
        <f t="shared" si="213"/>
        <v>46137</v>
      </c>
      <c r="O77" s="22">
        <f t="shared" si="143"/>
        <v>46175</v>
      </c>
      <c r="P77" s="22" t="str">
        <f t="shared" si="214"/>
        <v>OBL In Destination - VIETNAM</v>
      </c>
      <c r="Q77" s="2" t="s">
        <v>587</v>
      </c>
      <c r="R77" s="2" t="str">
        <f t="shared" si="215"/>
        <v>CERTS in Destination - VIETNAM</v>
      </c>
      <c r="S77" s="2" t="str">
        <f t="shared" si="216"/>
        <v>Docs in Buyer's Nego Bank</v>
      </c>
      <c r="T77" s="2"/>
      <c r="U77" s="3" t="s">
        <v>588</v>
      </c>
      <c r="V77" s="272"/>
      <c r="W77" s="3"/>
      <c r="X77" s="24">
        <v>46085</v>
      </c>
      <c r="Y77" s="273">
        <v>20009659</v>
      </c>
      <c r="Z77" s="24">
        <v>46085</v>
      </c>
      <c r="AA77" s="182">
        <v>32014996</v>
      </c>
      <c r="AB77" s="182" t="s">
        <v>380</v>
      </c>
      <c r="AC77" s="182" t="s">
        <v>263</v>
      </c>
      <c r="AD77" s="181">
        <v>46142</v>
      </c>
      <c r="AE77" s="30">
        <v>0.05</v>
      </c>
      <c r="AF77" s="277">
        <v>300</v>
      </c>
      <c r="AG77" s="35">
        <f t="shared" si="217"/>
        <v>285</v>
      </c>
      <c r="AH77" s="3" t="s">
        <v>215</v>
      </c>
      <c r="AI77" s="4">
        <v>1515</v>
      </c>
      <c r="AJ77" s="4">
        <f t="shared" ref="AJ77:AJ84" si="221">AI77*AF77</f>
        <v>454500</v>
      </c>
      <c r="AK77" s="3" t="s">
        <v>249</v>
      </c>
      <c r="AL77" s="3" t="s">
        <v>238</v>
      </c>
      <c r="AM77" s="183">
        <v>0.1</v>
      </c>
      <c r="AN77" s="183">
        <v>0.88</v>
      </c>
      <c r="AO77" s="183">
        <v>0.02</v>
      </c>
      <c r="AP77" s="28" t="s">
        <v>218</v>
      </c>
      <c r="AQ77" s="3" t="s">
        <v>354</v>
      </c>
      <c r="AR77" s="18" t="s">
        <v>251</v>
      </c>
      <c r="AS77" s="27"/>
      <c r="AT77" s="3" t="s">
        <v>220</v>
      </c>
      <c r="AU77" s="3" t="s">
        <v>220</v>
      </c>
      <c r="AV77" s="3" t="s">
        <v>220</v>
      </c>
      <c r="AW77" s="9"/>
      <c r="AX77" s="3"/>
      <c r="AY77" s="47">
        <v>46098</v>
      </c>
      <c r="AZ77" s="275">
        <f t="shared" si="178"/>
        <v>45450</v>
      </c>
      <c r="BA77" s="18">
        <v>46099</v>
      </c>
      <c r="BB77" s="22"/>
      <c r="BC77" s="22"/>
      <c r="BD77" s="22"/>
      <c r="BE77" s="22"/>
      <c r="BF77" s="22"/>
      <c r="BG77" s="18"/>
      <c r="BH77" s="18"/>
      <c r="BI77" s="3" t="s">
        <v>589</v>
      </c>
      <c r="BJ77" s="25">
        <v>288.39</v>
      </c>
      <c r="BK77" s="46" t="s">
        <v>222</v>
      </c>
      <c r="BL77" s="497">
        <v>12</v>
      </c>
      <c r="BM77" s="18">
        <v>46137</v>
      </c>
      <c r="BN77" s="4"/>
      <c r="BO77" s="18">
        <v>46175</v>
      </c>
      <c r="BP77" s="3" t="s">
        <v>259</v>
      </c>
      <c r="BQ77" s="21" t="s">
        <v>381</v>
      </c>
      <c r="BR77" s="2" t="s">
        <v>288</v>
      </c>
      <c r="BS77" s="2"/>
      <c r="BT77" s="2" t="s">
        <v>590</v>
      </c>
      <c r="BU77" s="2" t="s">
        <v>591</v>
      </c>
      <c r="BV77" s="20">
        <v>90085387</v>
      </c>
      <c r="BW77" s="19">
        <v>46137</v>
      </c>
      <c r="BX77" s="46">
        <f t="shared" si="175"/>
        <v>436910.85</v>
      </c>
      <c r="BY77" s="22">
        <v>46127</v>
      </c>
      <c r="BZ77" s="22">
        <v>46149</v>
      </c>
      <c r="CA77" s="2" t="s">
        <v>494</v>
      </c>
      <c r="CB77" s="22">
        <v>46149</v>
      </c>
      <c r="CC77" s="419" t="s">
        <v>592</v>
      </c>
      <c r="CD77" s="22">
        <v>46155</v>
      </c>
      <c r="CE77" s="22" t="str">
        <f t="shared" si="220"/>
        <v>OBL In Destination - VIETNAM</v>
      </c>
      <c r="CF77" s="22"/>
      <c r="CG77" s="22"/>
      <c r="CH77" s="181">
        <v>46140</v>
      </c>
      <c r="CI77" s="182">
        <v>4780215742</v>
      </c>
      <c r="CJ77" s="181">
        <v>46160</v>
      </c>
      <c r="CK77" s="2" t="str">
        <f t="shared" si="218"/>
        <v>CERTS in Destination - VIETNAM</v>
      </c>
      <c r="CL77" s="48" t="s">
        <v>244</v>
      </c>
      <c r="CM77" s="22">
        <v>46155</v>
      </c>
      <c r="CN77" s="55">
        <v>6554754043</v>
      </c>
      <c r="CO77" s="54">
        <v>46157</v>
      </c>
      <c r="CP77" s="55" t="str">
        <f t="shared" si="179"/>
        <v>Docs in Buyer's Nego Bank</v>
      </c>
      <c r="CQ77" s="50">
        <f t="shared" si="205"/>
        <v>339031.54800000001</v>
      </c>
      <c r="CR77" s="54"/>
      <c r="CS77" s="2"/>
      <c r="CT77" s="2"/>
      <c r="CU77" s="14" t="str">
        <f t="shared" si="180"/>
        <v/>
      </c>
      <c r="CV77" s="42" t="str">
        <f t="shared" si="181"/>
        <v/>
      </c>
      <c r="CW77" s="14" t="str">
        <f t="shared" si="182"/>
        <v/>
      </c>
      <c r="CX77" s="14" t="str">
        <f t="shared" si="183"/>
        <v/>
      </c>
      <c r="CY77" s="15" t="str">
        <f t="shared" si="184"/>
        <v/>
      </c>
      <c r="CZ77" s="2"/>
      <c r="DA77" s="41" t="str">
        <f t="shared" si="185"/>
        <v/>
      </c>
      <c r="DB77" s="2"/>
      <c r="DC77" s="39" t="str">
        <f t="shared" si="186"/>
        <v/>
      </c>
      <c r="DD77" s="40"/>
      <c r="DE77" s="16" t="str">
        <f t="shared" si="187"/>
        <v/>
      </c>
      <c r="DF77" s="2" t="str">
        <f t="shared" si="188"/>
        <v/>
      </c>
      <c r="DG77" s="14" t="str">
        <f t="shared" si="189"/>
        <v/>
      </c>
      <c r="DH77" s="2" t="str">
        <f t="shared" si="190"/>
        <v/>
      </c>
      <c r="DI77" s="39" t="str">
        <f t="shared" si="191"/>
        <v/>
      </c>
      <c r="DJ77" s="2" t="str">
        <f t="shared" si="192"/>
        <v/>
      </c>
      <c r="DK77" s="15" t="str">
        <f t="shared" si="193"/>
        <v/>
      </c>
      <c r="DL77" s="2"/>
      <c r="DM77" s="2"/>
      <c r="DN77" s="15" t="str">
        <f t="shared" si="194"/>
        <v/>
      </c>
      <c r="DO77" s="14" t="str">
        <f t="shared" si="195"/>
        <v/>
      </c>
      <c r="DP77" s="14" t="str">
        <f t="shared" si="196"/>
        <v/>
      </c>
      <c r="DQ77" s="15" t="str">
        <f t="shared" si="197"/>
        <v/>
      </c>
      <c r="DR77" s="15" t="str">
        <f t="shared" si="198"/>
        <v/>
      </c>
      <c r="DS77" s="2" t="str">
        <f t="shared" si="199"/>
        <v/>
      </c>
      <c r="DT77" s="2" t="str">
        <f t="shared" si="200"/>
        <v/>
      </c>
      <c r="DU77" s="2"/>
      <c r="DV77" s="2"/>
      <c r="DW77" s="2"/>
      <c r="DX77" s="2"/>
      <c r="DY77" s="2" t="s">
        <v>230</v>
      </c>
      <c r="DZ77" s="2"/>
      <c r="EA77" s="2" t="str">
        <f t="shared" si="201"/>
        <v/>
      </c>
      <c r="EB77" s="2"/>
      <c r="EC77" s="2"/>
      <c r="ED77" s="2"/>
      <c r="EE77" s="3"/>
      <c r="EF77" s="7"/>
      <c r="EG77" s="3"/>
      <c r="EH77" s="3" t="s">
        <v>266</v>
      </c>
      <c r="EI77" s="3"/>
      <c r="EJ77" s="189"/>
      <c r="EK77" s="4"/>
      <c r="EL77" s="9"/>
      <c r="EM77" s="9"/>
      <c r="EN77" s="46">
        <f t="shared" si="202"/>
        <v>0</v>
      </c>
      <c r="EO77" s="9"/>
      <c r="EP77" s="8"/>
      <c r="EQ77" s="4"/>
      <c r="ER77" s="4"/>
      <c r="ES77" s="7"/>
      <c r="ET77" s="7"/>
      <c r="EU77" s="6"/>
      <c r="EV77" s="2" t="str">
        <f t="shared" si="219"/>
        <v>Export Loan</v>
      </c>
      <c r="EW77" s="46"/>
      <c r="EX77" s="46">
        <f t="shared" si="203"/>
        <v>0</v>
      </c>
      <c r="EY77" s="46" t="s">
        <v>233</v>
      </c>
      <c r="EZ77" s="24"/>
      <c r="FA77" s="2">
        <v>22141443</v>
      </c>
      <c r="FB77" s="24"/>
      <c r="FC77" s="53"/>
      <c r="FD77" s="46">
        <f t="shared" si="204"/>
        <v>0</v>
      </c>
      <c r="FE77" s="52"/>
      <c r="FF77" s="52"/>
      <c r="FG77" s="49"/>
      <c r="FH77" s="49"/>
      <c r="FI77" s="49"/>
      <c r="FJ77" s="49"/>
      <c r="FK77" s="49"/>
      <c r="FL77" s="49">
        <f t="shared" si="206"/>
        <v>-46127</v>
      </c>
      <c r="FM77" s="180">
        <f t="shared" si="207"/>
        <v>46137</v>
      </c>
      <c r="FN77" s="49"/>
      <c r="FO77" s="49"/>
      <c r="FP77" s="49"/>
      <c r="FQ77" s="49"/>
      <c r="FR77" s="49"/>
      <c r="FS77" s="34">
        <f t="shared" si="176"/>
        <v>20009659</v>
      </c>
      <c r="FT77" s="34">
        <f t="shared" si="177"/>
        <v>32014996</v>
      </c>
      <c r="FU77" s="3"/>
      <c r="FV77" s="3"/>
      <c r="FW77" s="3"/>
      <c r="FX77" s="3"/>
      <c r="FY77" s="3"/>
      <c r="FZ77" s="3"/>
      <c r="GA77" s="3"/>
      <c r="GB77" s="4"/>
      <c r="GC77" s="3"/>
      <c r="GD77" s="182">
        <v>90085387</v>
      </c>
      <c r="GE77" s="3"/>
      <c r="GF77" s="3" t="s">
        <v>235</v>
      </c>
      <c r="GG77" s="3"/>
      <c r="GH77" s="3"/>
      <c r="GI77" s="3"/>
      <c r="GJ77" s="3"/>
      <c r="GK77" s="3"/>
      <c r="GL77" s="3"/>
      <c r="GM77" s="3"/>
      <c r="GN77" s="3"/>
    </row>
    <row r="78" spans="1:196" s="1" customFormat="1" ht="68.099999999999994">
      <c r="A78" s="2" t="str">
        <f t="shared" si="208"/>
        <v>Exp Dox Presented to Bank, Pmt Pending</v>
      </c>
      <c r="B78" s="282">
        <v>46</v>
      </c>
      <c r="C78" s="282">
        <v>210</v>
      </c>
      <c r="D78" s="182" t="s">
        <v>208</v>
      </c>
      <c r="E78" s="2" t="str">
        <f t="shared" si="209"/>
        <v>CLOSE POSITION</v>
      </c>
      <c r="F78" s="271">
        <f t="shared" si="210"/>
        <v>32015966</v>
      </c>
      <c r="G78" s="271"/>
      <c r="H78" s="2" t="str">
        <f t="shared" si="211"/>
        <v xml:space="preserve">VALENCY AGRO //GST//Himani Cashew   </v>
      </c>
      <c r="I78" s="3" t="s">
        <v>291</v>
      </c>
      <c r="J78" s="2" t="s">
        <v>210</v>
      </c>
      <c r="K78" s="2" t="str">
        <f t="shared" si="212"/>
        <v>TUTICORIN, INDIA</v>
      </c>
      <c r="L78" s="2" t="str">
        <f t="shared" si="147"/>
        <v>MEDUTM440722</v>
      </c>
      <c r="M78" s="2">
        <f t="shared" si="174"/>
        <v>100.61499999999999</v>
      </c>
      <c r="N78" s="22">
        <f t="shared" si="213"/>
        <v>46143</v>
      </c>
      <c r="O78" s="22">
        <f t="shared" ref="O78:O109" si="222">IF(BO78&lt;&gt;0,BO78,"")</f>
        <v>46176</v>
      </c>
      <c r="P78" s="22" t="str">
        <f t="shared" si="214"/>
        <v>OBL in Transit with Nego Docs - INDIA</v>
      </c>
      <c r="Q78" s="2"/>
      <c r="R78" s="2" t="str">
        <f t="shared" si="215"/>
        <v>CERT in Origin - BURKINA FASO</v>
      </c>
      <c r="S78" s="2" t="str">
        <f t="shared" si="216"/>
        <v>Docs in Our Nego Bank</v>
      </c>
      <c r="T78" s="638" t="s">
        <v>593</v>
      </c>
      <c r="U78" s="438" t="s">
        <v>594</v>
      </c>
      <c r="V78" s="272"/>
      <c r="W78" s="438" t="s">
        <v>595</v>
      </c>
      <c r="X78" s="24"/>
      <c r="Y78" s="273">
        <v>20009836</v>
      </c>
      <c r="Z78" s="24">
        <v>46106</v>
      </c>
      <c r="AA78" s="182">
        <v>32015966</v>
      </c>
      <c r="AB78" s="182" t="s">
        <v>596</v>
      </c>
      <c r="AC78" s="182" t="s">
        <v>263</v>
      </c>
      <c r="AD78" s="181">
        <v>46142</v>
      </c>
      <c r="AE78" s="30">
        <v>0.05</v>
      </c>
      <c r="AF78" s="277">
        <v>100</v>
      </c>
      <c r="AG78" s="35">
        <f t="shared" si="217"/>
        <v>95</v>
      </c>
      <c r="AH78" s="3" t="s">
        <v>215</v>
      </c>
      <c r="AI78" s="4">
        <f>1465+30</f>
        <v>1495</v>
      </c>
      <c r="AJ78" s="4">
        <f t="shared" si="221"/>
        <v>149500</v>
      </c>
      <c r="AK78" s="3" t="s">
        <v>249</v>
      </c>
      <c r="AL78" s="3" t="s">
        <v>238</v>
      </c>
      <c r="AM78" s="30">
        <v>0</v>
      </c>
      <c r="AN78" s="183">
        <v>1</v>
      </c>
      <c r="AO78" s="183">
        <v>0</v>
      </c>
      <c r="AP78" s="28" t="s">
        <v>218</v>
      </c>
      <c r="AQ78" s="18" t="s">
        <v>331</v>
      </c>
      <c r="AR78" s="18" t="s">
        <v>251</v>
      </c>
      <c r="AS78" s="27"/>
      <c r="AT78" s="3" t="s">
        <v>220</v>
      </c>
      <c r="AU78" s="3" t="s">
        <v>220</v>
      </c>
      <c r="AV78" s="3" t="s">
        <v>220</v>
      </c>
      <c r="AW78" s="9"/>
      <c r="AX78" s="3"/>
      <c r="AY78" s="47"/>
      <c r="AZ78" s="278">
        <f t="shared" si="178"/>
        <v>0</v>
      </c>
      <c r="BA78" s="18">
        <v>46107</v>
      </c>
      <c r="BB78" s="22">
        <v>46111</v>
      </c>
      <c r="BC78" s="22"/>
      <c r="BD78" s="22"/>
      <c r="BE78" s="22"/>
      <c r="BF78" s="22"/>
      <c r="BG78" s="18"/>
      <c r="BH78" s="18"/>
      <c r="BI78" s="3" t="s">
        <v>597</v>
      </c>
      <c r="BJ78" s="25">
        <v>100.61499999999999</v>
      </c>
      <c r="BK78" s="189" t="s">
        <v>222</v>
      </c>
      <c r="BL78" s="497">
        <v>4</v>
      </c>
      <c r="BM78" s="18">
        <v>46143</v>
      </c>
      <c r="BN78" s="4"/>
      <c r="BO78" s="18">
        <v>46176</v>
      </c>
      <c r="BP78" s="3" t="s">
        <v>298</v>
      </c>
      <c r="BQ78" s="21" t="s">
        <v>346</v>
      </c>
      <c r="BR78" s="2" t="s">
        <v>226</v>
      </c>
      <c r="BS78" s="2"/>
      <c r="BT78" s="2"/>
      <c r="BU78" s="2"/>
      <c r="BV78" s="20">
        <v>90085893</v>
      </c>
      <c r="BW78" s="19"/>
      <c r="BX78" s="189">
        <f t="shared" si="175"/>
        <v>150419.42499999999</v>
      </c>
      <c r="BY78" s="22">
        <v>46146</v>
      </c>
      <c r="BZ78" s="22">
        <v>46157</v>
      </c>
      <c r="CA78" s="2">
        <v>3662184330</v>
      </c>
      <c r="CB78" s="22">
        <v>46162</v>
      </c>
      <c r="CC78" s="22"/>
      <c r="CD78" s="22"/>
      <c r="CE78" s="22" t="str">
        <f t="shared" si="220"/>
        <v>OBL in Transit with Nego Docs - INDIA</v>
      </c>
      <c r="CF78" s="22"/>
      <c r="CG78" s="22"/>
      <c r="CH78" s="525">
        <v>46169</v>
      </c>
      <c r="CK78" s="2" t="str">
        <f t="shared" si="218"/>
        <v>CERT in Origin - BURKINA FASO</v>
      </c>
      <c r="CL78" s="48" t="s">
        <v>229</v>
      </c>
      <c r="CM78" s="22">
        <v>46162</v>
      </c>
      <c r="CN78" s="55"/>
      <c r="CO78" s="54"/>
      <c r="CP78" s="55" t="str">
        <f t="shared" si="179"/>
        <v>Docs in Our Nego Bank</v>
      </c>
      <c r="CQ78" s="190">
        <f t="shared" si="205"/>
        <v>150419.42499999999</v>
      </c>
      <c r="CR78" s="54"/>
      <c r="CS78" s="2"/>
      <c r="CT78" s="2"/>
      <c r="CU78" s="14" t="str">
        <f t="shared" si="180"/>
        <v/>
      </c>
      <c r="CV78" s="191" t="str">
        <f t="shared" si="181"/>
        <v/>
      </c>
      <c r="CW78" s="14" t="str">
        <f t="shared" si="182"/>
        <v/>
      </c>
      <c r="CX78" s="14" t="str">
        <f t="shared" si="183"/>
        <v/>
      </c>
      <c r="CY78" s="15" t="str">
        <f t="shared" si="184"/>
        <v/>
      </c>
      <c r="CZ78" s="2"/>
      <c r="DA78" s="41" t="str">
        <f t="shared" si="185"/>
        <v/>
      </c>
      <c r="DB78" s="2"/>
      <c r="DC78" s="192" t="str">
        <f t="shared" si="186"/>
        <v/>
      </c>
      <c r="DD78" s="40"/>
      <c r="DE78" s="16" t="str">
        <f t="shared" si="187"/>
        <v/>
      </c>
      <c r="DF78" s="2" t="str">
        <f t="shared" si="188"/>
        <v/>
      </c>
      <c r="DG78" s="14" t="str">
        <f t="shared" si="189"/>
        <v/>
      </c>
      <c r="DH78" s="2" t="str">
        <f t="shared" si="190"/>
        <v/>
      </c>
      <c r="DI78" s="192" t="str">
        <f t="shared" si="191"/>
        <v/>
      </c>
      <c r="DJ78" s="2" t="str">
        <f t="shared" si="192"/>
        <v/>
      </c>
      <c r="DK78" s="15" t="str">
        <f t="shared" si="193"/>
        <v/>
      </c>
      <c r="DL78" s="2"/>
      <c r="DM78" s="2"/>
      <c r="DN78" s="15" t="str">
        <f t="shared" si="194"/>
        <v/>
      </c>
      <c r="DO78" s="14" t="str">
        <f t="shared" si="195"/>
        <v/>
      </c>
      <c r="DP78" s="14" t="str">
        <f t="shared" si="196"/>
        <v/>
      </c>
      <c r="DQ78" s="15" t="str">
        <f t="shared" si="197"/>
        <v/>
      </c>
      <c r="DR78" s="15" t="str">
        <f t="shared" si="198"/>
        <v/>
      </c>
      <c r="DS78" s="2" t="str">
        <f t="shared" si="199"/>
        <v/>
      </c>
      <c r="DT78" s="2" t="str">
        <f t="shared" si="200"/>
        <v/>
      </c>
      <c r="DU78" s="2"/>
      <c r="DV78" s="2"/>
      <c r="DW78" s="2"/>
      <c r="DX78" s="2"/>
      <c r="DY78" s="2" t="s">
        <v>230</v>
      </c>
      <c r="DZ78" s="2"/>
      <c r="EA78" s="2" t="str">
        <f t="shared" si="201"/>
        <v/>
      </c>
      <c r="EB78" s="2"/>
      <c r="EC78" s="2"/>
      <c r="ED78" s="2"/>
      <c r="EE78" s="3">
        <v>4900009780</v>
      </c>
      <c r="EF78" s="7"/>
      <c r="EG78" s="3"/>
      <c r="EH78" s="3" t="s">
        <v>302</v>
      </c>
      <c r="EI78" s="3"/>
      <c r="EJ78" s="189"/>
      <c r="EK78" s="4"/>
      <c r="EL78" s="9"/>
      <c r="EM78" s="9"/>
      <c r="EN78" s="189">
        <f t="shared" si="202"/>
        <v>0</v>
      </c>
      <c r="EO78" s="9"/>
      <c r="EP78" s="8"/>
      <c r="EQ78" s="4"/>
      <c r="ER78" s="4"/>
      <c r="ES78" s="7"/>
      <c r="ET78" s="7"/>
      <c r="EU78" s="6"/>
      <c r="EV78" s="2" t="str">
        <f t="shared" si="219"/>
        <v>Export Loan</v>
      </c>
      <c r="EW78" s="189"/>
      <c r="EX78" s="189">
        <f t="shared" si="203"/>
        <v>0</v>
      </c>
      <c r="EY78" s="189" t="s">
        <v>233</v>
      </c>
      <c r="EZ78" s="24"/>
      <c r="FA78" s="2">
        <v>22142819</v>
      </c>
      <c r="FB78" s="24"/>
      <c r="FC78" s="193"/>
      <c r="FD78" s="189">
        <f t="shared" si="204"/>
        <v>0</v>
      </c>
      <c r="FE78" s="52"/>
      <c r="FF78" s="52"/>
      <c r="FG78" s="49"/>
      <c r="FH78" s="49"/>
      <c r="FI78" s="49"/>
      <c r="FJ78" s="49"/>
      <c r="FK78" s="49"/>
      <c r="FL78" s="49">
        <f t="shared" si="206"/>
        <v>-46146</v>
      </c>
      <c r="FM78" s="180">
        <f t="shared" si="207"/>
        <v>46143</v>
      </c>
      <c r="FN78" s="49"/>
      <c r="FO78" s="49"/>
      <c r="FP78" s="49"/>
      <c r="FQ78" s="49"/>
      <c r="FR78" s="49"/>
      <c r="FS78" s="34">
        <f t="shared" si="176"/>
        <v>20009836</v>
      </c>
      <c r="FT78" s="34">
        <f t="shared" si="177"/>
        <v>32015966</v>
      </c>
      <c r="FU78" s="3"/>
      <c r="FV78" s="3"/>
      <c r="FW78" s="3"/>
      <c r="FX78" s="3"/>
      <c r="FY78" s="3"/>
      <c r="FZ78" s="3"/>
      <c r="GA78" s="3"/>
      <c r="GB78" s="4"/>
      <c r="GC78" s="3"/>
      <c r="GD78" s="182"/>
      <c r="GE78" s="3"/>
      <c r="GF78" s="3"/>
      <c r="GG78" s="3"/>
      <c r="GH78" s="3"/>
      <c r="GI78" s="3"/>
      <c r="GJ78" s="3"/>
      <c r="GK78" s="3"/>
      <c r="GL78" s="3"/>
      <c r="GM78" s="3"/>
      <c r="GN78" s="3"/>
    </row>
    <row r="79" spans="1:196" s="1" customFormat="1" ht="68.099999999999994">
      <c r="A79" s="2" t="str">
        <f t="shared" si="208"/>
        <v>Exp Dox Presented to Bank, Pmt Pending</v>
      </c>
      <c r="B79" s="282">
        <v>46</v>
      </c>
      <c r="C79" s="282">
        <v>205</v>
      </c>
      <c r="D79" s="182" t="s">
        <v>208</v>
      </c>
      <c r="E79" s="2" t="str">
        <f t="shared" si="209"/>
        <v>CLOSE POSITION</v>
      </c>
      <c r="F79" s="271">
        <f t="shared" si="210"/>
        <v>32015794</v>
      </c>
      <c r="G79" s="271"/>
      <c r="H79" s="2" t="str">
        <f t="shared" si="211"/>
        <v>NGOC KHANG</v>
      </c>
      <c r="I79" s="3" t="s">
        <v>291</v>
      </c>
      <c r="J79" s="2" t="s">
        <v>347</v>
      </c>
      <c r="K79" s="2" t="str">
        <f t="shared" si="212"/>
        <v>HCMC, VIETNAM</v>
      </c>
      <c r="L79" s="2" t="str">
        <f t="shared" si="147"/>
        <v>TMA0159516</v>
      </c>
      <c r="M79" s="2">
        <f t="shared" si="174"/>
        <v>135.245</v>
      </c>
      <c r="N79" s="22">
        <f t="shared" si="213"/>
        <v>46141</v>
      </c>
      <c r="O79" s="22">
        <f t="shared" si="222"/>
        <v>46181</v>
      </c>
      <c r="P79" s="22" t="str">
        <f t="shared" si="214"/>
        <v>OBL in SIG Office</v>
      </c>
      <c r="Q79" s="2" t="s">
        <v>598</v>
      </c>
      <c r="R79" s="2" t="str">
        <f t="shared" si="215"/>
        <v>CERT in Origin - BURKINA FASO</v>
      </c>
      <c r="S79" s="2" t="str">
        <f t="shared" si="216"/>
        <v>Docs in Transit to Buyer's Nego Bank</v>
      </c>
      <c r="T79" s="638" t="s">
        <v>599</v>
      </c>
      <c r="U79" s="438" t="s">
        <v>600</v>
      </c>
      <c r="V79" s="272"/>
      <c r="W79" s="3" t="s">
        <v>601</v>
      </c>
      <c r="X79" s="24">
        <v>46104</v>
      </c>
      <c r="Y79" s="273">
        <v>20009800</v>
      </c>
      <c r="Z79" s="24">
        <v>46104</v>
      </c>
      <c r="AA79" s="182">
        <v>32015794</v>
      </c>
      <c r="AB79" s="182" t="s">
        <v>602</v>
      </c>
      <c r="AC79" s="182" t="s">
        <v>263</v>
      </c>
      <c r="AD79" s="181">
        <v>46142</v>
      </c>
      <c r="AE79" s="30">
        <v>0.1</v>
      </c>
      <c r="AF79" s="277">
        <v>150</v>
      </c>
      <c r="AG79" s="35">
        <f t="shared" si="217"/>
        <v>135</v>
      </c>
      <c r="AH79" s="3" t="s">
        <v>215</v>
      </c>
      <c r="AI79" s="4">
        <v>1450</v>
      </c>
      <c r="AJ79" s="4">
        <f t="shared" si="221"/>
        <v>217500</v>
      </c>
      <c r="AK79" s="3" t="s">
        <v>216</v>
      </c>
      <c r="AL79" s="3" t="s">
        <v>404</v>
      </c>
      <c r="AM79" s="183">
        <v>0.1</v>
      </c>
      <c r="AN79" s="183" t="s">
        <v>603</v>
      </c>
      <c r="AO79" s="183">
        <v>0.02</v>
      </c>
      <c r="AP79" s="28" t="s">
        <v>218</v>
      </c>
      <c r="AQ79" s="18" t="s">
        <v>370</v>
      </c>
      <c r="AR79" s="18" t="s">
        <v>251</v>
      </c>
      <c r="AS79" s="27"/>
      <c r="AT79" s="3" t="s">
        <v>220</v>
      </c>
      <c r="AU79" s="3" t="s">
        <v>220</v>
      </c>
      <c r="AV79" s="3" t="s">
        <v>220</v>
      </c>
      <c r="AW79" s="9"/>
      <c r="AX79" s="3"/>
      <c r="AY79" s="47">
        <v>46105</v>
      </c>
      <c r="AZ79" s="278">
        <f t="shared" si="178"/>
        <v>21750</v>
      </c>
      <c r="BA79" s="18">
        <v>46107</v>
      </c>
      <c r="BB79" s="22">
        <v>46111</v>
      </c>
      <c r="BC79" s="22"/>
      <c r="BD79" s="22"/>
      <c r="BE79" s="22"/>
      <c r="BF79" s="22"/>
      <c r="BG79" s="18"/>
      <c r="BH79" s="18"/>
      <c r="BI79" s="3" t="s">
        <v>604</v>
      </c>
      <c r="BJ79" s="25">
        <v>135.245</v>
      </c>
      <c r="BK79" s="189" t="s">
        <v>222</v>
      </c>
      <c r="BL79" s="497">
        <v>5</v>
      </c>
      <c r="BM79" s="18">
        <v>46141</v>
      </c>
      <c r="BN79" s="4"/>
      <c r="BO79" s="18">
        <v>46181</v>
      </c>
      <c r="BP79" s="3" t="s">
        <v>298</v>
      </c>
      <c r="BQ79" s="21" t="s">
        <v>409</v>
      </c>
      <c r="BR79" s="2" t="s">
        <v>254</v>
      </c>
      <c r="BS79" s="2"/>
      <c r="BT79" s="2" t="s">
        <v>605</v>
      </c>
      <c r="BU79" s="2" t="s">
        <v>606</v>
      </c>
      <c r="BV79" s="20">
        <v>90085891</v>
      </c>
      <c r="BW79" s="19">
        <v>46141</v>
      </c>
      <c r="BX79" s="189">
        <f t="shared" si="175"/>
        <v>196105.25</v>
      </c>
      <c r="BY79" s="22">
        <v>46119</v>
      </c>
      <c r="BZ79" s="22">
        <v>46154</v>
      </c>
      <c r="CA79" s="418">
        <v>9898524193</v>
      </c>
      <c r="CB79" s="22">
        <v>46160</v>
      </c>
      <c r="CC79" s="22"/>
      <c r="CD79" s="22"/>
      <c r="CE79" s="22" t="str">
        <f t="shared" si="220"/>
        <v>OBL in SIG Office</v>
      </c>
      <c r="CF79" s="22"/>
      <c r="CG79" s="22"/>
      <c r="CH79" s="525">
        <v>46169</v>
      </c>
      <c r="CI79" s="182"/>
      <c r="CJ79" s="182"/>
      <c r="CK79" s="2" t="str">
        <f t="shared" si="218"/>
        <v>CERT in Origin - BURKINA FASO</v>
      </c>
      <c r="CL79" s="48" t="s">
        <v>244</v>
      </c>
      <c r="CM79" s="22">
        <v>46162</v>
      </c>
      <c r="CN79" s="55">
        <v>7972757435</v>
      </c>
      <c r="CO79" s="55"/>
      <c r="CP79" s="55" t="str">
        <f t="shared" si="179"/>
        <v>Docs in Transit to Buyer's Nego Bank</v>
      </c>
      <c r="CQ79" s="190" t="e">
        <f t="shared" si="205"/>
        <v>#VALUE!</v>
      </c>
      <c r="CR79" s="54"/>
      <c r="CS79" s="2"/>
      <c r="CT79" s="2"/>
      <c r="CU79" s="14" t="str">
        <f t="shared" si="180"/>
        <v/>
      </c>
      <c r="CV79" s="191" t="str">
        <f t="shared" si="181"/>
        <v/>
      </c>
      <c r="CW79" s="14" t="str">
        <f t="shared" si="182"/>
        <v/>
      </c>
      <c r="CX79" s="14" t="str">
        <f t="shared" si="183"/>
        <v/>
      </c>
      <c r="CY79" s="15" t="str">
        <f t="shared" si="184"/>
        <v/>
      </c>
      <c r="CZ79" s="2"/>
      <c r="DA79" s="41" t="str">
        <f t="shared" si="185"/>
        <v/>
      </c>
      <c r="DB79" s="2"/>
      <c r="DC79" s="192" t="str">
        <f t="shared" si="186"/>
        <v/>
      </c>
      <c r="DD79" s="40"/>
      <c r="DE79" s="16" t="str">
        <f t="shared" si="187"/>
        <v/>
      </c>
      <c r="DF79" s="2" t="str">
        <f t="shared" si="188"/>
        <v/>
      </c>
      <c r="DG79" s="14" t="str">
        <f t="shared" si="189"/>
        <v/>
      </c>
      <c r="DH79" s="2" t="str">
        <f t="shared" si="190"/>
        <v/>
      </c>
      <c r="DI79" s="192" t="str">
        <f t="shared" si="191"/>
        <v/>
      </c>
      <c r="DJ79" s="2" t="str">
        <f t="shared" si="192"/>
        <v/>
      </c>
      <c r="DK79" s="15" t="str">
        <f t="shared" si="193"/>
        <v/>
      </c>
      <c r="DL79" s="2"/>
      <c r="DM79" s="2"/>
      <c r="DN79" s="15" t="str">
        <f t="shared" si="194"/>
        <v/>
      </c>
      <c r="DO79" s="14" t="str">
        <f t="shared" si="195"/>
        <v/>
      </c>
      <c r="DP79" s="14" t="str">
        <f t="shared" si="196"/>
        <v/>
      </c>
      <c r="DQ79" s="15" t="str">
        <f t="shared" si="197"/>
        <v/>
      </c>
      <c r="DR79" s="15" t="str">
        <f t="shared" si="198"/>
        <v/>
      </c>
      <c r="DS79" s="2" t="str">
        <f t="shared" si="199"/>
        <v/>
      </c>
      <c r="DT79" s="2" t="str">
        <f t="shared" si="200"/>
        <v/>
      </c>
      <c r="DU79" s="2"/>
      <c r="DV79" s="2"/>
      <c r="DW79" s="2"/>
      <c r="DX79" s="2"/>
      <c r="DY79" s="2" t="s">
        <v>230</v>
      </c>
      <c r="DZ79" s="2"/>
      <c r="EA79" s="2" t="str">
        <f t="shared" si="201"/>
        <v/>
      </c>
      <c r="EB79" s="2"/>
      <c r="EC79" s="2"/>
      <c r="ED79" s="2"/>
      <c r="EE79" s="3">
        <v>4900009780</v>
      </c>
      <c r="EF79" s="7"/>
      <c r="EG79" s="3"/>
      <c r="EH79" s="3" t="s">
        <v>302</v>
      </c>
      <c r="EI79" s="3"/>
      <c r="EJ79" s="189"/>
      <c r="EK79" s="4"/>
      <c r="EL79" s="9"/>
      <c r="EM79" s="9"/>
      <c r="EN79" s="189">
        <f t="shared" si="202"/>
        <v>0</v>
      </c>
      <c r="EO79" s="9"/>
      <c r="EP79" s="8"/>
      <c r="EQ79" s="4"/>
      <c r="ER79" s="4"/>
      <c r="ES79" s="7"/>
      <c r="ET79" s="7"/>
      <c r="EU79" s="6"/>
      <c r="EV79" s="2" t="str">
        <f t="shared" si="219"/>
        <v>Export Loan</v>
      </c>
      <c r="EW79" s="189"/>
      <c r="EX79" s="189">
        <f t="shared" si="203"/>
        <v>0</v>
      </c>
      <c r="EY79" s="189" t="s">
        <v>233</v>
      </c>
      <c r="EZ79" s="24"/>
      <c r="FA79" s="2"/>
      <c r="FB79" s="24"/>
      <c r="FC79" s="193"/>
      <c r="FD79" s="189">
        <f t="shared" si="204"/>
        <v>0</v>
      </c>
      <c r="FE79" s="52"/>
      <c r="FF79" s="52"/>
      <c r="FG79" s="49"/>
      <c r="FH79" s="49"/>
      <c r="FI79" s="49"/>
      <c r="FJ79" s="49"/>
      <c r="FK79" s="49"/>
      <c r="FL79" s="49">
        <f t="shared" si="206"/>
        <v>-46119</v>
      </c>
      <c r="FM79" s="180">
        <f t="shared" si="207"/>
        <v>46141</v>
      </c>
      <c r="FN79" s="49"/>
      <c r="FO79" s="49"/>
      <c r="FP79" s="49"/>
      <c r="FQ79" s="49"/>
      <c r="FR79" s="49"/>
      <c r="FS79" s="34">
        <f t="shared" si="176"/>
        <v>20009800</v>
      </c>
      <c r="FT79" s="34">
        <f t="shared" si="177"/>
        <v>32015794</v>
      </c>
      <c r="FU79" s="3"/>
      <c r="FV79" s="3"/>
      <c r="FW79" s="3"/>
      <c r="FX79" s="3"/>
      <c r="FY79" s="3"/>
      <c r="FZ79" s="3"/>
      <c r="GA79" s="3"/>
      <c r="GB79" s="4"/>
      <c r="GC79" s="3"/>
      <c r="GD79" s="182">
        <v>90085891</v>
      </c>
      <c r="GE79" s="3"/>
      <c r="GF79" s="3" t="s">
        <v>235</v>
      </c>
      <c r="GG79" s="3"/>
      <c r="GH79" s="3"/>
      <c r="GI79" s="3"/>
      <c r="GJ79" s="3"/>
      <c r="GK79" s="3"/>
      <c r="GL79" s="3"/>
      <c r="GM79" s="3"/>
      <c r="GN79" s="3"/>
    </row>
    <row r="80" spans="1:196" s="1" customFormat="1" ht="33.950000000000003">
      <c r="A80" s="2" t="str">
        <f t="shared" si="208"/>
        <v>SI Sent, Shipment Awaited</v>
      </c>
      <c r="B80" s="281">
        <v>48</v>
      </c>
      <c r="C80" s="281">
        <v>200</v>
      </c>
      <c r="D80" s="182" t="s">
        <v>208</v>
      </c>
      <c r="E80" s="2" t="str">
        <f t="shared" si="209"/>
        <v>SHORT POSITION</v>
      </c>
      <c r="F80" s="271">
        <f t="shared" si="210"/>
        <v>32014569</v>
      </c>
      <c r="G80" s="271"/>
      <c r="H80" s="2" t="str">
        <f t="shared" si="211"/>
        <v>VALENCY AGRO //HSS//Anjali Cashew Traders</v>
      </c>
      <c r="I80" s="3" t="s">
        <v>259</v>
      </c>
      <c r="J80" s="2" t="s">
        <v>210</v>
      </c>
      <c r="K80" s="2" t="str">
        <f t="shared" si="212"/>
        <v>KOLKATA, INDIA</v>
      </c>
      <c r="L80" s="2" t="str">
        <f t="shared" si="147"/>
        <v/>
      </c>
      <c r="M80" s="2" t="str">
        <f t="shared" si="174"/>
        <v/>
      </c>
      <c r="N80" s="22" t="str">
        <f t="shared" si="213"/>
        <v/>
      </c>
      <c r="O80" s="22" t="str">
        <f t="shared" si="222"/>
        <v/>
      </c>
      <c r="P80" s="22" t="str">
        <f t="shared" si="214"/>
        <v>No OBL Yet</v>
      </c>
      <c r="Q80" s="2"/>
      <c r="R80" s="2" t="str">
        <f t="shared" si="215"/>
        <v>No CERTS Yet</v>
      </c>
      <c r="S80" s="2" t="str">
        <f t="shared" si="216"/>
        <v/>
      </c>
      <c r="T80" s="2" t="s">
        <v>260</v>
      </c>
      <c r="U80" s="3" t="s">
        <v>607</v>
      </c>
      <c r="V80" s="272"/>
      <c r="W80" s="272"/>
      <c r="X80" s="24">
        <v>46073</v>
      </c>
      <c r="Y80" s="273">
        <v>20009582</v>
      </c>
      <c r="Z80" s="24">
        <v>46073</v>
      </c>
      <c r="AA80" s="182">
        <v>32014569</v>
      </c>
      <c r="AB80" s="182" t="s">
        <v>608</v>
      </c>
      <c r="AC80" s="182" t="s">
        <v>263</v>
      </c>
      <c r="AD80" s="181">
        <v>46142</v>
      </c>
      <c r="AE80" s="30">
        <v>0.05</v>
      </c>
      <c r="AF80" s="277">
        <v>100</v>
      </c>
      <c r="AG80" s="35">
        <f t="shared" si="217"/>
        <v>95</v>
      </c>
      <c r="AH80" s="3" t="s">
        <v>215</v>
      </c>
      <c r="AI80" s="4">
        <v>1515</v>
      </c>
      <c r="AJ80" s="4">
        <f t="shared" si="221"/>
        <v>151500</v>
      </c>
      <c r="AK80" s="3" t="s">
        <v>249</v>
      </c>
      <c r="AL80" s="3" t="s">
        <v>238</v>
      </c>
      <c r="AM80" s="30">
        <v>0</v>
      </c>
      <c r="AN80" s="183">
        <v>1</v>
      </c>
      <c r="AO80" s="183">
        <v>0</v>
      </c>
      <c r="AP80" s="28" t="s">
        <v>218</v>
      </c>
      <c r="AQ80" s="18" t="s">
        <v>331</v>
      </c>
      <c r="AR80" s="18" t="s">
        <v>251</v>
      </c>
      <c r="AS80" s="27"/>
      <c r="AT80" s="3" t="s">
        <v>220</v>
      </c>
      <c r="AU80" s="3" t="s">
        <v>220</v>
      </c>
      <c r="AV80" s="3" t="s">
        <v>220</v>
      </c>
      <c r="AW80" s="9"/>
      <c r="AX80" s="3"/>
      <c r="AY80" s="47"/>
      <c r="AZ80" s="275">
        <f t="shared" si="178"/>
        <v>0</v>
      </c>
      <c r="BA80" s="18"/>
      <c r="BB80" s="22">
        <v>46083</v>
      </c>
      <c r="BC80" s="22"/>
      <c r="BD80" s="22"/>
      <c r="BE80" s="22"/>
      <c r="BF80" s="22">
        <v>46083</v>
      </c>
      <c r="BG80" s="18"/>
      <c r="BH80" s="18"/>
      <c r="BI80" s="3"/>
      <c r="BJ80" s="25"/>
      <c r="BK80" s="46" t="s">
        <v>222</v>
      </c>
      <c r="BL80" s="497"/>
      <c r="BM80" s="18"/>
      <c r="BN80" s="4"/>
      <c r="BO80" s="18"/>
      <c r="BP80" s="3" t="s">
        <v>259</v>
      </c>
      <c r="BQ80" s="21" t="s">
        <v>609</v>
      </c>
      <c r="BR80" s="2"/>
      <c r="BS80" s="2"/>
      <c r="BT80" s="2"/>
      <c r="BU80" s="2"/>
      <c r="BV80" s="20"/>
      <c r="BW80" s="19"/>
      <c r="BX80" s="46">
        <f t="shared" si="175"/>
        <v>0</v>
      </c>
      <c r="BY80" s="22"/>
      <c r="BZ80" s="22"/>
      <c r="CA80" s="22"/>
      <c r="CB80" s="22"/>
      <c r="CC80" s="22"/>
      <c r="CD80" s="22"/>
      <c r="CE80" s="22" t="str">
        <f t="shared" si="220"/>
        <v>No OBL Yet</v>
      </c>
      <c r="CF80" s="22"/>
      <c r="CG80" s="22"/>
      <c r="CH80" s="182"/>
      <c r="CI80" s="182"/>
      <c r="CJ80" s="182"/>
      <c r="CK80" s="2" t="str">
        <f t="shared" si="218"/>
        <v>No CERTS Yet</v>
      </c>
      <c r="CL80" s="48"/>
      <c r="CM80" s="22"/>
      <c r="CN80" s="55"/>
      <c r="CO80" s="54"/>
      <c r="CP80" s="55" t="str">
        <f t="shared" si="179"/>
        <v/>
      </c>
      <c r="CQ80" s="50">
        <f t="shared" si="205"/>
        <v>0</v>
      </c>
      <c r="CR80" s="54"/>
      <c r="CS80" s="2"/>
      <c r="CT80" s="2"/>
      <c r="CU80" s="14" t="str">
        <f t="shared" si="180"/>
        <v/>
      </c>
      <c r="CV80" s="42" t="str">
        <f t="shared" si="181"/>
        <v/>
      </c>
      <c r="CW80" s="14" t="str">
        <f t="shared" si="182"/>
        <v/>
      </c>
      <c r="CX80" s="14" t="str">
        <f t="shared" si="183"/>
        <v/>
      </c>
      <c r="CY80" s="15" t="str">
        <f t="shared" si="184"/>
        <v/>
      </c>
      <c r="CZ80" s="2"/>
      <c r="DA80" s="41" t="str">
        <f t="shared" si="185"/>
        <v/>
      </c>
      <c r="DB80" s="2"/>
      <c r="DC80" s="39" t="str">
        <f t="shared" si="186"/>
        <v/>
      </c>
      <c r="DD80" s="40"/>
      <c r="DE80" s="16" t="str">
        <f t="shared" si="187"/>
        <v/>
      </c>
      <c r="DF80" s="2" t="str">
        <f t="shared" si="188"/>
        <v/>
      </c>
      <c r="DG80" s="14" t="str">
        <f t="shared" si="189"/>
        <v/>
      </c>
      <c r="DH80" s="2" t="str">
        <f t="shared" si="190"/>
        <v/>
      </c>
      <c r="DI80" s="39" t="str">
        <f t="shared" si="191"/>
        <v/>
      </c>
      <c r="DJ80" s="2" t="str">
        <f t="shared" si="192"/>
        <v/>
      </c>
      <c r="DK80" s="15" t="str">
        <f t="shared" si="193"/>
        <v/>
      </c>
      <c r="DL80" s="2"/>
      <c r="DM80" s="2"/>
      <c r="DN80" s="15" t="str">
        <f t="shared" si="194"/>
        <v/>
      </c>
      <c r="DO80" s="14" t="str">
        <f t="shared" si="195"/>
        <v/>
      </c>
      <c r="DP80" s="14" t="str">
        <f t="shared" si="196"/>
        <v/>
      </c>
      <c r="DQ80" s="15" t="str">
        <f t="shared" si="197"/>
        <v/>
      </c>
      <c r="DR80" s="15" t="str">
        <f t="shared" si="198"/>
        <v/>
      </c>
      <c r="DS80" s="2" t="str">
        <f t="shared" si="199"/>
        <v/>
      </c>
      <c r="DT80" s="2" t="str">
        <f t="shared" si="200"/>
        <v/>
      </c>
      <c r="DU80" s="2"/>
      <c r="DV80" s="2"/>
      <c r="DW80" s="2"/>
      <c r="DX80" s="2"/>
      <c r="DY80" s="2" t="s">
        <v>230</v>
      </c>
      <c r="DZ80" s="2"/>
      <c r="EA80" s="2" t="str">
        <f t="shared" si="201"/>
        <v/>
      </c>
      <c r="EB80" s="2"/>
      <c r="EC80" s="2"/>
      <c r="ED80" s="2"/>
      <c r="EE80" s="3"/>
      <c r="EF80" s="7"/>
      <c r="EG80" s="3"/>
      <c r="EH80" s="3" t="s">
        <v>266</v>
      </c>
      <c r="EI80" s="3"/>
      <c r="EJ80" s="189"/>
      <c r="EK80" s="4"/>
      <c r="EL80" s="9"/>
      <c r="EM80" s="9"/>
      <c r="EN80" s="46">
        <f t="shared" si="202"/>
        <v>0</v>
      </c>
      <c r="EO80" s="9"/>
      <c r="EP80" s="8"/>
      <c r="EQ80" s="4"/>
      <c r="ER80" s="4"/>
      <c r="ES80" s="7"/>
      <c r="ET80" s="7"/>
      <c r="EU80" s="6"/>
      <c r="EV80" s="2" t="str">
        <f t="shared" si="219"/>
        <v>Yet to load</v>
      </c>
      <c r="EW80" s="46"/>
      <c r="EX80" s="46" t="e">
        <f t="shared" si="203"/>
        <v>#DIV/0!</v>
      </c>
      <c r="EY80" s="46" t="s">
        <v>233</v>
      </c>
      <c r="EZ80" s="24"/>
      <c r="FA80" s="2"/>
      <c r="FB80" s="24"/>
      <c r="FC80" s="53"/>
      <c r="FD80" s="46">
        <f t="shared" si="204"/>
        <v>0</v>
      </c>
      <c r="FE80" s="52"/>
      <c r="FF80" s="52"/>
      <c r="FG80" s="49"/>
      <c r="FH80" s="49"/>
      <c r="FI80" s="49"/>
      <c r="FJ80" s="49"/>
      <c r="FK80" s="49"/>
      <c r="FL80" s="49">
        <f t="shared" si="206"/>
        <v>0</v>
      </c>
      <c r="FM80" s="180">
        <f t="shared" si="207"/>
        <v>0</v>
      </c>
      <c r="FN80" s="49"/>
      <c r="FO80" s="49"/>
      <c r="FP80" s="49"/>
      <c r="FQ80" s="49"/>
      <c r="FR80" s="49"/>
      <c r="FS80" s="34">
        <f t="shared" si="176"/>
        <v>20009582</v>
      </c>
      <c r="FT80" s="34">
        <f t="shared" si="177"/>
        <v>32014569</v>
      </c>
      <c r="FU80" s="3"/>
      <c r="FV80" s="3"/>
      <c r="FW80" s="3"/>
      <c r="FX80" s="3"/>
      <c r="FY80" s="3"/>
      <c r="FZ80" s="3"/>
      <c r="GA80" s="3"/>
      <c r="GB80" s="4"/>
      <c r="GC80" s="3"/>
      <c r="GD80" s="182"/>
      <c r="GE80" s="2"/>
      <c r="GF80" s="2"/>
      <c r="GG80" s="2"/>
      <c r="GH80" s="2"/>
      <c r="GI80" s="2"/>
      <c r="GJ80" s="2"/>
      <c r="GK80" s="2"/>
      <c r="GL80" s="2"/>
      <c r="GM80" s="2"/>
      <c r="GN80" s="2"/>
    </row>
    <row r="81" spans="1:196" s="1" customFormat="1" ht="36.950000000000003">
      <c r="A81" s="2" t="str">
        <f t="shared" si="208"/>
        <v>Sailed, OBL &amp; Certs Pending</v>
      </c>
      <c r="B81" s="281">
        <v>48</v>
      </c>
      <c r="C81" s="281">
        <v>200</v>
      </c>
      <c r="D81" s="182" t="s">
        <v>208</v>
      </c>
      <c r="E81" s="2" t="str">
        <f t="shared" si="209"/>
        <v>CLOSE POSITION</v>
      </c>
      <c r="F81" s="271" t="str">
        <f t="shared" si="210"/>
        <v>32014540-2</v>
      </c>
      <c r="G81" s="271"/>
      <c r="H81" s="2" t="str">
        <f t="shared" si="211"/>
        <v xml:space="preserve">SHREE KRISHNAPRASAD CASHEWS </v>
      </c>
      <c r="I81" s="3" t="s">
        <v>259</v>
      </c>
      <c r="J81" s="2" t="s">
        <v>210</v>
      </c>
      <c r="K81" s="2" t="str">
        <f t="shared" si="212"/>
        <v>MANGALORE, INDIA</v>
      </c>
      <c r="L81" s="2">
        <f t="shared" si="147"/>
        <v>269636234</v>
      </c>
      <c r="M81" s="2">
        <f t="shared" si="174"/>
        <v>242.75</v>
      </c>
      <c r="N81" s="22">
        <f t="shared" si="213"/>
        <v>46172</v>
      </c>
      <c r="O81" s="22">
        <f t="shared" si="222"/>
        <v>46202</v>
      </c>
      <c r="P81" s="22" t="str">
        <f t="shared" si="214"/>
        <v>No OBL Yet</v>
      </c>
      <c r="Q81" s="2"/>
      <c r="R81" s="2" t="str">
        <f t="shared" si="215"/>
        <v>No CERTS Yet</v>
      </c>
      <c r="S81" s="2" t="str">
        <f t="shared" si="216"/>
        <v/>
      </c>
      <c r="T81" s="2" t="s">
        <v>610</v>
      </c>
      <c r="U81" s="272" t="s">
        <v>611</v>
      </c>
      <c r="V81" s="272"/>
      <c r="W81" s="272"/>
      <c r="X81" s="24">
        <v>46076</v>
      </c>
      <c r="Y81" s="273">
        <v>20009558</v>
      </c>
      <c r="Z81" s="24">
        <v>46074</v>
      </c>
      <c r="AA81" s="182" t="s">
        <v>612</v>
      </c>
      <c r="AB81" s="182" t="s">
        <v>613</v>
      </c>
      <c r="AC81" s="182" t="s">
        <v>263</v>
      </c>
      <c r="AD81" s="181">
        <v>46142</v>
      </c>
      <c r="AE81" s="30">
        <v>0.1</v>
      </c>
      <c r="AF81" s="277">
        <v>250</v>
      </c>
      <c r="AG81" s="35">
        <f t="shared" si="217"/>
        <v>225</v>
      </c>
      <c r="AH81" s="3" t="s">
        <v>215</v>
      </c>
      <c r="AI81" s="4">
        <v>1510</v>
      </c>
      <c r="AJ81" s="4">
        <f t="shared" si="221"/>
        <v>377500</v>
      </c>
      <c r="AK81" s="3" t="s">
        <v>249</v>
      </c>
      <c r="AL81" s="3" t="s">
        <v>238</v>
      </c>
      <c r="AM81" s="183">
        <v>0.1</v>
      </c>
      <c r="AN81" s="183">
        <v>0.9</v>
      </c>
      <c r="AO81" s="183">
        <v>0</v>
      </c>
      <c r="AP81" s="28" t="s">
        <v>218</v>
      </c>
      <c r="AQ81" s="18" t="s">
        <v>239</v>
      </c>
      <c r="AR81" s="18" t="s">
        <v>264</v>
      </c>
      <c r="AS81" s="27">
        <v>5</v>
      </c>
      <c r="AT81" s="3" t="s">
        <v>220</v>
      </c>
      <c r="AU81" s="3" t="s">
        <v>220</v>
      </c>
      <c r="AV81" s="3" t="s">
        <v>220</v>
      </c>
      <c r="AW81" s="9"/>
      <c r="AX81" s="3"/>
      <c r="AY81" s="47"/>
      <c r="AZ81" s="275">
        <f t="shared" si="178"/>
        <v>37750</v>
      </c>
      <c r="BA81" s="18">
        <v>46093</v>
      </c>
      <c r="BB81" s="22">
        <v>46083</v>
      </c>
      <c r="BC81" s="22"/>
      <c r="BD81" s="22"/>
      <c r="BE81" s="22"/>
      <c r="BF81" s="22">
        <v>46083</v>
      </c>
      <c r="BG81" s="18"/>
      <c r="BH81" s="18"/>
      <c r="BI81" s="3">
        <v>269636234</v>
      </c>
      <c r="BJ81" s="25">
        <v>242.75</v>
      </c>
      <c r="BK81" s="46" t="s">
        <v>222</v>
      </c>
      <c r="BL81" s="497">
        <v>10</v>
      </c>
      <c r="BM81" s="18">
        <v>46172</v>
      </c>
      <c r="BN81" s="4"/>
      <c r="BO81" s="18">
        <v>46202</v>
      </c>
      <c r="BP81" s="3" t="s">
        <v>259</v>
      </c>
      <c r="BQ81" s="21" t="s">
        <v>265</v>
      </c>
      <c r="BR81" s="2"/>
      <c r="BS81" s="2"/>
      <c r="BT81" s="2" t="s">
        <v>460</v>
      </c>
      <c r="BU81" s="2"/>
      <c r="BV81" s="20"/>
      <c r="BW81" s="19"/>
      <c r="BX81" s="46">
        <f t="shared" si="175"/>
        <v>366552.5</v>
      </c>
      <c r="BY81" s="22"/>
      <c r="BZ81" s="22"/>
      <c r="CA81" s="2"/>
      <c r="CB81" s="22"/>
      <c r="CC81" s="292"/>
      <c r="CD81" s="22"/>
      <c r="CE81" s="22" t="str">
        <f t="shared" si="220"/>
        <v>No OBL Yet</v>
      </c>
      <c r="CF81" s="22"/>
      <c r="CG81" s="22"/>
      <c r="CH81" s="182"/>
      <c r="CI81" s="182"/>
      <c r="CJ81" s="182"/>
      <c r="CK81" s="2" t="str">
        <f t="shared" si="218"/>
        <v>No CERTS Yet</v>
      </c>
      <c r="CL81" s="48"/>
      <c r="CM81" s="22"/>
      <c r="CN81" s="55"/>
      <c r="CO81" s="55"/>
      <c r="CP81" s="55" t="str">
        <f t="shared" si="179"/>
        <v/>
      </c>
      <c r="CQ81" s="50">
        <f t="shared" si="205"/>
        <v>292147.25</v>
      </c>
      <c r="CR81" s="54"/>
      <c r="CS81" s="2"/>
      <c r="CT81" s="2"/>
      <c r="CU81" s="14" t="str">
        <f t="shared" si="180"/>
        <v/>
      </c>
      <c r="CV81" s="42" t="str">
        <f t="shared" si="181"/>
        <v/>
      </c>
      <c r="CW81" s="14" t="str">
        <f t="shared" si="182"/>
        <v/>
      </c>
      <c r="CX81" s="14" t="str">
        <f t="shared" si="183"/>
        <v/>
      </c>
      <c r="CY81" s="15" t="str">
        <f t="shared" si="184"/>
        <v/>
      </c>
      <c r="CZ81" s="2"/>
      <c r="DA81" s="41" t="str">
        <f t="shared" si="185"/>
        <v/>
      </c>
      <c r="DB81" s="2"/>
      <c r="DC81" s="39" t="str">
        <f t="shared" si="186"/>
        <v/>
      </c>
      <c r="DD81" s="40"/>
      <c r="DE81" s="16" t="str">
        <f t="shared" si="187"/>
        <v/>
      </c>
      <c r="DF81" s="2" t="str">
        <f t="shared" si="188"/>
        <v/>
      </c>
      <c r="DG81" s="14" t="str">
        <f t="shared" si="189"/>
        <v/>
      </c>
      <c r="DH81" s="2" t="str">
        <f t="shared" si="190"/>
        <v/>
      </c>
      <c r="DI81" s="39" t="str">
        <f t="shared" si="191"/>
        <v/>
      </c>
      <c r="DJ81" s="2" t="str">
        <f t="shared" si="192"/>
        <v/>
      </c>
      <c r="DK81" s="15" t="str">
        <f t="shared" si="193"/>
        <v/>
      </c>
      <c r="DL81" s="2"/>
      <c r="DM81" s="2"/>
      <c r="DN81" s="15" t="str">
        <f t="shared" si="194"/>
        <v/>
      </c>
      <c r="DO81" s="14" t="str">
        <f t="shared" si="195"/>
        <v/>
      </c>
      <c r="DP81" s="14" t="str">
        <f t="shared" si="196"/>
        <v/>
      </c>
      <c r="DQ81" s="15" t="str">
        <f t="shared" si="197"/>
        <v/>
      </c>
      <c r="DR81" s="15" t="str">
        <f t="shared" si="198"/>
        <v/>
      </c>
      <c r="DS81" s="2" t="str">
        <f t="shared" si="199"/>
        <v/>
      </c>
      <c r="DT81" s="2" t="str">
        <f t="shared" si="200"/>
        <v/>
      </c>
      <c r="DU81" s="2"/>
      <c r="DV81" s="2"/>
      <c r="DW81" s="2"/>
      <c r="DX81" s="2"/>
      <c r="DY81" s="2" t="s">
        <v>230</v>
      </c>
      <c r="DZ81" s="2"/>
      <c r="EA81" s="2" t="str">
        <f t="shared" si="201"/>
        <v/>
      </c>
      <c r="EB81" s="2"/>
      <c r="EC81" s="2"/>
      <c r="ED81" s="2"/>
      <c r="EE81" s="3"/>
      <c r="EF81" s="7"/>
      <c r="EG81" s="3"/>
      <c r="EH81" s="3" t="s">
        <v>266</v>
      </c>
      <c r="EI81" s="3"/>
      <c r="EJ81" s="189"/>
      <c r="EK81" s="4"/>
      <c r="EL81" s="4"/>
      <c r="EM81" s="9"/>
      <c r="EN81" s="46">
        <f t="shared" si="202"/>
        <v>0</v>
      </c>
      <c r="EO81" s="9"/>
      <c r="EP81" s="8"/>
      <c r="EQ81" s="4"/>
      <c r="ER81" s="4"/>
      <c r="ES81" s="7"/>
      <c r="ET81" s="7"/>
      <c r="EU81" s="6"/>
      <c r="EV81" s="2" t="str">
        <f t="shared" si="219"/>
        <v>Yet to load</v>
      </c>
      <c r="EW81" s="46"/>
      <c r="EX81" s="46">
        <f t="shared" si="203"/>
        <v>0</v>
      </c>
      <c r="EY81" s="46" t="s">
        <v>233</v>
      </c>
      <c r="EZ81" s="24"/>
      <c r="FA81" s="2"/>
      <c r="FB81" s="24"/>
      <c r="FC81" s="53"/>
      <c r="FD81" s="46">
        <f t="shared" si="204"/>
        <v>0</v>
      </c>
      <c r="FE81" s="52"/>
      <c r="FF81" s="52"/>
      <c r="FG81" s="49"/>
      <c r="FH81" s="49"/>
      <c r="FI81" s="49"/>
      <c r="FJ81" s="49"/>
      <c r="FK81" s="49"/>
      <c r="FL81" s="49">
        <f t="shared" si="206"/>
        <v>0</v>
      </c>
      <c r="FM81" s="180">
        <f t="shared" si="207"/>
        <v>46172</v>
      </c>
      <c r="FN81" s="49"/>
      <c r="FO81" s="49"/>
      <c r="FP81" s="49"/>
      <c r="FQ81" s="49"/>
      <c r="FR81" s="49"/>
      <c r="FS81" s="34">
        <f t="shared" si="176"/>
        <v>20009558</v>
      </c>
      <c r="FT81" s="34" t="str">
        <f t="shared" si="177"/>
        <v>32014540-2</v>
      </c>
      <c r="FU81" s="3"/>
      <c r="FV81" s="3"/>
      <c r="FW81" s="3"/>
      <c r="FX81" s="3"/>
      <c r="FY81" s="3"/>
      <c r="FZ81" s="3"/>
      <c r="GA81" s="3"/>
      <c r="GB81" s="4"/>
      <c r="GC81" s="3"/>
      <c r="GD81" s="182"/>
      <c r="GE81" s="2"/>
      <c r="GF81" s="2"/>
      <c r="GG81" s="2"/>
      <c r="GH81" s="2"/>
      <c r="GI81" s="2"/>
      <c r="GJ81" s="2"/>
      <c r="GK81" s="2"/>
      <c r="GL81" s="2"/>
      <c r="GM81" s="2"/>
      <c r="GN81" s="2"/>
    </row>
    <row r="82" spans="1:196" s="1" customFormat="1" ht="33.950000000000003">
      <c r="A82" s="2" t="str">
        <f t="shared" si="208"/>
        <v>SI Sent, Shipment Awaited</v>
      </c>
      <c r="B82" s="281">
        <v>48</v>
      </c>
      <c r="C82" s="281">
        <v>200</v>
      </c>
      <c r="D82" s="182" t="s">
        <v>208</v>
      </c>
      <c r="E82" s="2" t="str">
        <f t="shared" si="209"/>
        <v>SHORT POSITION</v>
      </c>
      <c r="F82" s="271">
        <f t="shared" si="210"/>
        <v>32014577</v>
      </c>
      <c r="G82" s="271"/>
      <c r="H82" s="2" t="str">
        <f t="shared" si="211"/>
        <v xml:space="preserve">VALENCY AGRO //HSS//Jaheer Cashew </v>
      </c>
      <c r="I82" s="3" t="s">
        <v>259</v>
      </c>
      <c r="J82" s="2" t="s">
        <v>210</v>
      </c>
      <c r="K82" s="2" t="str">
        <f t="shared" si="212"/>
        <v>KOLKATA, INDIA</v>
      </c>
      <c r="L82" s="2" t="str">
        <f t="shared" si="147"/>
        <v/>
      </c>
      <c r="M82" s="2" t="str">
        <f t="shared" si="174"/>
        <v/>
      </c>
      <c r="N82" s="22" t="str">
        <f t="shared" si="213"/>
        <v/>
      </c>
      <c r="O82" s="22" t="str">
        <f t="shared" si="222"/>
        <v/>
      </c>
      <c r="P82" s="22" t="str">
        <f t="shared" si="214"/>
        <v>No OBL Yet</v>
      </c>
      <c r="Q82" s="2"/>
      <c r="R82" s="2" t="str">
        <f t="shared" si="215"/>
        <v>No CERTS Yet</v>
      </c>
      <c r="S82" s="2" t="str">
        <f t="shared" si="216"/>
        <v/>
      </c>
      <c r="T82" s="2" t="s">
        <v>260</v>
      </c>
      <c r="U82" s="3" t="s">
        <v>614</v>
      </c>
      <c r="V82" s="272"/>
      <c r="W82" s="272"/>
      <c r="X82" s="24">
        <v>46076</v>
      </c>
      <c r="Y82" s="273">
        <v>20009586</v>
      </c>
      <c r="Z82" s="24">
        <v>46076</v>
      </c>
      <c r="AA82" s="182">
        <v>32014577</v>
      </c>
      <c r="AB82" s="182" t="s">
        <v>615</v>
      </c>
      <c r="AC82" s="182" t="s">
        <v>263</v>
      </c>
      <c r="AD82" s="181">
        <v>46142</v>
      </c>
      <c r="AE82" s="30">
        <v>0.05</v>
      </c>
      <c r="AF82" s="277">
        <v>100</v>
      </c>
      <c r="AG82" s="35">
        <f t="shared" si="217"/>
        <v>95</v>
      </c>
      <c r="AH82" s="3" t="s">
        <v>215</v>
      </c>
      <c r="AI82" s="4">
        <v>1515</v>
      </c>
      <c r="AJ82" s="4">
        <f t="shared" si="221"/>
        <v>151500</v>
      </c>
      <c r="AK82" s="3" t="s">
        <v>249</v>
      </c>
      <c r="AL82" s="3" t="s">
        <v>238</v>
      </c>
      <c r="AM82" s="30">
        <v>0</v>
      </c>
      <c r="AN82" s="183">
        <v>1</v>
      </c>
      <c r="AO82" s="183">
        <v>0</v>
      </c>
      <c r="AP82" s="28" t="s">
        <v>218</v>
      </c>
      <c r="AQ82" s="18" t="s">
        <v>331</v>
      </c>
      <c r="AR82" s="18" t="s">
        <v>251</v>
      </c>
      <c r="AS82" s="27"/>
      <c r="AT82" s="3" t="s">
        <v>220</v>
      </c>
      <c r="AU82" s="3" t="s">
        <v>220</v>
      </c>
      <c r="AV82" s="3" t="s">
        <v>220</v>
      </c>
      <c r="AW82" s="9"/>
      <c r="AX82" s="3"/>
      <c r="AY82" s="47"/>
      <c r="AZ82" s="275">
        <f t="shared" si="178"/>
        <v>0</v>
      </c>
      <c r="BA82" s="18"/>
      <c r="BB82" s="22">
        <v>46083</v>
      </c>
      <c r="BC82" s="22"/>
      <c r="BD82" s="22"/>
      <c r="BE82" s="22"/>
      <c r="BF82" s="22">
        <v>46083</v>
      </c>
      <c r="BG82" s="18"/>
      <c r="BH82" s="18"/>
      <c r="BI82" s="3"/>
      <c r="BJ82" s="25"/>
      <c r="BK82" s="46" t="s">
        <v>222</v>
      </c>
      <c r="BL82" s="497"/>
      <c r="BM82" s="18"/>
      <c r="BN82" s="4"/>
      <c r="BO82" s="18"/>
      <c r="BP82" s="3" t="s">
        <v>259</v>
      </c>
      <c r="BQ82" s="21" t="s">
        <v>609</v>
      </c>
      <c r="BR82" s="2"/>
      <c r="BS82" s="2"/>
      <c r="BT82" s="2"/>
      <c r="BU82" s="2"/>
      <c r="BV82" s="20"/>
      <c r="BW82" s="19"/>
      <c r="BX82" s="46">
        <f t="shared" si="175"/>
        <v>0</v>
      </c>
      <c r="BY82" s="22"/>
      <c r="BZ82" s="22"/>
      <c r="CA82" s="22"/>
      <c r="CB82" s="22"/>
      <c r="CC82" s="22"/>
      <c r="CD82" s="22"/>
      <c r="CE82" s="22" t="str">
        <f t="shared" si="220"/>
        <v>No OBL Yet</v>
      </c>
      <c r="CF82" s="22"/>
      <c r="CG82" s="22"/>
      <c r="CH82" s="182"/>
      <c r="CI82" s="182"/>
      <c r="CJ82" s="182"/>
      <c r="CK82" s="2" t="str">
        <f t="shared" si="218"/>
        <v>No CERTS Yet</v>
      </c>
      <c r="CL82" s="48"/>
      <c r="CM82" s="22"/>
      <c r="CN82" s="55"/>
      <c r="CO82" s="54"/>
      <c r="CP82" s="55" t="str">
        <f t="shared" si="179"/>
        <v/>
      </c>
      <c r="CQ82" s="50">
        <f t="shared" si="205"/>
        <v>0</v>
      </c>
      <c r="CR82" s="54"/>
      <c r="CS82" s="2"/>
      <c r="CT82" s="2"/>
      <c r="CU82" s="14" t="str">
        <f t="shared" si="180"/>
        <v/>
      </c>
      <c r="CV82" s="42" t="str">
        <f t="shared" si="181"/>
        <v/>
      </c>
      <c r="CW82" s="14" t="str">
        <f t="shared" si="182"/>
        <v/>
      </c>
      <c r="CX82" s="14" t="str">
        <f t="shared" si="183"/>
        <v/>
      </c>
      <c r="CY82" s="15" t="str">
        <f t="shared" si="184"/>
        <v/>
      </c>
      <c r="CZ82" s="2"/>
      <c r="DA82" s="41" t="str">
        <f t="shared" si="185"/>
        <v/>
      </c>
      <c r="DB82" s="2"/>
      <c r="DC82" s="39" t="str">
        <f t="shared" si="186"/>
        <v/>
      </c>
      <c r="DD82" s="40"/>
      <c r="DE82" s="16" t="str">
        <f t="shared" si="187"/>
        <v/>
      </c>
      <c r="DF82" s="2" t="str">
        <f t="shared" si="188"/>
        <v/>
      </c>
      <c r="DG82" s="14" t="str">
        <f t="shared" si="189"/>
        <v/>
      </c>
      <c r="DH82" s="2" t="str">
        <f t="shared" si="190"/>
        <v/>
      </c>
      <c r="DI82" s="39" t="str">
        <f t="shared" si="191"/>
        <v/>
      </c>
      <c r="DJ82" s="2" t="str">
        <f t="shared" si="192"/>
        <v/>
      </c>
      <c r="DK82" s="15" t="str">
        <f t="shared" si="193"/>
        <v/>
      </c>
      <c r="DL82" s="2"/>
      <c r="DM82" s="2"/>
      <c r="DN82" s="15" t="str">
        <f t="shared" si="194"/>
        <v/>
      </c>
      <c r="DO82" s="14" t="str">
        <f t="shared" si="195"/>
        <v/>
      </c>
      <c r="DP82" s="14" t="str">
        <f t="shared" si="196"/>
        <v/>
      </c>
      <c r="DQ82" s="15" t="str">
        <f t="shared" si="197"/>
        <v/>
      </c>
      <c r="DR82" s="15" t="str">
        <f t="shared" si="198"/>
        <v/>
      </c>
      <c r="DS82" s="2" t="str">
        <f t="shared" si="199"/>
        <v/>
      </c>
      <c r="DT82" s="2" t="str">
        <f t="shared" si="200"/>
        <v/>
      </c>
      <c r="DU82" s="2"/>
      <c r="DV82" s="2"/>
      <c r="DW82" s="2"/>
      <c r="DX82" s="2"/>
      <c r="DY82" s="2" t="s">
        <v>230</v>
      </c>
      <c r="DZ82" s="2"/>
      <c r="EA82" s="2" t="str">
        <f t="shared" si="201"/>
        <v/>
      </c>
      <c r="EB82" s="2"/>
      <c r="EC82" s="2"/>
      <c r="ED82" s="2"/>
      <c r="EE82" s="3"/>
      <c r="EF82" s="7"/>
      <c r="EG82" s="3"/>
      <c r="EH82" s="3" t="s">
        <v>266</v>
      </c>
      <c r="EI82" s="3"/>
      <c r="EJ82" s="189"/>
      <c r="EK82" s="4"/>
      <c r="EL82" s="9"/>
      <c r="EM82" s="9"/>
      <c r="EN82" s="46">
        <f t="shared" si="202"/>
        <v>0</v>
      </c>
      <c r="EO82" s="9"/>
      <c r="EP82" s="8"/>
      <c r="EQ82" s="4"/>
      <c r="ER82" s="4"/>
      <c r="ES82" s="7"/>
      <c r="ET82" s="7"/>
      <c r="EU82" s="6"/>
      <c r="EV82" s="2" t="str">
        <f t="shared" si="219"/>
        <v>Yet to load</v>
      </c>
      <c r="EW82" s="46"/>
      <c r="EX82" s="46" t="e">
        <f t="shared" si="203"/>
        <v>#DIV/0!</v>
      </c>
      <c r="EY82" s="46" t="s">
        <v>233</v>
      </c>
      <c r="EZ82" s="24"/>
      <c r="FA82" s="2"/>
      <c r="FB82" s="24"/>
      <c r="FC82" s="53"/>
      <c r="FD82" s="46">
        <f t="shared" si="204"/>
        <v>0</v>
      </c>
      <c r="FE82" s="52"/>
      <c r="FF82" s="52"/>
      <c r="FG82" s="49"/>
      <c r="FH82" s="49"/>
      <c r="FI82" s="49"/>
      <c r="FJ82" s="49"/>
      <c r="FK82" s="49"/>
      <c r="FL82" s="49">
        <f t="shared" si="206"/>
        <v>0</v>
      </c>
      <c r="FM82" s="180">
        <f t="shared" si="207"/>
        <v>0</v>
      </c>
      <c r="FN82" s="49"/>
      <c r="FO82" s="49"/>
      <c r="FP82" s="49"/>
      <c r="FQ82" s="49"/>
      <c r="FR82" s="49"/>
      <c r="FS82" s="34">
        <f t="shared" si="176"/>
        <v>20009586</v>
      </c>
      <c r="FT82" s="34">
        <f t="shared" si="177"/>
        <v>32014577</v>
      </c>
      <c r="FU82" s="3"/>
      <c r="FV82" s="3"/>
      <c r="FW82" s="3"/>
      <c r="FX82" s="3"/>
      <c r="FY82" s="3"/>
      <c r="FZ82" s="3"/>
      <c r="GA82" s="3"/>
      <c r="GB82" s="4"/>
      <c r="GC82" s="3"/>
      <c r="GD82" s="182">
        <v>90082920</v>
      </c>
      <c r="GE82" s="2"/>
      <c r="GF82" s="2" t="s">
        <v>235</v>
      </c>
      <c r="GG82" s="2"/>
      <c r="GH82" s="2"/>
      <c r="GI82" s="2"/>
      <c r="GJ82" s="2"/>
      <c r="GK82" s="2"/>
      <c r="GL82" s="2"/>
      <c r="GM82" s="2"/>
      <c r="GN82" s="2"/>
    </row>
    <row r="83" spans="1:196" s="1" customFormat="1" ht="33.950000000000003">
      <c r="A83" s="2" t="str">
        <f t="shared" si="208"/>
        <v>SI Sent, Shipment Awaited</v>
      </c>
      <c r="B83" s="281">
        <v>48</v>
      </c>
      <c r="C83" s="281">
        <v>200</v>
      </c>
      <c r="D83" s="182" t="s">
        <v>208</v>
      </c>
      <c r="E83" s="2" t="str">
        <f t="shared" si="209"/>
        <v>SHORT POSITION</v>
      </c>
      <c r="F83" s="271">
        <f t="shared" si="210"/>
        <v>32014576</v>
      </c>
      <c r="G83" s="271"/>
      <c r="H83" s="2" t="str">
        <f t="shared" si="211"/>
        <v xml:space="preserve">VALENCY AGRO //HSS//Moonstar Cashew </v>
      </c>
      <c r="I83" s="3" t="s">
        <v>259</v>
      </c>
      <c r="J83" s="2" t="s">
        <v>210</v>
      </c>
      <c r="K83" s="2" t="str">
        <f t="shared" si="212"/>
        <v>KOLKATA, INDIA</v>
      </c>
      <c r="L83" s="2" t="str">
        <f t="shared" si="147"/>
        <v/>
      </c>
      <c r="M83" s="2" t="str">
        <f t="shared" si="174"/>
        <v/>
      </c>
      <c r="N83" s="22" t="str">
        <f t="shared" si="213"/>
        <v/>
      </c>
      <c r="O83" s="22" t="str">
        <f t="shared" si="222"/>
        <v/>
      </c>
      <c r="P83" s="22" t="str">
        <f t="shared" si="214"/>
        <v>No OBL Yet</v>
      </c>
      <c r="Q83" s="2"/>
      <c r="R83" s="2" t="str">
        <f t="shared" si="215"/>
        <v>No CERTS Yet</v>
      </c>
      <c r="S83" s="2" t="str">
        <f t="shared" si="216"/>
        <v/>
      </c>
      <c r="T83" s="2" t="s">
        <v>260</v>
      </c>
      <c r="U83" s="3" t="s">
        <v>616</v>
      </c>
      <c r="V83" s="272"/>
      <c r="W83" s="272"/>
      <c r="X83" s="24">
        <v>46076</v>
      </c>
      <c r="Y83" s="273">
        <v>20009585</v>
      </c>
      <c r="Z83" s="24">
        <v>46076</v>
      </c>
      <c r="AA83" s="182">
        <v>32014576</v>
      </c>
      <c r="AB83" s="182" t="s">
        <v>617</v>
      </c>
      <c r="AC83" s="182" t="s">
        <v>263</v>
      </c>
      <c r="AD83" s="181">
        <v>46142</v>
      </c>
      <c r="AE83" s="30">
        <v>0.05</v>
      </c>
      <c r="AF83" s="277">
        <v>100</v>
      </c>
      <c r="AG83" s="35">
        <f t="shared" si="217"/>
        <v>95</v>
      </c>
      <c r="AH83" s="3" t="s">
        <v>215</v>
      </c>
      <c r="AI83" s="4">
        <v>1515</v>
      </c>
      <c r="AJ83" s="4">
        <f t="shared" si="221"/>
        <v>151500</v>
      </c>
      <c r="AK83" s="3" t="s">
        <v>249</v>
      </c>
      <c r="AL83" s="3" t="s">
        <v>238</v>
      </c>
      <c r="AM83" s="30">
        <v>0</v>
      </c>
      <c r="AN83" s="183">
        <v>1</v>
      </c>
      <c r="AO83" s="183">
        <v>0</v>
      </c>
      <c r="AP83" s="28" t="s">
        <v>218</v>
      </c>
      <c r="AQ83" s="18" t="s">
        <v>331</v>
      </c>
      <c r="AR83" s="18" t="s">
        <v>251</v>
      </c>
      <c r="AS83" s="27"/>
      <c r="AT83" s="3" t="s">
        <v>220</v>
      </c>
      <c r="AU83" s="3" t="s">
        <v>220</v>
      </c>
      <c r="AV83" s="3" t="s">
        <v>220</v>
      </c>
      <c r="AW83" s="9"/>
      <c r="AX83" s="3"/>
      <c r="AY83" s="47"/>
      <c r="AZ83" s="275">
        <f t="shared" si="178"/>
        <v>0</v>
      </c>
      <c r="BA83" s="18"/>
      <c r="BB83" s="22">
        <v>46083</v>
      </c>
      <c r="BC83" s="22"/>
      <c r="BD83" s="22"/>
      <c r="BE83" s="22"/>
      <c r="BF83" s="22">
        <v>46083</v>
      </c>
      <c r="BG83" s="18"/>
      <c r="BH83" s="18"/>
      <c r="BI83" s="3"/>
      <c r="BJ83" s="25"/>
      <c r="BK83" s="46" t="s">
        <v>222</v>
      </c>
      <c r="BL83" s="497"/>
      <c r="BM83" s="18"/>
      <c r="BN83" s="4"/>
      <c r="BO83" s="18"/>
      <c r="BP83" s="3" t="s">
        <v>259</v>
      </c>
      <c r="BQ83" s="21" t="s">
        <v>609</v>
      </c>
      <c r="BR83" s="2"/>
      <c r="BS83" s="2"/>
      <c r="BT83" s="2"/>
      <c r="BU83" s="2"/>
      <c r="BV83" s="20"/>
      <c r="BW83" s="19"/>
      <c r="BX83" s="46">
        <f t="shared" si="175"/>
        <v>0</v>
      </c>
      <c r="BY83" s="22"/>
      <c r="BZ83" s="22"/>
      <c r="CA83" s="271"/>
      <c r="CB83" s="22"/>
      <c r="CC83" s="22"/>
      <c r="CD83" s="22"/>
      <c r="CE83" s="22" t="str">
        <f t="shared" si="220"/>
        <v>No OBL Yet</v>
      </c>
      <c r="CF83" s="22"/>
      <c r="CG83" s="22"/>
      <c r="CH83" s="182"/>
      <c r="CI83" s="182"/>
      <c r="CJ83" s="182"/>
      <c r="CK83" s="2" t="str">
        <f t="shared" si="218"/>
        <v>No CERTS Yet</v>
      </c>
      <c r="CL83" s="48"/>
      <c r="CM83" s="22"/>
      <c r="CN83" s="55"/>
      <c r="CO83" s="54"/>
      <c r="CP83" s="55" t="str">
        <f t="shared" si="179"/>
        <v/>
      </c>
      <c r="CQ83" s="50">
        <f t="shared" si="205"/>
        <v>0</v>
      </c>
      <c r="CR83" s="54"/>
      <c r="CS83" s="2"/>
      <c r="CT83" s="2"/>
      <c r="CU83" s="14" t="str">
        <f t="shared" si="180"/>
        <v/>
      </c>
      <c r="CV83" s="42" t="str">
        <f t="shared" si="181"/>
        <v/>
      </c>
      <c r="CW83" s="14" t="str">
        <f t="shared" si="182"/>
        <v/>
      </c>
      <c r="CX83" s="14" t="str">
        <f t="shared" si="183"/>
        <v/>
      </c>
      <c r="CY83" s="15" t="str">
        <f t="shared" si="184"/>
        <v/>
      </c>
      <c r="CZ83" s="2"/>
      <c r="DA83" s="41" t="str">
        <f t="shared" si="185"/>
        <v/>
      </c>
      <c r="DB83" s="2"/>
      <c r="DC83" s="39" t="str">
        <f t="shared" si="186"/>
        <v/>
      </c>
      <c r="DD83" s="40"/>
      <c r="DE83" s="16" t="str">
        <f t="shared" si="187"/>
        <v/>
      </c>
      <c r="DF83" s="2" t="str">
        <f t="shared" si="188"/>
        <v/>
      </c>
      <c r="DG83" s="14" t="str">
        <f t="shared" si="189"/>
        <v/>
      </c>
      <c r="DH83" s="2" t="str">
        <f t="shared" si="190"/>
        <v/>
      </c>
      <c r="DI83" s="39" t="str">
        <f t="shared" si="191"/>
        <v/>
      </c>
      <c r="DJ83" s="2" t="str">
        <f t="shared" si="192"/>
        <v/>
      </c>
      <c r="DK83" s="15" t="str">
        <f t="shared" si="193"/>
        <v/>
      </c>
      <c r="DL83" s="2"/>
      <c r="DM83" s="2"/>
      <c r="DN83" s="15" t="str">
        <f t="shared" si="194"/>
        <v/>
      </c>
      <c r="DO83" s="14" t="str">
        <f t="shared" si="195"/>
        <v/>
      </c>
      <c r="DP83" s="14" t="str">
        <f t="shared" si="196"/>
        <v/>
      </c>
      <c r="DQ83" s="15" t="str">
        <f t="shared" si="197"/>
        <v/>
      </c>
      <c r="DR83" s="15" t="str">
        <f t="shared" si="198"/>
        <v/>
      </c>
      <c r="DS83" s="2" t="str">
        <f t="shared" si="199"/>
        <v/>
      </c>
      <c r="DT83" s="2" t="str">
        <f t="shared" si="200"/>
        <v/>
      </c>
      <c r="DU83" s="2"/>
      <c r="DV83" s="2"/>
      <c r="DW83" s="2"/>
      <c r="DX83" s="2"/>
      <c r="DY83" s="2" t="s">
        <v>230</v>
      </c>
      <c r="DZ83" s="2"/>
      <c r="EA83" s="2" t="str">
        <f t="shared" si="201"/>
        <v/>
      </c>
      <c r="EB83" s="2"/>
      <c r="EC83" s="2"/>
      <c r="ED83" s="2"/>
      <c r="EE83" s="3"/>
      <c r="EF83" s="7"/>
      <c r="EG83" s="3"/>
      <c r="EH83" s="3" t="s">
        <v>266</v>
      </c>
      <c r="EI83" s="3"/>
      <c r="EJ83" s="189"/>
      <c r="EK83" s="4"/>
      <c r="EL83" s="9"/>
      <c r="EM83" s="9"/>
      <c r="EN83" s="46">
        <f t="shared" si="202"/>
        <v>0</v>
      </c>
      <c r="EO83" s="9"/>
      <c r="EP83" s="8"/>
      <c r="EQ83" s="4"/>
      <c r="ER83" s="4"/>
      <c r="ES83" s="7"/>
      <c r="ET83" s="7"/>
      <c r="EU83" s="6"/>
      <c r="EV83" s="2" t="str">
        <f t="shared" si="219"/>
        <v>Yet to load</v>
      </c>
      <c r="EW83" s="46"/>
      <c r="EX83" s="46" t="e">
        <f t="shared" si="203"/>
        <v>#DIV/0!</v>
      </c>
      <c r="EY83" s="46" t="s">
        <v>233</v>
      </c>
      <c r="EZ83" s="24"/>
      <c r="FA83" s="2"/>
      <c r="FB83" s="24"/>
      <c r="FC83" s="53"/>
      <c r="FD83" s="46">
        <f t="shared" si="204"/>
        <v>0</v>
      </c>
      <c r="FE83" s="52"/>
      <c r="FF83" s="52"/>
      <c r="FG83" s="49"/>
      <c r="FH83" s="49"/>
      <c r="FI83" s="49"/>
      <c r="FJ83" s="49"/>
      <c r="FK83" s="49"/>
      <c r="FL83" s="49">
        <f t="shared" si="206"/>
        <v>0</v>
      </c>
      <c r="FM83" s="180">
        <f t="shared" si="207"/>
        <v>0</v>
      </c>
      <c r="FN83" s="49"/>
      <c r="FO83" s="49"/>
      <c r="FP83" s="49"/>
      <c r="FQ83" s="49"/>
      <c r="FR83" s="49"/>
      <c r="FS83" s="34">
        <f t="shared" si="176"/>
        <v>20009585</v>
      </c>
      <c r="FT83" s="34">
        <f t="shared" si="177"/>
        <v>32014576</v>
      </c>
      <c r="FU83" s="3"/>
      <c r="FV83" s="3"/>
      <c r="FW83" s="3"/>
      <c r="FX83" s="3"/>
      <c r="FY83" s="3"/>
      <c r="FZ83" s="3"/>
      <c r="GA83" s="3"/>
      <c r="GB83" s="4"/>
      <c r="GC83" s="3"/>
      <c r="GD83" s="182">
        <v>90082920</v>
      </c>
      <c r="GE83" s="2"/>
      <c r="GF83" s="2" t="s">
        <v>235</v>
      </c>
      <c r="GG83" s="2"/>
      <c r="GH83" s="2"/>
      <c r="GI83" s="2"/>
      <c r="GJ83" s="2"/>
      <c r="GK83" s="2"/>
      <c r="GL83" s="2"/>
      <c r="GM83" s="2"/>
      <c r="GN83" s="2"/>
    </row>
    <row r="84" spans="1:196" s="1" customFormat="1" ht="51">
      <c r="A84" s="2" t="str">
        <f t="shared" si="208"/>
        <v>Exp Dox Presented to Bank, Pmt Pending</v>
      </c>
      <c r="B84" s="282">
        <v>46</v>
      </c>
      <c r="C84" s="282">
        <v>200</v>
      </c>
      <c r="D84" s="182" t="s">
        <v>208</v>
      </c>
      <c r="E84" s="2" t="str">
        <f t="shared" si="209"/>
        <v>CLOSE POSITION</v>
      </c>
      <c r="F84" s="271">
        <f t="shared" si="210"/>
        <v>32016323</v>
      </c>
      <c r="G84" s="271"/>
      <c r="H84" s="2" t="str">
        <f t="shared" si="211"/>
        <v>TERRA NUTS GROUP JOINT STOCK COMPANY</v>
      </c>
      <c r="I84" s="3" t="s">
        <v>245</v>
      </c>
      <c r="J84" s="2" t="s">
        <v>347</v>
      </c>
      <c r="K84" s="2" t="str">
        <f t="shared" si="212"/>
        <v>HCMC, VIETNAM</v>
      </c>
      <c r="L84" s="2" t="str">
        <f t="shared" si="147"/>
        <v>ONEYTEMG00400600</v>
      </c>
      <c r="M84" s="2">
        <f t="shared" si="174"/>
        <v>259</v>
      </c>
      <c r="N84" s="22">
        <f t="shared" si="213"/>
        <v>46144</v>
      </c>
      <c r="O84" s="22">
        <f t="shared" si="222"/>
        <v>46178</v>
      </c>
      <c r="P84" s="22" t="str">
        <f t="shared" si="214"/>
        <v>OBL In Destination - VIETNAM</v>
      </c>
      <c r="Q84" s="2" t="s">
        <v>618</v>
      </c>
      <c r="R84" s="2" t="str">
        <f t="shared" si="215"/>
        <v>CERT in Origin - GHANA</v>
      </c>
      <c r="S84" s="2" t="str">
        <f t="shared" si="216"/>
        <v>Docs in Buyer's Nego Bank</v>
      </c>
      <c r="T84" s="2" t="s">
        <v>619</v>
      </c>
      <c r="U84" s="279" t="s">
        <v>620</v>
      </c>
      <c r="V84" s="272"/>
      <c r="W84" s="279" t="s">
        <v>621</v>
      </c>
      <c r="X84" s="24">
        <v>46133</v>
      </c>
      <c r="Y84" s="273">
        <v>20010158</v>
      </c>
      <c r="Z84" s="24">
        <v>46134</v>
      </c>
      <c r="AA84" s="182">
        <v>32016323</v>
      </c>
      <c r="AB84" s="182" t="s">
        <v>577</v>
      </c>
      <c r="AC84" s="181" t="s">
        <v>622</v>
      </c>
      <c r="AD84" s="181">
        <v>46173</v>
      </c>
      <c r="AE84" s="30">
        <v>0.1</v>
      </c>
      <c r="AF84" s="277">
        <v>250</v>
      </c>
      <c r="AG84" s="4">
        <f t="shared" si="217"/>
        <v>225</v>
      </c>
      <c r="AH84" s="3" t="s">
        <v>215</v>
      </c>
      <c r="AI84" s="4">
        <v>1515</v>
      </c>
      <c r="AJ84" s="4">
        <f t="shared" si="221"/>
        <v>378750</v>
      </c>
      <c r="AK84" s="3" t="s">
        <v>249</v>
      </c>
      <c r="AL84" s="3" t="s">
        <v>404</v>
      </c>
      <c r="AM84" s="183">
        <v>0.1</v>
      </c>
      <c r="AN84" s="183">
        <v>0.88</v>
      </c>
      <c r="AO84" s="183">
        <v>0.02</v>
      </c>
      <c r="AP84" s="28" t="s">
        <v>218</v>
      </c>
      <c r="AQ84" s="3" t="s">
        <v>405</v>
      </c>
      <c r="AR84" s="18" t="s">
        <v>2</v>
      </c>
      <c r="AS84" s="27"/>
      <c r="AT84" s="3" t="s">
        <v>220</v>
      </c>
      <c r="AU84" s="3" t="s">
        <v>220</v>
      </c>
      <c r="AV84" s="3" t="s">
        <v>220</v>
      </c>
      <c r="AW84" s="9"/>
      <c r="AX84" s="3"/>
      <c r="AY84" s="47">
        <v>46128</v>
      </c>
      <c r="AZ84" s="278">
        <f t="shared" si="178"/>
        <v>37875</v>
      </c>
      <c r="BA84" s="18">
        <v>46149</v>
      </c>
      <c r="BB84" s="22"/>
      <c r="BC84" s="22"/>
      <c r="BD84" s="22"/>
      <c r="BE84" s="22"/>
      <c r="BF84" s="22"/>
      <c r="BG84" s="18"/>
      <c r="BH84" s="18"/>
      <c r="BI84" s="3" t="s">
        <v>623</v>
      </c>
      <c r="BJ84" s="25">
        <v>259</v>
      </c>
      <c r="BK84" s="189" t="s">
        <v>222</v>
      </c>
      <c r="BL84" s="497">
        <v>10</v>
      </c>
      <c r="BM84" s="18">
        <v>46144</v>
      </c>
      <c r="BN84" s="4"/>
      <c r="BO84" s="18">
        <v>46178</v>
      </c>
      <c r="BP84" s="3" t="s">
        <v>245</v>
      </c>
      <c r="BQ84" s="21" t="s">
        <v>409</v>
      </c>
      <c r="BR84" s="2" t="s">
        <v>288</v>
      </c>
      <c r="BS84" s="2"/>
      <c r="BT84" s="2" t="s">
        <v>624</v>
      </c>
      <c r="BU84" s="2"/>
      <c r="BV84" s="182">
        <v>90082920</v>
      </c>
      <c r="BW84" s="19">
        <v>46103</v>
      </c>
      <c r="BX84" s="189"/>
      <c r="BY84" s="22">
        <v>46141</v>
      </c>
      <c r="BZ84" s="22">
        <v>46157</v>
      </c>
      <c r="CA84" s="2">
        <v>3662184330</v>
      </c>
      <c r="CB84" s="22">
        <v>46159</v>
      </c>
      <c r="CC84" s="22" t="s">
        <v>625</v>
      </c>
      <c r="CD84" s="22">
        <v>46164</v>
      </c>
      <c r="CE84" s="22" t="str">
        <f t="shared" si="220"/>
        <v>OBL In Destination - VIETNAM</v>
      </c>
      <c r="CF84" s="22"/>
      <c r="CG84" s="22"/>
      <c r="CH84" s="181">
        <v>46163</v>
      </c>
      <c r="CI84" s="182"/>
      <c r="CJ84" s="182"/>
      <c r="CK84" s="2" t="str">
        <f t="shared" si="218"/>
        <v>CERT in Origin - GHANA</v>
      </c>
      <c r="CL84" s="48" t="s">
        <v>244</v>
      </c>
      <c r="CM84" s="22">
        <v>46162</v>
      </c>
      <c r="CN84" s="55">
        <v>1823508842</v>
      </c>
      <c r="CO84" s="54">
        <v>46164</v>
      </c>
      <c r="CP84" s="55" t="str">
        <f t="shared" si="179"/>
        <v>Docs in Buyer's Nego Bank</v>
      </c>
      <c r="CQ84" s="190">
        <f t="shared" si="205"/>
        <v>307423.8</v>
      </c>
      <c r="CR84" s="54"/>
      <c r="CS84" s="2"/>
      <c r="CT84" s="2"/>
      <c r="CU84" s="14" t="str">
        <f t="shared" si="180"/>
        <v/>
      </c>
      <c r="CV84" s="191" t="str">
        <f t="shared" si="181"/>
        <v/>
      </c>
      <c r="CW84" s="14" t="str">
        <f t="shared" si="182"/>
        <v/>
      </c>
      <c r="CX84" s="14" t="str">
        <f t="shared" si="183"/>
        <v/>
      </c>
      <c r="CY84" s="15" t="str">
        <f t="shared" si="184"/>
        <v/>
      </c>
      <c r="CZ84" s="2"/>
      <c r="DA84" s="41" t="str">
        <f t="shared" si="185"/>
        <v/>
      </c>
      <c r="DB84" s="2"/>
      <c r="DC84" s="192" t="str">
        <f t="shared" si="186"/>
        <v/>
      </c>
      <c r="DD84" s="40"/>
      <c r="DE84" s="16" t="str">
        <f t="shared" si="187"/>
        <v/>
      </c>
      <c r="DF84" s="2" t="str">
        <f t="shared" si="188"/>
        <v/>
      </c>
      <c r="DG84" s="14" t="str">
        <f t="shared" si="189"/>
        <v/>
      </c>
      <c r="DH84" s="2" t="str">
        <f t="shared" si="190"/>
        <v/>
      </c>
      <c r="DI84" s="192" t="str">
        <f t="shared" si="191"/>
        <v/>
      </c>
      <c r="DJ84" s="2" t="str">
        <f t="shared" si="192"/>
        <v/>
      </c>
      <c r="DK84" s="15" t="str">
        <f t="shared" si="193"/>
        <v/>
      </c>
      <c r="DL84" s="2"/>
      <c r="DM84" s="2"/>
      <c r="DN84" s="15" t="str">
        <f t="shared" si="194"/>
        <v/>
      </c>
      <c r="DO84" s="14" t="str">
        <f t="shared" si="195"/>
        <v/>
      </c>
      <c r="DP84" s="14" t="str">
        <f t="shared" si="196"/>
        <v/>
      </c>
      <c r="DQ84" s="15" t="str">
        <f t="shared" si="197"/>
        <v/>
      </c>
      <c r="DR84" s="15" t="str">
        <f t="shared" si="198"/>
        <v/>
      </c>
      <c r="DS84" s="2" t="str">
        <f t="shared" si="199"/>
        <v/>
      </c>
      <c r="DT84" s="2" t="str">
        <f t="shared" si="200"/>
        <v/>
      </c>
      <c r="DU84" s="2"/>
      <c r="DV84" s="2"/>
      <c r="DW84" s="2"/>
      <c r="DX84" s="2"/>
      <c r="DY84" s="2" t="s">
        <v>230</v>
      </c>
      <c r="DZ84" s="2"/>
      <c r="EA84" s="2" t="str">
        <f t="shared" si="201"/>
        <v/>
      </c>
      <c r="EB84" s="2"/>
      <c r="EC84" s="2"/>
      <c r="ED84" s="2"/>
      <c r="EE84" s="3"/>
      <c r="EF84" s="7"/>
      <c r="EG84" s="3"/>
      <c r="EH84" s="3" t="s">
        <v>257</v>
      </c>
      <c r="EI84" s="3" t="s">
        <v>258</v>
      </c>
      <c r="EJ84" s="189"/>
      <c r="EK84" s="4"/>
      <c r="EL84" s="9"/>
      <c r="EM84" s="9"/>
      <c r="EN84" s="189">
        <f t="shared" si="202"/>
        <v>0</v>
      </c>
      <c r="EO84" s="9"/>
      <c r="EP84" s="8"/>
      <c r="EQ84" s="4"/>
      <c r="ER84" s="4"/>
      <c r="ES84" s="7"/>
      <c r="ET84" s="7"/>
      <c r="EU84" s="6"/>
      <c r="EV84" s="2" t="str">
        <f t="shared" si="219"/>
        <v>Export Loan</v>
      </c>
      <c r="EW84" s="189"/>
      <c r="EX84" s="189">
        <f t="shared" si="203"/>
        <v>0</v>
      </c>
      <c r="EY84" s="189" t="s">
        <v>233</v>
      </c>
      <c r="EZ84" s="24"/>
      <c r="FA84" s="2">
        <v>22142824</v>
      </c>
      <c r="FB84" s="24"/>
      <c r="FC84" s="193"/>
      <c r="FD84" s="189">
        <f t="shared" si="204"/>
        <v>0</v>
      </c>
      <c r="FE84" s="52"/>
      <c r="FF84" s="52"/>
      <c r="FG84" s="49"/>
      <c r="FH84" s="49"/>
      <c r="FI84" s="49"/>
      <c r="FJ84" s="49"/>
      <c r="FK84" s="49"/>
      <c r="FL84" s="49">
        <f t="shared" si="206"/>
        <v>-46141</v>
      </c>
      <c r="FM84" s="180">
        <f t="shared" si="207"/>
        <v>46144</v>
      </c>
      <c r="FN84" s="49"/>
      <c r="FO84" s="49"/>
      <c r="FP84" s="49"/>
      <c r="FQ84" s="49"/>
      <c r="FR84" s="49"/>
      <c r="FS84" s="34">
        <f t="shared" si="176"/>
        <v>20010158</v>
      </c>
      <c r="FT84" s="34">
        <f t="shared" si="177"/>
        <v>32016323</v>
      </c>
      <c r="FU84" s="3"/>
      <c r="FV84" s="3"/>
      <c r="FW84" s="3"/>
      <c r="FX84" s="3"/>
      <c r="FY84" s="3"/>
      <c r="FZ84" s="3"/>
      <c r="GA84" s="3"/>
      <c r="GB84" s="4"/>
      <c r="GC84" s="3"/>
      <c r="GD84" s="182">
        <v>90082920</v>
      </c>
      <c r="GE84" s="2"/>
      <c r="GF84" s="2" t="s">
        <v>235</v>
      </c>
      <c r="GG84" s="2"/>
      <c r="GH84" s="2"/>
      <c r="GI84" s="2"/>
      <c r="GJ84" s="2"/>
      <c r="GK84" s="2"/>
      <c r="GL84" s="2"/>
      <c r="GM84" s="2"/>
      <c r="GN84" s="2"/>
    </row>
    <row r="85" spans="1:196" s="1" customFormat="1" ht="68.099999999999994">
      <c r="A85" s="2" t="str">
        <f t="shared" si="208"/>
        <v>Exp Dox Presented to Bank, Pmt Pending</v>
      </c>
      <c r="B85" s="281">
        <v>50</v>
      </c>
      <c r="C85" s="281">
        <v>185</v>
      </c>
      <c r="D85" s="182" t="s">
        <v>208</v>
      </c>
      <c r="E85" s="2" t="str">
        <f t="shared" si="209"/>
        <v>CLOSE POSITION</v>
      </c>
      <c r="F85" s="271">
        <v>32014448</v>
      </c>
      <c r="G85" s="271"/>
      <c r="H85" s="2" t="str">
        <f t="shared" si="211"/>
        <v>Valency Agro (Processing)</v>
      </c>
      <c r="I85" s="3" t="s">
        <v>209</v>
      </c>
      <c r="J85" s="2" t="s">
        <v>210</v>
      </c>
      <c r="K85" s="2" t="str">
        <f t="shared" si="212"/>
        <v>MUNDRA, INDIA</v>
      </c>
      <c r="L85" s="2" t="str">
        <f t="shared" si="147"/>
        <v>MEDULG631418</v>
      </c>
      <c r="M85" s="2">
        <f t="shared" si="174"/>
        <v>100.7</v>
      </c>
      <c r="N85" s="22">
        <f t="shared" si="213"/>
        <v>46131</v>
      </c>
      <c r="O85" s="22">
        <f t="shared" si="222"/>
        <v>46178</v>
      </c>
      <c r="P85" s="22" t="str">
        <f t="shared" si="214"/>
        <v>OBL In Destination - INDIA</v>
      </c>
      <c r="Q85" s="2"/>
      <c r="R85" s="2" t="str">
        <f t="shared" si="215"/>
        <v>CERTS in Destination - INDIA</v>
      </c>
      <c r="S85" s="2" t="str">
        <f t="shared" si="216"/>
        <v>Docs in Buyer's Nego Bank</v>
      </c>
      <c r="T85" s="2" t="str">
        <f>IFERROR(_xlfn.XLOOKUP(F85,
'[2]Data 2026'!$H$12:$H$111,
'[2]Data 2026'!$CL$12:$CL$111),"")</f>
        <v/>
      </c>
      <c r="U85" s="3" t="s">
        <v>626</v>
      </c>
      <c r="V85" s="272"/>
      <c r="W85" s="3"/>
      <c r="X85" s="24">
        <v>46073</v>
      </c>
      <c r="Y85" s="273">
        <v>20009588</v>
      </c>
      <c r="Z85" s="24">
        <v>46074</v>
      </c>
      <c r="AA85" s="182" t="s">
        <v>627</v>
      </c>
      <c r="AB85" s="182" t="s">
        <v>247</v>
      </c>
      <c r="AC85" s="203">
        <v>46082</v>
      </c>
      <c r="AD85" s="203">
        <v>46112</v>
      </c>
      <c r="AE85" s="30">
        <v>0.1</v>
      </c>
      <c r="AF85" s="508">
        <v>100.7</v>
      </c>
      <c r="AG85" s="35">
        <f t="shared" si="217"/>
        <v>90.63000000000001</v>
      </c>
      <c r="AH85" s="3" t="s">
        <v>215</v>
      </c>
      <c r="AI85" s="4">
        <v>1683</v>
      </c>
      <c r="AJ85" s="4">
        <v>850000</v>
      </c>
      <c r="AK85" s="3" t="s">
        <v>249</v>
      </c>
      <c r="AL85" s="3" t="s">
        <v>217</v>
      </c>
      <c r="AM85" s="30">
        <v>0</v>
      </c>
      <c r="AN85" s="183">
        <v>1</v>
      </c>
      <c r="AO85" s="183">
        <v>0</v>
      </c>
      <c r="AP85" s="28" t="s">
        <v>218</v>
      </c>
      <c r="AQ85" s="18" t="s">
        <v>250</v>
      </c>
      <c r="AR85" s="18" t="s">
        <v>251</v>
      </c>
      <c r="AS85" s="27"/>
      <c r="AT85" s="3" t="s">
        <v>220</v>
      </c>
      <c r="AU85" s="3" t="s">
        <v>220</v>
      </c>
      <c r="AV85" s="3" t="s">
        <v>220</v>
      </c>
      <c r="AW85" s="9"/>
      <c r="AX85" s="3"/>
      <c r="AY85" s="47"/>
      <c r="AZ85" s="275">
        <f t="shared" si="178"/>
        <v>0</v>
      </c>
      <c r="BA85" s="18">
        <v>46073</v>
      </c>
      <c r="BB85" s="22">
        <v>46078</v>
      </c>
      <c r="BC85" s="22"/>
      <c r="BD85" s="22"/>
      <c r="BE85" s="22"/>
      <c r="BF85" s="22">
        <v>46078</v>
      </c>
      <c r="BG85" s="18"/>
      <c r="BH85" s="18"/>
      <c r="BI85" s="3" t="s">
        <v>628</v>
      </c>
      <c r="BJ85" s="25">
        <v>100.7</v>
      </c>
      <c r="BK85" s="46" t="s">
        <v>222</v>
      </c>
      <c r="BL85" s="497">
        <v>4</v>
      </c>
      <c r="BM85" s="18">
        <v>46131</v>
      </c>
      <c r="BN85" s="4" t="s">
        <v>629</v>
      </c>
      <c r="BO85" s="18">
        <v>46178</v>
      </c>
      <c r="BP85" s="3" t="s">
        <v>278</v>
      </c>
      <c r="BQ85" s="21" t="s">
        <v>253</v>
      </c>
      <c r="BR85" s="2" t="s">
        <v>226</v>
      </c>
      <c r="BS85" s="2"/>
      <c r="BT85" s="2"/>
      <c r="BU85" s="2"/>
      <c r="BV85" s="20">
        <v>90085607</v>
      </c>
      <c r="BW85" s="19"/>
      <c r="BX85" s="46">
        <f t="shared" ref="BX85:BX107" si="223">BJ85*AI85</f>
        <v>169478.1</v>
      </c>
      <c r="BY85" s="22">
        <v>46149</v>
      </c>
      <c r="BZ85" s="22">
        <v>46149</v>
      </c>
      <c r="CA85" s="2">
        <v>8329298622</v>
      </c>
      <c r="CB85" s="22">
        <v>46155</v>
      </c>
      <c r="CC85" s="22"/>
      <c r="CD85" s="22"/>
      <c r="CE85" s="22" t="str">
        <f t="shared" si="220"/>
        <v>OBL In Destination - INDIA</v>
      </c>
      <c r="CF85" s="22"/>
      <c r="CG85" s="22"/>
      <c r="CH85" s="181">
        <v>46154</v>
      </c>
      <c r="CI85" s="182">
        <v>2418307986</v>
      </c>
      <c r="CJ85" s="181">
        <v>46160</v>
      </c>
      <c r="CK85" s="2" t="str">
        <f t="shared" si="218"/>
        <v>CERTS in Destination - INDIA</v>
      </c>
      <c r="CL85" s="48" t="s">
        <v>630</v>
      </c>
      <c r="CM85" s="22">
        <v>46157</v>
      </c>
      <c r="CN85" s="55">
        <v>4169619720</v>
      </c>
      <c r="CO85" s="495">
        <v>46162</v>
      </c>
      <c r="CP85" s="55" t="str">
        <f t="shared" si="179"/>
        <v>Docs in Buyer's Nego Bank</v>
      </c>
      <c r="CQ85" s="50">
        <f t="shared" si="205"/>
        <v>169478.1</v>
      </c>
      <c r="CR85" s="54"/>
      <c r="CS85" s="2"/>
      <c r="CT85" s="2"/>
      <c r="CU85" s="14" t="str">
        <f t="shared" si="180"/>
        <v/>
      </c>
      <c r="CV85" s="42" t="str">
        <f t="shared" si="181"/>
        <v/>
      </c>
      <c r="CW85" s="14" t="str">
        <f t="shared" si="182"/>
        <v/>
      </c>
      <c r="CX85" s="14" t="str">
        <f t="shared" si="183"/>
        <v/>
      </c>
      <c r="CY85" s="15" t="str">
        <f t="shared" si="184"/>
        <v/>
      </c>
      <c r="CZ85" s="2"/>
      <c r="DA85" s="41" t="str">
        <f t="shared" si="185"/>
        <v/>
      </c>
      <c r="DB85" s="2"/>
      <c r="DC85" s="39" t="str">
        <f t="shared" si="186"/>
        <v/>
      </c>
      <c r="DD85" s="40"/>
      <c r="DE85" s="16" t="str">
        <f t="shared" si="187"/>
        <v/>
      </c>
      <c r="DF85" s="2" t="str">
        <f t="shared" si="188"/>
        <v/>
      </c>
      <c r="DG85" s="14" t="str">
        <f t="shared" si="189"/>
        <v/>
      </c>
      <c r="DH85" s="2" t="str">
        <f t="shared" si="190"/>
        <v/>
      </c>
      <c r="DI85" s="39" t="str">
        <f t="shared" si="191"/>
        <v/>
      </c>
      <c r="DJ85" s="2" t="str">
        <f t="shared" si="192"/>
        <v/>
      </c>
      <c r="DK85" s="15" t="str">
        <f t="shared" si="193"/>
        <v/>
      </c>
      <c r="DL85" s="2"/>
      <c r="DM85" s="2"/>
      <c r="DN85" s="15" t="str">
        <f t="shared" si="194"/>
        <v/>
      </c>
      <c r="DO85" s="14" t="str">
        <f t="shared" si="195"/>
        <v/>
      </c>
      <c r="DP85" s="14" t="str">
        <f t="shared" si="196"/>
        <v/>
      </c>
      <c r="DQ85" s="15" t="str">
        <f t="shared" si="197"/>
        <v/>
      </c>
      <c r="DR85" s="15" t="str">
        <f t="shared" si="198"/>
        <v/>
      </c>
      <c r="DS85" s="2" t="str">
        <f t="shared" si="199"/>
        <v/>
      </c>
      <c r="DT85" s="2" t="str">
        <f t="shared" si="200"/>
        <v/>
      </c>
      <c r="DU85" s="2"/>
      <c r="DV85" s="2"/>
      <c r="DW85" s="2"/>
      <c r="DX85" s="2"/>
      <c r="DY85" s="2" t="s">
        <v>230</v>
      </c>
      <c r="DZ85" s="2"/>
      <c r="EA85" s="2" t="str">
        <f t="shared" si="201"/>
        <v/>
      </c>
      <c r="EB85" s="2"/>
      <c r="EC85" s="2"/>
      <c r="ED85" s="2"/>
      <c r="EE85" s="3">
        <v>4900008821</v>
      </c>
      <c r="EF85" s="7"/>
      <c r="EG85" s="3"/>
      <c r="EH85" s="3" t="s">
        <v>497</v>
      </c>
      <c r="EI85" s="3" t="s">
        <v>258</v>
      </c>
      <c r="EJ85" s="189">
        <v>100.7</v>
      </c>
      <c r="EK85" s="4">
        <v>1500</v>
      </c>
      <c r="EL85" s="9"/>
      <c r="EM85" s="9"/>
      <c r="EN85" s="46">
        <f t="shared" si="202"/>
        <v>151050</v>
      </c>
      <c r="EO85" s="3" t="s">
        <v>232</v>
      </c>
      <c r="EP85" s="8"/>
      <c r="EQ85" s="4"/>
      <c r="ER85" s="3">
        <v>106956.2</v>
      </c>
      <c r="ES85" s="7"/>
      <c r="ET85" s="7"/>
      <c r="EU85" s="6"/>
      <c r="EV85" s="2" t="str">
        <f t="shared" si="219"/>
        <v>Export Loan</v>
      </c>
      <c r="EW85" s="46"/>
      <c r="EX85" s="46">
        <f t="shared" si="203"/>
        <v>0</v>
      </c>
      <c r="EY85" s="46" t="s">
        <v>233</v>
      </c>
      <c r="EZ85" s="24"/>
      <c r="FA85" s="2">
        <v>22141463</v>
      </c>
      <c r="FB85" s="24"/>
      <c r="FC85" s="53"/>
      <c r="FD85" s="46">
        <f t="shared" si="204"/>
        <v>0</v>
      </c>
      <c r="FE85" s="52"/>
      <c r="FF85" s="52"/>
      <c r="FG85" s="49"/>
      <c r="FH85" s="49"/>
      <c r="FI85" s="49"/>
      <c r="FJ85" s="49"/>
      <c r="FK85" s="49"/>
      <c r="FL85" s="49">
        <f t="shared" si="206"/>
        <v>-46149</v>
      </c>
      <c r="FM85" s="180">
        <f t="shared" si="207"/>
        <v>46131</v>
      </c>
      <c r="FN85" s="49"/>
      <c r="FO85" s="49"/>
      <c r="FP85" s="49"/>
      <c r="FQ85" s="49"/>
      <c r="FR85" s="49"/>
      <c r="FS85" s="34">
        <f t="shared" si="176"/>
        <v>20009588</v>
      </c>
      <c r="FT85" s="34" t="str">
        <f t="shared" si="177"/>
        <v>32014566-2</v>
      </c>
      <c r="FU85" s="3"/>
      <c r="FV85" s="3"/>
      <c r="FW85" s="3"/>
      <c r="FX85" s="3"/>
      <c r="FY85" s="3"/>
      <c r="FZ85" s="3"/>
      <c r="GA85" s="3"/>
      <c r="GB85" s="4"/>
      <c r="GC85" s="3"/>
      <c r="GD85" s="182"/>
      <c r="GE85" s="2"/>
      <c r="GF85" s="2"/>
      <c r="GG85" s="2"/>
      <c r="GH85" s="2"/>
      <c r="GI85" s="2"/>
      <c r="GJ85" s="2"/>
      <c r="GK85" s="2"/>
      <c r="GL85" s="2"/>
      <c r="GM85" s="2"/>
      <c r="GN85" s="2"/>
    </row>
    <row r="86" spans="1:196" s="1" customFormat="1" ht="33.950000000000003">
      <c r="A86" s="2" t="str">
        <f t="shared" si="208"/>
        <v>Exp Dox Presented to Bank, Pmt Pending</v>
      </c>
      <c r="B86" s="281">
        <v>47</v>
      </c>
      <c r="C86" s="281">
        <v>200</v>
      </c>
      <c r="D86" s="182" t="s">
        <v>208</v>
      </c>
      <c r="E86" s="2" t="str">
        <f t="shared" si="209"/>
        <v>CLOSE POSITION</v>
      </c>
      <c r="F86" s="271" t="str">
        <f t="shared" ref="F86:F117" si="224">AA86</f>
        <v>32015968-1</v>
      </c>
      <c r="G86" s="271"/>
      <c r="H86" s="2" t="str">
        <f t="shared" si="211"/>
        <v>Valency Agro (Processing)</v>
      </c>
      <c r="I86" s="3" t="s">
        <v>259</v>
      </c>
      <c r="J86" s="2" t="s">
        <v>210</v>
      </c>
      <c r="K86" s="2" t="str">
        <f t="shared" si="212"/>
        <v>MANGALORE, INDIA</v>
      </c>
      <c r="L86" s="2" t="str">
        <f t="shared" si="147"/>
        <v>MEDUEY230918</v>
      </c>
      <c r="M86" s="2">
        <f t="shared" si="174"/>
        <v>243.65</v>
      </c>
      <c r="N86" s="22">
        <f t="shared" si="213"/>
        <v>46146</v>
      </c>
      <c r="O86" s="22">
        <f t="shared" si="222"/>
        <v>46172</v>
      </c>
      <c r="P86" s="22" t="str">
        <f t="shared" si="214"/>
        <v>OBL In Destination - INDIA</v>
      </c>
      <c r="Q86" s="330" t="s">
        <v>631</v>
      </c>
      <c r="R86" s="2" t="str">
        <f t="shared" si="215"/>
        <v>CERTS in Destination - INDIA</v>
      </c>
      <c r="S86" s="2" t="str">
        <f t="shared" si="216"/>
        <v>Docs in Buyer's Nego Bank</v>
      </c>
      <c r="T86" s="2"/>
      <c r="U86" s="3" t="s">
        <v>632</v>
      </c>
      <c r="V86" s="334"/>
      <c r="W86" s="3" t="s">
        <v>632</v>
      </c>
      <c r="X86" s="24"/>
      <c r="Y86" s="273">
        <v>20009857</v>
      </c>
      <c r="Z86" s="24">
        <v>46107</v>
      </c>
      <c r="AA86" s="182" t="s">
        <v>633</v>
      </c>
      <c r="AB86" s="182" t="s">
        <v>247</v>
      </c>
      <c r="AC86" s="182" t="s">
        <v>385</v>
      </c>
      <c r="AD86" s="181">
        <v>46142</v>
      </c>
      <c r="AE86" s="44">
        <v>0.1</v>
      </c>
      <c r="AF86" s="276">
        <v>250</v>
      </c>
      <c r="AG86" s="35">
        <f t="shared" si="217"/>
        <v>225</v>
      </c>
      <c r="AH86" s="3" t="s">
        <v>215</v>
      </c>
      <c r="AI86" s="35">
        <v>1508</v>
      </c>
      <c r="AJ86" s="35">
        <f t="shared" ref="AJ86:AJ94" si="225">AI86*AF86</f>
        <v>377000</v>
      </c>
      <c r="AK86" s="3" t="s">
        <v>249</v>
      </c>
      <c r="AL86" s="3" t="s">
        <v>238</v>
      </c>
      <c r="AM86" s="44">
        <v>0</v>
      </c>
      <c r="AN86" s="183">
        <v>1</v>
      </c>
      <c r="AO86" s="183">
        <v>0</v>
      </c>
      <c r="AP86" s="28" t="s">
        <v>218</v>
      </c>
      <c r="AQ86" s="18" t="s">
        <v>250</v>
      </c>
      <c r="AR86" s="18" t="s">
        <v>251</v>
      </c>
      <c r="AS86" s="27"/>
      <c r="AT86" s="3" t="s">
        <v>220</v>
      </c>
      <c r="AU86" s="3" t="s">
        <v>220</v>
      </c>
      <c r="AV86" s="3" t="s">
        <v>220</v>
      </c>
      <c r="AW86" s="9"/>
      <c r="AX86" s="3"/>
      <c r="AY86" s="47"/>
      <c r="AZ86" s="275">
        <f t="shared" si="178"/>
        <v>0</v>
      </c>
      <c r="BA86" s="18">
        <f>Z86</f>
        <v>46107</v>
      </c>
      <c r="BB86" s="22">
        <v>46077</v>
      </c>
      <c r="BC86" s="22"/>
      <c r="BD86" s="22"/>
      <c r="BE86" s="22"/>
      <c r="BF86" s="22">
        <v>46078</v>
      </c>
      <c r="BG86" s="18"/>
      <c r="BH86" s="18"/>
      <c r="BI86" s="21" t="s">
        <v>634</v>
      </c>
      <c r="BJ86" s="43">
        <v>243.65</v>
      </c>
      <c r="BK86" s="362" t="s">
        <v>222</v>
      </c>
      <c r="BL86" s="499">
        <v>10</v>
      </c>
      <c r="BM86" s="18">
        <v>46146</v>
      </c>
      <c r="BN86" s="363"/>
      <c r="BO86" s="18">
        <v>46172</v>
      </c>
      <c r="BP86" s="3" t="s">
        <v>259</v>
      </c>
      <c r="BQ86" s="21" t="s">
        <v>265</v>
      </c>
      <c r="BR86" s="2" t="s">
        <v>226</v>
      </c>
      <c r="BS86" s="2"/>
      <c r="BT86" s="2"/>
      <c r="BU86" s="2"/>
      <c r="BV86" s="20">
        <v>90085927</v>
      </c>
      <c r="BW86" s="19"/>
      <c r="BX86" s="46">
        <f t="shared" si="223"/>
        <v>367424.2</v>
      </c>
      <c r="BY86" s="22">
        <v>46149</v>
      </c>
      <c r="BZ86" s="22">
        <v>46157</v>
      </c>
      <c r="CA86" s="2">
        <v>4218950466</v>
      </c>
      <c r="CB86" s="22">
        <v>46162</v>
      </c>
      <c r="CC86" s="22"/>
      <c r="CD86" s="22"/>
      <c r="CE86" s="22" t="str">
        <f t="shared" si="220"/>
        <v>OBL In Destination - INDIA</v>
      </c>
      <c r="CF86" s="22"/>
      <c r="CG86" s="22"/>
      <c r="CH86" s="181">
        <v>46153</v>
      </c>
      <c r="CI86" s="419">
        <v>2046495802</v>
      </c>
      <c r="CJ86" s="181">
        <v>46160</v>
      </c>
      <c r="CK86" s="2" t="str">
        <f t="shared" si="218"/>
        <v>CERTS in Destination - INDIA</v>
      </c>
      <c r="CL86" s="48" t="s">
        <v>229</v>
      </c>
      <c r="CM86" s="22">
        <v>46163</v>
      </c>
      <c r="CN86" s="55">
        <v>9880105071</v>
      </c>
      <c r="CO86" s="495">
        <v>46168</v>
      </c>
      <c r="CP86" s="55" t="str">
        <f t="shared" si="179"/>
        <v>Docs in Buyer's Nego Bank</v>
      </c>
      <c r="CQ86" s="50">
        <f t="shared" si="205"/>
        <v>367424.2</v>
      </c>
      <c r="CR86" s="54"/>
      <c r="CS86" s="2"/>
      <c r="CT86" s="2"/>
      <c r="CU86" s="14" t="str">
        <f t="shared" si="180"/>
        <v/>
      </c>
      <c r="CV86" s="42" t="str">
        <f t="shared" si="181"/>
        <v/>
      </c>
      <c r="CW86" s="14" t="str">
        <f t="shared" si="182"/>
        <v/>
      </c>
      <c r="CX86" s="14" t="str">
        <f t="shared" si="183"/>
        <v/>
      </c>
      <c r="CY86" s="15" t="str">
        <f t="shared" si="184"/>
        <v/>
      </c>
      <c r="CZ86" s="2"/>
      <c r="DA86" s="41" t="str">
        <f t="shared" si="185"/>
        <v/>
      </c>
      <c r="DB86" s="2"/>
      <c r="DC86" s="39" t="str">
        <f t="shared" si="186"/>
        <v/>
      </c>
      <c r="DD86" s="40"/>
      <c r="DE86" s="16" t="str">
        <f t="shared" si="187"/>
        <v/>
      </c>
      <c r="DF86" s="2" t="str">
        <f t="shared" si="188"/>
        <v/>
      </c>
      <c r="DG86" s="14" t="str">
        <f t="shared" si="189"/>
        <v/>
      </c>
      <c r="DH86" s="2" t="str">
        <f t="shared" si="190"/>
        <v/>
      </c>
      <c r="DI86" s="39" t="str">
        <f t="shared" si="191"/>
        <v/>
      </c>
      <c r="DJ86" s="2" t="str">
        <f t="shared" si="192"/>
        <v/>
      </c>
      <c r="DK86" s="15" t="str">
        <f t="shared" si="193"/>
        <v/>
      </c>
      <c r="DL86" s="2"/>
      <c r="DM86" s="2"/>
      <c r="DN86" s="15" t="str">
        <f t="shared" si="194"/>
        <v/>
      </c>
      <c r="DO86" s="14" t="str">
        <f t="shared" si="195"/>
        <v/>
      </c>
      <c r="DP86" s="14" t="str">
        <f t="shared" si="196"/>
        <v/>
      </c>
      <c r="DQ86" s="15" t="str">
        <f t="shared" si="197"/>
        <v/>
      </c>
      <c r="DR86" s="15" t="str">
        <f t="shared" si="198"/>
        <v/>
      </c>
      <c r="DS86" s="2" t="str">
        <f t="shared" si="199"/>
        <v/>
      </c>
      <c r="DT86" s="2" t="str">
        <f t="shared" si="200"/>
        <v/>
      </c>
      <c r="DU86" s="2"/>
      <c r="DV86" s="2"/>
      <c r="DW86" s="2"/>
      <c r="DX86" s="2"/>
      <c r="DY86" s="2" t="s">
        <v>230</v>
      </c>
      <c r="DZ86" s="2"/>
      <c r="EA86" s="2" t="str">
        <f t="shared" si="201"/>
        <v/>
      </c>
      <c r="EB86" s="2"/>
      <c r="EC86" s="2"/>
      <c r="ED86" s="2"/>
      <c r="EE86" s="3">
        <v>4900009793</v>
      </c>
      <c r="EF86" s="7"/>
      <c r="EG86" s="3"/>
      <c r="EH86" s="3" t="s">
        <v>266</v>
      </c>
      <c r="EI86" s="3" t="s">
        <v>258</v>
      </c>
      <c r="EJ86" s="46">
        <f>BJ86</f>
        <v>243.65</v>
      </c>
      <c r="EK86" s="35">
        <v>1244</v>
      </c>
      <c r="EL86" s="9"/>
      <c r="EM86" s="9"/>
      <c r="EN86" s="46">
        <f t="shared" si="202"/>
        <v>303100.60000000003</v>
      </c>
      <c r="EO86" s="9"/>
      <c r="EP86" s="448"/>
      <c r="EQ86" s="35"/>
      <c r="ER86" s="35"/>
      <c r="ES86" s="7"/>
      <c r="ET86" s="7"/>
      <c r="EU86" s="6"/>
      <c r="EV86" s="2" t="str">
        <f t="shared" si="219"/>
        <v>Export Loan</v>
      </c>
      <c r="EW86" s="46"/>
      <c r="EX86" s="46">
        <f t="shared" si="203"/>
        <v>0</v>
      </c>
      <c r="EY86" s="46" t="s">
        <v>233</v>
      </c>
      <c r="EZ86" s="24"/>
      <c r="FA86" s="2" t="s">
        <v>635</v>
      </c>
      <c r="FB86" s="24">
        <v>46168</v>
      </c>
      <c r="FC86" s="53"/>
      <c r="FD86" s="46">
        <f t="shared" si="204"/>
        <v>0</v>
      </c>
      <c r="FE86" s="52"/>
      <c r="FF86" s="52"/>
      <c r="FG86" s="49"/>
      <c r="FH86" s="49"/>
      <c r="FI86" s="49"/>
      <c r="FJ86" s="49"/>
      <c r="FK86" s="49"/>
      <c r="FL86" s="49">
        <f t="shared" si="206"/>
        <v>-46149</v>
      </c>
      <c r="FM86" s="180">
        <f t="shared" si="207"/>
        <v>-22</v>
      </c>
      <c r="FN86" s="49"/>
      <c r="FO86" s="49"/>
      <c r="FP86" s="49"/>
      <c r="FQ86" s="49"/>
      <c r="FR86" s="49"/>
      <c r="FS86" s="34">
        <f t="shared" si="176"/>
        <v>20009857</v>
      </c>
      <c r="FT86" s="34" t="str">
        <f t="shared" si="177"/>
        <v>32015968-1</v>
      </c>
      <c r="FU86" s="3"/>
      <c r="FV86" s="3"/>
      <c r="FW86" s="3"/>
      <c r="FX86" s="3"/>
      <c r="FY86" s="3"/>
      <c r="FZ86" s="3"/>
      <c r="GA86" s="3"/>
      <c r="GB86" s="35"/>
      <c r="GC86" s="3"/>
      <c r="GD86" s="182"/>
      <c r="GE86" s="2"/>
      <c r="GF86" s="2"/>
      <c r="GG86" s="2"/>
      <c r="GH86" s="2"/>
      <c r="GI86" s="2"/>
      <c r="GJ86" s="2"/>
      <c r="GK86" s="2"/>
      <c r="GL86" s="2"/>
      <c r="GM86" s="2"/>
      <c r="GN86" s="2"/>
    </row>
    <row r="87" spans="1:196" s="1" customFormat="1" ht="33.950000000000003">
      <c r="A87" s="2" t="str">
        <f t="shared" si="208"/>
        <v>SI Sent, Shipment Awaited</v>
      </c>
      <c r="B87" s="281">
        <v>48</v>
      </c>
      <c r="C87" s="281">
        <v>200</v>
      </c>
      <c r="D87" s="182" t="s">
        <v>208</v>
      </c>
      <c r="E87" s="2" t="str">
        <f t="shared" si="209"/>
        <v>SHORT POSITION</v>
      </c>
      <c r="F87" s="271">
        <f t="shared" si="224"/>
        <v>32014574</v>
      </c>
      <c r="G87" s="271"/>
      <c r="H87" s="2" t="str">
        <f t="shared" si="211"/>
        <v xml:space="preserve">VALENCY AGRO //HSS//Sahena Cashew </v>
      </c>
      <c r="I87" s="3" t="s">
        <v>259</v>
      </c>
      <c r="J87" s="2" t="s">
        <v>210</v>
      </c>
      <c r="K87" s="2" t="str">
        <f t="shared" si="212"/>
        <v>KOLKATA, INDIA</v>
      </c>
      <c r="L87" s="2" t="str">
        <f t="shared" si="147"/>
        <v/>
      </c>
      <c r="M87" s="2" t="str">
        <f t="shared" si="174"/>
        <v/>
      </c>
      <c r="N87" s="22" t="str">
        <f t="shared" si="213"/>
        <v/>
      </c>
      <c r="O87" s="22" t="str">
        <f t="shared" si="222"/>
        <v/>
      </c>
      <c r="P87" s="22" t="str">
        <f t="shared" si="214"/>
        <v>No OBL Yet</v>
      </c>
      <c r="Q87" s="2"/>
      <c r="R87" s="2" t="str">
        <f t="shared" si="215"/>
        <v>No CERTS Yet</v>
      </c>
      <c r="S87" s="2" t="str">
        <f t="shared" si="216"/>
        <v/>
      </c>
      <c r="T87" s="2" t="s">
        <v>260</v>
      </c>
      <c r="U87" s="3" t="s">
        <v>636</v>
      </c>
      <c r="V87" s="272"/>
      <c r="W87" s="272"/>
      <c r="X87" s="24">
        <v>46074</v>
      </c>
      <c r="Y87" s="273">
        <v>20009584</v>
      </c>
      <c r="Z87" s="24">
        <v>46074</v>
      </c>
      <c r="AA87" s="182">
        <v>32014574</v>
      </c>
      <c r="AB87" s="182" t="s">
        <v>637</v>
      </c>
      <c r="AC87" s="182" t="s">
        <v>263</v>
      </c>
      <c r="AD87" s="181">
        <v>46142</v>
      </c>
      <c r="AE87" s="30">
        <v>0.05</v>
      </c>
      <c r="AF87" s="277">
        <v>100</v>
      </c>
      <c r="AG87" s="35">
        <f t="shared" si="217"/>
        <v>95</v>
      </c>
      <c r="AH87" s="3" t="s">
        <v>215</v>
      </c>
      <c r="AI87" s="4">
        <v>1515</v>
      </c>
      <c r="AJ87" s="4">
        <f t="shared" si="225"/>
        <v>151500</v>
      </c>
      <c r="AK87" s="3" t="s">
        <v>249</v>
      </c>
      <c r="AL87" s="3" t="s">
        <v>238</v>
      </c>
      <c r="AM87" s="30">
        <v>0</v>
      </c>
      <c r="AN87" s="183">
        <v>1</v>
      </c>
      <c r="AO87" s="183">
        <v>0</v>
      </c>
      <c r="AP87" s="28" t="s">
        <v>218</v>
      </c>
      <c r="AQ87" s="18" t="s">
        <v>331</v>
      </c>
      <c r="AR87" s="18" t="s">
        <v>251</v>
      </c>
      <c r="AS87" s="27"/>
      <c r="AT87" s="3" t="s">
        <v>220</v>
      </c>
      <c r="AU87" s="3" t="s">
        <v>220</v>
      </c>
      <c r="AV87" s="3" t="s">
        <v>220</v>
      </c>
      <c r="AW87" s="9"/>
      <c r="AX87" s="3"/>
      <c r="AY87" s="47"/>
      <c r="AZ87" s="275">
        <f t="shared" si="178"/>
        <v>0</v>
      </c>
      <c r="BA87" s="18"/>
      <c r="BB87" s="22">
        <v>46083</v>
      </c>
      <c r="BC87" s="22"/>
      <c r="BD87" s="22"/>
      <c r="BE87" s="22"/>
      <c r="BF87" s="22">
        <v>46083</v>
      </c>
      <c r="BG87" s="18"/>
      <c r="BH87" s="18"/>
      <c r="BI87" s="3"/>
      <c r="BJ87" s="25"/>
      <c r="BK87" s="46" t="s">
        <v>222</v>
      </c>
      <c r="BL87" s="497"/>
      <c r="BM87" s="18"/>
      <c r="BN87" s="4"/>
      <c r="BO87" s="18"/>
      <c r="BP87" s="3" t="s">
        <v>259</v>
      </c>
      <c r="BQ87" s="21" t="s">
        <v>609</v>
      </c>
      <c r="BR87" s="2"/>
      <c r="BS87" s="2"/>
      <c r="BT87" s="2"/>
      <c r="BU87" s="2"/>
      <c r="BV87" s="20"/>
      <c r="BW87" s="19"/>
      <c r="BX87" s="46">
        <f t="shared" si="223"/>
        <v>0</v>
      </c>
      <c r="BY87" s="22"/>
      <c r="BZ87" s="22"/>
      <c r="CA87" s="271"/>
      <c r="CB87" s="22"/>
      <c r="CC87" s="22"/>
      <c r="CD87" s="22"/>
      <c r="CE87" s="22" t="str">
        <f t="shared" si="220"/>
        <v>No OBL Yet</v>
      </c>
      <c r="CF87" s="22"/>
      <c r="CG87" s="22"/>
      <c r="CH87" s="182"/>
      <c r="CI87" s="182"/>
      <c r="CJ87" s="182"/>
      <c r="CK87" s="2" t="str">
        <f t="shared" si="218"/>
        <v>No CERTS Yet</v>
      </c>
      <c r="CL87" s="48"/>
      <c r="CM87" s="22"/>
      <c r="CN87" s="55"/>
      <c r="CO87" s="54"/>
      <c r="CP87" s="55" t="str">
        <f t="shared" si="179"/>
        <v/>
      </c>
      <c r="CQ87" s="50">
        <f t="shared" si="205"/>
        <v>0</v>
      </c>
      <c r="CR87" s="54"/>
      <c r="CS87" s="2"/>
      <c r="CT87" s="2"/>
      <c r="CU87" s="14" t="str">
        <f t="shared" si="180"/>
        <v/>
      </c>
      <c r="CV87" s="42" t="str">
        <f t="shared" si="181"/>
        <v/>
      </c>
      <c r="CW87" s="14" t="str">
        <f t="shared" si="182"/>
        <v/>
      </c>
      <c r="CX87" s="14" t="str">
        <f t="shared" si="183"/>
        <v/>
      </c>
      <c r="CY87" s="15" t="str">
        <f t="shared" si="184"/>
        <v/>
      </c>
      <c r="CZ87" s="2"/>
      <c r="DA87" s="41" t="str">
        <f t="shared" si="185"/>
        <v/>
      </c>
      <c r="DB87" s="2"/>
      <c r="DC87" s="39" t="str">
        <f t="shared" si="186"/>
        <v/>
      </c>
      <c r="DD87" s="40"/>
      <c r="DE87" s="16" t="str">
        <f t="shared" si="187"/>
        <v/>
      </c>
      <c r="DF87" s="2" t="str">
        <f t="shared" si="188"/>
        <v/>
      </c>
      <c r="DG87" s="14" t="str">
        <f t="shared" si="189"/>
        <v/>
      </c>
      <c r="DH87" s="2" t="str">
        <f t="shared" si="190"/>
        <v/>
      </c>
      <c r="DI87" s="39" t="str">
        <f t="shared" si="191"/>
        <v/>
      </c>
      <c r="DJ87" s="2" t="str">
        <f t="shared" si="192"/>
        <v/>
      </c>
      <c r="DK87" s="15" t="str">
        <f t="shared" si="193"/>
        <v/>
      </c>
      <c r="DL87" s="2"/>
      <c r="DM87" s="2"/>
      <c r="DN87" s="15" t="str">
        <f t="shared" si="194"/>
        <v/>
      </c>
      <c r="DO87" s="14" t="str">
        <f t="shared" si="195"/>
        <v/>
      </c>
      <c r="DP87" s="14" t="str">
        <f t="shared" si="196"/>
        <v/>
      </c>
      <c r="DQ87" s="15" t="str">
        <f t="shared" si="197"/>
        <v/>
      </c>
      <c r="DR87" s="15" t="str">
        <f t="shared" si="198"/>
        <v/>
      </c>
      <c r="DS87" s="2" t="str">
        <f t="shared" si="199"/>
        <v/>
      </c>
      <c r="DT87" s="2" t="str">
        <f t="shared" si="200"/>
        <v/>
      </c>
      <c r="DU87" s="2"/>
      <c r="DV87" s="2"/>
      <c r="DW87" s="2"/>
      <c r="DX87" s="2"/>
      <c r="DY87" s="2" t="s">
        <v>230</v>
      </c>
      <c r="DZ87" s="2"/>
      <c r="EA87" s="2" t="str">
        <f t="shared" si="201"/>
        <v/>
      </c>
      <c r="EB87" s="2"/>
      <c r="EC87" s="2"/>
      <c r="ED87" s="2"/>
      <c r="EE87" s="3"/>
      <c r="EF87" s="7"/>
      <c r="EG87" s="3"/>
      <c r="EH87" s="3" t="s">
        <v>266</v>
      </c>
      <c r="EI87" s="3"/>
      <c r="EJ87" s="189"/>
      <c r="EK87" s="4"/>
      <c r="EL87" s="9"/>
      <c r="EM87" s="9"/>
      <c r="EN87" s="46">
        <f t="shared" si="202"/>
        <v>0</v>
      </c>
      <c r="EO87" s="9"/>
      <c r="EP87" s="8"/>
      <c r="EQ87" s="4"/>
      <c r="ER87" s="4"/>
      <c r="ES87" s="7"/>
      <c r="ET87" s="7"/>
      <c r="EU87" s="6"/>
      <c r="EV87" s="2" t="str">
        <f t="shared" si="219"/>
        <v>Yet to load</v>
      </c>
      <c r="EW87" s="46"/>
      <c r="EX87" s="46" t="e">
        <f t="shared" si="203"/>
        <v>#DIV/0!</v>
      </c>
      <c r="EY87" s="46" t="s">
        <v>233</v>
      </c>
      <c r="EZ87" s="24"/>
      <c r="FA87" s="2"/>
      <c r="FB87" s="24"/>
      <c r="FC87" s="53"/>
      <c r="FD87" s="46">
        <f t="shared" si="204"/>
        <v>0</v>
      </c>
      <c r="FE87" s="52"/>
      <c r="FF87" s="52"/>
      <c r="FG87" s="49"/>
      <c r="FH87" s="49"/>
      <c r="FI87" s="49"/>
      <c r="FJ87" s="49"/>
      <c r="FK87" s="49"/>
      <c r="FL87" s="49">
        <f t="shared" si="206"/>
        <v>0</v>
      </c>
      <c r="FM87" s="180">
        <f t="shared" si="207"/>
        <v>0</v>
      </c>
      <c r="FN87" s="49"/>
      <c r="FO87" s="49"/>
      <c r="FP87" s="49"/>
      <c r="FQ87" s="49"/>
      <c r="FR87" s="49"/>
      <c r="FS87" s="34">
        <f t="shared" si="176"/>
        <v>20009584</v>
      </c>
      <c r="FT87" s="34">
        <f t="shared" si="177"/>
        <v>32014574</v>
      </c>
      <c r="FU87" s="3"/>
      <c r="FV87" s="3"/>
      <c r="FW87" s="3"/>
      <c r="FX87" s="3"/>
      <c r="FY87" s="3"/>
      <c r="FZ87" s="3"/>
      <c r="GA87" s="3"/>
      <c r="GB87" s="4"/>
      <c r="GC87" s="3"/>
      <c r="GD87" s="182"/>
      <c r="GE87" s="2"/>
      <c r="GF87" s="2"/>
      <c r="GG87" s="2"/>
      <c r="GH87" s="2"/>
      <c r="GI87" s="2"/>
      <c r="GJ87" s="2"/>
      <c r="GK87" s="2"/>
      <c r="GL87" s="2"/>
      <c r="GM87" s="2"/>
      <c r="GN87" s="2"/>
    </row>
    <row r="88" spans="1:196" s="1" customFormat="1" ht="33.950000000000003">
      <c r="A88" s="2" t="str">
        <f t="shared" si="208"/>
        <v>Exp Dox Presented to Bank, Pmt Pending</v>
      </c>
      <c r="B88" s="281">
        <v>47</v>
      </c>
      <c r="C88" s="281">
        <v>200</v>
      </c>
      <c r="D88" s="182" t="s">
        <v>208</v>
      </c>
      <c r="E88" s="2" t="str">
        <f t="shared" si="209"/>
        <v>CLOSE POSITION</v>
      </c>
      <c r="F88" s="271" t="str">
        <f t="shared" si="224"/>
        <v>32015968-2</v>
      </c>
      <c r="G88" s="271"/>
      <c r="H88" s="2" t="str">
        <f t="shared" si="211"/>
        <v>Valency Agro (Processing)</v>
      </c>
      <c r="I88" s="3" t="s">
        <v>259</v>
      </c>
      <c r="J88" s="2" t="s">
        <v>210</v>
      </c>
      <c r="K88" s="2" t="str">
        <f t="shared" si="212"/>
        <v>MANGALORE, INDIA</v>
      </c>
      <c r="L88" s="2" t="str">
        <f t="shared" si="147"/>
        <v>MEDUEY230876</v>
      </c>
      <c r="M88" s="2">
        <f t="shared" si="174"/>
        <v>242.73</v>
      </c>
      <c r="N88" s="22">
        <f t="shared" si="213"/>
        <v>46146</v>
      </c>
      <c r="O88" s="22">
        <f t="shared" si="222"/>
        <v>46172</v>
      </c>
      <c r="P88" s="22" t="str">
        <f t="shared" si="214"/>
        <v>OBL In Destination - INDIA</v>
      </c>
      <c r="Q88" s="330" t="s">
        <v>638</v>
      </c>
      <c r="R88" s="2" t="str">
        <f t="shared" si="215"/>
        <v>CERTS in Destination - INDIA</v>
      </c>
      <c r="S88" s="2" t="str">
        <f t="shared" si="216"/>
        <v>Docs in Buyer's Nego Bank</v>
      </c>
      <c r="T88" s="2"/>
      <c r="U88" s="3" t="s">
        <v>632</v>
      </c>
      <c r="V88" s="334"/>
      <c r="W88" s="3" t="s">
        <v>632</v>
      </c>
      <c r="X88" s="24"/>
      <c r="Y88" s="273">
        <v>20009857</v>
      </c>
      <c r="Z88" s="24">
        <v>46107</v>
      </c>
      <c r="AA88" s="182" t="s">
        <v>639</v>
      </c>
      <c r="AB88" s="182" t="s">
        <v>247</v>
      </c>
      <c r="AC88" s="182" t="s">
        <v>385</v>
      </c>
      <c r="AD88" s="181">
        <v>46142</v>
      </c>
      <c r="AE88" s="44">
        <v>0.1</v>
      </c>
      <c r="AF88" s="276">
        <v>250</v>
      </c>
      <c r="AG88" s="35">
        <f t="shared" si="217"/>
        <v>225</v>
      </c>
      <c r="AH88" s="3" t="s">
        <v>215</v>
      </c>
      <c r="AI88" s="35">
        <v>1508</v>
      </c>
      <c r="AJ88" s="35">
        <f t="shared" si="225"/>
        <v>377000</v>
      </c>
      <c r="AK88" s="3" t="s">
        <v>249</v>
      </c>
      <c r="AL88" s="3" t="s">
        <v>238</v>
      </c>
      <c r="AM88" s="44">
        <v>0</v>
      </c>
      <c r="AN88" s="183">
        <v>1</v>
      </c>
      <c r="AO88" s="183">
        <v>0</v>
      </c>
      <c r="AP88" s="28" t="s">
        <v>218</v>
      </c>
      <c r="AQ88" s="18" t="s">
        <v>250</v>
      </c>
      <c r="AR88" s="18" t="s">
        <v>251</v>
      </c>
      <c r="AS88" s="27"/>
      <c r="AT88" s="3" t="s">
        <v>220</v>
      </c>
      <c r="AU88" s="3" t="s">
        <v>220</v>
      </c>
      <c r="AV88" s="3" t="s">
        <v>220</v>
      </c>
      <c r="AW88" s="9"/>
      <c r="AX88" s="3"/>
      <c r="AY88" s="47"/>
      <c r="AZ88" s="275">
        <f t="shared" si="178"/>
        <v>0</v>
      </c>
      <c r="BA88" s="18">
        <f>Z88</f>
        <v>46107</v>
      </c>
      <c r="BB88" s="22">
        <v>46077</v>
      </c>
      <c r="BC88" s="22"/>
      <c r="BD88" s="22"/>
      <c r="BE88" s="22"/>
      <c r="BF88" s="22">
        <v>46078</v>
      </c>
      <c r="BG88" s="18"/>
      <c r="BH88" s="18"/>
      <c r="BI88" s="21" t="s">
        <v>640</v>
      </c>
      <c r="BJ88" s="43">
        <v>242.73</v>
      </c>
      <c r="BK88" s="362" t="s">
        <v>222</v>
      </c>
      <c r="BL88" s="499">
        <v>10</v>
      </c>
      <c r="BM88" s="18">
        <v>46146</v>
      </c>
      <c r="BN88" s="363"/>
      <c r="BO88" s="18">
        <v>46172</v>
      </c>
      <c r="BP88" s="3" t="s">
        <v>259</v>
      </c>
      <c r="BQ88" s="21" t="s">
        <v>265</v>
      </c>
      <c r="BR88" s="2" t="s">
        <v>226</v>
      </c>
      <c r="BS88" s="2"/>
      <c r="BT88" s="2"/>
      <c r="BU88" s="2"/>
      <c r="BV88" s="20">
        <v>90085928</v>
      </c>
      <c r="BW88" s="19"/>
      <c r="BX88" s="46">
        <f t="shared" si="223"/>
        <v>366036.83999999997</v>
      </c>
      <c r="BY88" s="22">
        <v>46149</v>
      </c>
      <c r="BZ88" s="22">
        <v>46157</v>
      </c>
      <c r="CA88" s="2">
        <v>4218950466</v>
      </c>
      <c r="CB88" s="22">
        <v>46162</v>
      </c>
      <c r="CC88" s="22"/>
      <c r="CD88" s="22"/>
      <c r="CE88" s="22" t="str">
        <f t="shared" si="220"/>
        <v>OBL In Destination - INDIA</v>
      </c>
      <c r="CF88" s="22"/>
      <c r="CG88" s="22"/>
      <c r="CH88" s="181">
        <v>46153</v>
      </c>
      <c r="CI88" s="419">
        <v>2046495802</v>
      </c>
      <c r="CJ88" s="181">
        <v>46160</v>
      </c>
      <c r="CK88" s="2" t="str">
        <f t="shared" si="218"/>
        <v>CERTS in Destination - INDIA</v>
      </c>
      <c r="CL88" s="48" t="s">
        <v>229</v>
      </c>
      <c r="CM88" s="22">
        <v>46163</v>
      </c>
      <c r="CN88" s="55">
        <v>9880105071</v>
      </c>
      <c r="CO88" s="495">
        <v>46168</v>
      </c>
      <c r="CP88" s="55" t="str">
        <f t="shared" si="179"/>
        <v>Docs in Buyer's Nego Bank</v>
      </c>
      <c r="CQ88" s="50">
        <f t="shared" si="205"/>
        <v>366036.83999999997</v>
      </c>
      <c r="CR88" s="54"/>
      <c r="CS88" s="2"/>
      <c r="CT88" s="2"/>
      <c r="CU88" s="14" t="str">
        <f t="shared" si="180"/>
        <v/>
      </c>
      <c r="CV88" s="42" t="str">
        <f t="shared" si="181"/>
        <v/>
      </c>
      <c r="CW88" s="14" t="str">
        <f t="shared" si="182"/>
        <v/>
      </c>
      <c r="CX88" s="14" t="str">
        <f t="shared" si="183"/>
        <v/>
      </c>
      <c r="CY88" s="15" t="str">
        <f t="shared" si="184"/>
        <v/>
      </c>
      <c r="CZ88" s="2"/>
      <c r="DA88" s="41" t="str">
        <f t="shared" si="185"/>
        <v/>
      </c>
      <c r="DB88" s="2"/>
      <c r="DC88" s="39" t="str">
        <f t="shared" si="186"/>
        <v/>
      </c>
      <c r="DD88" s="40"/>
      <c r="DE88" s="16" t="str">
        <f t="shared" si="187"/>
        <v/>
      </c>
      <c r="DF88" s="2" t="str">
        <f t="shared" si="188"/>
        <v/>
      </c>
      <c r="DG88" s="14" t="str">
        <f t="shared" si="189"/>
        <v/>
      </c>
      <c r="DH88" s="2" t="str">
        <f t="shared" si="190"/>
        <v/>
      </c>
      <c r="DI88" s="39" t="str">
        <f t="shared" si="191"/>
        <v/>
      </c>
      <c r="DJ88" s="2" t="str">
        <f t="shared" si="192"/>
        <v/>
      </c>
      <c r="DK88" s="15" t="str">
        <f t="shared" si="193"/>
        <v/>
      </c>
      <c r="DL88" s="2"/>
      <c r="DM88" s="2"/>
      <c r="DN88" s="15" t="str">
        <f t="shared" si="194"/>
        <v/>
      </c>
      <c r="DO88" s="14" t="str">
        <f t="shared" si="195"/>
        <v/>
      </c>
      <c r="DP88" s="14" t="str">
        <f t="shared" si="196"/>
        <v/>
      </c>
      <c r="DQ88" s="15" t="str">
        <f t="shared" si="197"/>
        <v/>
      </c>
      <c r="DR88" s="15" t="str">
        <f t="shared" si="198"/>
        <v/>
      </c>
      <c r="DS88" s="2" t="str">
        <f t="shared" si="199"/>
        <v/>
      </c>
      <c r="DT88" s="2" t="str">
        <f t="shared" si="200"/>
        <v/>
      </c>
      <c r="DU88" s="2"/>
      <c r="DV88" s="2"/>
      <c r="DW88" s="2"/>
      <c r="DX88" s="2"/>
      <c r="DY88" s="2" t="s">
        <v>230</v>
      </c>
      <c r="DZ88" s="2"/>
      <c r="EA88" s="2" t="str">
        <f t="shared" si="201"/>
        <v/>
      </c>
      <c r="EB88" s="2"/>
      <c r="EC88" s="2"/>
      <c r="ED88" s="2"/>
      <c r="EE88" s="3">
        <v>4900009793</v>
      </c>
      <c r="EF88" s="7"/>
      <c r="EG88" s="3"/>
      <c r="EH88" s="3" t="s">
        <v>266</v>
      </c>
      <c r="EI88" s="3" t="s">
        <v>258</v>
      </c>
      <c r="EJ88" s="46">
        <f>BJ88</f>
        <v>242.73</v>
      </c>
      <c r="EK88" s="35">
        <v>1244</v>
      </c>
      <c r="EL88" s="9"/>
      <c r="EM88" s="9"/>
      <c r="EN88" s="46">
        <f t="shared" si="202"/>
        <v>301956.12</v>
      </c>
      <c r="EO88" s="9"/>
      <c r="EP88" s="448"/>
      <c r="EQ88" s="35"/>
      <c r="ER88" s="35"/>
      <c r="ES88" s="7"/>
      <c r="ET88" s="7"/>
      <c r="EU88" s="6"/>
      <c r="EV88" s="2" t="str">
        <f t="shared" si="219"/>
        <v>Export Loan</v>
      </c>
      <c r="EW88" s="46"/>
      <c r="EX88" s="46">
        <f t="shared" si="203"/>
        <v>0</v>
      </c>
      <c r="EY88" s="46" t="s">
        <v>233</v>
      </c>
      <c r="EZ88" s="24"/>
      <c r="FA88" s="2" t="s">
        <v>641</v>
      </c>
      <c r="FB88" s="24">
        <v>46168</v>
      </c>
      <c r="FC88" s="53"/>
      <c r="FD88" s="46">
        <f t="shared" si="204"/>
        <v>0</v>
      </c>
      <c r="FE88" s="52"/>
      <c r="FF88" s="52"/>
      <c r="FG88" s="49"/>
      <c r="FH88" s="49"/>
      <c r="FI88" s="49"/>
      <c r="FJ88" s="49"/>
      <c r="FK88" s="49"/>
      <c r="FL88" s="49">
        <f t="shared" si="206"/>
        <v>-46149</v>
      </c>
      <c r="FM88" s="180">
        <f t="shared" si="207"/>
        <v>-22</v>
      </c>
      <c r="FN88" s="49"/>
      <c r="FO88" s="49"/>
      <c r="FP88" s="49"/>
      <c r="FQ88" s="49"/>
      <c r="FR88" s="49"/>
      <c r="FS88" s="34">
        <f t="shared" si="176"/>
        <v>20009857</v>
      </c>
      <c r="FT88" s="34" t="str">
        <f t="shared" si="177"/>
        <v>32015968-2</v>
      </c>
      <c r="FU88" s="3"/>
      <c r="FV88" s="3"/>
      <c r="FW88" s="3"/>
      <c r="FX88" s="3"/>
      <c r="FY88" s="3"/>
      <c r="FZ88" s="3"/>
      <c r="GA88" s="3"/>
      <c r="GB88" s="35"/>
      <c r="GC88" s="3"/>
      <c r="GD88" s="182"/>
      <c r="GE88" s="2"/>
      <c r="GF88" s="2"/>
      <c r="GG88" s="2"/>
      <c r="GH88" s="2"/>
      <c r="GI88" s="2"/>
      <c r="GJ88" s="2"/>
      <c r="GK88" s="2"/>
      <c r="GL88" s="2"/>
      <c r="GM88" s="2"/>
      <c r="GN88" s="2"/>
    </row>
    <row r="89" spans="1:196" s="1" customFormat="1" ht="33.950000000000003">
      <c r="A89" s="2" t="str">
        <f t="shared" si="208"/>
        <v>SI Sent, Shipment Awaited</v>
      </c>
      <c r="B89" s="281">
        <v>48</v>
      </c>
      <c r="C89" s="281">
        <v>200</v>
      </c>
      <c r="D89" s="182" t="s">
        <v>208</v>
      </c>
      <c r="E89" s="2" t="str">
        <f t="shared" si="209"/>
        <v>SHORT POSITION</v>
      </c>
      <c r="F89" s="271">
        <f t="shared" si="224"/>
        <v>32014572</v>
      </c>
      <c r="G89" s="271"/>
      <c r="H89" s="2" t="str">
        <f t="shared" si="211"/>
        <v xml:space="preserve">VALENCY AGRO //HSS//Samridhi Cashew </v>
      </c>
      <c r="I89" s="3" t="s">
        <v>259</v>
      </c>
      <c r="J89" s="2" t="s">
        <v>210</v>
      </c>
      <c r="K89" s="2" t="str">
        <f t="shared" si="212"/>
        <v>KOLKATA, INDIA</v>
      </c>
      <c r="L89" s="2" t="str">
        <f t="shared" si="147"/>
        <v/>
      </c>
      <c r="M89" s="2" t="str">
        <f t="shared" si="174"/>
        <v/>
      </c>
      <c r="N89" s="22" t="str">
        <f t="shared" si="213"/>
        <v/>
      </c>
      <c r="O89" s="22" t="str">
        <f t="shared" si="222"/>
        <v/>
      </c>
      <c r="P89" s="22" t="str">
        <f t="shared" si="214"/>
        <v>No OBL Yet</v>
      </c>
      <c r="Q89" s="2"/>
      <c r="R89" s="2" t="str">
        <f t="shared" si="215"/>
        <v>No CERTS Yet</v>
      </c>
      <c r="S89" s="2" t="str">
        <f t="shared" si="216"/>
        <v/>
      </c>
      <c r="T89" s="2" t="s">
        <v>260</v>
      </c>
      <c r="U89" s="3" t="s">
        <v>642</v>
      </c>
      <c r="V89" s="272"/>
      <c r="W89" s="272"/>
      <c r="X89" s="24">
        <v>46073</v>
      </c>
      <c r="Y89" s="273">
        <v>20009583</v>
      </c>
      <c r="Z89" s="24">
        <v>46073</v>
      </c>
      <c r="AA89" s="182">
        <v>32014572</v>
      </c>
      <c r="AB89" s="182" t="s">
        <v>643</v>
      </c>
      <c r="AC89" s="182" t="s">
        <v>263</v>
      </c>
      <c r="AD89" s="181">
        <v>46142</v>
      </c>
      <c r="AE89" s="30">
        <v>0.05</v>
      </c>
      <c r="AF89" s="277">
        <v>100</v>
      </c>
      <c r="AG89" s="35">
        <f t="shared" si="217"/>
        <v>95</v>
      </c>
      <c r="AH89" s="3" t="s">
        <v>215</v>
      </c>
      <c r="AI89" s="4">
        <v>1515</v>
      </c>
      <c r="AJ89" s="4">
        <f t="shared" si="225"/>
        <v>151500</v>
      </c>
      <c r="AK89" s="3" t="s">
        <v>249</v>
      </c>
      <c r="AL89" s="3" t="s">
        <v>238</v>
      </c>
      <c r="AM89" s="30">
        <v>0</v>
      </c>
      <c r="AN89" s="183">
        <v>1</v>
      </c>
      <c r="AO89" s="183">
        <v>0</v>
      </c>
      <c r="AP89" s="28" t="s">
        <v>218</v>
      </c>
      <c r="AQ89" s="18" t="s">
        <v>331</v>
      </c>
      <c r="AR89" s="18" t="s">
        <v>251</v>
      </c>
      <c r="AS89" s="27"/>
      <c r="AT89" s="3" t="s">
        <v>220</v>
      </c>
      <c r="AU89" s="3" t="s">
        <v>220</v>
      </c>
      <c r="AV89" s="3" t="s">
        <v>220</v>
      </c>
      <c r="AW89" s="9"/>
      <c r="AX89" s="3"/>
      <c r="AY89" s="47"/>
      <c r="AZ89" s="275">
        <f t="shared" si="178"/>
        <v>0</v>
      </c>
      <c r="BA89" s="18"/>
      <c r="BB89" s="22">
        <v>46083</v>
      </c>
      <c r="BC89" s="22"/>
      <c r="BD89" s="22"/>
      <c r="BE89" s="22"/>
      <c r="BF89" s="22">
        <v>46083</v>
      </c>
      <c r="BG89" s="18"/>
      <c r="BH89" s="18"/>
      <c r="BI89" s="3"/>
      <c r="BJ89" s="25"/>
      <c r="BK89" s="46" t="s">
        <v>222</v>
      </c>
      <c r="BL89" s="497"/>
      <c r="BM89" s="18"/>
      <c r="BN89" s="4"/>
      <c r="BO89" s="18"/>
      <c r="BP89" s="3" t="s">
        <v>259</v>
      </c>
      <c r="BQ89" s="21" t="s">
        <v>609</v>
      </c>
      <c r="BR89" s="2"/>
      <c r="BS89" s="2"/>
      <c r="BT89" s="2"/>
      <c r="BU89" s="2"/>
      <c r="BV89" s="20"/>
      <c r="BW89" s="19"/>
      <c r="BX89" s="46">
        <f t="shared" si="223"/>
        <v>0</v>
      </c>
      <c r="BY89" s="22"/>
      <c r="BZ89" s="22"/>
      <c r="CA89" s="271"/>
      <c r="CB89" s="22"/>
      <c r="CC89" s="22"/>
      <c r="CD89" s="22"/>
      <c r="CE89" s="22" t="str">
        <f t="shared" si="220"/>
        <v>No OBL Yet</v>
      </c>
      <c r="CF89" s="22"/>
      <c r="CG89" s="22"/>
      <c r="CH89" s="182"/>
      <c r="CI89" s="182"/>
      <c r="CJ89" s="182"/>
      <c r="CK89" s="2" t="str">
        <f t="shared" si="218"/>
        <v>No CERTS Yet</v>
      </c>
      <c r="CL89" s="48"/>
      <c r="CM89" s="22"/>
      <c r="CN89" s="55"/>
      <c r="CO89" s="54"/>
      <c r="CP89" s="55" t="str">
        <f t="shared" si="179"/>
        <v/>
      </c>
      <c r="CQ89" s="50">
        <f t="shared" si="205"/>
        <v>0</v>
      </c>
      <c r="CR89" s="54"/>
      <c r="CS89" s="2"/>
      <c r="CT89" s="2"/>
      <c r="CU89" s="14" t="str">
        <f t="shared" si="180"/>
        <v/>
      </c>
      <c r="CV89" s="42" t="str">
        <f t="shared" si="181"/>
        <v/>
      </c>
      <c r="CW89" s="14" t="str">
        <f t="shared" si="182"/>
        <v/>
      </c>
      <c r="CX89" s="14" t="str">
        <f t="shared" si="183"/>
        <v/>
      </c>
      <c r="CY89" s="15" t="str">
        <f t="shared" si="184"/>
        <v/>
      </c>
      <c r="CZ89" s="2"/>
      <c r="DA89" s="41" t="str">
        <f t="shared" si="185"/>
        <v/>
      </c>
      <c r="DB89" s="2"/>
      <c r="DC89" s="39" t="str">
        <f t="shared" si="186"/>
        <v/>
      </c>
      <c r="DD89" s="40"/>
      <c r="DE89" s="16" t="str">
        <f t="shared" si="187"/>
        <v/>
      </c>
      <c r="DF89" s="2" t="str">
        <f t="shared" si="188"/>
        <v/>
      </c>
      <c r="DG89" s="14" t="str">
        <f t="shared" si="189"/>
        <v/>
      </c>
      <c r="DH89" s="2" t="str">
        <f t="shared" si="190"/>
        <v/>
      </c>
      <c r="DI89" s="39" t="str">
        <f t="shared" si="191"/>
        <v/>
      </c>
      <c r="DJ89" s="2" t="str">
        <f t="shared" si="192"/>
        <v/>
      </c>
      <c r="DK89" s="15" t="str">
        <f t="shared" si="193"/>
        <v/>
      </c>
      <c r="DL89" s="2"/>
      <c r="DM89" s="2"/>
      <c r="DN89" s="15" t="str">
        <f t="shared" si="194"/>
        <v/>
      </c>
      <c r="DO89" s="14" t="str">
        <f t="shared" si="195"/>
        <v/>
      </c>
      <c r="DP89" s="14" t="str">
        <f t="shared" si="196"/>
        <v/>
      </c>
      <c r="DQ89" s="15" t="str">
        <f t="shared" si="197"/>
        <v/>
      </c>
      <c r="DR89" s="15" t="str">
        <f t="shared" si="198"/>
        <v/>
      </c>
      <c r="DS89" s="2" t="str">
        <f t="shared" si="199"/>
        <v/>
      </c>
      <c r="DT89" s="2" t="str">
        <f t="shared" si="200"/>
        <v/>
      </c>
      <c r="DU89" s="2"/>
      <c r="DV89" s="2"/>
      <c r="DW89" s="2"/>
      <c r="DX89" s="2"/>
      <c r="DY89" s="2" t="s">
        <v>230</v>
      </c>
      <c r="DZ89" s="2"/>
      <c r="EA89" s="2" t="str">
        <f t="shared" si="201"/>
        <v/>
      </c>
      <c r="EB89" s="2"/>
      <c r="EC89" s="2"/>
      <c r="ED89" s="2"/>
      <c r="EE89" s="3"/>
      <c r="EF89" s="7"/>
      <c r="EG89" s="3"/>
      <c r="EH89" s="3" t="s">
        <v>266</v>
      </c>
      <c r="EI89" s="3"/>
      <c r="EJ89" s="189"/>
      <c r="EK89" s="4"/>
      <c r="EL89" s="9"/>
      <c r="EM89" s="9"/>
      <c r="EN89" s="46">
        <f t="shared" si="202"/>
        <v>0</v>
      </c>
      <c r="EO89" s="9"/>
      <c r="EP89" s="8"/>
      <c r="EQ89" s="4"/>
      <c r="ER89" s="4"/>
      <c r="ES89" s="7"/>
      <c r="ET89" s="7"/>
      <c r="EU89" s="6"/>
      <c r="EV89" s="2" t="str">
        <f t="shared" si="219"/>
        <v>Yet to load</v>
      </c>
      <c r="EW89" s="46"/>
      <c r="EX89" s="46" t="e">
        <f t="shared" si="203"/>
        <v>#DIV/0!</v>
      </c>
      <c r="EY89" s="46" t="s">
        <v>233</v>
      </c>
      <c r="EZ89" s="24"/>
      <c r="FA89" s="2"/>
      <c r="FB89" s="24"/>
      <c r="FC89" s="53"/>
      <c r="FD89" s="46">
        <f t="shared" si="204"/>
        <v>0</v>
      </c>
      <c r="FE89" s="52"/>
      <c r="FF89" s="52"/>
      <c r="FG89" s="49"/>
      <c r="FH89" s="49"/>
      <c r="FI89" s="49"/>
      <c r="FJ89" s="49"/>
      <c r="FK89" s="49"/>
      <c r="FL89" s="49">
        <f t="shared" si="206"/>
        <v>0</v>
      </c>
      <c r="FM89" s="180">
        <f t="shared" si="207"/>
        <v>0</v>
      </c>
      <c r="FN89" s="49"/>
      <c r="FO89" s="49"/>
      <c r="FP89" s="49"/>
      <c r="FQ89" s="49"/>
      <c r="FR89" s="49"/>
      <c r="FS89" s="34">
        <f t="shared" si="176"/>
        <v>20009583</v>
      </c>
      <c r="FT89" s="34">
        <f t="shared" si="177"/>
        <v>32014572</v>
      </c>
      <c r="FU89" s="3"/>
      <c r="FV89" s="3"/>
      <c r="FW89" s="3"/>
      <c r="FX89" s="3"/>
      <c r="FY89" s="3"/>
      <c r="FZ89" s="3"/>
      <c r="GA89" s="3"/>
      <c r="GB89" s="4"/>
      <c r="GC89" s="3"/>
      <c r="GD89" s="182"/>
      <c r="GE89" s="3"/>
      <c r="GF89" s="3"/>
      <c r="GG89" s="3"/>
      <c r="GH89" s="3"/>
      <c r="GI89" s="3"/>
      <c r="GJ89" s="3"/>
      <c r="GK89" s="3"/>
      <c r="GL89" s="3"/>
      <c r="GM89" s="3"/>
      <c r="GN89" s="3"/>
    </row>
    <row r="90" spans="1:196" s="1" customFormat="1" ht="68.099999999999994">
      <c r="A90" s="2" t="str">
        <f t="shared" si="208"/>
        <v>Sailed, OBL &amp; Certs Pending</v>
      </c>
      <c r="B90" s="281">
        <v>48</v>
      </c>
      <c r="C90" s="281">
        <v>200</v>
      </c>
      <c r="D90" s="182" t="s">
        <v>208</v>
      </c>
      <c r="E90" s="2" t="str">
        <f t="shared" si="209"/>
        <v>CLOSE POSITION</v>
      </c>
      <c r="F90" s="271" t="str">
        <f t="shared" si="224"/>
        <v>32015124-1</v>
      </c>
      <c r="G90" s="271"/>
      <c r="H90" s="2" t="str">
        <f t="shared" si="211"/>
        <v>VALENCY AGRO //HSS//Ashik Traders</v>
      </c>
      <c r="I90" s="3" t="s">
        <v>644</v>
      </c>
      <c r="J90" s="2" t="s">
        <v>210</v>
      </c>
      <c r="K90" s="2" t="str">
        <f t="shared" si="212"/>
        <v>TUTICORIN, INDIA</v>
      </c>
      <c r="L90" s="2" t="str">
        <f t="shared" si="147"/>
        <v>MEDUCN099865</v>
      </c>
      <c r="M90" s="2">
        <f t="shared" ref="M90:M121" si="226">IF(BJ90&lt;&gt;0,BJ90,"")</f>
        <v>47.493000000000002</v>
      </c>
      <c r="N90" s="22">
        <f t="shared" si="213"/>
        <v>46150</v>
      </c>
      <c r="O90" s="22">
        <f t="shared" si="222"/>
        <v>46205</v>
      </c>
      <c r="P90" s="22" t="str">
        <f t="shared" si="214"/>
        <v>Draft Rcvd</v>
      </c>
      <c r="Q90" s="2"/>
      <c r="R90" s="2" t="str">
        <f t="shared" si="215"/>
        <v>No CERTS Yet</v>
      </c>
      <c r="S90" s="2" t="str">
        <f t="shared" si="216"/>
        <v/>
      </c>
      <c r="T90" s="2" t="s">
        <v>645</v>
      </c>
      <c r="U90" s="438" t="s">
        <v>646</v>
      </c>
      <c r="V90" s="272"/>
      <c r="W90" s="450" t="s">
        <v>647</v>
      </c>
      <c r="X90" s="24"/>
      <c r="Y90" s="273">
        <v>20009683</v>
      </c>
      <c r="Z90" s="24">
        <v>46086</v>
      </c>
      <c r="AA90" s="182" t="s">
        <v>648</v>
      </c>
      <c r="AB90" s="182" t="s">
        <v>649</v>
      </c>
      <c r="AC90" s="182" t="s">
        <v>248</v>
      </c>
      <c r="AD90" s="181">
        <v>46112</v>
      </c>
      <c r="AE90" s="30">
        <v>0.05</v>
      </c>
      <c r="AF90" s="277">
        <v>50</v>
      </c>
      <c r="AG90" s="35">
        <f t="shared" si="217"/>
        <v>47.5</v>
      </c>
      <c r="AH90" s="3" t="s">
        <v>215</v>
      </c>
      <c r="AI90" s="4">
        <v>1475</v>
      </c>
      <c r="AJ90" s="4">
        <f t="shared" si="225"/>
        <v>73750</v>
      </c>
      <c r="AK90" s="3" t="s">
        <v>249</v>
      </c>
      <c r="AL90" s="3" t="s">
        <v>238</v>
      </c>
      <c r="AM90" s="30">
        <v>0</v>
      </c>
      <c r="AN90" s="183">
        <v>1</v>
      </c>
      <c r="AO90" s="183">
        <v>0</v>
      </c>
      <c r="AP90" s="28" t="s">
        <v>218</v>
      </c>
      <c r="AQ90" s="18" t="s">
        <v>239</v>
      </c>
      <c r="AR90" s="18" t="s">
        <v>251</v>
      </c>
      <c r="AS90" s="27"/>
      <c r="AT90" s="3" t="s">
        <v>220</v>
      </c>
      <c r="AU90" s="3" t="s">
        <v>220</v>
      </c>
      <c r="AV90" s="3" t="s">
        <v>220</v>
      </c>
      <c r="AW90" s="9"/>
      <c r="AX90" s="3"/>
      <c r="AY90" s="47"/>
      <c r="AZ90" s="275">
        <f t="shared" si="178"/>
        <v>0</v>
      </c>
      <c r="BA90" s="18">
        <f>Z90</f>
        <v>46086</v>
      </c>
      <c r="BB90" s="22">
        <v>46091</v>
      </c>
      <c r="BC90" s="22"/>
      <c r="BD90" s="22"/>
      <c r="BE90" s="22"/>
      <c r="BF90" s="22"/>
      <c r="BG90" s="18"/>
      <c r="BH90" s="18"/>
      <c r="BI90" s="3" t="s">
        <v>650</v>
      </c>
      <c r="BJ90" s="25">
        <v>47.493000000000002</v>
      </c>
      <c r="BK90" s="46" t="s">
        <v>222</v>
      </c>
      <c r="BL90" s="497">
        <v>2</v>
      </c>
      <c r="BM90" s="18">
        <v>46150</v>
      </c>
      <c r="BN90" s="4"/>
      <c r="BO90" s="18">
        <v>46205</v>
      </c>
      <c r="BP90" s="3" t="s">
        <v>651</v>
      </c>
      <c r="BQ90" s="21" t="s">
        <v>346</v>
      </c>
      <c r="BR90" s="2" t="s">
        <v>226</v>
      </c>
      <c r="BS90" s="2"/>
      <c r="BT90" s="2"/>
      <c r="BU90" s="2"/>
      <c r="BV90" s="20"/>
      <c r="BW90" s="19"/>
      <c r="BX90" s="46">
        <f t="shared" si="223"/>
        <v>70052.175000000003</v>
      </c>
      <c r="BY90" s="22">
        <v>46146</v>
      </c>
      <c r="BZ90" s="22"/>
      <c r="CA90" s="22"/>
      <c r="CB90" s="22"/>
      <c r="CC90" s="22"/>
      <c r="CD90" s="22"/>
      <c r="CE90" s="22" t="str">
        <f t="shared" si="220"/>
        <v>Draft Rcvd</v>
      </c>
      <c r="CF90" s="22"/>
      <c r="CG90" s="22"/>
      <c r="CH90" s="182"/>
      <c r="CI90" s="182"/>
      <c r="CJ90" s="182"/>
      <c r="CK90" s="2" t="str">
        <f t="shared" si="218"/>
        <v>No CERTS Yet</v>
      </c>
      <c r="CL90" s="48"/>
      <c r="CM90" s="22"/>
      <c r="CN90" s="55"/>
      <c r="CO90" s="54"/>
      <c r="CP90" s="55" t="str">
        <f t="shared" si="179"/>
        <v/>
      </c>
      <c r="CQ90" s="50">
        <f t="shared" si="205"/>
        <v>70052.175000000003</v>
      </c>
      <c r="CR90" s="54"/>
      <c r="CS90" s="2"/>
      <c r="CT90" s="2"/>
      <c r="CU90" s="14" t="str">
        <f t="shared" si="180"/>
        <v/>
      </c>
      <c r="CV90" s="42" t="str">
        <f t="shared" si="181"/>
        <v/>
      </c>
      <c r="CW90" s="14" t="str">
        <f t="shared" si="182"/>
        <v/>
      </c>
      <c r="CX90" s="14" t="str">
        <f t="shared" si="183"/>
        <v/>
      </c>
      <c r="CY90" s="15" t="str">
        <f t="shared" si="184"/>
        <v/>
      </c>
      <c r="CZ90" s="2"/>
      <c r="DA90" s="41" t="str">
        <f t="shared" si="185"/>
        <v/>
      </c>
      <c r="DB90" s="2"/>
      <c r="DC90" s="39" t="str">
        <f t="shared" si="186"/>
        <v/>
      </c>
      <c r="DD90" s="40"/>
      <c r="DE90" s="16" t="str">
        <f t="shared" si="187"/>
        <v/>
      </c>
      <c r="DF90" s="2" t="str">
        <f t="shared" si="188"/>
        <v/>
      </c>
      <c r="DG90" s="14" t="str">
        <f t="shared" si="189"/>
        <v/>
      </c>
      <c r="DH90" s="2" t="str">
        <f t="shared" si="190"/>
        <v/>
      </c>
      <c r="DI90" s="39" t="str">
        <f t="shared" si="191"/>
        <v/>
      </c>
      <c r="DJ90" s="2" t="str">
        <f t="shared" si="192"/>
        <v/>
      </c>
      <c r="DK90" s="15" t="str">
        <f t="shared" si="193"/>
        <v/>
      </c>
      <c r="DL90" s="2"/>
      <c r="DM90" s="2"/>
      <c r="DN90" s="15" t="str">
        <f t="shared" si="194"/>
        <v/>
      </c>
      <c r="DO90" s="14" t="str">
        <f t="shared" si="195"/>
        <v/>
      </c>
      <c r="DP90" s="14" t="str">
        <f t="shared" si="196"/>
        <v/>
      </c>
      <c r="DQ90" s="15" t="str">
        <f t="shared" si="197"/>
        <v/>
      </c>
      <c r="DR90" s="15" t="str">
        <f t="shared" si="198"/>
        <v/>
      </c>
      <c r="DS90" s="2" t="str">
        <f t="shared" si="199"/>
        <v/>
      </c>
      <c r="DT90" s="2" t="str">
        <f t="shared" si="200"/>
        <v/>
      </c>
      <c r="DU90" s="2"/>
      <c r="DV90" s="2"/>
      <c r="DW90" s="2"/>
      <c r="DX90" s="2"/>
      <c r="DY90" s="2" t="s">
        <v>230</v>
      </c>
      <c r="DZ90" s="2"/>
      <c r="EA90" s="2" t="str">
        <f t="shared" si="201"/>
        <v/>
      </c>
      <c r="EB90" s="2"/>
      <c r="EC90" s="2"/>
      <c r="ED90" s="2"/>
      <c r="EE90" s="3">
        <v>4900009228</v>
      </c>
      <c r="EF90" s="7"/>
      <c r="EG90" s="3"/>
      <c r="EH90" s="3" t="s">
        <v>652</v>
      </c>
      <c r="EI90" s="3"/>
      <c r="EJ90" s="189">
        <v>50</v>
      </c>
      <c r="EK90" s="4">
        <v>1275</v>
      </c>
      <c r="EL90" s="9"/>
      <c r="EM90" s="9"/>
      <c r="EN90" s="46">
        <f t="shared" si="202"/>
        <v>63750</v>
      </c>
      <c r="EO90" s="9"/>
      <c r="EP90" s="8"/>
      <c r="EQ90" s="4"/>
      <c r="ER90" s="4"/>
      <c r="ES90" s="7"/>
      <c r="ET90" s="7"/>
      <c r="EU90" s="6"/>
      <c r="EV90" s="2" t="str">
        <f t="shared" si="219"/>
        <v>Yet to load</v>
      </c>
      <c r="EW90" s="46"/>
      <c r="EX90" s="46">
        <f t="shared" si="203"/>
        <v>0</v>
      </c>
      <c r="EY90" s="46" t="s">
        <v>233</v>
      </c>
      <c r="EZ90" s="24"/>
      <c r="FA90" s="2"/>
      <c r="FB90" s="24"/>
      <c r="FC90" s="53"/>
      <c r="FD90" s="46">
        <f t="shared" si="204"/>
        <v>0</v>
      </c>
      <c r="FE90" s="52"/>
      <c r="FF90" s="52"/>
      <c r="FG90" s="49"/>
      <c r="FH90" s="49"/>
      <c r="FI90" s="49"/>
      <c r="FJ90" s="49"/>
      <c r="FK90" s="49"/>
      <c r="FL90" s="49">
        <f t="shared" si="206"/>
        <v>-46146</v>
      </c>
      <c r="FM90" s="180">
        <f t="shared" si="207"/>
        <v>46150</v>
      </c>
      <c r="FN90" s="49"/>
      <c r="FO90" s="49"/>
      <c r="FP90" s="49"/>
      <c r="FQ90" s="49"/>
      <c r="FR90" s="49"/>
      <c r="FS90" s="34">
        <f t="shared" si="176"/>
        <v>20009683</v>
      </c>
      <c r="FT90" s="34" t="str">
        <f t="shared" si="177"/>
        <v>32015124-1</v>
      </c>
      <c r="FU90" s="3"/>
      <c r="FV90" s="3"/>
      <c r="FW90" s="3"/>
      <c r="FX90" s="3"/>
      <c r="FY90" s="3"/>
      <c r="FZ90" s="3"/>
      <c r="GA90" s="3"/>
      <c r="GB90" s="4"/>
      <c r="GC90" s="3"/>
      <c r="GD90" s="182"/>
      <c r="GE90" s="3"/>
      <c r="GF90" s="3"/>
      <c r="GG90" s="3"/>
      <c r="GH90" s="3"/>
      <c r="GI90" s="3"/>
      <c r="GJ90" s="3"/>
      <c r="GK90" s="3"/>
      <c r="GL90" s="3"/>
      <c r="GM90" s="3"/>
      <c r="GN90" s="3"/>
    </row>
    <row r="91" spans="1:196" s="1" customFormat="1" ht="68.099999999999994">
      <c r="A91" s="2" t="str">
        <f t="shared" si="208"/>
        <v>Sailed, OBL &amp; Certs Pending</v>
      </c>
      <c r="B91" s="281">
        <v>48</v>
      </c>
      <c r="C91" s="281">
        <v>200</v>
      </c>
      <c r="D91" s="182" t="s">
        <v>208</v>
      </c>
      <c r="E91" s="2" t="str">
        <f t="shared" si="209"/>
        <v>CLOSE POSITION</v>
      </c>
      <c r="F91" s="271" t="str">
        <f t="shared" si="224"/>
        <v>32015124-2</v>
      </c>
      <c r="G91" s="271"/>
      <c r="H91" s="2" t="str">
        <f t="shared" si="211"/>
        <v>VALENCY AGRO //HSS//Ashik Traders</v>
      </c>
      <c r="I91" s="3" t="s">
        <v>644</v>
      </c>
      <c r="J91" s="2" t="s">
        <v>210</v>
      </c>
      <c r="K91" s="2" t="str">
        <f t="shared" si="212"/>
        <v>TUTICORIN, INDIA</v>
      </c>
      <c r="L91" s="2" t="str">
        <f t="shared" si="147"/>
        <v>MEDUCN101273</v>
      </c>
      <c r="M91" s="2">
        <f t="shared" si="226"/>
        <v>44.567999999999998</v>
      </c>
      <c r="N91" s="22">
        <f t="shared" si="213"/>
        <v>46166</v>
      </c>
      <c r="O91" s="22">
        <f t="shared" si="222"/>
        <v>46204</v>
      </c>
      <c r="P91" s="22" t="str">
        <f t="shared" si="214"/>
        <v>Draft Rcvd</v>
      </c>
      <c r="Q91" s="2"/>
      <c r="R91" s="2" t="str">
        <f t="shared" si="215"/>
        <v>No CERTS Yet</v>
      </c>
      <c r="S91" s="2" t="str">
        <f t="shared" si="216"/>
        <v/>
      </c>
      <c r="T91" s="2" t="s">
        <v>653</v>
      </c>
      <c r="U91" s="3" t="s">
        <v>654</v>
      </c>
      <c r="V91" s="272" t="s">
        <v>399</v>
      </c>
      <c r="W91" s="450" t="s">
        <v>647</v>
      </c>
      <c r="X91" s="24"/>
      <c r="Y91" s="273">
        <v>20009683</v>
      </c>
      <c r="Z91" s="24">
        <v>46086</v>
      </c>
      <c r="AA91" s="182" t="s">
        <v>655</v>
      </c>
      <c r="AB91" s="182" t="s">
        <v>649</v>
      </c>
      <c r="AC91" s="182" t="s">
        <v>248</v>
      </c>
      <c r="AD91" s="181">
        <v>46112</v>
      </c>
      <c r="AE91" s="30">
        <v>0.05</v>
      </c>
      <c r="AF91" s="277">
        <v>50</v>
      </c>
      <c r="AG91" s="35">
        <f t="shared" si="217"/>
        <v>47.5</v>
      </c>
      <c r="AH91" s="3" t="s">
        <v>215</v>
      </c>
      <c r="AI91" s="4">
        <v>1475</v>
      </c>
      <c r="AJ91" s="4">
        <f t="shared" si="225"/>
        <v>73750</v>
      </c>
      <c r="AK91" s="3" t="s">
        <v>249</v>
      </c>
      <c r="AL91" s="3" t="s">
        <v>238</v>
      </c>
      <c r="AM91" s="30">
        <v>0</v>
      </c>
      <c r="AN91" s="183">
        <v>1</v>
      </c>
      <c r="AO91" s="183">
        <v>0</v>
      </c>
      <c r="AP91" s="28" t="s">
        <v>218</v>
      </c>
      <c r="AQ91" s="18" t="s">
        <v>239</v>
      </c>
      <c r="AR91" s="18" t="s">
        <v>251</v>
      </c>
      <c r="AS91" s="27"/>
      <c r="AT91" s="3" t="s">
        <v>220</v>
      </c>
      <c r="AU91" s="3" t="s">
        <v>220</v>
      </c>
      <c r="AV91" s="3" t="s">
        <v>220</v>
      </c>
      <c r="AW91" s="9"/>
      <c r="AX91" s="3"/>
      <c r="AY91" s="47"/>
      <c r="AZ91" s="275">
        <f t="shared" si="178"/>
        <v>0</v>
      </c>
      <c r="BA91" s="18">
        <f>Z91</f>
        <v>46086</v>
      </c>
      <c r="BB91" s="22">
        <v>46091</v>
      </c>
      <c r="BC91" s="22"/>
      <c r="BD91" s="22"/>
      <c r="BE91" s="22"/>
      <c r="BF91" s="22"/>
      <c r="BG91" s="18"/>
      <c r="BH91" s="18"/>
      <c r="BI91" s="3" t="s">
        <v>656</v>
      </c>
      <c r="BJ91" s="25">
        <v>44.567999999999998</v>
      </c>
      <c r="BK91" s="46" t="s">
        <v>222</v>
      </c>
      <c r="BL91" s="497">
        <v>2</v>
      </c>
      <c r="BM91" s="18">
        <v>46166</v>
      </c>
      <c r="BN91" s="4"/>
      <c r="BO91" s="18">
        <v>46204</v>
      </c>
      <c r="BP91" s="3" t="s">
        <v>651</v>
      </c>
      <c r="BQ91" s="21" t="s">
        <v>346</v>
      </c>
      <c r="BR91" s="2" t="s">
        <v>226</v>
      </c>
      <c r="BS91" s="2"/>
      <c r="BT91" s="2"/>
      <c r="BU91" s="2"/>
      <c r="BV91" s="20"/>
      <c r="BW91" s="19"/>
      <c r="BX91" s="46">
        <f t="shared" si="223"/>
        <v>65737.8</v>
      </c>
      <c r="BY91" s="22">
        <v>46155</v>
      </c>
      <c r="BZ91" s="22"/>
      <c r="CA91" s="22"/>
      <c r="CB91" s="22"/>
      <c r="CC91" s="22"/>
      <c r="CD91" s="22"/>
      <c r="CE91" s="22" t="str">
        <f t="shared" si="220"/>
        <v>Draft Rcvd</v>
      </c>
      <c r="CF91" s="22"/>
      <c r="CG91" s="22"/>
      <c r="CH91" s="182"/>
      <c r="CI91" s="182"/>
      <c r="CJ91" s="182"/>
      <c r="CK91" s="2" t="str">
        <f t="shared" si="218"/>
        <v>No CERTS Yet</v>
      </c>
      <c r="CL91" s="48"/>
      <c r="CM91" s="22"/>
      <c r="CN91" s="55"/>
      <c r="CO91" s="54"/>
      <c r="CP91" s="55" t="str">
        <f t="shared" si="179"/>
        <v/>
      </c>
      <c r="CQ91" s="50">
        <f t="shared" si="205"/>
        <v>65737.8</v>
      </c>
      <c r="CR91" s="54"/>
      <c r="CS91" s="2"/>
      <c r="CT91" s="2"/>
      <c r="CU91" s="14" t="str">
        <f t="shared" si="180"/>
        <v/>
      </c>
      <c r="CV91" s="42" t="str">
        <f t="shared" si="181"/>
        <v/>
      </c>
      <c r="CW91" s="14" t="str">
        <f t="shared" si="182"/>
        <v/>
      </c>
      <c r="CX91" s="14" t="str">
        <f t="shared" si="183"/>
        <v/>
      </c>
      <c r="CY91" s="15" t="str">
        <f t="shared" si="184"/>
        <v/>
      </c>
      <c r="CZ91" s="2"/>
      <c r="DA91" s="41" t="str">
        <f t="shared" si="185"/>
        <v/>
      </c>
      <c r="DB91" s="2"/>
      <c r="DC91" s="39" t="str">
        <f t="shared" si="186"/>
        <v/>
      </c>
      <c r="DD91" s="40"/>
      <c r="DE91" s="16" t="str">
        <f t="shared" si="187"/>
        <v/>
      </c>
      <c r="DF91" s="2" t="str">
        <f t="shared" si="188"/>
        <v/>
      </c>
      <c r="DG91" s="14" t="str">
        <f t="shared" si="189"/>
        <v/>
      </c>
      <c r="DH91" s="2" t="str">
        <f t="shared" si="190"/>
        <v/>
      </c>
      <c r="DI91" s="39" t="str">
        <f t="shared" si="191"/>
        <v/>
      </c>
      <c r="DJ91" s="2" t="str">
        <f t="shared" si="192"/>
        <v/>
      </c>
      <c r="DK91" s="15" t="str">
        <f t="shared" si="193"/>
        <v/>
      </c>
      <c r="DL91" s="2"/>
      <c r="DM91" s="2"/>
      <c r="DN91" s="15" t="str">
        <f t="shared" si="194"/>
        <v/>
      </c>
      <c r="DO91" s="14" t="str">
        <f t="shared" si="195"/>
        <v/>
      </c>
      <c r="DP91" s="14" t="str">
        <f t="shared" si="196"/>
        <v/>
      </c>
      <c r="DQ91" s="15" t="str">
        <f t="shared" si="197"/>
        <v/>
      </c>
      <c r="DR91" s="15" t="str">
        <f t="shared" si="198"/>
        <v/>
      </c>
      <c r="DS91" s="2" t="str">
        <f t="shared" si="199"/>
        <v/>
      </c>
      <c r="DT91" s="2" t="str">
        <f t="shared" si="200"/>
        <v/>
      </c>
      <c r="DU91" s="2"/>
      <c r="DV91" s="2"/>
      <c r="DW91" s="2"/>
      <c r="DX91" s="2"/>
      <c r="DY91" s="2" t="s">
        <v>230</v>
      </c>
      <c r="DZ91" s="2"/>
      <c r="EA91" s="2" t="str">
        <f t="shared" si="201"/>
        <v/>
      </c>
      <c r="EB91" s="2"/>
      <c r="EC91" s="2"/>
      <c r="ED91" s="2"/>
      <c r="EE91" s="3">
        <v>4900009228</v>
      </c>
      <c r="EF91" s="7"/>
      <c r="EG91" s="3"/>
      <c r="EH91" s="3" t="s">
        <v>652</v>
      </c>
      <c r="EI91" s="3"/>
      <c r="EJ91" s="189">
        <v>50</v>
      </c>
      <c r="EK91" s="4">
        <v>1275</v>
      </c>
      <c r="EL91" s="9"/>
      <c r="EM91" s="9"/>
      <c r="EN91" s="46">
        <f t="shared" si="202"/>
        <v>63750</v>
      </c>
      <c r="EO91" s="9"/>
      <c r="EP91" s="8"/>
      <c r="EQ91" s="4"/>
      <c r="ER91" s="4"/>
      <c r="ES91" s="7"/>
      <c r="ET91" s="7"/>
      <c r="EU91" s="6"/>
      <c r="EV91" s="2" t="str">
        <f t="shared" si="219"/>
        <v>Yet to load</v>
      </c>
      <c r="EW91" s="46"/>
      <c r="EX91" s="46">
        <f t="shared" si="203"/>
        <v>0</v>
      </c>
      <c r="EY91" s="46" t="s">
        <v>233</v>
      </c>
      <c r="EZ91" s="24"/>
      <c r="FA91" s="2"/>
      <c r="FB91" s="24"/>
      <c r="FC91" s="53"/>
      <c r="FD91" s="46">
        <f t="shared" si="204"/>
        <v>0</v>
      </c>
      <c r="FE91" s="52"/>
      <c r="FF91" s="52"/>
      <c r="FG91" s="49"/>
      <c r="FH91" s="49"/>
      <c r="FI91" s="49"/>
      <c r="FJ91" s="49"/>
      <c r="FK91" s="49"/>
      <c r="FL91" s="49">
        <f t="shared" si="206"/>
        <v>-46155</v>
      </c>
      <c r="FM91" s="180">
        <f t="shared" si="207"/>
        <v>46166</v>
      </c>
      <c r="FN91" s="49"/>
      <c r="FO91" s="49"/>
      <c r="FP91" s="49"/>
      <c r="FQ91" s="49"/>
      <c r="FR91" s="49"/>
      <c r="FS91" s="34">
        <f t="shared" si="176"/>
        <v>20009683</v>
      </c>
      <c r="FT91" s="34" t="str">
        <f t="shared" si="177"/>
        <v>32015124-2</v>
      </c>
      <c r="FU91" s="3"/>
      <c r="FV91" s="3"/>
      <c r="FW91" s="3"/>
      <c r="FX91" s="3"/>
      <c r="FY91" s="3"/>
      <c r="FZ91" s="3"/>
      <c r="GA91" s="3"/>
      <c r="GB91" s="4"/>
      <c r="GC91" s="3"/>
      <c r="GD91" s="182"/>
      <c r="GE91" s="3"/>
      <c r="GF91" s="3"/>
      <c r="GG91" s="3"/>
      <c r="GH91" s="3"/>
      <c r="GI91" s="3"/>
      <c r="GJ91" s="3"/>
      <c r="GK91" s="3"/>
      <c r="GL91" s="3"/>
      <c r="GM91" s="3"/>
      <c r="GN91" s="3"/>
    </row>
    <row r="92" spans="1:196" s="1" customFormat="1" ht="33.950000000000003">
      <c r="A92" s="2" t="str">
        <f t="shared" si="208"/>
        <v>Sailed, OBL &amp; Certs Pending</v>
      </c>
      <c r="B92" s="281">
        <v>48</v>
      </c>
      <c r="C92" s="281">
        <v>185</v>
      </c>
      <c r="D92" s="182" t="s">
        <v>208</v>
      </c>
      <c r="E92" s="2" t="str">
        <f t="shared" si="209"/>
        <v>CLOSE POSITION</v>
      </c>
      <c r="F92" s="271">
        <f t="shared" si="224"/>
        <v>32015269</v>
      </c>
      <c r="G92" s="271"/>
      <c r="H92" s="2" t="str">
        <f t="shared" si="211"/>
        <v>VALENCY AGRO //HSS//Balaji Cashew</v>
      </c>
      <c r="I92" s="3" t="s">
        <v>269</v>
      </c>
      <c r="J92" s="2" t="s">
        <v>210</v>
      </c>
      <c r="K92" s="2" t="str">
        <f t="shared" si="212"/>
        <v>Vishakhapatnam, INDIA</v>
      </c>
      <c r="L92" s="330" t="str">
        <f t="shared" si="147"/>
        <v>MEDULG637951</v>
      </c>
      <c r="M92" s="2">
        <f t="shared" si="226"/>
        <v>100.262</v>
      </c>
      <c r="N92" s="22">
        <f t="shared" si="213"/>
        <v>46158</v>
      </c>
      <c r="O92" s="22">
        <f t="shared" si="222"/>
        <v>46191</v>
      </c>
      <c r="P92" s="22" t="str">
        <f t="shared" si="214"/>
        <v>No OBL Yet</v>
      </c>
      <c r="Q92" s="2"/>
      <c r="R92" s="2" t="str">
        <f t="shared" si="215"/>
        <v>No CERTS Yet</v>
      </c>
      <c r="S92" s="2" t="str">
        <f t="shared" si="216"/>
        <v/>
      </c>
      <c r="T92" s="2" t="s">
        <v>270</v>
      </c>
      <c r="U92" s="438" t="s">
        <v>657</v>
      </c>
      <c r="V92" s="272"/>
      <c r="W92" s="450" t="s">
        <v>280</v>
      </c>
      <c r="X92" s="24">
        <v>46093</v>
      </c>
      <c r="Y92" s="273">
        <v>20009719</v>
      </c>
      <c r="Z92" s="24">
        <v>46093</v>
      </c>
      <c r="AA92" s="182">
        <v>32015269</v>
      </c>
      <c r="AB92" s="182" t="s">
        <v>658</v>
      </c>
      <c r="AC92" s="182" t="s">
        <v>263</v>
      </c>
      <c r="AD92" s="181">
        <v>46142</v>
      </c>
      <c r="AE92" s="30">
        <v>0.1</v>
      </c>
      <c r="AF92" s="277">
        <v>100</v>
      </c>
      <c r="AG92" s="35">
        <f t="shared" si="217"/>
        <v>90</v>
      </c>
      <c r="AH92" s="3" t="s">
        <v>215</v>
      </c>
      <c r="AI92" s="4">
        <v>1560</v>
      </c>
      <c r="AJ92" s="4">
        <f t="shared" si="225"/>
        <v>156000</v>
      </c>
      <c r="AK92" s="3" t="s">
        <v>249</v>
      </c>
      <c r="AL92" s="3" t="s">
        <v>238</v>
      </c>
      <c r="AM92" s="30">
        <v>0</v>
      </c>
      <c r="AN92" s="183">
        <v>1</v>
      </c>
      <c r="AO92" s="183">
        <v>0</v>
      </c>
      <c r="AP92" s="28" t="s">
        <v>218</v>
      </c>
      <c r="AQ92" s="18" t="s">
        <v>331</v>
      </c>
      <c r="AR92" s="18" t="s">
        <v>251</v>
      </c>
      <c r="AS92" s="27"/>
      <c r="AT92" s="3" t="s">
        <v>220</v>
      </c>
      <c r="AU92" s="3" t="s">
        <v>220</v>
      </c>
      <c r="AV92" s="3" t="s">
        <v>220</v>
      </c>
      <c r="AW92" s="9"/>
      <c r="AX92" s="3"/>
      <c r="AY92" s="47"/>
      <c r="AZ92" s="275">
        <f t="shared" si="178"/>
        <v>0</v>
      </c>
      <c r="BA92" s="18">
        <f>Z92</f>
        <v>46093</v>
      </c>
      <c r="BB92" s="22">
        <v>46099</v>
      </c>
      <c r="BC92" s="22"/>
      <c r="BD92" s="22"/>
      <c r="BE92" s="22"/>
      <c r="BF92" s="22">
        <v>46099</v>
      </c>
      <c r="BG92" s="18"/>
      <c r="BH92" s="18"/>
      <c r="BI92" s="3" t="s">
        <v>659</v>
      </c>
      <c r="BJ92" s="25">
        <v>100.262</v>
      </c>
      <c r="BK92" s="46" t="s">
        <v>222</v>
      </c>
      <c r="BL92" s="497">
        <v>4</v>
      </c>
      <c r="BM92" s="18">
        <v>46158</v>
      </c>
      <c r="BN92" s="4"/>
      <c r="BO92" s="18">
        <v>46191</v>
      </c>
      <c r="BP92" s="3" t="s">
        <v>278</v>
      </c>
      <c r="BQ92" s="21" t="s">
        <v>525</v>
      </c>
      <c r="BR92" s="2" t="s">
        <v>226</v>
      </c>
      <c r="BS92" s="2"/>
      <c r="BT92" s="2" t="s">
        <v>660</v>
      </c>
      <c r="BU92" s="422" t="s">
        <v>661</v>
      </c>
      <c r="BV92" s="20"/>
      <c r="BW92" s="19"/>
      <c r="BX92" s="46">
        <f t="shared" si="223"/>
        <v>156408.72</v>
      </c>
      <c r="BY92" s="22"/>
      <c r="BZ92" s="22"/>
      <c r="CA92" s="22"/>
      <c r="CB92" s="22"/>
      <c r="CC92" s="22"/>
      <c r="CD92" s="22"/>
      <c r="CE92" s="22" t="str">
        <f t="shared" si="220"/>
        <v>No OBL Yet</v>
      </c>
      <c r="CF92" s="22"/>
      <c r="CG92" s="22"/>
      <c r="CH92" s="182"/>
      <c r="CI92" s="182"/>
      <c r="CJ92" s="182"/>
      <c r="CK92" s="2" t="str">
        <f t="shared" si="218"/>
        <v>No CERTS Yet</v>
      </c>
      <c r="CL92" s="48"/>
      <c r="CM92" s="22"/>
      <c r="CN92" s="55"/>
      <c r="CO92" s="54"/>
      <c r="CP92" s="55" t="str">
        <f t="shared" si="179"/>
        <v/>
      </c>
      <c r="CQ92" s="50">
        <f t="shared" si="205"/>
        <v>156408.72</v>
      </c>
      <c r="CR92" s="54"/>
      <c r="CS92" s="2"/>
      <c r="CT92" s="2"/>
      <c r="CU92" s="14" t="str">
        <f t="shared" si="180"/>
        <v/>
      </c>
      <c r="CV92" s="42" t="str">
        <f t="shared" si="181"/>
        <v/>
      </c>
      <c r="CW92" s="14" t="str">
        <f t="shared" si="182"/>
        <v/>
      </c>
      <c r="CX92" s="14" t="str">
        <f t="shared" si="183"/>
        <v/>
      </c>
      <c r="CY92" s="15" t="str">
        <f t="shared" si="184"/>
        <v/>
      </c>
      <c r="CZ92" s="2"/>
      <c r="DA92" s="41" t="str">
        <f t="shared" si="185"/>
        <v/>
      </c>
      <c r="DB92" s="2"/>
      <c r="DC92" s="39" t="str">
        <f t="shared" si="186"/>
        <v/>
      </c>
      <c r="DD92" s="40"/>
      <c r="DE92" s="16" t="str">
        <f t="shared" si="187"/>
        <v/>
      </c>
      <c r="DF92" s="2" t="str">
        <f t="shared" si="188"/>
        <v/>
      </c>
      <c r="DG92" s="14" t="str">
        <f t="shared" si="189"/>
        <v/>
      </c>
      <c r="DH92" s="2" t="str">
        <f t="shared" si="190"/>
        <v/>
      </c>
      <c r="DI92" s="39" t="str">
        <f t="shared" si="191"/>
        <v/>
      </c>
      <c r="DJ92" s="2" t="str">
        <f t="shared" si="192"/>
        <v/>
      </c>
      <c r="DK92" s="15" t="str">
        <f t="shared" si="193"/>
        <v/>
      </c>
      <c r="DL92" s="2"/>
      <c r="DM92" s="2"/>
      <c r="DN92" s="15" t="str">
        <f t="shared" si="194"/>
        <v/>
      </c>
      <c r="DO92" s="14" t="str">
        <f t="shared" si="195"/>
        <v/>
      </c>
      <c r="DP92" s="14" t="str">
        <f t="shared" si="196"/>
        <v/>
      </c>
      <c r="DQ92" s="15" t="str">
        <f t="shared" si="197"/>
        <v/>
      </c>
      <c r="DR92" s="15" t="str">
        <f t="shared" si="198"/>
        <v/>
      </c>
      <c r="DS92" s="2" t="str">
        <f t="shared" si="199"/>
        <v/>
      </c>
      <c r="DT92" s="2" t="str">
        <f t="shared" si="200"/>
        <v/>
      </c>
      <c r="DU92" s="2"/>
      <c r="DV92" s="2"/>
      <c r="DW92" s="2"/>
      <c r="DX92" s="2"/>
      <c r="DY92" s="2" t="s">
        <v>230</v>
      </c>
      <c r="DZ92" s="2"/>
      <c r="EA92" s="2" t="str">
        <f t="shared" si="201"/>
        <v/>
      </c>
      <c r="EB92" s="2"/>
      <c r="EC92" s="2"/>
      <c r="ED92" s="2"/>
      <c r="EE92" s="3"/>
      <c r="EF92" s="7"/>
      <c r="EG92" s="3"/>
      <c r="EH92" s="3" t="s">
        <v>231</v>
      </c>
      <c r="EI92" s="3"/>
      <c r="EJ92" s="189"/>
      <c r="EK92" s="4"/>
      <c r="EL92" s="9"/>
      <c r="EM92" s="9"/>
      <c r="EN92" s="46">
        <f t="shared" si="202"/>
        <v>0</v>
      </c>
      <c r="EO92" s="9"/>
      <c r="EP92" s="8"/>
      <c r="EQ92" s="4"/>
      <c r="ER92" s="4"/>
      <c r="ES92" s="7"/>
      <c r="ET92" s="7"/>
      <c r="EU92" s="6"/>
      <c r="EV92" s="2" t="str">
        <f t="shared" si="219"/>
        <v>Yet to load</v>
      </c>
      <c r="EW92" s="46"/>
      <c r="EX92" s="46">
        <f t="shared" si="203"/>
        <v>0</v>
      </c>
      <c r="EY92" s="46" t="s">
        <v>233</v>
      </c>
      <c r="EZ92" s="24"/>
      <c r="FA92" s="2"/>
      <c r="FB92" s="24"/>
      <c r="FC92" s="53"/>
      <c r="FD92" s="46">
        <f t="shared" si="204"/>
        <v>0</v>
      </c>
      <c r="FE92" s="52"/>
      <c r="FF92" s="52"/>
      <c r="FG92" s="49"/>
      <c r="FH92" s="49"/>
      <c r="FI92" s="49"/>
      <c r="FJ92" s="49"/>
      <c r="FK92" s="49"/>
      <c r="FL92" s="49">
        <f t="shared" si="206"/>
        <v>0</v>
      </c>
      <c r="FM92" s="180">
        <f t="shared" si="207"/>
        <v>46158</v>
      </c>
      <c r="FN92" s="49"/>
      <c r="FO92" s="49"/>
      <c r="FP92" s="49"/>
      <c r="FQ92" s="49"/>
      <c r="FR92" s="49"/>
      <c r="FS92" s="34">
        <f t="shared" si="176"/>
        <v>20009719</v>
      </c>
      <c r="FT92" s="34">
        <f t="shared" si="177"/>
        <v>32015269</v>
      </c>
      <c r="FU92" s="3"/>
      <c r="FV92" s="3"/>
      <c r="FW92" s="3"/>
      <c r="FX92" s="3"/>
      <c r="FY92" s="3"/>
      <c r="FZ92" s="3"/>
      <c r="GA92" s="3"/>
      <c r="GB92" s="4"/>
      <c r="GC92" s="3"/>
      <c r="GD92" s="182"/>
      <c r="GE92" s="3"/>
      <c r="GF92" s="3"/>
      <c r="GG92" s="3"/>
      <c r="GH92" s="3"/>
      <c r="GI92" s="3"/>
      <c r="GJ92" s="3"/>
      <c r="GK92" s="3"/>
      <c r="GL92" s="3"/>
      <c r="GM92" s="3"/>
      <c r="GN92" s="3"/>
    </row>
    <row r="93" spans="1:196" s="1" customFormat="1">
      <c r="A93" s="2" t="str">
        <f t="shared" si="208"/>
        <v>Stuffed, Yet to Sail</v>
      </c>
      <c r="B93" s="331">
        <v>51</v>
      </c>
      <c r="C93" s="331">
        <v>190</v>
      </c>
      <c r="D93" s="332" t="s">
        <v>208</v>
      </c>
      <c r="E93" s="2" t="str">
        <f t="shared" si="209"/>
        <v>LONG POSITION</v>
      </c>
      <c r="F93" s="271" t="str">
        <f t="shared" si="224"/>
        <v>TBA 11</v>
      </c>
      <c r="G93" s="271"/>
      <c r="H93" s="2" t="str">
        <f t="shared" si="211"/>
        <v>VALENCY AGRO UNSOLD</v>
      </c>
      <c r="I93" s="3" t="s">
        <v>209</v>
      </c>
      <c r="J93" s="2" t="s">
        <v>210</v>
      </c>
      <c r="K93" s="2" t="str">
        <f t="shared" si="212"/>
        <v>MANGALORE, INDIA</v>
      </c>
      <c r="L93" s="2" t="str">
        <f t="shared" si="147"/>
        <v>MEDULG632572</v>
      </c>
      <c r="M93" s="2">
        <f t="shared" si="226"/>
        <v>254.05600000000001</v>
      </c>
      <c r="N93" s="22" t="str">
        <f t="shared" si="213"/>
        <v/>
      </c>
      <c r="O93" s="22">
        <f t="shared" si="222"/>
        <v>46200</v>
      </c>
      <c r="P93" s="286" t="str">
        <f t="shared" si="214"/>
        <v>No OBL Yet</v>
      </c>
      <c r="Q93" s="330"/>
      <c r="R93" s="330" t="str">
        <f t="shared" si="215"/>
        <v>No CERTS Yet</v>
      </c>
      <c r="S93" s="330" t="str">
        <f t="shared" si="216"/>
        <v/>
      </c>
      <c r="T93" s="2" t="s">
        <v>662</v>
      </c>
      <c r="U93" s="3" t="s">
        <v>663</v>
      </c>
      <c r="V93" s="272"/>
      <c r="W93" s="3" t="s">
        <v>663</v>
      </c>
      <c r="X93" s="24"/>
      <c r="Y93" s="273"/>
      <c r="Z93" s="24"/>
      <c r="AA93" s="182" t="s">
        <v>664</v>
      </c>
      <c r="AB93" s="182" t="s">
        <v>665</v>
      </c>
      <c r="AC93" s="182" t="s">
        <v>666</v>
      </c>
      <c r="AD93" s="181">
        <v>46142</v>
      </c>
      <c r="AE93" s="30">
        <v>0.1</v>
      </c>
      <c r="AF93" s="4">
        <v>250</v>
      </c>
      <c r="AG93" s="4">
        <f t="shared" si="217"/>
        <v>225</v>
      </c>
      <c r="AH93" s="3" t="s">
        <v>215</v>
      </c>
      <c r="AI93" s="3"/>
      <c r="AJ93" s="4">
        <f t="shared" si="225"/>
        <v>0</v>
      </c>
      <c r="AK93" s="2"/>
      <c r="AL93" s="2"/>
      <c r="AM93" s="2"/>
      <c r="AN93" s="183"/>
      <c r="AO93" s="183"/>
      <c r="AP93" s="28"/>
      <c r="AQ93" s="18"/>
      <c r="AR93" s="18"/>
      <c r="AS93" s="18"/>
      <c r="AT93" s="3"/>
      <c r="AU93" s="3"/>
      <c r="AV93" s="3"/>
      <c r="AW93" s="9"/>
      <c r="AX93" s="3"/>
      <c r="AY93" s="47"/>
      <c r="AZ93" s="278">
        <f t="shared" si="178"/>
        <v>0</v>
      </c>
      <c r="BA93" s="18"/>
      <c r="BB93" s="22"/>
      <c r="BC93" s="22"/>
      <c r="BD93" s="22"/>
      <c r="BE93" s="22"/>
      <c r="BF93" s="22"/>
      <c r="BG93" s="18"/>
      <c r="BH93" s="18"/>
      <c r="BI93" s="3" t="s">
        <v>667</v>
      </c>
      <c r="BJ93" s="25">
        <v>254.05600000000001</v>
      </c>
      <c r="BK93" s="189" t="s">
        <v>222</v>
      </c>
      <c r="BL93" s="497">
        <v>10</v>
      </c>
      <c r="BM93" s="18"/>
      <c r="BN93" s="4" t="s">
        <v>668</v>
      </c>
      <c r="BO93" s="18">
        <v>46200</v>
      </c>
      <c r="BP93" s="3" t="s">
        <v>278</v>
      </c>
      <c r="BQ93" s="21" t="s">
        <v>265</v>
      </c>
      <c r="BR93" s="2" t="s">
        <v>226</v>
      </c>
      <c r="BS93" s="2"/>
      <c r="BT93" s="2"/>
      <c r="BU93" s="3"/>
      <c r="BV93" s="20"/>
      <c r="BW93" s="19"/>
      <c r="BX93" s="189">
        <f t="shared" si="223"/>
        <v>0</v>
      </c>
      <c r="BY93" s="22"/>
      <c r="BZ93" s="22"/>
      <c r="CA93" s="22"/>
      <c r="CB93" s="22"/>
      <c r="CC93" s="22"/>
      <c r="CD93" s="22"/>
      <c r="CE93" s="22" t="str">
        <f t="shared" si="220"/>
        <v>No OBL Yet</v>
      </c>
      <c r="CF93" s="22"/>
      <c r="CG93" s="22"/>
      <c r="CH93" s="22"/>
      <c r="CI93" s="2"/>
      <c r="CJ93" s="2"/>
      <c r="CK93" s="2" t="str">
        <f t="shared" si="218"/>
        <v>No CERTS Yet</v>
      </c>
      <c r="CL93" s="48"/>
      <c r="CM93" s="22"/>
      <c r="CN93" s="55"/>
      <c r="CO93" s="55"/>
      <c r="CP93" s="55" t="str">
        <f t="shared" si="179"/>
        <v/>
      </c>
      <c r="CQ93" s="190">
        <f t="shared" si="205"/>
        <v>0</v>
      </c>
      <c r="CR93" s="54"/>
      <c r="CS93" s="2"/>
      <c r="CT93" s="2"/>
      <c r="CU93" s="14"/>
      <c r="CV93" s="191"/>
      <c r="CW93" s="14"/>
      <c r="CX93" s="14"/>
      <c r="CY93" s="15"/>
      <c r="CZ93" s="2"/>
      <c r="DA93" s="41"/>
      <c r="DB93" s="2"/>
      <c r="DC93" s="192"/>
      <c r="DD93" s="40"/>
      <c r="DE93" s="16"/>
      <c r="DF93" s="2"/>
      <c r="DG93" s="14"/>
      <c r="DH93" s="2"/>
      <c r="DI93" s="192"/>
      <c r="DJ93" s="2"/>
      <c r="DK93" s="15"/>
      <c r="DL93" s="2"/>
      <c r="DM93" s="2"/>
      <c r="DN93" s="15"/>
      <c r="DO93" s="14"/>
      <c r="DP93" s="14"/>
      <c r="DQ93" s="15"/>
      <c r="DR93" s="15"/>
      <c r="DS93" s="2"/>
      <c r="DT93" s="2"/>
      <c r="DU93" s="2"/>
      <c r="DV93" s="2"/>
      <c r="DW93" s="2"/>
      <c r="DX93" s="2"/>
      <c r="DY93" s="2" t="s">
        <v>230</v>
      </c>
      <c r="DZ93" s="2"/>
      <c r="EA93" s="2"/>
      <c r="EB93" s="2">
        <v>48.6</v>
      </c>
      <c r="EC93" s="2">
        <v>192</v>
      </c>
      <c r="ED93" s="2">
        <v>8.0500000000000007</v>
      </c>
      <c r="EE93" s="3">
        <v>4900009452</v>
      </c>
      <c r="EF93" s="37"/>
      <c r="EG93" s="3"/>
      <c r="EH93" s="2" t="s">
        <v>231</v>
      </c>
      <c r="EI93" s="3"/>
      <c r="EJ93" s="4">
        <f>BJ93</f>
        <v>254.05600000000001</v>
      </c>
      <c r="EK93" s="4">
        <v>2010</v>
      </c>
      <c r="EL93" s="11"/>
      <c r="EM93" s="7"/>
      <c r="EN93" s="189"/>
      <c r="EO93" s="3"/>
      <c r="EP93" s="3"/>
      <c r="EQ93" s="3"/>
      <c r="ER93" s="3"/>
      <c r="ES93" s="7"/>
      <c r="ET93" s="3"/>
      <c r="EU93" s="3"/>
      <c r="EV93" s="2" t="str">
        <f t="shared" si="219"/>
        <v>Yet to load</v>
      </c>
      <c r="EW93" s="189"/>
      <c r="EX93" s="189"/>
      <c r="EY93" s="189"/>
      <c r="EZ93" s="24"/>
      <c r="FA93" s="2"/>
      <c r="FB93" s="24"/>
      <c r="FC93" s="193"/>
      <c r="FD93" s="189"/>
      <c r="FE93" s="52"/>
      <c r="FF93" s="52"/>
      <c r="FG93" s="49"/>
      <c r="FH93" s="49"/>
      <c r="FI93" s="49"/>
      <c r="FJ93" s="49"/>
      <c r="FK93" s="49"/>
      <c r="FL93" s="49">
        <f t="shared" si="206"/>
        <v>0</v>
      </c>
      <c r="FM93" s="180">
        <f t="shared" si="207"/>
        <v>0</v>
      </c>
      <c r="FN93" s="49"/>
      <c r="FO93" s="49"/>
      <c r="FP93" s="49"/>
      <c r="FQ93" s="49"/>
      <c r="FR93" s="49"/>
      <c r="FS93" s="34">
        <f t="shared" si="176"/>
        <v>0</v>
      </c>
      <c r="FT93" s="34" t="str">
        <f t="shared" si="177"/>
        <v>TBA 11</v>
      </c>
      <c r="FU93" s="3"/>
      <c r="FV93" s="3"/>
      <c r="FW93" s="3"/>
      <c r="FX93" s="3"/>
      <c r="FY93" s="3"/>
      <c r="FZ93" s="3"/>
      <c r="GA93" s="3"/>
      <c r="GB93" s="4"/>
      <c r="GC93" s="3"/>
      <c r="GD93" s="182"/>
      <c r="GE93" s="3"/>
      <c r="GF93" s="3"/>
      <c r="GG93" s="3"/>
      <c r="GH93" s="3"/>
      <c r="GI93" s="3"/>
      <c r="GJ93" s="3"/>
      <c r="GK93" s="3"/>
      <c r="GL93" s="3"/>
      <c r="GM93" s="3"/>
      <c r="GN93" s="3"/>
    </row>
    <row r="94" spans="1:196" s="1" customFormat="1" ht="33.950000000000003">
      <c r="A94" s="2" t="str">
        <f t="shared" si="208"/>
        <v>Exp Dox Presented to Bank, Pmt Pending</v>
      </c>
      <c r="B94" s="281">
        <v>47</v>
      </c>
      <c r="C94" s="281">
        <v>200</v>
      </c>
      <c r="D94" s="182" t="s">
        <v>208</v>
      </c>
      <c r="E94" s="2" t="str">
        <f t="shared" si="209"/>
        <v>CLOSE POSITION</v>
      </c>
      <c r="F94" s="271" t="str">
        <f t="shared" si="224"/>
        <v>32015968-3</v>
      </c>
      <c r="G94" s="271"/>
      <c r="H94" s="2" t="str">
        <f t="shared" si="211"/>
        <v>Valency Agro (Processing)</v>
      </c>
      <c r="I94" s="3" t="s">
        <v>259</v>
      </c>
      <c r="J94" s="2" t="s">
        <v>210</v>
      </c>
      <c r="K94" s="2" t="str">
        <f t="shared" si="212"/>
        <v>MANGALORE, INDIA</v>
      </c>
      <c r="L94" s="2" t="str">
        <f t="shared" si="147"/>
        <v>MEDUEY230793</v>
      </c>
      <c r="M94" s="2">
        <f t="shared" si="226"/>
        <v>238.35</v>
      </c>
      <c r="N94" s="22">
        <f t="shared" si="213"/>
        <v>46146</v>
      </c>
      <c r="O94" s="22">
        <f t="shared" si="222"/>
        <v>46172</v>
      </c>
      <c r="P94" s="22" t="str">
        <f t="shared" si="214"/>
        <v>OBL In Destination - INDIA</v>
      </c>
      <c r="Q94" s="330" t="s">
        <v>669</v>
      </c>
      <c r="R94" s="2" t="str">
        <f t="shared" si="215"/>
        <v>CERTS in Destination - INDIA</v>
      </c>
      <c r="S94" s="2" t="str">
        <f t="shared" si="216"/>
        <v>Docs in Buyer's Nego Bank</v>
      </c>
      <c r="T94" s="2"/>
      <c r="U94" s="3" t="s">
        <v>632</v>
      </c>
      <c r="V94" s="334"/>
      <c r="W94" s="3" t="s">
        <v>632</v>
      </c>
      <c r="X94" s="24"/>
      <c r="Y94" s="273">
        <v>20009857</v>
      </c>
      <c r="Z94" s="24">
        <v>46107</v>
      </c>
      <c r="AA94" s="182" t="s">
        <v>670</v>
      </c>
      <c r="AB94" s="182" t="s">
        <v>247</v>
      </c>
      <c r="AC94" s="182" t="s">
        <v>385</v>
      </c>
      <c r="AD94" s="181">
        <v>46142</v>
      </c>
      <c r="AE94" s="44">
        <v>0.1</v>
      </c>
      <c r="AF94" s="276">
        <v>250</v>
      </c>
      <c r="AG94" s="35">
        <f t="shared" si="217"/>
        <v>225</v>
      </c>
      <c r="AH94" s="3" t="s">
        <v>215</v>
      </c>
      <c r="AI94" s="35">
        <v>1508</v>
      </c>
      <c r="AJ94" s="35">
        <f t="shared" si="225"/>
        <v>377000</v>
      </c>
      <c r="AK94" s="3" t="s">
        <v>249</v>
      </c>
      <c r="AL94" s="3" t="s">
        <v>238</v>
      </c>
      <c r="AM94" s="44">
        <v>0</v>
      </c>
      <c r="AN94" s="183">
        <v>1</v>
      </c>
      <c r="AO94" s="183">
        <v>0</v>
      </c>
      <c r="AP94" s="28" t="s">
        <v>218</v>
      </c>
      <c r="AQ94" s="18" t="s">
        <v>250</v>
      </c>
      <c r="AR94" s="18" t="s">
        <v>251</v>
      </c>
      <c r="AS94" s="27"/>
      <c r="AT94" s="3" t="s">
        <v>220</v>
      </c>
      <c r="AU94" s="3" t="s">
        <v>220</v>
      </c>
      <c r="AV94" s="3" t="s">
        <v>220</v>
      </c>
      <c r="AW94" s="9"/>
      <c r="AX94" s="3"/>
      <c r="AY94" s="47"/>
      <c r="AZ94" s="275">
        <f t="shared" si="178"/>
        <v>0</v>
      </c>
      <c r="BA94" s="18">
        <f>Z94</f>
        <v>46107</v>
      </c>
      <c r="BB94" s="22">
        <v>46077</v>
      </c>
      <c r="BC94" s="22"/>
      <c r="BD94" s="22"/>
      <c r="BE94" s="22"/>
      <c r="BF94" s="22">
        <v>46078</v>
      </c>
      <c r="BG94" s="18"/>
      <c r="BH94" s="18"/>
      <c r="BI94" s="21" t="s">
        <v>671</v>
      </c>
      <c r="BJ94" s="43">
        <v>238.35</v>
      </c>
      <c r="BK94" s="362" t="s">
        <v>222</v>
      </c>
      <c r="BL94" s="499">
        <v>10</v>
      </c>
      <c r="BM94" s="18">
        <v>46146</v>
      </c>
      <c r="BN94" s="363"/>
      <c r="BO94" s="18">
        <v>46172</v>
      </c>
      <c r="BP94" s="3" t="s">
        <v>259</v>
      </c>
      <c r="BQ94" s="21" t="s">
        <v>265</v>
      </c>
      <c r="BR94" s="2" t="s">
        <v>226</v>
      </c>
      <c r="BS94" s="2"/>
      <c r="BT94" s="2"/>
      <c r="BU94" s="2"/>
      <c r="BV94" s="20">
        <v>90085929</v>
      </c>
      <c r="BW94" s="19"/>
      <c r="BX94" s="46">
        <f t="shared" si="223"/>
        <v>359431.8</v>
      </c>
      <c r="BY94" s="22">
        <v>46149</v>
      </c>
      <c r="BZ94" s="22">
        <v>46157</v>
      </c>
      <c r="CA94" s="2">
        <v>4218950466</v>
      </c>
      <c r="CB94" s="22">
        <v>46162</v>
      </c>
      <c r="CC94" s="22"/>
      <c r="CD94" s="22"/>
      <c r="CE94" s="22" t="str">
        <f t="shared" si="220"/>
        <v>OBL In Destination - INDIA</v>
      </c>
      <c r="CF94" s="22"/>
      <c r="CG94" s="22"/>
      <c r="CH94" s="181">
        <v>46153</v>
      </c>
      <c r="CI94" s="419">
        <v>2046495802</v>
      </c>
      <c r="CJ94" s="181">
        <v>46160</v>
      </c>
      <c r="CK94" s="2" t="str">
        <f t="shared" si="218"/>
        <v>CERTS in Destination - INDIA</v>
      </c>
      <c r="CL94" s="48" t="s">
        <v>229</v>
      </c>
      <c r="CM94" s="22">
        <v>46163</v>
      </c>
      <c r="CN94" s="55">
        <v>9880105071</v>
      </c>
      <c r="CO94" s="495">
        <v>46168</v>
      </c>
      <c r="CP94" s="55" t="str">
        <f t="shared" si="179"/>
        <v>Docs in Buyer's Nego Bank</v>
      </c>
      <c r="CQ94" s="50">
        <f t="shared" si="205"/>
        <v>359431.8</v>
      </c>
      <c r="CR94" s="54"/>
      <c r="CS94" s="2"/>
      <c r="CT94" s="2"/>
      <c r="CU94" s="14" t="str">
        <f>IF(CS94="","",BJ94-CT94)</f>
        <v/>
      </c>
      <c r="CV94" s="42" t="str">
        <f>IF(CS94="","",CU94/BJ94)</f>
        <v/>
      </c>
      <c r="CW94" s="14" t="str">
        <f>IF(CS94="","",AZ94+CQ94)</f>
        <v/>
      </c>
      <c r="CX94" s="14" t="str">
        <f>IF(CS94="","",BX94*2%)</f>
        <v/>
      </c>
      <c r="CY94" s="15" t="str">
        <f>IF(CS94="","",AI94/B94)</f>
        <v/>
      </c>
      <c r="CZ94" s="2"/>
      <c r="DA94" s="41" t="str">
        <f>IF(CS94="","",B94-CZ94)</f>
        <v/>
      </c>
      <c r="DB94" s="2"/>
      <c r="DC94" s="39" t="str">
        <f>IF(CS94="","",IF(CS94="","",DB94-C94))</f>
        <v/>
      </c>
      <c r="DD94" s="40"/>
      <c r="DE94" s="16" t="str">
        <f>IF(CS94="","",10%-DD94)</f>
        <v/>
      </c>
      <c r="DF94" s="2" t="str">
        <f>IF(CS94="","",CU94*AI94)</f>
        <v/>
      </c>
      <c r="DG94" s="14" t="str">
        <f>IF(CS94="","",IF(DA94&gt;2,2*DA94*CT94*CY94,DA94*CT94*CY94))</f>
        <v/>
      </c>
      <c r="DH94" s="2" t="str">
        <f>IF(CS94="","",IF(DA94&gt;2,2*(DA94-2*CT94*CY94),0))</f>
        <v/>
      </c>
      <c r="DI94" s="39" t="str">
        <f>IF(CS94="","",IF(DC94&gt;0,DC94*0.5*CT94,0))</f>
        <v/>
      </c>
      <c r="DJ94" s="2" t="str">
        <f>IF(CS94="","",IF(DE94&lt;0,DE94*CT94*AI94*1%,0))</f>
        <v/>
      </c>
      <c r="DK94" s="15" t="str">
        <f>IF(CS94="","",SUM(DF94:DJ94))</f>
        <v/>
      </c>
      <c r="DL94" s="2"/>
      <c r="DM94" s="2"/>
      <c r="DN94" s="15" t="str">
        <f>IF(CS94="","",SUM(DK94:DL94))</f>
        <v/>
      </c>
      <c r="DO94" s="14" t="str">
        <f>IF(CS94="","",BJ94*AI94-DN94)</f>
        <v/>
      </c>
      <c r="DP94" s="14" t="str">
        <f>IF(CS94="","",AZ94+CQ94)</f>
        <v/>
      </c>
      <c r="DQ94" s="15" t="str">
        <f>IF(CS94="","",IF((DP94-DO94)&gt;0,DP94-DO94,""))</f>
        <v/>
      </c>
      <c r="DR94" s="15" t="str">
        <f>IF(CS94="","",IF((DO94-DP94)&gt;0,(DO94-DP94),""))</f>
        <v/>
      </c>
      <c r="DS94" s="2" t="str">
        <f>IF(CS94="","",IF(DQ94="",H94,"VALENCY"))</f>
        <v/>
      </c>
      <c r="DT94" s="2" t="str">
        <f>IF(DN94="","",IF(DN94&gt;0,"CN", "DN"))</f>
        <v/>
      </c>
      <c r="DU94" s="2"/>
      <c r="DV94" s="2"/>
      <c r="DW94" s="2"/>
      <c r="DX94" s="2"/>
      <c r="DY94" s="2" t="s">
        <v>230</v>
      </c>
      <c r="DZ94" s="2"/>
      <c r="EA94" s="2" t="str">
        <f>IF(CS94="","",
   MIN(0,(IF(DA94&gt;2,2,1)*DA94*CT94*CY94))
)</f>
        <v/>
      </c>
      <c r="EB94" s="2"/>
      <c r="EC94" s="2"/>
      <c r="ED94" s="2"/>
      <c r="EE94" s="3">
        <v>4900009793</v>
      </c>
      <c r="EF94" s="7"/>
      <c r="EG94" s="3"/>
      <c r="EH94" s="3" t="s">
        <v>266</v>
      </c>
      <c r="EI94" s="3" t="s">
        <v>258</v>
      </c>
      <c r="EJ94" s="46">
        <f>BJ94</f>
        <v>238.35</v>
      </c>
      <c r="EK94" s="35">
        <v>1244</v>
      </c>
      <c r="EL94" s="9"/>
      <c r="EM94" s="9"/>
      <c r="EN94" s="46">
        <f>EK94*EJ94</f>
        <v>296507.39999999997</v>
      </c>
      <c r="EO94" s="9"/>
      <c r="EP94" s="448"/>
      <c r="EQ94" s="35"/>
      <c r="ER94" s="35"/>
      <c r="ES94" s="7"/>
      <c r="ET94" s="7"/>
      <c r="EU94" s="6"/>
      <c r="EV94" s="2" t="str">
        <f t="shared" si="219"/>
        <v>Export Loan</v>
      </c>
      <c r="EW94" s="46"/>
      <c r="EX94" s="46">
        <f>EW94/BJ94</f>
        <v>0</v>
      </c>
      <c r="EY94" s="46" t="s">
        <v>233</v>
      </c>
      <c r="EZ94" s="24"/>
      <c r="FA94" s="2" t="s">
        <v>672</v>
      </c>
      <c r="FB94" s="24">
        <v>46168</v>
      </c>
      <c r="FC94" s="53"/>
      <c r="FD94" s="46">
        <f>FC94*BJ94</f>
        <v>0</v>
      </c>
      <c r="FE94" s="52"/>
      <c r="FF94" s="52"/>
      <c r="FG94" s="49"/>
      <c r="FH94" s="49"/>
      <c r="FI94" s="49"/>
      <c r="FJ94" s="49"/>
      <c r="FK94" s="49"/>
      <c r="FL94" s="49">
        <f t="shared" si="206"/>
        <v>-46149</v>
      </c>
      <c r="FM94" s="180">
        <f t="shared" si="207"/>
        <v>-22</v>
      </c>
      <c r="FN94" s="49"/>
      <c r="FO94" s="49"/>
      <c r="FP94" s="49"/>
      <c r="FQ94" s="49"/>
      <c r="FR94" s="49"/>
      <c r="FS94" s="34">
        <f t="shared" si="176"/>
        <v>20009857</v>
      </c>
      <c r="FT94" s="34" t="str">
        <f t="shared" si="177"/>
        <v>32015968-3</v>
      </c>
      <c r="FU94" s="3"/>
      <c r="FV94" s="3"/>
      <c r="FW94" s="3"/>
      <c r="FX94" s="3"/>
      <c r="FY94" s="3"/>
      <c r="FZ94" s="3"/>
      <c r="GA94" s="3"/>
      <c r="GB94" s="35"/>
      <c r="GC94" s="3"/>
      <c r="GD94" s="182"/>
      <c r="GE94" s="2"/>
      <c r="GF94" s="2"/>
      <c r="GG94" s="2"/>
      <c r="GH94" s="2"/>
      <c r="GI94" s="2"/>
      <c r="GJ94" s="2"/>
      <c r="GK94" s="2"/>
      <c r="GL94" s="2"/>
      <c r="GM94" s="2"/>
      <c r="GN94" s="2"/>
    </row>
    <row r="95" spans="1:196" s="1" customFormat="1" ht="33.950000000000003">
      <c r="A95" s="2" t="str">
        <f t="shared" si="208"/>
        <v xml:space="preserve"> Final Pmt Recd , FNF Pending</v>
      </c>
      <c r="B95" s="281">
        <v>48</v>
      </c>
      <c r="C95" s="281">
        <v>200</v>
      </c>
      <c r="D95" s="182" t="s">
        <v>208</v>
      </c>
      <c r="E95" s="2" t="str">
        <f t="shared" si="209"/>
        <v>CLOSE POSITION</v>
      </c>
      <c r="F95" s="271">
        <f t="shared" si="224"/>
        <v>32014536</v>
      </c>
      <c r="G95" s="271"/>
      <c r="H95" s="2" t="str">
        <f t="shared" si="211"/>
        <v>VALENCY AGRO //HSS//JR TRADERS , TN</v>
      </c>
      <c r="I95" s="3" t="s">
        <v>245</v>
      </c>
      <c r="J95" s="2" t="s">
        <v>210</v>
      </c>
      <c r="K95" s="2" t="str">
        <f t="shared" si="212"/>
        <v>TUTICORIN, INDIA</v>
      </c>
      <c r="L95" s="2">
        <f t="shared" si="147"/>
        <v>266480376</v>
      </c>
      <c r="M95" s="2">
        <f t="shared" si="226"/>
        <v>100.91</v>
      </c>
      <c r="N95" s="22">
        <f t="shared" si="213"/>
        <v>46082</v>
      </c>
      <c r="O95" s="22">
        <f t="shared" si="222"/>
        <v>46142</v>
      </c>
      <c r="P95" s="22" t="str">
        <f t="shared" si="214"/>
        <v>OBL In Destination - INDIA</v>
      </c>
      <c r="Q95" s="2"/>
      <c r="R95" s="2" t="str">
        <f t="shared" si="215"/>
        <v>CERTS in Destination - INDIA</v>
      </c>
      <c r="S95" s="2" t="str">
        <f t="shared" si="216"/>
        <v>Docs in Buyer's Nego Bank</v>
      </c>
      <c r="T95" s="2" t="str">
        <f>IFERROR(_xlfn.XLOOKUP(F95,
'[2]Data 2026'!$H$12:$H$111,
'[2]Data 2026'!$CL$12:$CL$111),"")</f>
        <v/>
      </c>
      <c r="U95" s="3" t="s">
        <v>673</v>
      </c>
      <c r="V95" s="272"/>
      <c r="W95" s="3"/>
      <c r="X95" s="24">
        <v>46074</v>
      </c>
      <c r="Y95" s="273">
        <v>20009556</v>
      </c>
      <c r="Z95" s="24">
        <v>46074</v>
      </c>
      <c r="AA95" s="182">
        <v>32014536</v>
      </c>
      <c r="AB95" s="182" t="s">
        <v>674</v>
      </c>
      <c r="AC95" s="182" t="s">
        <v>675</v>
      </c>
      <c r="AD95" s="181">
        <v>46081</v>
      </c>
      <c r="AE95" s="30">
        <v>0.1</v>
      </c>
      <c r="AF95" s="277">
        <v>100</v>
      </c>
      <c r="AG95" s="35">
        <f t="shared" si="217"/>
        <v>90</v>
      </c>
      <c r="AH95" s="3" t="s">
        <v>215</v>
      </c>
      <c r="AI95" s="4">
        <v>1595</v>
      </c>
      <c r="AJ95" s="4">
        <v>159500</v>
      </c>
      <c r="AK95" s="3" t="s">
        <v>249</v>
      </c>
      <c r="AL95" s="3" t="s">
        <v>238</v>
      </c>
      <c r="AM95" s="30">
        <v>0</v>
      </c>
      <c r="AN95" s="183">
        <v>1</v>
      </c>
      <c r="AO95" s="183">
        <v>0</v>
      </c>
      <c r="AP95" s="28" t="s">
        <v>218</v>
      </c>
      <c r="AQ95" s="18" t="s">
        <v>239</v>
      </c>
      <c r="AR95" s="18" t="s">
        <v>251</v>
      </c>
      <c r="AS95" s="27"/>
      <c r="AT95" s="3"/>
      <c r="AU95" s="3" t="s">
        <v>220</v>
      </c>
      <c r="AV95" s="3" t="s">
        <v>220</v>
      </c>
      <c r="AW95" s="9"/>
      <c r="AX95" s="3"/>
      <c r="AY95" s="47"/>
      <c r="AZ95" s="275">
        <f t="shared" si="178"/>
        <v>0</v>
      </c>
      <c r="BA95" s="18"/>
      <c r="BB95" s="22"/>
      <c r="BC95" s="22"/>
      <c r="BD95" s="22"/>
      <c r="BE95" s="22"/>
      <c r="BF95" s="22"/>
      <c r="BG95" s="18"/>
      <c r="BH95" s="18"/>
      <c r="BI95" s="3">
        <v>266480376</v>
      </c>
      <c r="BJ95" s="25">
        <v>100.91</v>
      </c>
      <c r="BK95" s="46" t="s">
        <v>222</v>
      </c>
      <c r="BL95" s="497">
        <v>4</v>
      </c>
      <c r="BM95" s="18">
        <v>46082</v>
      </c>
      <c r="BN95" s="290"/>
      <c r="BO95" s="18">
        <v>46142</v>
      </c>
      <c r="BP95" s="3" t="s">
        <v>298</v>
      </c>
      <c r="BQ95" s="21" t="s">
        <v>346</v>
      </c>
      <c r="BR95" s="2" t="s">
        <v>416</v>
      </c>
      <c r="BS95" s="2"/>
      <c r="BT95" s="2" t="s">
        <v>676</v>
      </c>
      <c r="BU95" s="2" t="s">
        <v>677</v>
      </c>
      <c r="BV95" s="20">
        <v>90081869</v>
      </c>
      <c r="BW95" s="7">
        <v>46099</v>
      </c>
      <c r="BX95" s="46">
        <f t="shared" si="223"/>
        <v>160951.44999999998</v>
      </c>
      <c r="BY95" s="22">
        <v>46101</v>
      </c>
      <c r="BZ95" s="22">
        <v>46094</v>
      </c>
      <c r="CA95" s="271">
        <v>5397271736</v>
      </c>
      <c r="CB95" s="22">
        <v>46101</v>
      </c>
      <c r="CC95" s="55">
        <v>4278967932</v>
      </c>
      <c r="CD95" s="22">
        <v>46106</v>
      </c>
      <c r="CE95" s="22" t="str">
        <f t="shared" si="220"/>
        <v>OBL In Destination - INDIA</v>
      </c>
      <c r="CF95" s="22"/>
      <c r="CG95" s="22"/>
      <c r="CH95" s="181">
        <v>46094</v>
      </c>
      <c r="CI95" s="182">
        <v>6429723672</v>
      </c>
      <c r="CJ95" s="181">
        <v>46111</v>
      </c>
      <c r="CK95" s="2" t="str">
        <f t="shared" si="218"/>
        <v>CERTS in Destination - INDIA</v>
      </c>
      <c r="CL95" s="48" t="s">
        <v>229</v>
      </c>
      <c r="CM95" s="22">
        <v>46101</v>
      </c>
      <c r="CN95" s="55">
        <v>4278967932</v>
      </c>
      <c r="CO95" s="54">
        <v>46106</v>
      </c>
      <c r="CP95" s="55" t="str">
        <f t="shared" si="179"/>
        <v>Docs in Buyer's Nego Bank</v>
      </c>
      <c r="CQ95" s="50">
        <f t="shared" si="205"/>
        <v>160951.44999999998</v>
      </c>
      <c r="CR95" s="54">
        <v>46129</v>
      </c>
      <c r="CS95" s="2"/>
      <c r="CT95" s="2"/>
      <c r="CU95" s="14" t="str">
        <f>IF(CS95="","",BJ95-CT95)</f>
        <v/>
      </c>
      <c r="CV95" s="42" t="str">
        <f>IF(CS95="","",CU95/BJ95)</f>
        <v/>
      </c>
      <c r="CW95" s="14" t="str">
        <f>IF(CS95="","",AZ95+CQ95)</f>
        <v/>
      </c>
      <c r="CX95" s="14" t="str">
        <f>IF(CS95="","",BX95*2%)</f>
        <v/>
      </c>
      <c r="CY95" s="15" t="str">
        <f>IF(CS95="","",AI95/B95)</f>
        <v/>
      </c>
      <c r="CZ95" s="2"/>
      <c r="DA95" s="41" t="str">
        <f>IF(CS95="","",B95-CZ95)</f>
        <v/>
      </c>
      <c r="DB95" s="2"/>
      <c r="DC95" s="39" t="str">
        <f>IF(CS95="","",IF(CS95="","",DB95-C95))</f>
        <v/>
      </c>
      <c r="DD95" s="40"/>
      <c r="DE95" s="16" t="str">
        <f>IF(CS95="","",10%-DD95)</f>
        <v/>
      </c>
      <c r="DF95" s="2" t="str">
        <f>IF(CS95="","",CU95*AI95)</f>
        <v/>
      </c>
      <c r="DG95" s="14" t="str">
        <f>IF(CS95="","",IF(DA95&gt;2,2*DA95*CT95*CY95,DA95*CT95*CY95))</f>
        <v/>
      </c>
      <c r="DH95" s="2" t="str">
        <f>IF(CS95="","",IF(DA95&gt;2,2*(DA95-2*CT95*CY95),0))</f>
        <v/>
      </c>
      <c r="DI95" s="39" t="str">
        <f>IF(CS95="","",IF(DC95&gt;0,DC95*0.5*CT95,0))</f>
        <v/>
      </c>
      <c r="DJ95" s="2" t="str">
        <f>IF(CS95="","",IF(DE95&lt;0,DE95*CT95*AI95*1%,0))</f>
        <v/>
      </c>
      <c r="DK95" s="15" t="str">
        <f>IF(CS95="","",SUM(DF95:DJ95))</f>
        <v/>
      </c>
      <c r="DL95" s="2"/>
      <c r="DM95" s="2"/>
      <c r="DN95" s="15" t="str">
        <f>IF(CS95="","",SUM(DK95:DL95))</f>
        <v/>
      </c>
      <c r="DO95" s="14" t="str">
        <f>IF(CS95="","",BJ95*AI95-DN95)</f>
        <v/>
      </c>
      <c r="DP95" s="14" t="str">
        <f>IF(CS95="","",AZ95+CQ95)</f>
        <v/>
      </c>
      <c r="DQ95" s="15" t="str">
        <f>IF(CS95="","",IF((DP95-DO95)&gt;0,DP95-DO95,""))</f>
        <v/>
      </c>
      <c r="DR95" s="15" t="str">
        <f>IF(CS95="","",IF((DO95-DP95)&gt;0,(DO95-DP95),""))</f>
        <v/>
      </c>
      <c r="DS95" s="2" t="str">
        <f>IF(CS95="","",IF(DQ95="",H95,"VALENCY"))</f>
        <v/>
      </c>
      <c r="DT95" s="2" t="str">
        <f>IF(DN95="","",IF(DN95&gt;0,"CN", "DN"))</f>
        <v/>
      </c>
      <c r="DU95" s="2"/>
      <c r="DV95" s="2"/>
      <c r="DW95" s="2"/>
      <c r="DX95" s="2"/>
      <c r="DY95" s="2" t="s">
        <v>230</v>
      </c>
      <c r="DZ95" s="2"/>
      <c r="EA95" s="2" t="str">
        <f>IF(CS95="","",
   MIN(0,(IF(DA95&gt;2,2,1)*DA95*CT95*CY95))
)</f>
        <v/>
      </c>
      <c r="EB95" s="2"/>
      <c r="EC95" s="2"/>
      <c r="ED95" s="2"/>
      <c r="EE95" s="3"/>
      <c r="EF95" s="7"/>
      <c r="EG95" s="3"/>
      <c r="EH95" s="3" t="s">
        <v>257</v>
      </c>
      <c r="EI95" s="3" t="s">
        <v>258</v>
      </c>
      <c r="EJ95" s="189"/>
      <c r="EK95" s="4"/>
      <c r="EL95" s="9"/>
      <c r="EM95" s="9"/>
      <c r="EN95" s="46">
        <f>EK95*EJ95</f>
        <v>0</v>
      </c>
      <c r="EO95" s="9"/>
      <c r="EP95" s="8"/>
      <c r="EQ95" s="4"/>
      <c r="ER95" s="4"/>
      <c r="ES95" s="7"/>
      <c r="ET95" s="7"/>
      <c r="EU95" s="6"/>
      <c r="EV95" s="2" t="str">
        <f t="shared" si="219"/>
        <v>Final Pmt Recd</v>
      </c>
      <c r="EW95" s="46"/>
      <c r="EX95" s="46">
        <f>EW95/BJ95</f>
        <v>0</v>
      </c>
      <c r="EY95" s="46" t="s">
        <v>233</v>
      </c>
      <c r="EZ95" s="24"/>
      <c r="FA95" s="2"/>
      <c r="FB95" s="24"/>
      <c r="FC95" s="53"/>
      <c r="FD95" s="46">
        <f>FC95*BJ95</f>
        <v>0</v>
      </c>
      <c r="FE95" s="52"/>
      <c r="FF95" s="52"/>
      <c r="FG95" s="49"/>
      <c r="FH95" s="49"/>
      <c r="FI95" s="49"/>
      <c r="FJ95" s="49"/>
      <c r="FK95" s="49"/>
      <c r="FL95" s="49">
        <f t="shared" si="206"/>
        <v>-46101</v>
      </c>
      <c r="FM95" s="180">
        <f t="shared" si="207"/>
        <v>46082</v>
      </c>
      <c r="FN95" s="49"/>
      <c r="FO95" s="49"/>
      <c r="FP95" s="49"/>
      <c r="FQ95" s="49"/>
      <c r="FR95" s="49"/>
      <c r="FS95" s="34">
        <f t="shared" si="176"/>
        <v>20009556</v>
      </c>
      <c r="FT95" s="34">
        <f t="shared" si="177"/>
        <v>32014536</v>
      </c>
      <c r="FU95" s="3"/>
      <c r="FV95" s="3"/>
      <c r="FW95" s="3"/>
      <c r="FX95" s="3"/>
      <c r="FY95" s="3"/>
      <c r="FZ95" s="3"/>
      <c r="GA95" s="3"/>
      <c r="GB95" s="4"/>
      <c r="GC95" s="420">
        <v>40080122</v>
      </c>
      <c r="GD95" s="293">
        <v>90081869</v>
      </c>
      <c r="GE95" s="2"/>
      <c r="GF95" s="2" t="s">
        <v>678</v>
      </c>
      <c r="GG95" s="2"/>
      <c r="GH95" s="2"/>
      <c r="GI95" s="2"/>
      <c r="GJ95" s="2"/>
      <c r="GK95" s="2"/>
      <c r="GL95" s="2"/>
      <c r="GM95" s="2"/>
      <c r="GN95" s="2"/>
    </row>
    <row r="96" spans="1:196" s="1" customFormat="1" ht="33.950000000000003">
      <c r="A96" s="330" t="str">
        <f t="shared" si="208"/>
        <v>Stuffed, Yet to Sail</v>
      </c>
      <c r="B96" s="331">
        <v>51</v>
      </c>
      <c r="C96" s="331">
        <v>190</v>
      </c>
      <c r="D96" s="332" t="s">
        <v>208</v>
      </c>
      <c r="E96" s="330" t="str">
        <f t="shared" si="209"/>
        <v>CLOSE POSITION</v>
      </c>
      <c r="F96" s="333">
        <f t="shared" si="224"/>
        <v>32016443</v>
      </c>
      <c r="G96" s="271"/>
      <c r="H96" s="330" t="str">
        <f t="shared" si="211"/>
        <v>Valency Agro (Processing)</v>
      </c>
      <c r="I96" s="329" t="s">
        <v>209</v>
      </c>
      <c r="J96" s="330" t="s">
        <v>210</v>
      </c>
      <c r="K96" s="330" t="str">
        <f t="shared" si="212"/>
        <v>MANGALORE, INDIA</v>
      </c>
      <c r="L96" s="330" t="str">
        <f t="shared" si="147"/>
        <v>MEDULG638603</v>
      </c>
      <c r="M96" s="330">
        <f t="shared" si="226"/>
        <v>156.55000000000001</v>
      </c>
      <c r="N96" s="286" t="str">
        <f t="shared" si="213"/>
        <v/>
      </c>
      <c r="O96" s="286">
        <f t="shared" si="222"/>
        <v>46200</v>
      </c>
      <c r="P96" s="286" t="str">
        <f t="shared" si="214"/>
        <v>No OBL Yet</v>
      </c>
      <c r="Q96" s="330"/>
      <c r="R96" s="330" t="str">
        <f t="shared" si="215"/>
        <v>No CERTS Yet</v>
      </c>
      <c r="S96" s="330" t="str">
        <f t="shared" si="216"/>
        <v/>
      </c>
      <c r="T96" s="330" t="s">
        <v>662</v>
      </c>
      <c r="U96" s="514" t="s">
        <v>679</v>
      </c>
      <c r="V96" s="334"/>
      <c r="W96" s="514" t="s">
        <v>679</v>
      </c>
      <c r="X96" s="24">
        <v>46168</v>
      </c>
      <c r="Y96" s="273">
        <v>20010447</v>
      </c>
      <c r="Z96" s="24">
        <v>46168</v>
      </c>
      <c r="AA96" s="182">
        <v>32016443</v>
      </c>
      <c r="AB96" s="332" t="s">
        <v>247</v>
      </c>
      <c r="AC96" s="332" t="s">
        <v>666</v>
      </c>
      <c r="AD96" s="484">
        <v>46142</v>
      </c>
      <c r="AE96" s="485">
        <v>0.1</v>
      </c>
      <c r="AF96" s="487">
        <v>156.55000000000001</v>
      </c>
      <c r="AG96" s="338">
        <f t="shared" si="217"/>
        <v>140.89500000000001</v>
      </c>
      <c r="AH96" s="329" t="s">
        <v>215</v>
      </c>
      <c r="AI96" s="363">
        <v>1483</v>
      </c>
      <c r="AJ96" s="363">
        <f>AI96*AF96</f>
        <v>232163.65000000002</v>
      </c>
      <c r="AK96" s="329" t="s">
        <v>249</v>
      </c>
      <c r="AL96" s="329" t="s">
        <v>238</v>
      </c>
      <c r="AM96" s="485">
        <v>0</v>
      </c>
      <c r="AN96" s="357">
        <v>1</v>
      </c>
      <c r="AO96" s="357">
        <v>0</v>
      </c>
      <c r="AP96" s="358" t="s">
        <v>218</v>
      </c>
      <c r="AQ96" s="335" t="s">
        <v>250</v>
      </c>
      <c r="AR96" s="335" t="s">
        <v>251</v>
      </c>
      <c r="AS96" s="359"/>
      <c r="AT96" s="329" t="s">
        <v>220</v>
      </c>
      <c r="AU96" s="329" t="s">
        <v>220</v>
      </c>
      <c r="AV96" s="329"/>
      <c r="AW96" s="351"/>
      <c r="AX96" s="329"/>
      <c r="AY96" s="360"/>
      <c r="AZ96" s="486">
        <f t="shared" si="178"/>
        <v>0</v>
      </c>
      <c r="BA96" s="335" t="s">
        <v>494</v>
      </c>
      <c r="BB96" s="286">
        <v>46127</v>
      </c>
      <c r="BC96" s="286"/>
      <c r="BD96" s="286"/>
      <c r="BE96" s="286"/>
      <c r="BF96" s="286">
        <v>46127</v>
      </c>
      <c r="BG96" s="335"/>
      <c r="BH96" s="335"/>
      <c r="BI96" s="329" t="s">
        <v>680</v>
      </c>
      <c r="BJ96" s="487">
        <v>156.55000000000001</v>
      </c>
      <c r="BK96" s="336" t="s">
        <v>222</v>
      </c>
      <c r="BL96" s="501">
        <v>6</v>
      </c>
      <c r="BM96" s="335"/>
      <c r="BN96" s="338" t="s">
        <v>496</v>
      </c>
      <c r="BO96" s="335">
        <v>46200</v>
      </c>
      <c r="BP96" s="329" t="s">
        <v>278</v>
      </c>
      <c r="BQ96" s="339" t="s">
        <v>265</v>
      </c>
      <c r="BR96" s="330" t="s">
        <v>226</v>
      </c>
      <c r="BS96" s="330"/>
      <c r="BT96" s="330"/>
      <c r="BU96" s="329"/>
      <c r="BV96" s="340"/>
      <c r="BW96" s="341"/>
      <c r="BX96" s="336">
        <f t="shared" si="223"/>
        <v>232163.65000000002</v>
      </c>
      <c r="BY96" s="286"/>
      <c r="BZ96" s="286"/>
      <c r="CA96" s="286"/>
      <c r="CB96" s="286"/>
      <c r="CC96" s="286"/>
      <c r="CD96" s="286"/>
      <c r="CE96" s="286" t="str">
        <f t="shared" si="220"/>
        <v>No OBL Yet</v>
      </c>
      <c r="CF96" s="286"/>
      <c r="CG96" s="286"/>
      <c r="CH96" s="286"/>
      <c r="CI96" s="330"/>
      <c r="CJ96" s="330"/>
      <c r="CK96" s="330" t="str">
        <f t="shared" si="218"/>
        <v>No CERTS Yet</v>
      </c>
      <c r="CL96" s="342"/>
      <c r="CM96" s="286"/>
      <c r="CN96" s="343"/>
      <c r="CO96" s="343"/>
      <c r="CP96" s="343" t="str">
        <f t="shared" si="179"/>
        <v/>
      </c>
      <c r="CQ96" s="488">
        <f t="shared" si="205"/>
        <v>232163.65000000002</v>
      </c>
      <c r="CR96" s="344"/>
      <c r="CS96" s="330"/>
      <c r="CT96" s="330"/>
      <c r="CU96" s="345"/>
      <c r="CV96" s="489"/>
      <c r="CW96" s="345"/>
      <c r="CX96" s="345"/>
      <c r="CY96" s="346"/>
      <c r="CZ96" s="330"/>
      <c r="DA96" s="347"/>
      <c r="DB96" s="330"/>
      <c r="DC96" s="490"/>
      <c r="DD96" s="348"/>
      <c r="DE96" s="349"/>
      <c r="DF96" s="330"/>
      <c r="DG96" s="345"/>
      <c r="DH96" s="330"/>
      <c r="DI96" s="490"/>
      <c r="DJ96" s="330"/>
      <c r="DK96" s="346"/>
      <c r="DL96" s="330"/>
      <c r="DM96" s="330"/>
      <c r="DN96" s="346"/>
      <c r="DO96" s="345"/>
      <c r="DP96" s="345"/>
      <c r="DQ96" s="346"/>
      <c r="DR96" s="346"/>
      <c r="DS96" s="330"/>
      <c r="DT96" s="330"/>
      <c r="DU96" s="330"/>
      <c r="DV96" s="330"/>
      <c r="DW96" s="330"/>
      <c r="DX96" s="330"/>
      <c r="DY96" s="330" t="s">
        <v>230</v>
      </c>
      <c r="DZ96" s="330"/>
      <c r="EA96" s="330"/>
      <c r="EB96" s="330">
        <v>48.6</v>
      </c>
      <c r="EC96" s="330">
        <v>192</v>
      </c>
      <c r="ED96" s="330">
        <v>8.0500000000000007</v>
      </c>
      <c r="EE96" s="329">
        <v>4900009452</v>
      </c>
      <c r="EF96" s="423"/>
      <c r="EG96" s="329"/>
      <c r="EH96" s="330" t="s">
        <v>326</v>
      </c>
      <c r="EI96" s="329"/>
      <c r="EJ96" s="338">
        <f>BJ96</f>
        <v>156.55000000000001</v>
      </c>
      <c r="EK96" s="338">
        <v>1390</v>
      </c>
      <c r="EL96" s="491"/>
      <c r="EM96" s="350"/>
      <c r="EN96" s="336"/>
      <c r="EO96" s="329"/>
      <c r="EP96" s="329"/>
      <c r="EQ96" s="329"/>
      <c r="ER96" s="329"/>
      <c r="ES96" s="350"/>
      <c r="ET96" s="329"/>
      <c r="EU96" s="329"/>
      <c r="EV96" s="330" t="str">
        <f t="shared" si="219"/>
        <v>Yet to load</v>
      </c>
      <c r="EW96" s="336"/>
      <c r="EX96" s="336"/>
      <c r="EY96" s="336"/>
      <c r="EZ96" s="337"/>
      <c r="FA96" s="330"/>
      <c r="FB96" s="337"/>
      <c r="FC96" s="492"/>
      <c r="FD96" s="336"/>
      <c r="FE96" s="353"/>
      <c r="FF96" s="353"/>
      <c r="FG96" s="354"/>
      <c r="FH96" s="354"/>
      <c r="FI96" s="354"/>
      <c r="FJ96" s="354"/>
      <c r="FK96" s="49"/>
      <c r="FL96" s="49">
        <f t="shared" si="206"/>
        <v>0</v>
      </c>
      <c r="FM96" s="180">
        <f t="shared" si="207"/>
        <v>0</v>
      </c>
      <c r="FN96" s="49"/>
      <c r="FO96" s="49"/>
      <c r="FP96" s="49"/>
      <c r="FQ96" s="49"/>
      <c r="FR96" s="49"/>
      <c r="FS96" s="34">
        <f t="shared" si="176"/>
        <v>20010447</v>
      </c>
      <c r="FT96" s="34">
        <f t="shared" si="177"/>
        <v>32016443</v>
      </c>
      <c r="FU96" s="3"/>
      <c r="FV96" s="3"/>
      <c r="FW96" s="3"/>
      <c r="FX96" s="3"/>
      <c r="FY96" s="3"/>
      <c r="FZ96" s="3"/>
      <c r="GA96" s="3"/>
      <c r="GB96" s="4"/>
      <c r="GC96" s="3"/>
      <c r="GD96" s="182"/>
      <c r="GE96" s="3"/>
      <c r="GF96" s="3"/>
      <c r="GG96" s="3"/>
      <c r="GH96" s="3"/>
      <c r="GI96" s="3"/>
      <c r="GJ96" s="3"/>
      <c r="GK96" s="3"/>
      <c r="GL96" s="3"/>
      <c r="GM96" s="3"/>
      <c r="GN96" s="3"/>
    </row>
    <row r="97" spans="1:196" s="1" customFormat="1" ht="33.950000000000003">
      <c r="A97" s="2" t="str">
        <f t="shared" si="208"/>
        <v xml:space="preserve"> Final Pmt Recd , FNF Pending</v>
      </c>
      <c r="B97" s="281">
        <v>49</v>
      </c>
      <c r="C97" s="281">
        <v>200</v>
      </c>
      <c r="D97" s="182" t="s">
        <v>208</v>
      </c>
      <c r="E97" s="2" t="str">
        <f t="shared" si="209"/>
        <v>CLOSE POSITION</v>
      </c>
      <c r="F97" s="271">
        <f t="shared" si="224"/>
        <v>32014474</v>
      </c>
      <c r="G97" s="271"/>
      <c r="H97" s="2" t="str">
        <f t="shared" si="211"/>
        <v>VALENCY AGRO //HSS//SABAH ENTERPRISES</v>
      </c>
      <c r="I97" s="3" t="s">
        <v>245</v>
      </c>
      <c r="J97" s="2" t="s">
        <v>210</v>
      </c>
      <c r="K97" s="2" t="str">
        <f t="shared" si="212"/>
        <v>TUTICORIN, INDIA</v>
      </c>
      <c r="L97" s="2" t="str">
        <f t="shared" si="147"/>
        <v>MEDUTM427521</v>
      </c>
      <c r="M97" s="2">
        <f t="shared" si="226"/>
        <v>102.468</v>
      </c>
      <c r="N97" s="22">
        <f t="shared" si="213"/>
        <v>46100</v>
      </c>
      <c r="O97" s="22">
        <f t="shared" si="222"/>
        <v>46116</v>
      </c>
      <c r="P97" s="22" t="str">
        <f t="shared" si="214"/>
        <v>OBL In Destination - INDIA</v>
      </c>
      <c r="Q97" s="2"/>
      <c r="R97" s="2" t="str">
        <f t="shared" si="215"/>
        <v>CERTS in Destination - INDIA</v>
      </c>
      <c r="S97" s="2" t="str">
        <f t="shared" si="216"/>
        <v>Docs in Buyer's Nego Bank</v>
      </c>
      <c r="T97" s="2" t="str">
        <f>IFERROR(_xlfn.XLOOKUP(F97,
'[2]Data 2026'!$H$12:$H$111,
'[2]Data 2026'!$CL$12:$CL$111),"")</f>
        <v/>
      </c>
      <c r="U97" s="3" t="s">
        <v>681</v>
      </c>
      <c r="V97" s="272"/>
      <c r="W97" s="272"/>
      <c r="X97" s="24">
        <v>46072</v>
      </c>
      <c r="Y97" s="273">
        <v>20009526</v>
      </c>
      <c r="Z97" s="24">
        <v>46071</v>
      </c>
      <c r="AA97" s="182">
        <v>32014474</v>
      </c>
      <c r="AB97" s="182" t="s">
        <v>344</v>
      </c>
      <c r="AC97" s="182" t="s">
        <v>675</v>
      </c>
      <c r="AD97" s="181">
        <v>46081</v>
      </c>
      <c r="AE97" s="30">
        <v>0.1</v>
      </c>
      <c r="AF97" s="277">
        <v>100</v>
      </c>
      <c r="AG97" s="35">
        <f t="shared" si="217"/>
        <v>90</v>
      </c>
      <c r="AH97" s="3" t="s">
        <v>215</v>
      </c>
      <c r="AI97" s="4">
        <v>1625</v>
      </c>
      <c r="AJ97" s="4">
        <v>162500</v>
      </c>
      <c r="AK97" s="3" t="s">
        <v>249</v>
      </c>
      <c r="AL97" s="3" t="s">
        <v>238</v>
      </c>
      <c r="AM97" s="30">
        <v>0</v>
      </c>
      <c r="AN97" s="183">
        <v>1</v>
      </c>
      <c r="AO97" s="183">
        <v>0</v>
      </c>
      <c r="AP97" s="28" t="s">
        <v>218</v>
      </c>
      <c r="AQ97" s="18" t="s">
        <v>331</v>
      </c>
      <c r="AR97" s="18" t="s">
        <v>251</v>
      </c>
      <c r="AS97" s="27"/>
      <c r="AT97" s="3"/>
      <c r="AU97" s="3" t="s">
        <v>220</v>
      </c>
      <c r="AV97" s="3" t="s">
        <v>220</v>
      </c>
      <c r="AW97" s="9"/>
      <c r="AX97" s="3"/>
      <c r="AY97" s="47"/>
      <c r="AZ97" s="275">
        <f t="shared" si="178"/>
        <v>0</v>
      </c>
      <c r="BA97" s="18"/>
      <c r="BB97" s="22"/>
      <c r="BC97" s="22"/>
      <c r="BD97" s="22"/>
      <c r="BE97" s="22"/>
      <c r="BF97" s="22"/>
      <c r="BG97" s="18"/>
      <c r="BH97" s="18"/>
      <c r="BI97" s="3" t="s">
        <v>682</v>
      </c>
      <c r="BJ97" s="25">
        <v>102.468</v>
      </c>
      <c r="BK97" s="46" t="s">
        <v>222</v>
      </c>
      <c r="BL97" s="497">
        <v>4</v>
      </c>
      <c r="BM97" s="18">
        <v>46100</v>
      </c>
      <c r="BN97" s="4" t="s">
        <v>683</v>
      </c>
      <c r="BO97" s="18">
        <v>46116</v>
      </c>
      <c r="BP97" s="3" t="s">
        <v>298</v>
      </c>
      <c r="BQ97" s="21" t="s">
        <v>346</v>
      </c>
      <c r="BR97" s="2" t="s">
        <v>226</v>
      </c>
      <c r="BS97" s="2"/>
      <c r="BT97" s="2" t="s">
        <v>684</v>
      </c>
      <c r="BU97" s="2" t="s">
        <v>685</v>
      </c>
      <c r="BV97" s="20">
        <v>90080534</v>
      </c>
      <c r="BW97" s="7">
        <v>46071</v>
      </c>
      <c r="BX97" s="46">
        <f t="shared" si="223"/>
        <v>166510.5</v>
      </c>
      <c r="BY97" s="22"/>
      <c r="BZ97" s="22">
        <v>46078</v>
      </c>
      <c r="CA97" s="271">
        <v>8146642733</v>
      </c>
      <c r="CB97" s="22">
        <v>46084</v>
      </c>
      <c r="CC97" s="55">
        <v>8584195900</v>
      </c>
      <c r="CD97" s="22">
        <v>46087</v>
      </c>
      <c r="CE97" s="22" t="str">
        <f t="shared" si="220"/>
        <v>OBL In Destination - INDIA</v>
      </c>
      <c r="CF97" s="22"/>
      <c r="CG97" s="22"/>
      <c r="CH97" s="181">
        <v>46077</v>
      </c>
      <c r="CI97" s="182">
        <v>8984618123</v>
      </c>
      <c r="CJ97" s="181">
        <v>46093</v>
      </c>
      <c r="CK97" s="2" t="str">
        <f t="shared" si="218"/>
        <v>CERTS in Destination - INDIA</v>
      </c>
      <c r="CL97" s="48" t="s">
        <v>229</v>
      </c>
      <c r="CM97" s="22">
        <v>46084</v>
      </c>
      <c r="CN97" s="55">
        <v>8584195900</v>
      </c>
      <c r="CO97" s="54">
        <v>46087</v>
      </c>
      <c r="CP97" s="55" t="str">
        <f t="shared" si="179"/>
        <v>Docs in Buyer's Nego Bank</v>
      </c>
      <c r="CQ97" s="50">
        <f t="shared" si="205"/>
        <v>166510.5</v>
      </c>
      <c r="CR97" s="54">
        <v>46105</v>
      </c>
      <c r="CS97" s="2"/>
      <c r="CT97" s="2"/>
      <c r="CU97" s="14" t="str">
        <f t="shared" ref="CU97:CU103" si="227">IF(CS97="","",BJ97-CT97)</f>
        <v/>
      </c>
      <c r="CV97" s="42" t="str">
        <f t="shared" ref="CV97:CV103" si="228">IF(CS97="","",CU97/BJ97)</f>
        <v/>
      </c>
      <c r="CW97" s="14" t="str">
        <f t="shared" ref="CW97:CW103" si="229">IF(CS97="","",AZ97+CQ97)</f>
        <v/>
      </c>
      <c r="CX97" s="14" t="str">
        <f t="shared" ref="CX97:CX103" si="230">IF(CS97="","",BX97*2%)</f>
        <v/>
      </c>
      <c r="CY97" s="15" t="str">
        <f t="shared" ref="CY97:CY103" si="231">IF(CS97="","",AI97/B97)</f>
        <v/>
      </c>
      <c r="CZ97" s="2"/>
      <c r="DA97" s="41" t="str">
        <f t="shared" ref="DA97:DA103" si="232">IF(CS97="","",B97-CZ97)</f>
        <v/>
      </c>
      <c r="DB97" s="2"/>
      <c r="DC97" s="39" t="str">
        <f t="shared" ref="DC97:DC103" si="233">IF(CS97="","",IF(CS97="","",DB97-C97))</f>
        <v/>
      </c>
      <c r="DD97" s="40"/>
      <c r="DE97" s="16" t="str">
        <f t="shared" ref="DE97:DE103" si="234">IF(CS97="","",10%-DD97)</f>
        <v/>
      </c>
      <c r="DF97" s="2" t="str">
        <f t="shared" ref="DF97:DF103" si="235">IF(CS97="","",CU97*AI97)</f>
        <v/>
      </c>
      <c r="DG97" s="14" t="str">
        <f t="shared" ref="DG97:DG103" si="236">IF(CS97="","",IF(DA97&gt;2,2*DA97*CT97*CY97,DA97*CT97*CY97))</f>
        <v/>
      </c>
      <c r="DH97" s="2" t="str">
        <f t="shared" ref="DH97:DH103" si="237">IF(CS97="","",IF(DA97&gt;2,2*(DA97-2*CT97*CY97),0))</f>
        <v/>
      </c>
      <c r="DI97" s="39" t="str">
        <f t="shared" ref="DI97:DI103" si="238">IF(CS97="","",IF(DC97&gt;0,DC97*0.5*CT97,0))</f>
        <v/>
      </c>
      <c r="DJ97" s="2" t="str">
        <f t="shared" ref="DJ97:DJ103" si="239">IF(CS97="","",IF(DE97&lt;0,DE97*CT97*AI97*1%,0))</f>
        <v/>
      </c>
      <c r="DK97" s="15" t="str">
        <f t="shared" ref="DK97:DK103" si="240">IF(CS97="","",SUM(DF97:DJ97))</f>
        <v/>
      </c>
      <c r="DL97" s="2"/>
      <c r="DM97" s="2"/>
      <c r="DN97" s="15" t="str">
        <f t="shared" ref="DN97:DN103" si="241">IF(CS97="","",SUM(DK97:DL97))</f>
        <v/>
      </c>
      <c r="DO97" s="14" t="str">
        <f t="shared" ref="DO97:DO103" si="242">IF(CS97="","",BJ97*AI97-DN97)</f>
        <v/>
      </c>
      <c r="DP97" s="14" t="str">
        <f t="shared" ref="DP97:DP103" si="243">IF(CS97="","",AZ97+CQ97)</f>
        <v/>
      </c>
      <c r="DQ97" s="15" t="str">
        <f t="shared" ref="DQ97:DQ103" si="244">IF(CS97="","",IF((DP97-DO97)&gt;0,DP97-DO97,""))</f>
        <v/>
      </c>
      <c r="DR97" s="15" t="str">
        <f t="shared" ref="DR97:DR103" si="245">IF(CS97="","",IF((DO97-DP97)&gt;0,(DO97-DP97),""))</f>
        <v/>
      </c>
      <c r="DS97" s="2" t="str">
        <f t="shared" ref="DS97:DS103" si="246">IF(CS97="","",IF(DQ97="",H97,"VALENCY"))</f>
        <v/>
      </c>
      <c r="DT97" s="2" t="str">
        <f t="shared" ref="DT97:DT103" si="247">IF(DN97="","",IF(DN97&gt;0,"CN", "DN"))</f>
        <v/>
      </c>
      <c r="DU97" s="2"/>
      <c r="DV97" s="2"/>
      <c r="DW97" s="2"/>
      <c r="DX97" s="2"/>
      <c r="DY97" s="2" t="s">
        <v>230</v>
      </c>
      <c r="DZ97" s="2"/>
      <c r="EA97" s="2" t="str">
        <f t="shared" ref="EA97:EA103" si="248">IF(CS97="","",
   MIN(0,(IF(DA97&gt;2,2,1)*DA97*CT97*CY97))
)</f>
        <v/>
      </c>
      <c r="EB97" s="2"/>
      <c r="EC97" s="2"/>
      <c r="ED97" s="2"/>
      <c r="EE97" s="3">
        <v>4900009171</v>
      </c>
      <c r="EF97" s="7"/>
      <c r="EG97" s="3"/>
      <c r="EH97" s="3" t="s">
        <v>257</v>
      </c>
      <c r="EI97" s="3" t="s">
        <v>258</v>
      </c>
      <c r="EJ97" s="189"/>
      <c r="EK97" s="4">
        <v>1500</v>
      </c>
      <c r="EL97" s="9"/>
      <c r="EM97" s="9"/>
      <c r="EN97" s="46">
        <f t="shared" ref="EN97:EN103" si="249">EK97*EJ97</f>
        <v>0</v>
      </c>
      <c r="EO97" s="9"/>
      <c r="EP97" s="8"/>
      <c r="EQ97" s="4"/>
      <c r="ER97" s="4"/>
      <c r="ES97" s="7"/>
      <c r="ET97" s="7"/>
      <c r="EU97" s="6"/>
      <c r="EV97" s="2" t="str">
        <f t="shared" si="219"/>
        <v>Final Pmt Recd</v>
      </c>
      <c r="EW97" s="46"/>
      <c r="EX97" s="46">
        <f t="shared" ref="EX97:EX103" si="250">EW97/BJ97</f>
        <v>0</v>
      </c>
      <c r="EY97" s="46" t="s">
        <v>233</v>
      </c>
      <c r="EZ97" s="24"/>
      <c r="FA97" s="2"/>
      <c r="FB97" s="24"/>
      <c r="FC97" s="53"/>
      <c r="FD97" s="46">
        <f t="shared" ref="FD97:FD103" si="251">FC97*BJ97</f>
        <v>0</v>
      </c>
      <c r="FE97" s="52"/>
      <c r="FF97" s="52"/>
      <c r="FG97" s="49"/>
      <c r="FH97" s="49"/>
      <c r="FI97" s="49"/>
      <c r="FJ97" s="49"/>
      <c r="FK97" s="49"/>
      <c r="FL97" s="49">
        <f t="shared" si="206"/>
        <v>0</v>
      </c>
      <c r="FM97" s="180">
        <f t="shared" si="207"/>
        <v>46100</v>
      </c>
      <c r="FN97" s="49"/>
      <c r="FO97" s="49"/>
      <c r="FP97" s="49"/>
      <c r="FQ97" s="49"/>
      <c r="FR97" s="49"/>
      <c r="FS97" s="34">
        <f t="shared" si="176"/>
        <v>20009526</v>
      </c>
      <c r="FT97" s="34">
        <f t="shared" si="177"/>
        <v>32014474</v>
      </c>
      <c r="FU97" s="3">
        <v>4900009171</v>
      </c>
      <c r="FV97" s="3">
        <v>5000262129</v>
      </c>
      <c r="FW97" s="21" t="s">
        <v>686</v>
      </c>
      <c r="FX97" s="3">
        <v>5105705550</v>
      </c>
      <c r="FY97" s="3"/>
      <c r="FZ97" s="3"/>
      <c r="GA97" s="3"/>
      <c r="GB97" s="4"/>
      <c r="GC97" s="3">
        <v>4900399117</v>
      </c>
      <c r="GD97" s="182">
        <v>90080534</v>
      </c>
      <c r="GE97" s="2"/>
      <c r="GF97" s="2" t="s">
        <v>235</v>
      </c>
      <c r="GG97" s="2"/>
      <c r="GH97" s="2"/>
      <c r="GI97" s="2"/>
      <c r="GJ97" s="2"/>
      <c r="GK97" s="2"/>
      <c r="GL97" s="2"/>
      <c r="GM97" s="2"/>
      <c r="GN97" s="2"/>
    </row>
    <row r="98" spans="1:196" s="1" customFormat="1" ht="55.5">
      <c r="A98" s="2" t="str">
        <f t="shared" si="208"/>
        <v>Exp Dox Presented to Bank, Pmt Pending</v>
      </c>
      <c r="B98" s="281">
        <v>51</v>
      </c>
      <c r="C98" s="281">
        <v>190</v>
      </c>
      <c r="D98" s="182" t="s">
        <v>208</v>
      </c>
      <c r="E98" s="2" t="str">
        <f t="shared" si="209"/>
        <v>CLOSE POSITION</v>
      </c>
      <c r="F98" s="271" t="str">
        <f t="shared" si="224"/>
        <v>32013750-3</v>
      </c>
      <c r="G98" s="271"/>
      <c r="H98" s="2" t="str">
        <f t="shared" si="211"/>
        <v>MAA TARA TARINI CASHEW INDUSTRIES</v>
      </c>
      <c r="I98" s="3" t="s">
        <v>209</v>
      </c>
      <c r="J98" s="2" t="s">
        <v>210</v>
      </c>
      <c r="K98" s="2" t="str">
        <f t="shared" si="212"/>
        <v>GANGAVARAM, INDIA</v>
      </c>
      <c r="L98" s="2" t="s">
        <v>687</v>
      </c>
      <c r="M98" s="2">
        <f t="shared" si="226"/>
        <v>50.66</v>
      </c>
      <c r="N98" s="22">
        <f t="shared" si="213"/>
        <v>46130</v>
      </c>
      <c r="O98" s="22">
        <f t="shared" si="222"/>
        <v>46173</v>
      </c>
      <c r="P98" s="22" t="str">
        <f t="shared" si="214"/>
        <v>OBL In Destination - INDIA</v>
      </c>
      <c r="Q98" s="2"/>
      <c r="R98" s="2" t="str">
        <f t="shared" si="215"/>
        <v>CERTS in Destination - INDIA</v>
      </c>
      <c r="S98" s="2" t="str">
        <f t="shared" si="216"/>
        <v>Docs in Buyer's Nego Bank</v>
      </c>
      <c r="T98" s="2" t="str">
        <f>IFERROR(_xlfn.XLOOKUP(F98,
'[2]Data 2026'!$H$12:$H$111,
'[2]Data 2026'!$CL$12:$CL$111),"")</f>
        <v/>
      </c>
      <c r="U98" s="3" t="s">
        <v>688</v>
      </c>
      <c r="V98" s="272" t="s">
        <v>212</v>
      </c>
      <c r="W98" s="3"/>
      <c r="X98" s="24">
        <v>46014</v>
      </c>
      <c r="Y98" s="273" t="s">
        <v>338</v>
      </c>
      <c r="Z98" s="24">
        <v>46017</v>
      </c>
      <c r="AA98" s="182" t="s">
        <v>689</v>
      </c>
      <c r="AB98" s="182" t="s">
        <v>330</v>
      </c>
      <c r="AC98" s="182" t="s">
        <v>214</v>
      </c>
      <c r="AD98" s="571" t="s">
        <v>2</v>
      </c>
      <c r="AE98" s="44">
        <v>0.1</v>
      </c>
      <c r="AF98" s="35">
        <v>50</v>
      </c>
      <c r="AG98" s="35">
        <f t="shared" si="217"/>
        <v>45</v>
      </c>
      <c r="AH98" s="3" t="s">
        <v>215</v>
      </c>
      <c r="AI98" s="35">
        <v>1610</v>
      </c>
      <c r="AJ98" s="35">
        <v>161000</v>
      </c>
      <c r="AK98" s="3" t="s">
        <v>216</v>
      </c>
      <c r="AL98" s="3" t="s">
        <v>238</v>
      </c>
      <c r="AM98" s="183">
        <v>0.1</v>
      </c>
      <c r="AN98" s="183">
        <v>0.9</v>
      </c>
      <c r="AO98" s="183">
        <v>0</v>
      </c>
      <c r="AP98" s="28" t="s">
        <v>218</v>
      </c>
      <c r="AQ98" s="18" t="s">
        <v>331</v>
      </c>
      <c r="AR98" s="2"/>
      <c r="AS98" s="274"/>
      <c r="AT98" s="3" t="s">
        <v>220</v>
      </c>
      <c r="AU98" s="3" t="s">
        <v>220</v>
      </c>
      <c r="AV98" s="3" t="s">
        <v>220</v>
      </c>
      <c r="AW98" s="9"/>
      <c r="AX98" s="3"/>
      <c r="AY98" s="47"/>
      <c r="AZ98" s="275">
        <f t="shared" si="178"/>
        <v>8050</v>
      </c>
      <c r="BA98" s="47">
        <v>46024</v>
      </c>
      <c r="BB98" s="22">
        <v>46030</v>
      </c>
      <c r="BC98" s="22"/>
      <c r="BD98" s="22"/>
      <c r="BE98" s="22"/>
      <c r="BF98" s="22">
        <v>46030</v>
      </c>
      <c r="BG98" s="18"/>
      <c r="BH98" s="18"/>
      <c r="BI98" s="3" t="s">
        <v>687</v>
      </c>
      <c r="BJ98" s="43">
        <v>50.66</v>
      </c>
      <c r="BK98" s="46" t="s">
        <v>222</v>
      </c>
      <c r="BL98" s="498">
        <v>2</v>
      </c>
      <c r="BM98" s="18">
        <v>46130</v>
      </c>
      <c r="BN98" s="4" t="s">
        <v>690</v>
      </c>
      <c r="BO98" s="18">
        <v>46173</v>
      </c>
      <c r="BP98" s="3" t="s">
        <v>224</v>
      </c>
      <c r="BQ98" s="21" t="s">
        <v>334</v>
      </c>
      <c r="BR98" s="3" t="s">
        <v>226</v>
      </c>
      <c r="BS98" s="3"/>
      <c r="BT98" s="3" t="s">
        <v>335</v>
      </c>
      <c r="BU98" s="3" t="s">
        <v>243</v>
      </c>
      <c r="BV98" s="20">
        <v>90085100</v>
      </c>
      <c r="BW98" s="7">
        <v>46142</v>
      </c>
      <c r="BX98" s="46">
        <f t="shared" si="223"/>
        <v>81562.599999999991</v>
      </c>
      <c r="BY98" s="22">
        <v>46141</v>
      </c>
      <c r="BZ98" s="22">
        <v>46141</v>
      </c>
      <c r="CA98" s="439">
        <v>1474552870</v>
      </c>
      <c r="CB98" s="22">
        <v>46153</v>
      </c>
      <c r="CC98" s="22"/>
      <c r="CD98" s="22"/>
      <c r="CE98" s="22" t="str">
        <f t="shared" si="220"/>
        <v>OBL In Destination - INDIA</v>
      </c>
      <c r="CF98" s="22"/>
      <c r="CG98" s="22"/>
      <c r="CH98" s="22">
        <v>46155</v>
      </c>
      <c r="CI98" s="2">
        <v>6917019701</v>
      </c>
      <c r="CJ98" s="22">
        <v>46164</v>
      </c>
      <c r="CK98" s="2" t="str">
        <f t="shared" si="218"/>
        <v>CERTS in Destination - INDIA</v>
      </c>
      <c r="CL98" s="48" t="s">
        <v>691</v>
      </c>
      <c r="CM98" s="22">
        <v>46149</v>
      </c>
      <c r="CN98" s="55">
        <v>1393217840</v>
      </c>
      <c r="CO98" s="437">
        <v>46154</v>
      </c>
      <c r="CP98" s="55" t="str">
        <f t="shared" si="179"/>
        <v>Docs in Buyer's Nego Bank</v>
      </c>
      <c r="CQ98" s="50">
        <f t="shared" si="205"/>
        <v>65356.34</v>
      </c>
      <c r="CR98" s="54"/>
      <c r="CS98" s="2"/>
      <c r="CT98" s="2"/>
      <c r="CU98" s="14" t="str">
        <f t="shared" si="227"/>
        <v/>
      </c>
      <c r="CV98" s="42" t="str">
        <f t="shared" si="228"/>
        <v/>
      </c>
      <c r="CW98" s="14" t="str">
        <f t="shared" si="229"/>
        <v/>
      </c>
      <c r="CX98" s="14" t="str">
        <f t="shared" si="230"/>
        <v/>
      </c>
      <c r="CY98" s="15" t="str">
        <f t="shared" si="231"/>
        <v/>
      </c>
      <c r="CZ98" s="2"/>
      <c r="DA98" s="41" t="str">
        <f t="shared" si="232"/>
        <v/>
      </c>
      <c r="DB98" s="2"/>
      <c r="DC98" s="39" t="str">
        <f t="shared" si="233"/>
        <v/>
      </c>
      <c r="DD98" s="40"/>
      <c r="DE98" s="16" t="str">
        <f t="shared" si="234"/>
        <v/>
      </c>
      <c r="DF98" s="2" t="str">
        <f t="shared" si="235"/>
        <v/>
      </c>
      <c r="DG98" s="14" t="str">
        <f t="shared" si="236"/>
        <v/>
      </c>
      <c r="DH98" s="2" t="str">
        <f t="shared" si="237"/>
        <v/>
      </c>
      <c r="DI98" s="39" t="str">
        <f t="shared" si="238"/>
        <v/>
      </c>
      <c r="DJ98" s="2" t="str">
        <f t="shared" si="239"/>
        <v/>
      </c>
      <c r="DK98" s="15" t="str">
        <f t="shared" si="240"/>
        <v/>
      </c>
      <c r="DL98" s="2"/>
      <c r="DM98" s="2"/>
      <c r="DN98" s="15" t="str">
        <f t="shared" si="241"/>
        <v/>
      </c>
      <c r="DO98" s="14" t="str">
        <f t="shared" si="242"/>
        <v/>
      </c>
      <c r="DP98" s="14" t="str">
        <f t="shared" si="243"/>
        <v/>
      </c>
      <c r="DQ98" s="15" t="str">
        <f t="shared" si="244"/>
        <v/>
      </c>
      <c r="DR98" s="15" t="str">
        <f t="shared" si="245"/>
        <v/>
      </c>
      <c r="DS98" s="2" t="str">
        <f t="shared" si="246"/>
        <v/>
      </c>
      <c r="DT98" s="2" t="str">
        <f t="shared" si="247"/>
        <v/>
      </c>
      <c r="DU98" s="2"/>
      <c r="DV98" s="2"/>
      <c r="DW98" s="2"/>
      <c r="DX98" s="2"/>
      <c r="DY98" s="2" t="s">
        <v>230</v>
      </c>
      <c r="DZ98" s="2"/>
      <c r="EA98" s="2" t="str">
        <f t="shared" si="248"/>
        <v/>
      </c>
      <c r="EB98" s="2"/>
      <c r="EC98" s="2"/>
      <c r="ED98" s="2"/>
      <c r="EE98" s="3"/>
      <c r="EF98" s="37"/>
      <c r="EG98" s="3"/>
      <c r="EH98" s="2" t="s">
        <v>231</v>
      </c>
      <c r="EI98" s="3"/>
      <c r="EJ98" s="35"/>
      <c r="EK98" s="35"/>
      <c r="EL98" s="36" t="s">
        <v>220</v>
      </c>
      <c r="EM98" s="7"/>
      <c r="EN98" s="46">
        <f t="shared" si="249"/>
        <v>0</v>
      </c>
      <c r="EO98" s="3"/>
      <c r="EP98" s="3"/>
      <c r="EQ98" s="3"/>
      <c r="ER98" s="3"/>
      <c r="ES98" s="7"/>
      <c r="ET98" s="3"/>
      <c r="EU98" s="3"/>
      <c r="EV98" s="2" t="str">
        <f t="shared" si="219"/>
        <v>Export Loan</v>
      </c>
      <c r="EW98" s="46"/>
      <c r="EX98" s="46">
        <f t="shared" si="250"/>
        <v>0</v>
      </c>
      <c r="EY98" s="46" t="s">
        <v>233</v>
      </c>
      <c r="EZ98" s="24"/>
      <c r="FA98" s="2"/>
      <c r="FB98" s="24"/>
      <c r="FC98" s="53"/>
      <c r="FD98" s="46">
        <f t="shared" si="251"/>
        <v>0</v>
      </c>
      <c r="FE98" s="52"/>
      <c r="FF98" s="52"/>
      <c r="FG98" s="49"/>
      <c r="FH98" s="49"/>
      <c r="FI98" s="49"/>
      <c r="FJ98" s="49"/>
      <c r="FK98" s="49"/>
      <c r="FL98" s="49">
        <f t="shared" si="206"/>
        <v>-46141</v>
      </c>
      <c r="FM98" s="180">
        <f t="shared" si="207"/>
        <v>46130</v>
      </c>
      <c r="FN98" s="49"/>
      <c r="FO98" s="49"/>
      <c r="FP98" s="49"/>
      <c r="FQ98" s="49"/>
      <c r="FR98" s="49"/>
      <c r="FS98" s="6" t="s">
        <v>338</v>
      </c>
      <c r="FT98" s="3" t="s">
        <v>339</v>
      </c>
      <c r="FU98" s="3">
        <v>0</v>
      </c>
      <c r="FV98" s="3"/>
      <c r="FW98" s="3"/>
      <c r="FX98" s="3"/>
      <c r="FY98" s="3"/>
      <c r="FZ98" s="3"/>
      <c r="GA98" s="3"/>
      <c r="GB98" s="3"/>
      <c r="GC98" s="3"/>
      <c r="GD98" s="3">
        <v>90085100</v>
      </c>
      <c r="GE98" s="3"/>
      <c r="GF98" s="3"/>
      <c r="GG98" s="3"/>
      <c r="GH98" s="3"/>
      <c r="GI98" s="3"/>
      <c r="GJ98" s="3"/>
      <c r="GK98" s="3"/>
      <c r="GL98" s="3"/>
      <c r="GM98" s="3"/>
      <c r="GN98" s="35"/>
    </row>
    <row r="99" spans="1:196" s="1" customFormat="1" ht="33.950000000000003">
      <c r="A99" s="2" t="str">
        <f t="shared" si="208"/>
        <v>Exp Dox Presented to Bank, Pmt Pending</v>
      </c>
      <c r="B99" s="281">
        <v>51</v>
      </c>
      <c r="C99" s="281">
        <v>185</v>
      </c>
      <c r="D99" s="182" t="s">
        <v>208</v>
      </c>
      <c r="E99" s="2" t="str">
        <f t="shared" si="209"/>
        <v>CLOSE POSITION</v>
      </c>
      <c r="F99" s="271">
        <f t="shared" si="224"/>
        <v>32014396</v>
      </c>
      <c r="G99" s="271"/>
      <c r="H99" s="2" t="str">
        <f t="shared" si="211"/>
        <v>SREE DEVI CASHEW INDUSTRIES</v>
      </c>
      <c r="I99" s="3" t="s">
        <v>209</v>
      </c>
      <c r="J99" s="2" t="s">
        <v>210</v>
      </c>
      <c r="K99" s="2" t="str">
        <f t="shared" si="212"/>
        <v>MANGALORE, INDIA</v>
      </c>
      <c r="L99" s="442" t="str">
        <f t="shared" ref="L99:L130" si="252">IF(BI99&lt;&gt;0,BI99,"")</f>
        <v>MEDULG629693</v>
      </c>
      <c r="M99" s="2">
        <f t="shared" si="226"/>
        <v>206.74</v>
      </c>
      <c r="N99" s="22">
        <f t="shared" si="213"/>
        <v>46126</v>
      </c>
      <c r="O99" s="22">
        <f t="shared" si="222"/>
        <v>46186</v>
      </c>
      <c r="P99" s="22" t="str">
        <f t="shared" si="214"/>
        <v>OBL In Destination - INDIA</v>
      </c>
      <c r="Q99" s="2"/>
      <c r="R99" s="2" t="str">
        <f t="shared" si="215"/>
        <v>CERTS in Destination - INDIA</v>
      </c>
      <c r="S99" s="2" t="str">
        <f t="shared" si="216"/>
        <v>Docs in Buyer's Nego Bank</v>
      </c>
      <c r="T99" s="2" t="str">
        <f>IFERROR(_xlfn.XLOOKUP(F99,
'[2]Data 2026'!$H$12:$H$111,
'[2]Data 2026'!$CL$12:$CL$111),"")</f>
        <v/>
      </c>
      <c r="U99" s="3" t="s">
        <v>580</v>
      </c>
      <c r="V99" s="272"/>
      <c r="W99" s="3"/>
      <c r="X99" s="24">
        <v>46052</v>
      </c>
      <c r="Y99" s="273">
        <v>20009349</v>
      </c>
      <c r="Z99" s="24">
        <v>46052</v>
      </c>
      <c r="AA99" s="182">
        <v>32014396</v>
      </c>
      <c r="AB99" s="182" t="s">
        <v>424</v>
      </c>
      <c r="AC99" s="203">
        <v>46082</v>
      </c>
      <c r="AD99" s="203">
        <v>46112</v>
      </c>
      <c r="AE99" s="30">
        <v>0.1</v>
      </c>
      <c r="AF99" s="277">
        <f>EJ99</f>
        <v>206.74</v>
      </c>
      <c r="AG99" s="35">
        <f t="shared" si="217"/>
        <v>186.066</v>
      </c>
      <c r="AH99" s="3" t="s">
        <v>215</v>
      </c>
      <c r="AI99" s="4">
        <v>1640</v>
      </c>
      <c r="AJ99" s="4">
        <v>328000</v>
      </c>
      <c r="AK99" s="3" t="s">
        <v>249</v>
      </c>
      <c r="AL99" s="3" t="s">
        <v>238</v>
      </c>
      <c r="AM99" s="183">
        <v>0.1</v>
      </c>
      <c r="AN99" s="183">
        <v>0.9</v>
      </c>
      <c r="AO99" s="183">
        <v>0</v>
      </c>
      <c r="AP99" s="28" t="s">
        <v>218</v>
      </c>
      <c r="AQ99" s="18" t="s">
        <v>239</v>
      </c>
      <c r="AR99" s="18" t="s">
        <v>264</v>
      </c>
      <c r="AS99" s="27">
        <v>5</v>
      </c>
      <c r="AT99" s="3" t="s">
        <v>220</v>
      </c>
      <c r="AU99" s="3" t="s">
        <v>220</v>
      </c>
      <c r="AV99" s="3" t="s">
        <v>220</v>
      </c>
      <c r="AW99" s="9"/>
      <c r="AX99" s="3"/>
      <c r="AY99" s="47"/>
      <c r="AZ99" s="275">
        <f t="shared" si="178"/>
        <v>33905.360000000008</v>
      </c>
      <c r="BA99" s="18">
        <v>46056</v>
      </c>
      <c r="BB99" s="22">
        <v>46062</v>
      </c>
      <c r="BC99" s="22"/>
      <c r="BD99" s="22"/>
      <c r="BE99" s="22"/>
      <c r="BF99" s="22">
        <v>46062</v>
      </c>
      <c r="BG99" s="18"/>
      <c r="BH99" s="18"/>
      <c r="BI99" s="3" t="s">
        <v>692</v>
      </c>
      <c r="BJ99" s="25">
        <v>206.74</v>
      </c>
      <c r="BK99" s="46" t="s">
        <v>222</v>
      </c>
      <c r="BL99" s="497">
        <v>8</v>
      </c>
      <c r="BM99" s="18">
        <v>46126</v>
      </c>
      <c r="BN99" s="4" t="s">
        <v>693</v>
      </c>
      <c r="BO99" s="18">
        <v>46186</v>
      </c>
      <c r="BP99" s="3" t="s">
        <v>278</v>
      </c>
      <c r="BQ99" s="21" t="s">
        <v>265</v>
      </c>
      <c r="BR99" s="2" t="s">
        <v>226</v>
      </c>
      <c r="BS99" s="2"/>
      <c r="BT99" s="2"/>
      <c r="BU99" s="2"/>
      <c r="BV99" s="20">
        <v>90085534</v>
      </c>
      <c r="BW99" s="19">
        <v>46131</v>
      </c>
      <c r="BX99" s="46">
        <f t="shared" si="223"/>
        <v>339053.60000000003</v>
      </c>
      <c r="BY99" s="22">
        <v>46149</v>
      </c>
      <c r="BZ99" s="22">
        <v>46149</v>
      </c>
      <c r="CA99" s="418">
        <v>8329298622</v>
      </c>
      <c r="CB99" s="22">
        <v>46155</v>
      </c>
      <c r="CC99" s="22"/>
      <c r="CD99" s="22"/>
      <c r="CE99" s="22" t="str">
        <f t="shared" si="220"/>
        <v>OBL In Destination - INDIA</v>
      </c>
      <c r="CF99" s="22"/>
      <c r="CG99" s="22"/>
      <c r="CH99" s="22">
        <v>46157</v>
      </c>
      <c r="CI99" s="2">
        <v>4218964632</v>
      </c>
      <c r="CJ99" s="22">
        <v>46163</v>
      </c>
      <c r="CK99" s="2" t="str">
        <f t="shared" si="218"/>
        <v>CERTS in Destination - INDIA</v>
      </c>
      <c r="CL99" s="48" t="s">
        <v>244</v>
      </c>
      <c r="CM99" s="22">
        <v>46157</v>
      </c>
      <c r="CN99" s="55">
        <v>1470632494</v>
      </c>
      <c r="CO99" s="462">
        <v>46162</v>
      </c>
      <c r="CP99" s="55" t="str">
        <f t="shared" si="179"/>
        <v>Docs in Buyer's Nego Bank</v>
      </c>
      <c r="CQ99" s="50">
        <f t="shared" ref="CQ99:CQ130" si="253">(AN99*AI99*BJ99)-AZ99</f>
        <v>271242.88</v>
      </c>
      <c r="CR99" s="54"/>
      <c r="CS99" s="2"/>
      <c r="CT99" s="2"/>
      <c r="CU99" s="14" t="str">
        <f t="shared" si="227"/>
        <v/>
      </c>
      <c r="CV99" s="42" t="str">
        <f t="shared" si="228"/>
        <v/>
      </c>
      <c r="CW99" s="14" t="str">
        <f t="shared" si="229"/>
        <v/>
      </c>
      <c r="CX99" s="14" t="str">
        <f t="shared" si="230"/>
        <v/>
      </c>
      <c r="CY99" s="15" t="str">
        <f t="shared" si="231"/>
        <v/>
      </c>
      <c r="CZ99" s="2"/>
      <c r="DA99" s="41" t="str">
        <f t="shared" si="232"/>
        <v/>
      </c>
      <c r="DB99" s="2"/>
      <c r="DC99" s="39" t="str">
        <f t="shared" si="233"/>
        <v/>
      </c>
      <c r="DD99" s="40"/>
      <c r="DE99" s="16" t="str">
        <f t="shared" si="234"/>
        <v/>
      </c>
      <c r="DF99" s="2" t="str">
        <f t="shared" si="235"/>
        <v/>
      </c>
      <c r="DG99" s="14" t="str">
        <f t="shared" si="236"/>
        <v/>
      </c>
      <c r="DH99" s="2" t="str">
        <f t="shared" si="237"/>
        <v/>
      </c>
      <c r="DI99" s="39" t="str">
        <f t="shared" si="238"/>
        <v/>
      </c>
      <c r="DJ99" s="2" t="str">
        <f t="shared" si="239"/>
        <v/>
      </c>
      <c r="DK99" s="15" t="str">
        <f t="shared" si="240"/>
        <v/>
      </c>
      <c r="DL99" s="2"/>
      <c r="DM99" s="2"/>
      <c r="DN99" s="15" t="str">
        <f t="shared" si="241"/>
        <v/>
      </c>
      <c r="DO99" s="14" t="str">
        <f t="shared" si="242"/>
        <v/>
      </c>
      <c r="DP99" s="14" t="str">
        <f t="shared" si="243"/>
        <v/>
      </c>
      <c r="DQ99" s="15" t="str">
        <f t="shared" si="244"/>
        <v/>
      </c>
      <c r="DR99" s="15" t="str">
        <f t="shared" si="245"/>
        <v/>
      </c>
      <c r="DS99" s="2" t="str">
        <f t="shared" si="246"/>
        <v/>
      </c>
      <c r="DT99" s="2" t="str">
        <f t="shared" si="247"/>
        <v/>
      </c>
      <c r="DU99" s="2"/>
      <c r="DV99" s="2"/>
      <c r="DW99" s="2"/>
      <c r="DX99" s="2"/>
      <c r="DY99" s="2" t="s">
        <v>230</v>
      </c>
      <c r="DZ99" s="2"/>
      <c r="EA99" s="2" t="str">
        <f t="shared" si="248"/>
        <v/>
      </c>
      <c r="EB99" s="2"/>
      <c r="EC99" s="2"/>
      <c r="ED99" s="2"/>
      <c r="EE99" s="3">
        <v>4900008912</v>
      </c>
      <c r="EF99" s="7"/>
      <c r="EG99" s="3"/>
      <c r="EH99" s="3" t="s">
        <v>326</v>
      </c>
      <c r="EI99" s="3" t="s">
        <v>258</v>
      </c>
      <c r="EJ99" s="189">
        <v>206.74</v>
      </c>
      <c r="EK99" s="4">
        <v>1500</v>
      </c>
      <c r="EL99" s="9"/>
      <c r="EM99" s="9"/>
      <c r="EN99" s="46">
        <f t="shared" si="249"/>
        <v>310110</v>
      </c>
      <c r="EO99" s="9" t="s">
        <v>232</v>
      </c>
      <c r="EP99" s="8"/>
      <c r="EQ99" s="4"/>
      <c r="ER99" s="4"/>
      <c r="ES99" s="7"/>
      <c r="ET99" s="7"/>
      <c r="EU99" s="6"/>
      <c r="EV99" s="2" t="str">
        <f t="shared" si="219"/>
        <v>Export Loan</v>
      </c>
      <c r="EW99" s="46"/>
      <c r="EX99" s="46">
        <f t="shared" si="250"/>
        <v>0</v>
      </c>
      <c r="EY99" s="46" t="s">
        <v>233</v>
      </c>
      <c r="EZ99" s="24"/>
      <c r="FA99" s="2">
        <v>22141459</v>
      </c>
      <c r="FB99" s="24"/>
      <c r="FC99" s="53"/>
      <c r="FD99" s="46">
        <f t="shared" si="251"/>
        <v>0</v>
      </c>
      <c r="FE99" s="52"/>
      <c r="FF99" s="52"/>
      <c r="FG99" s="49"/>
      <c r="FH99" s="49"/>
      <c r="FI99" s="49"/>
      <c r="FJ99" s="49"/>
      <c r="FK99" s="49"/>
      <c r="FL99" s="49">
        <f t="shared" ref="FL99:FL115" si="254">IFERROR(EZ99-BY99,"")</f>
        <v>-46149</v>
      </c>
      <c r="FM99" s="180">
        <f t="shared" ref="FM99:FM115" si="255">IFERROR(BM99-FB99,"")</f>
        <v>46126</v>
      </c>
      <c r="FN99" s="49"/>
      <c r="FO99" s="49"/>
      <c r="FP99" s="49"/>
      <c r="FQ99" s="49"/>
      <c r="FR99" s="49"/>
      <c r="FS99" s="34">
        <f t="shared" ref="FS99:FS127" si="256">Y99</f>
        <v>20009349</v>
      </c>
      <c r="FT99" s="34">
        <f t="shared" ref="FT99:FT127" si="257">AA99</f>
        <v>32014396</v>
      </c>
      <c r="FU99" s="3"/>
      <c r="FV99" s="3"/>
      <c r="FW99" s="3"/>
      <c r="FX99" s="3"/>
      <c r="FY99" s="3"/>
      <c r="FZ99" s="3"/>
      <c r="GA99" s="3"/>
      <c r="GB99" s="4"/>
      <c r="GC99" s="3"/>
      <c r="GD99" s="182">
        <v>90085534</v>
      </c>
      <c r="GE99" s="2"/>
      <c r="GF99" s="2" t="s">
        <v>235</v>
      </c>
      <c r="GG99" s="2"/>
      <c r="GH99" s="2"/>
      <c r="GI99" s="2"/>
      <c r="GJ99" s="2"/>
      <c r="GK99" s="2"/>
      <c r="GL99" s="2"/>
      <c r="GM99" s="2"/>
      <c r="GN99" s="2"/>
    </row>
    <row r="100" spans="1:196" s="1" customFormat="1" ht="33.950000000000003">
      <c r="A100" s="2" t="str">
        <f t="shared" si="208"/>
        <v>Stuffed, Yet to Sail</v>
      </c>
      <c r="B100" s="282">
        <v>47</v>
      </c>
      <c r="C100" s="282">
        <v>200</v>
      </c>
      <c r="D100" s="182" t="s">
        <v>208</v>
      </c>
      <c r="E100" s="2" t="str">
        <f t="shared" si="209"/>
        <v>CLOSE POSITION</v>
      </c>
      <c r="F100" s="271" t="str">
        <f t="shared" si="224"/>
        <v>32015968-8</v>
      </c>
      <c r="G100" s="271"/>
      <c r="H100" s="2" t="str">
        <f t="shared" si="211"/>
        <v>Valency Agro (Processing)</v>
      </c>
      <c r="I100" s="3" t="s">
        <v>259</v>
      </c>
      <c r="J100" s="2" t="s">
        <v>210</v>
      </c>
      <c r="K100" s="2" t="str">
        <f t="shared" si="212"/>
        <v>MANGALORE, INDIA</v>
      </c>
      <c r="L100" s="2">
        <f t="shared" si="252"/>
        <v>267778372</v>
      </c>
      <c r="M100" s="2">
        <f t="shared" si="226"/>
        <v>234.96</v>
      </c>
      <c r="N100" s="22" t="str">
        <f t="shared" si="213"/>
        <v/>
      </c>
      <c r="O100" s="22" t="str">
        <f t="shared" si="222"/>
        <v/>
      </c>
      <c r="P100" s="22" t="str">
        <f t="shared" si="214"/>
        <v>No OBL Yet</v>
      </c>
      <c r="Q100" s="2"/>
      <c r="R100" s="2" t="str">
        <f t="shared" si="215"/>
        <v>No CERTS Yet</v>
      </c>
      <c r="S100" s="2" t="str">
        <f t="shared" si="216"/>
        <v/>
      </c>
      <c r="T100" s="2" t="s">
        <v>694</v>
      </c>
      <c r="U100" s="3" t="s">
        <v>490</v>
      </c>
      <c r="V100" s="272"/>
      <c r="W100" s="3"/>
      <c r="X100" s="24"/>
      <c r="Y100" s="273">
        <v>20009857</v>
      </c>
      <c r="Z100" s="24">
        <v>46107</v>
      </c>
      <c r="AA100" s="182" t="s">
        <v>695</v>
      </c>
      <c r="AB100" s="182" t="s">
        <v>247</v>
      </c>
      <c r="AC100" s="182" t="s">
        <v>385</v>
      </c>
      <c r="AD100" s="181">
        <v>46142</v>
      </c>
      <c r="AE100" s="30">
        <v>0.1</v>
      </c>
      <c r="AF100" s="277">
        <v>250</v>
      </c>
      <c r="AG100" s="4">
        <f t="shared" si="217"/>
        <v>225</v>
      </c>
      <c r="AH100" s="3" t="s">
        <v>215</v>
      </c>
      <c r="AI100" s="4">
        <v>1508</v>
      </c>
      <c r="AJ100" s="4">
        <f>AI100*AF100</f>
        <v>377000</v>
      </c>
      <c r="AK100" s="3" t="s">
        <v>249</v>
      </c>
      <c r="AL100" s="3" t="s">
        <v>238</v>
      </c>
      <c r="AM100" s="30">
        <v>0</v>
      </c>
      <c r="AN100" s="183">
        <v>1</v>
      </c>
      <c r="AO100" s="183">
        <v>0</v>
      </c>
      <c r="AP100" s="28" t="s">
        <v>218</v>
      </c>
      <c r="AQ100" s="18" t="s">
        <v>250</v>
      </c>
      <c r="AR100" s="18" t="s">
        <v>251</v>
      </c>
      <c r="AS100" s="27"/>
      <c r="AT100" s="3" t="s">
        <v>220</v>
      </c>
      <c r="AU100" s="3" t="s">
        <v>220</v>
      </c>
      <c r="AV100" s="3" t="s">
        <v>220</v>
      </c>
      <c r="AW100" s="9"/>
      <c r="AX100" s="3"/>
      <c r="AY100" s="47"/>
      <c r="AZ100" s="278">
        <f t="shared" si="178"/>
        <v>0</v>
      </c>
      <c r="BA100" s="18">
        <f>Z100</f>
        <v>46107</v>
      </c>
      <c r="BB100" s="22">
        <v>46077</v>
      </c>
      <c r="BC100" s="22"/>
      <c r="BD100" s="22"/>
      <c r="BE100" s="22"/>
      <c r="BF100" s="22">
        <v>46078</v>
      </c>
      <c r="BG100" s="18"/>
      <c r="BH100" s="18"/>
      <c r="BI100" s="3">
        <v>267778372</v>
      </c>
      <c r="BJ100" s="25">
        <v>234.96</v>
      </c>
      <c r="BK100" s="189"/>
      <c r="BL100" s="569"/>
      <c r="BM100" s="18"/>
      <c r="BN100" s="4"/>
      <c r="BO100" s="18"/>
      <c r="BP100" s="3" t="s">
        <v>259</v>
      </c>
      <c r="BQ100" s="21" t="s">
        <v>265</v>
      </c>
      <c r="BR100" s="2" t="s">
        <v>416</v>
      </c>
      <c r="BS100" s="2"/>
      <c r="BT100" s="2"/>
      <c r="BU100" s="2"/>
      <c r="BV100" s="20"/>
      <c r="BW100" s="19"/>
      <c r="BX100" s="189">
        <f t="shared" si="223"/>
        <v>354319.68</v>
      </c>
      <c r="BY100" s="22"/>
      <c r="BZ100" s="22"/>
      <c r="CA100" s="2"/>
      <c r="CB100" s="22"/>
      <c r="CC100" s="22"/>
      <c r="CD100" s="22"/>
      <c r="CE100" s="22" t="str">
        <f t="shared" si="220"/>
        <v>No OBL Yet</v>
      </c>
      <c r="CF100" s="22"/>
      <c r="CG100" s="22"/>
      <c r="CH100" s="182"/>
      <c r="CI100" s="182"/>
      <c r="CJ100" s="182"/>
      <c r="CK100" s="2" t="str">
        <f t="shared" si="218"/>
        <v>No CERTS Yet</v>
      </c>
      <c r="CL100" s="48"/>
      <c r="CM100" s="22"/>
      <c r="CN100" s="55"/>
      <c r="CO100" s="55"/>
      <c r="CP100" s="55" t="str">
        <f t="shared" si="179"/>
        <v/>
      </c>
      <c r="CQ100" s="190">
        <f t="shared" si="253"/>
        <v>354319.68</v>
      </c>
      <c r="CR100" s="54"/>
      <c r="CS100" s="2"/>
      <c r="CT100" s="2"/>
      <c r="CU100" s="14" t="str">
        <f t="shared" si="227"/>
        <v/>
      </c>
      <c r="CV100" s="191" t="str">
        <f t="shared" si="228"/>
        <v/>
      </c>
      <c r="CW100" s="14" t="str">
        <f t="shared" si="229"/>
        <v/>
      </c>
      <c r="CX100" s="14" t="str">
        <f t="shared" si="230"/>
        <v/>
      </c>
      <c r="CY100" s="15" t="str">
        <f t="shared" si="231"/>
        <v/>
      </c>
      <c r="CZ100" s="2"/>
      <c r="DA100" s="41" t="str">
        <f t="shared" si="232"/>
        <v/>
      </c>
      <c r="DB100" s="2"/>
      <c r="DC100" s="192" t="str">
        <f t="shared" si="233"/>
        <v/>
      </c>
      <c r="DD100" s="40"/>
      <c r="DE100" s="16" t="str">
        <f t="shared" si="234"/>
        <v/>
      </c>
      <c r="DF100" s="2" t="str">
        <f t="shared" si="235"/>
        <v/>
      </c>
      <c r="DG100" s="14" t="str">
        <f t="shared" si="236"/>
        <v/>
      </c>
      <c r="DH100" s="2" t="str">
        <f t="shared" si="237"/>
        <v/>
      </c>
      <c r="DI100" s="192" t="str">
        <f t="shared" si="238"/>
        <v/>
      </c>
      <c r="DJ100" s="2" t="str">
        <f t="shared" si="239"/>
        <v/>
      </c>
      <c r="DK100" s="15" t="str">
        <f t="shared" si="240"/>
        <v/>
      </c>
      <c r="DL100" s="2"/>
      <c r="DM100" s="2"/>
      <c r="DN100" s="15" t="str">
        <f t="shared" si="241"/>
        <v/>
      </c>
      <c r="DO100" s="14" t="str">
        <f t="shared" si="242"/>
        <v/>
      </c>
      <c r="DP100" s="14" t="str">
        <f t="shared" si="243"/>
        <v/>
      </c>
      <c r="DQ100" s="15" t="str">
        <f t="shared" si="244"/>
        <v/>
      </c>
      <c r="DR100" s="15" t="str">
        <f t="shared" si="245"/>
        <v/>
      </c>
      <c r="DS100" s="2" t="str">
        <f t="shared" si="246"/>
        <v/>
      </c>
      <c r="DT100" s="2" t="str">
        <f t="shared" si="247"/>
        <v/>
      </c>
      <c r="DU100" s="2"/>
      <c r="DV100" s="2"/>
      <c r="DW100" s="2"/>
      <c r="DX100" s="2"/>
      <c r="DY100" s="2" t="s">
        <v>230</v>
      </c>
      <c r="DZ100" s="2"/>
      <c r="EA100" s="2" t="str">
        <f t="shared" si="248"/>
        <v/>
      </c>
      <c r="EB100" s="2"/>
      <c r="EC100" s="2"/>
      <c r="ED100" s="2"/>
      <c r="EE100" s="3"/>
      <c r="EF100" s="7"/>
      <c r="EG100" s="3"/>
      <c r="EH100" s="3" t="s">
        <v>266</v>
      </c>
      <c r="EI100" s="3" t="s">
        <v>258</v>
      </c>
      <c r="EJ100" s="189"/>
      <c r="EK100" s="4"/>
      <c r="EL100" s="9"/>
      <c r="EM100" s="9"/>
      <c r="EN100" s="189">
        <f t="shared" si="249"/>
        <v>0</v>
      </c>
      <c r="EO100" s="9"/>
      <c r="EP100" s="8"/>
      <c r="EQ100" s="4"/>
      <c r="ER100" s="4"/>
      <c r="ES100" s="7"/>
      <c r="ET100" s="7"/>
      <c r="EU100" s="6"/>
      <c r="EV100" s="2" t="str">
        <f t="shared" si="219"/>
        <v>Yet to load</v>
      </c>
      <c r="EW100" s="189"/>
      <c r="EX100" s="189">
        <f t="shared" si="250"/>
        <v>0</v>
      </c>
      <c r="EY100" s="189" t="s">
        <v>233</v>
      </c>
      <c r="EZ100" s="24"/>
      <c r="FA100" s="2"/>
      <c r="FB100" s="24"/>
      <c r="FC100" s="193"/>
      <c r="FD100" s="189">
        <f t="shared" si="251"/>
        <v>0</v>
      </c>
      <c r="FE100" s="52"/>
      <c r="FF100" s="52"/>
      <c r="FG100" s="49"/>
      <c r="FH100" s="49"/>
      <c r="FI100" s="49"/>
      <c r="FJ100" s="49"/>
      <c r="FK100" s="49"/>
      <c r="FL100" s="49">
        <f t="shared" si="254"/>
        <v>0</v>
      </c>
      <c r="FM100" s="180">
        <f t="shared" si="255"/>
        <v>0</v>
      </c>
      <c r="FN100" s="49"/>
      <c r="FO100" s="49"/>
      <c r="FP100" s="49"/>
      <c r="FQ100" s="49"/>
      <c r="FR100" s="49"/>
      <c r="FS100" s="34">
        <f t="shared" si="256"/>
        <v>20009857</v>
      </c>
      <c r="FT100" s="34" t="str">
        <f t="shared" si="257"/>
        <v>32015968-8</v>
      </c>
      <c r="FU100" s="3"/>
      <c r="FV100" s="3"/>
      <c r="FW100" s="3"/>
      <c r="FX100" s="3"/>
      <c r="FY100" s="3"/>
      <c r="FZ100" s="3"/>
      <c r="GA100" s="3"/>
      <c r="GB100" s="4"/>
      <c r="GC100" s="3"/>
      <c r="GD100" s="182"/>
      <c r="GE100" s="3"/>
      <c r="GF100" s="3"/>
      <c r="GG100" s="3"/>
      <c r="GH100" s="3"/>
      <c r="GI100" s="3"/>
      <c r="GJ100" s="3"/>
      <c r="GK100" s="3"/>
      <c r="GL100" s="3"/>
      <c r="GM100" s="3"/>
      <c r="GN100" s="3"/>
    </row>
    <row r="101" spans="1:196" s="1" customFormat="1" ht="33.950000000000003">
      <c r="A101" s="2" t="str">
        <f t="shared" si="208"/>
        <v>SI Sent, Shipment Awaited</v>
      </c>
      <c r="B101" s="282">
        <v>47</v>
      </c>
      <c r="C101" s="282">
        <v>200</v>
      </c>
      <c r="D101" s="182" t="s">
        <v>208</v>
      </c>
      <c r="E101" s="2" t="str">
        <f t="shared" si="209"/>
        <v>SHORT POSITION</v>
      </c>
      <c r="F101" s="271" t="str">
        <f t="shared" si="224"/>
        <v>32015968-10</v>
      </c>
      <c r="G101" s="271"/>
      <c r="H101" s="2" t="str">
        <f t="shared" si="211"/>
        <v>Valency Agro (Processing)</v>
      </c>
      <c r="I101" s="3" t="s">
        <v>259</v>
      </c>
      <c r="J101" s="2" t="s">
        <v>210</v>
      </c>
      <c r="K101" s="2" t="str">
        <f t="shared" si="212"/>
        <v>MANGALORE, INDIA</v>
      </c>
      <c r="L101" s="2" t="str">
        <f t="shared" si="252"/>
        <v/>
      </c>
      <c r="M101" s="2" t="str">
        <f t="shared" si="226"/>
        <v/>
      </c>
      <c r="N101" s="22" t="str">
        <f t="shared" si="213"/>
        <v/>
      </c>
      <c r="O101" s="22" t="str">
        <f t="shared" si="222"/>
        <v/>
      </c>
      <c r="P101" s="22" t="str">
        <f t="shared" si="214"/>
        <v>No OBL Yet</v>
      </c>
      <c r="Q101" s="2"/>
      <c r="R101" s="2" t="str">
        <f t="shared" si="215"/>
        <v>No CERTS Yet</v>
      </c>
      <c r="S101" s="2" t="str">
        <f t="shared" si="216"/>
        <v/>
      </c>
      <c r="T101" s="2" t="s">
        <v>694</v>
      </c>
      <c r="U101" s="3" t="s">
        <v>490</v>
      </c>
      <c r="V101" s="272"/>
      <c r="W101" s="3"/>
      <c r="X101" s="24"/>
      <c r="Y101" s="273">
        <v>20009857</v>
      </c>
      <c r="Z101" s="24">
        <v>46107</v>
      </c>
      <c r="AA101" s="182" t="s">
        <v>696</v>
      </c>
      <c r="AB101" s="182" t="s">
        <v>247</v>
      </c>
      <c r="AC101" s="182" t="s">
        <v>385</v>
      </c>
      <c r="AD101" s="181">
        <v>46142</v>
      </c>
      <c r="AE101" s="30">
        <v>0.1</v>
      </c>
      <c r="AF101" s="277">
        <v>250</v>
      </c>
      <c r="AG101" s="4">
        <f t="shared" si="217"/>
        <v>225</v>
      </c>
      <c r="AH101" s="3" t="s">
        <v>215</v>
      </c>
      <c r="AI101" s="4">
        <v>1508</v>
      </c>
      <c r="AJ101" s="4">
        <f>AI101*AF101</f>
        <v>377000</v>
      </c>
      <c r="AK101" s="3" t="s">
        <v>249</v>
      </c>
      <c r="AL101" s="3" t="s">
        <v>238</v>
      </c>
      <c r="AM101" s="30">
        <v>0</v>
      </c>
      <c r="AN101" s="183">
        <v>1</v>
      </c>
      <c r="AO101" s="183">
        <v>0</v>
      </c>
      <c r="AP101" s="28" t="s">
        <v>218</v>
      </c>
      <c r="AQ101" s="18" t="s">
        <v>250</v>
      </c>
      <c r="AR101" s="18" t="s">
        <v>251</v>
      </c>
      <c r="AS101" s="27"/>
      <c r="AT101" s="3" t="s">
        <v>220</v>
      </c>
      <c r="AU101" s="3" t="s">
        <v>220</v>
      </c>
      <c r="AV101" s="3" t="s">
        <v>220</v>
      </c>
      <c r="AW101" s="9"/>
      <c r="AX101" s="3"/>
      <c r="AY101" s="47"/>
      <c r="AZ101" s="278">
        <f t="shared" si="178"/>
        <v>0</v>
      </c>
      <c r="BA101" s="18">
        <f>Z101</f>
        <v>46107</v>
      </c>
      <c r="BB101" s="22">
        <v>46077</v>
      </c>
      <c r="BC101" s="22"/>
      <c r="BD101" s="22"/>
      <c r="BE101" s="22"/>
      <c r="BF101" s="22">
        <v>46078</v>
      </c>
      <c r="BG101" s="18"/>
      <c r="BH101" s="18"/>
      <c r="BI101" s="3"/>
      <c r="BJ101" s="25"/>
      <c r="BK101" s="189"/>
      <c r="BL101" s="497"/>
      <c r="BM101" s="18"/>
      <c r="BN101" s="290"/>
      <c r="BO101" s="18"/>
      <c r="BP101" s="3" t="s">
        <v>259</v>
      </c>
      <c r="BQ101" s="21" t="s">
        <v>265</v>
      </c>
      <c r="BR101" s="2"/>
      <c r="BS101" s="2"/>
      <c r="BT101" s="2"/>
      <c r="BU101" s="2"/>
      <c r="BV101" s="20"/>
      <c r="BW101" s="19"/>
      <c r="BX101" s="189">
        <f t="shared" si="223"/>
        <v>0</v>
      </c>
      <c r="BY101" s="22"/>
      <c r="BZ101" s="22"/>
      <c r="CA101" s="2"/>
      <c r="CB101" s="22"/>
      <c r="CC101" s="22"/>
      <c r="CD101" s="22"/>
      <c r="CE101" s="22" t="str">
        <f t="shared" si="220"/>
        <v>No OBL Yet</v>
      </c>
      <c r="CF101" s="22"/>
      <c r="CG101" s="22"/>
      <c r="CH101" s="182"/>
      <c r="CI101" s="182"/>
      <c r="CJ101" s="182"/>
      <c r="CK101" s="2" t="str">
        <f t="shared" si="218"/>
        <v>No CERTS Yet</v>
      </c>
      <c r="CL101" s="48"/>
      <c r="CM101" s="22"/>
      <c r="CN101" s="55"/>
      <c r="CO101" s="55"/>
      <c r="CP101" s="55" t="str">
        <f t="shared" si="179"/>
        <v/>
      </c>
      <c r="CQ101" s="190">
        <f t="shared" si="253"/>
        <v>0</v>
      </c>
      <c r="CR101" s="54"/>
      <c r="CS101" s="2"/>
      <c r="CT101" s="2"/>
      <c r="CU101" s="14" t="str">
        <f t="shared" si="227"/>
        <v/>
      </c>
      <c r="CV101" s="191" t="str">
        <f t="shared" si="228"/>
        <v/>
      </c>
      <c r="CW101" s="14" t="str">
        <f t="shared" si="229"/>
        <v/>
      </c>
      <c r="CX101" s="14" t="str">
        <f t="shared" si="230"/>
        <v/>
      </c>
      <c r="CY101" s="15" t="str">
        <f t="shared" si="231"/>
        <v/>
      </c>
      <c r="CZ101" s="2"/>
      <c r="DA101" s="41" t="str">
        <f t="shared" si="232"/>
        <v/>
      </c>
      <c r="DB101" s="2"/>
      <c r="DC101" s="192" t="str">
        <f t="shared" si="233"/>
        <v/>
      </c>
      <c r="DD101" s="40"/>
      <c r="DE101" s="16" t="str">
        <f t="shared" si="234"/>
        <v/>
      </c>
      <c r="DF101" s="2" t="str">
        <f t="shared" si="235"/>
        <v/>
      </c>
      <c r="DG101" s="14" t="str">
        <f t="shared" si="236"/>
        <v/>
      </c>
      <c r="DH101" s="2" t="str">
        <f t="shared" si="237"/>
        <v/>
      </c>
      <c r="DI101" s="192" t="str">
        <f t="shared" si="238"/>
        <v/>
      </c>
      <c r="DJ101" s="2" t="str">
        <f t="shared" si="239"/>
        <v/>
      </c>
      <c r="DK101" s="15" t="str">
        <f t="shared" si="240"/>
        <v/>
      </c>
      <c r="DL101" s="2"/>
      <c r="DM101" s="2"/>
      <c r="DN101" s="15" t="str">
        <f t="shared" si="241"/>
        <v/>
      </c>
      <c r="DO101" s="14" t="str">
        <f t="shared" si="242"/>
        <v/>
      </c>
      <c r="DP101" s="14" t="str">
        <f t="shared" si="243"/>
        <v/>
      </c>
      <c r="DQ101" s="15" t="str">
        <f t="shared" si="244"/>
        <v/>
      </c>
      <c r="DR101" s="15" t="str">
        <f t="shared" si="245"/>
        <v/>
      </c>
      <c r="DS101" s="2" t="str">
        <f t="shared" si="246"/>
        <v/>
      </c>
      <c r="DT101" s="2" t="str">
        <f t="shared" si="247"/>
        <v/>
      </c>
      <c r="DU101" s="2"/>
      <c r="DV101" s="2"/>
      <c r="DW101" s="2"/>
      <c r="DX101" s="2"/>
      <c r="DY101" s="2" t="s">
        <v>230</v>
      </c>
      <c r="DZ101" s="2"/>
      <c r="EA101" s="2" t="str">
        <f t="shared" si="248"/>
        <v/>
      </c>
      <c r="EB101" s="2"/>
      <c r="EC101" s="2"/>
      <c r="ED101" s="2"/>
      <c r="EE101" s="3"/>
      <c r="EF101" s="7"/>
      <c r="EG101" s="3"/>
      <c r="EH101" s="3" t="s">
        <v>266</v>
      </c>
      <c r="EI101" s="3" t="s">
        <v>258</v>
      </c>
      <c r="EJ101" s="189"/>
      <c r="EK101" s="4"/>
      <c r="EL101" s="9"/>
      <c r="EM101" s="9"/>
      <c r="EN101" s="189">
        <f t="shared" si="249"/>
        <v>0</v>
      </c>
      <c r="EO101" s="9"/>
      <c r="EP101" s="8"/>
      <c r="EQ101" s="4"/>
      <c r="ER101" s="4"/>
      <c r="ES101" s="7"/>
      <c r="ET101" s="7"/>
      <c r="EU101" s="6"/>
      <c r="EV101" s="2" t="str">
        <f t="shared" si="219"/>
        <v>Yet to load</v>
      </c>
      <c r="EW101" s="189"/>
      <c r="EX101" s="189" t="e">
        <f t="shared" si="250"/>
        <v>#DIV/0!</v>
      </c>
      <c r="EY101" s="189" t="s">
        <v>233</v>
      </c>
      <c r="EZ101" s="24"/>
      <c r="FA101" s="2"/>
      <c r="FB101" s="24"/>
      <c r="FC101" s="193"/>
      <c r="FD101" s="189">
        <f t="shared" si="251"/>
        <v>0</v>
      </c>
      <c r="FE101" s="52"/>
      <c r="FF101" s="52"/>
      <c r="FG101" s="49"/>
      <c r="FH101" s="49"/>
      <c r="FI101" s="49"/>
      <c r="FJ101" s="49"/>
      <c r="FK101" s="49"/>
      <c r="FL101" s="49">
        <f t="shared" si="254"/>
        <v>0</v>
      </c>
      <c r="FM101" s="180">
        <f t="shared" si="255"/>
        <v>0</v>
      </c>
      <c r="FN101" s="49"/>
      <c r="FO101" s="49"/>
      <c r="FP101" s="49"/>
      <c r="FQ101" s="49"/>
      <c r="FR101" s="49"/>
      <c r="FS101" s="34">
        <f t="shared" si="256"/>
        <v>20009857</v>
      </c>
      <c r="FT101" s="34" t="str">
        <f t="shared" si="257"/>
        <v>32015968-10</v>
      </c>
      <c r="FU101" s="3"/>
      <c r="FV101" s="3"/>
      <c r="FW101" s="3"/>
      <c r="FX101" s="3"/>
      <c r="FY101" s="3"/>
      <c r="FZ101" s="3"/>
      <c r="GA101" s="3"/>
      <c r="GB101" s="4"/>
      <c r="GC101" s="3"/>
      <c r="GD101" s="182"/>
      <c r="GE101" s="3"/>
      <c r="GF101" s="3"/>
      <c r="GG101" s="3"/>
      <c r="GH101" s="3"/>
      <c r="GI101" s="3"/>
      <c r="GJ101" s="3"/>
      <c r="GK101" s="3"/>
      <c r="GL101" s="3"/>
      <c r="GM101" s="3"/>
      <c r="GN101" s="3"/>
    </row>
    <row r="102" spans="1:196" s="1" customFormat="1" ht="33.950000000000003">
      <c r="A102" s="2" t="str">
        <f t="shared" ref="A102:A133" si="258">IF(DZ102="CLOSE","Trade closed",IF(DZ102="PMT Pending","FNF Settlement is Due",IF(CS102&lt;&gt;0,"FNF Reconcillation Onging",IF(CR102&lt;&gt;0," Final Pmt Recd , FNF Pending",IF(CM102&lt;&gt;0,"Exp Dox Presented to Bank, Pmt Pending",IF(BZ102&lt;&gt;0,"OBL Scan Recd, Nego Pending",IF(BM102&lt;&gt;0,"Sailed, OBL &amp; Certs Pending",IF(BJ102&lt;&gt;0,"Stuffed, Yet to Sail",IF(BB102&lt;&gt;0,"SI Sent, Shipment Awaited",IF(BA102&lt;&gt;0,"Advance Rcvd, SI Pending",IF(Z102&lt;&gt;0,"SC Raised, Advance Pending",IF(X102&lt;&gt;0,"Deal Ticket Rcvd SC Pending", "Entry Pending"))))))))))))</f>
        <v>Exp Dox Presented to Bank, Pmt Pending</v>
      </c>
      <c r="B102" s="282">
        <v>48</v>
      </c>
      <c r="C102" s="282">
        <v>185</v>
      </c>
      <c r="D102" s="182" t="s">
        <v>208</v>
      </c>
      <c r="E102" s="2" t="str">
        <f t="shared" ref="E102:E133" si="259">IF(AND(LEFT(TRIM(AA102&amp;""),1)="3",BI102&lt;&gt;""),"CLOSE POSITION",
IF(AND(LEFT(TRIM(AA102&amp;""),1)="3",BI102=""),"SHORT POSITION",
IF(AND(LEFT(TRIM(AA102&amp;""),1)&lt;&gt;"3",BI102&lt;&gt;""),"LONG POSITION","ENTRY PENDING")))</f>
        <v>CLOSE POSITION</v>
      </c>
      <c r="F102" s="271">
        <f t="shared" si="224"/>
        <v>32015892</v>
      </c>
      <c r="G102" s="529"/>
      <c r="H102" s="433" t="str">
        <f t="shared" ref="H102:H115" si="260">AB102</f>
        <v>INDIA ENTERPRISES</v>
      </c>
      <c r="I102" s="434" t="s">
        <v>269</v>
      </c>
      <c r="J102" s="2" t="s">
        <v>210</v>
      </c>
      <c r="K102" s="2" t="str">
        <f t="shared" ref="K102:K133" si="261">IF(BQ102&lt;&gt;0,BQ102,"")</f>
        <v>MANGALORE, INDIA</v>
      </c>
      <c r="L102" s="2" t="str">
        <f t="shared" si="252"/>
        <v>MEDULG629446</v>
      </c>
      <c r="M102" s="2">
        <f t="shared" si="226"/>
        <v>101.78400000000001</v>
      </c>
      <c r="N102" s="22">
        <f t="shared" ref="N102:N133" si="262">IF(BM102&lt;&gt;0,BM102,"")</f>
        <v>46131</v>
      </c>
      <c r="O102" s="22">
        <f t="shared" si="222"/>
        <v>46193</v>
      </c>
      <c r="P102" s="22" t="str">
        <f t="shared" ref="P102:P133" si="263">CE102</f>
        <v>OBL in Transit with Nego Docs - INDIA</v>
      </c>
      <c r="Q102" s="2"/>
      <c r="R102" s="2" t="str">
        <f t="shared" ref="R102:R133" si="264">CK102</f>
        <v>CERTS in Destination - INDIA</v>
      </c>
      <c r="S102" s="2" t="str">
        <f t="shared" ref="S102:S115" si="265">CP102</f>
        <v>Docs in Transit to Buyer's Nego Bank</v>
      </c>
      <c r="T102" s="2" t="s">
        <v>697</v>
      </c>
      <c r="U102" s="3" t="s">
        <v>580</v>
      </c>
      <c r="V102" s="272"/>
      <c r="W102" s="3"/>
      <c r="X102" s="24"/>
      <c r="Y102" s="273">
        <v>20009828</v>
      </c>
      <c r="Z102" s="24">
        <v>46105</v>
      </c>
      <c r="AA102" s="182">
        <v>32015892</v>
      </c>
      <c r="AB102" s="182" t="s">
        <v>275</v>
      </c>
      <c r="AC102" s="182" t="s">
        <v>263</v>
      </c>
      <c r="AD102" s="181">
        <v>46142</v>
      </c>
      <c r="AE102" s="30">
        <v>0.1</v>
      </c>
      <c r="AF102" s="277">
        <v>100</v>
      </c>
      <c r="AG102" s="35">
        <f t="shared" ref="AG102:AG133" si="266">AF102*(1-AE102)</f>
        <v>90</v>
      </c>
      <c r="AH102" s="3" t="s">
        <v>215</v>
      </c>
      <c r="AI102" s="4">
        <v>1565</v>
      </c>
      <c r="AJ102" s="4">
        <f>AI102*AF102</f>
        <v>156500</v>
      </c>
      <c r="AK102" s="3" t="s">
        <v>249</v>
      </c>
      <c r="AL102" s="3" t="s">
        <v>238</v>
      </c>
      <c r="AM102" s="183">
        <v>0.1</v>
      </c>
      <c r="AN102" s="183">
        <v>0.9</v>
      </c>
      <c r="AO102" s="183">
        <v>0</v>
      </c>
      <c r="AP102" s="28" t="s">
        <v>218</v>
      </c>
      <c r="AQ102" s="18" t="s">
        <v>239</v>
      </c>
      <c r="AR102" s="18"/>
      <c r="AS102" s="27"/>
      <c r="AT102" s="3" t="s">
        <v>220</v>
      </c>
      <c r="AU102" s="3" t="s">
        <v>220</v>
      </c>
      <c r="AV102" s="3" t="s">
        <v>220</v>
      </c>
      <c r="AW102" s="9"/>
      <c r="AX102" s="3"/>
      <c r="AY102" s="47">
        <v>46108</v>
      </c>
      <c r="AZ102" s="278">
        <f t="shared" si="178"/>
        <v>15650</v>
      </c>
      <c r="BA102" s="18">
        <v>46118</v>
      </c>
      <c r="BB102" s="22"/>
      <c r="BC102" s="22"/>
      <c r="BD102" s="22"/>
      <c r="BE102" s="22"/>
      <c r="BF102" s="22"/>
      <c r="BG102" s="18"/>
      <c r="BH102" s="18"/>
      <c r="BI102" s="3" t="s">
        <v>698</v>
      </c>
      <c r="BJ102" s="25">
        <v>101.78400000000001</v>
      </c>
      <c r="BK102" s="189" t="s">
        <v>222</v>
      </c>
      <c r="BL102" s="497">
        <v>4</v>
      </c>
      <c r="BM102" s="18">
        <v>46131</v>
      </c>
      <c r="BN102" s="4" t="s">
        <v>699</v>
      </c>
      <c r="BO102" s="18">
        <v>46193</v>
      </c>
      <c r="BP102" s="3" t="s">
        <v>278</v>
      </c>
      <c r="BQ102" s="21" t="s">
        <v>265</v>
      </c>
      <c r="BR102" s="2" t="s">
        <v>226</v>
      </c>
      <c r="BS102" s="2"/>
      <c r="BT102" s="2"/>
      <c r="BU102" s="2"/>
      <c r="BV102" s="20">
        <v>90085894</v>
      </c>
      <c r="BW102" s="19">
        <v>46134</v>
      </c>
      <c r="BX102" s="189">
        <f t="shared" si="223"/>
        <v>159291.96000000002</v>
      </c>
      <c r="BY102" s="22">
        <v>46147</v>
      </c>
      <c r="BZ102" s="22">
        <v>46148</v>
      </c>
      <c r="CA102" s="515">
        <v>8329298622</v>
      </c>
      <c r="CB102" s="22">
        <v>46155</v>
      </c>
      <c r="CC102" s="22"/>
      <c r="CD102" s="22"/>
      <c r="CE102" s="22" t="str">
        <f t="shared" si="220"/>
        <v>OBL in Transit with Nego Docs - INDIA</v>
      </c>
      <c r="CF102" s="22"/>
      <c r="CG102" s="22"/>
      <c r="CH102" s="181">
        <v>46153</v>
      </c>
      <c r="CI102" s="182">
        <v>6172087670</v>
      </c>
      <c r="CJ102" s="181">
        <v>46167</v>
      </c>
      <c r="CK102" s="2" t="str">
        <f t="shared" ref="CK102:CK133" si="267">IF(CJ102&lt;&gt;0,"CERTS in Destination - "&amp;J102,IF(CI102&lt;&gt;0,"CERT in Transit to -"&amp;J102,IF(CH102&lt;&gt;0,"CERT in Origin - "&amp;I102,IF(CH102="","No CERTS Yet"))))</f>
        <v>CERTS in Destination - INDIA</v>
      </c>
      <c r="CL102" s="48" t="s">
        <v>244</v>
      </c>
      <c r="CM102" s="22">
        <v>46161</v>
      </c>
      <c r="CN102" s="55">
        <v>1823554143</v>
      </c>
      <c r="CO102" s="55"/>
      <c r="CP102" s="55" t="str">
        <f t="shared" si="179"/>
        <v>Docs in Transit to Buyer's Nego Bank</v>
      </c>
      <c r="CQ102" s="190">
        <f t="shared" si="253"/>
        <v>127712.764</v>
      </c>
      <c r="CR102" s="54"/>
      <c r="CS102" s="2"/>
      <c r="CT102" s="2"/>
      <c r="CU102" s="14" t="str">
        <f t="shared" si="227"/>
        <v/>
      </c>
      <c r="CV102" s="191" t="str">
        <f t="shared" si="228"/>
        <v/>
      </c>
      <c r="CW102" s="14" t="str">
        <f t="shared" si="229"/>
        <v/>
      </c>
      <c r="CX102" s="14" t="str">
        <f t="shared" si="230"/>
        <v/>
      </c>
      <c r="CY102" s="15" t="str">
        <f t="shared" si="231"/>
        <v/>
      </c>
      <c r="CZ102" s="2"/>
      <c r="DA102" s="41" t="str">
        <f t="shared" si="232"/>
        <v/>
      </c>
      <c r="DB102" s="2"/>
      <c r="DC102" s="192" t="str">
        <f t="shared" si="233"/>
        <v/>
      </c>
      <c r="DD102" s="40"/>
      <c r="DE102" s="16" t="str">
        <f t="shared" si="234"/>
        <v/>
      </c>
      <c r="DF102" s="2" t="str">
        <f t="shared" si="235"/>
        <v/>
      </c>
      <c r="DG102" s="14" t="str">
        <f t="shared" si="236"/>
        <v/>
      </c>
      <c r="DH102" s="2" t="str">
        <f t="shared" si="237"/>
        <v/>
      </c>
      <c r="DI102" s="192" t="str">
        <f t="shared" si="238"/>
        <v/>
      </c>
      <c r="DJ102" s="2" t="str">
        <f t="shared" si="239"/>
        <v/>
      </c>
      <c r="DK102" s="15" t="str">
        <f t="shared" si="240"/>
        <v/>
      </c>
      <c r="DL102" s="2"/>
      <c r="DM102" s="2"/>
      <c r="DN102" s="15" t="str">
        <f t="shared" si="241"/>
        <v/>
      </c>
      <c r="DO102" s="14" t="str">
        <f t="shared" si="242"/>
        <v/>
      </c>
      <c r="DP102" s="14" t="str">
        <f t="shared" si="243"/>
        <v/>
      </c>
      <c r="DQ102" s="15" t="str">
        <f t="shared" si="244"/>
        <v/>
      </c>
      <c r="DR102" s="15" t="str">
        <f t="shared" si="245"/>
        <v/>
      </c>
      <c r="DS102" s="2" t="str">
        <f t="shared" si="246"/>
        <v/>
      </c>
      <c r="DT102" s="2" t="str">
        <f t="shared" si="247"/>
        <v/>
      </c>
      <c r="DU102" s="2"/>
      <c r="DV102" s="2"/>
      <c r="DW102" s="2"/>
      <c r="DX102" s="2"/>
      <c r="DY102" s="2" t="s">
        <v>230</v>
      </c>
      <c r="DZ102" s="2"/>
      <c r="EA102" s="2" t="str">
        <f t="shared" si="248"/>
        <v/>
      </c>
      <c r="EB102" s="2"/>
      <c r="EC102" s="2"/>
      <c r="ED102" s="2"/>
      <c r="EE102" s="3"/>
      <c r="EF102" s="7"/>
      <c r="EG102" s="3"/>
      <c r="EH102" s="3" t="s">
        <v>231</v>
      </c>
      <c r="EI102" s="3"/>
      <c r="EJ102" s="189"/>
      <c r="EK102" s="4"/>
      <c r="EL102" s="9"/>
      <c r="EM102" s="9"/>
      <c r="EN102" s="189">
        <f t="shared" si="249"/>
        <v>0</v>
      </c>
      <c r="EO102" s="9"/>
      <c r="EP102" s="8"/>
      <c r="EQ102" s="4"/>
      <c r="ER102" s="4"/>
      <c r="ES102" s="7"/>
      <c r="ET102" s="7"/>
      <c r="EU102" s="6"/>
      <c r="EV102" s="2" t="str">
        <f t="shared" ref="EV102:EV133" si="268">IF(CR102&lt;&gt;0,"Final Pmt Recd",IF(CM102&lt;&gt;0,"Export Loan",IF(BZ102&lt;&gt;0,"Nego Pending",IF(Z102&lt;&gt;0,"Yet to load","Yet to load"))))</f>
        <v>Export Loan</v>
      </c>
      <c r="EW102" s="189"/>
      <c r="EX102" s="189">
        <f t="shared" si="250"/>
        <v>0</v>
      </c>
      <c r="EY102" s="189" t="s">
        <v>233</v>
      </c>
      <c r="EZ102" s="24"/>
      <c r="FA102" s="2">
        <v>22141452</v>
      </c>
      <c r="FB102" s="24"/>
      <c r="FC102" s="193"/>
      <c r="FD102" s="189">
        <f t="shared" si="251"/>
        <v>0</v>
      </c>
      <c r="FE102" s="52"/>
      <c r="FF102" s="52"/>
      <c r="FG102" s="49"/>
      <c r="FH102" s="49"/>
      <c r="FI102" s="49"/>
      <c r="FJ102" s="49"/>
      <c r="FK102" s="49"/>
      <c r="FL102" s="49">
        <f t="shared" si="254"/>
        <v>-46147</v>
      </c>
      <c r="FM102" s="180">
        <f t="shared" si="255"/>
        <v>46131</v>
      </c>
      <c r="FN102" s="49"/>
      <c r="FO102" s="49"/>
      <c r="FP102" s="49"/>
      <c r="FQ102" s="49"/>
      <c r="FR102" s="49"/>
      <c r="FS102" s="34">
        <f t="shared" si="256"/>
        <v>20009828</v>
      </c>
      <c r="FT102" s="34">
        <f t="shared" si="257"/>
        <v>32015892</v>
      </c>
      <c r="FU102" s="3"/>
      <c r="FV102" s="3"/>
      <c r="FW102" s="3"/>
      <c r="FX102" s="3"/>
      <c r="FY102" s="3"/>
      <c r="FZ102" s="3"/>
      <c r="GA102" s="3"/>
      <c r="GB102" s="4"/>
      <c r="GC102" s="3"/>
      <c r="GD102" s="182">
        <v>90085894</v>
      </c>
      <c r="GE102" s="3"/>
      <c r="GF102" s="3" t="s">
        <v>235</v>
      </c>
      <c r="GG102" s="3"/>
      <c r="GH102" s="3"/>
      <c r="GI102" s="3"/>
      <c r="GJ102" s="3"/>
      <c r="GK102" s="3"/>
      <c r="GL102" s="3"/>
      <c r="GM102" s="3"/>
      <c r="GN102" s="3"/>
    </row>
    <row r="103" spans="1:196" s="1" customFormat="1" ht="68.099999999999994">
      <c r="A103" s="2" t="str">
        <f t="shared" si="258"/>
        <v>Sailed, OBL &amp; Certs Pending</v>
      </c>
      <c r="B103" s="282">
        <v>47</v>
      </c>
      <c r="C103" s="282">
        <v>210</v>
      </c>
      <c r="D103" s="182" t="s">
        <v>208</v>
      </c>
      <c r="E103" s="2" t="str">
        <f t="shared" si="259"/>
        <v>CLOSE POSITION</v>
      </c>
      <c r="F103" s="431">
        <f t="shared" si="224"/>
        <v>32016296</v>
      </c>
      <c r="G103" s="431"/>
      <c r="H103" s="2" t="str">
        <f t="shared" si="260"/>
        <v>VALENCY AGRO/GST/REHAN CASHEW PROCESSING</v>
      </c>
      <c r="I103" s="3" t="s">
        <v>291</v>
      </c>
      <c r="J103" s="432" t="s">
        <v>210</v>
      </c>
      <c r="K103" s="2" t="str">
        <f t="shared" si="261"/>
        <v>TUTICORIN, INDIA</v>
      </c>
      <c r="L103" s="2" t="str">
        <f t="shared" si="252"/>
        <v>MEDULO441793</v>
      </c>
      <c r="M103" s="2">
        <f t="shared" si="226"/>
        <v>92.56</v>
      </c>
      <c r="N103" s="22">
        <f t="shared" si="262"/>
        <v>46178</v>
      </c>
      <c r="O103" s="22">
        <f t="shared" si="222"/>
        <v>46204</v>
      </c>
      <c r="P103" s="22" t="str">
        <f t="shared" si="263"/>
        <v>Draft Rcvd</v>
      </c>
      <c r="Q103" s="2"/>
      <c r="R103" s="2" t="str">
        <f t="shared" si="264"/>
        <v>No CERTS Yet</v>
      </c>
      <c r="S103" s="2" t="str">
        <f t="shared" si="265"/>
        <v/>
      </c>
      <c r="T103" s="615" t="s">
        <v>700</v>
      </c>
      <c r="U103" s="3" t="s">
        <v>701</v>
      </c>
      <c r="V103" s="272" t="s">
        <v>399</v>
      </c>
      <c r="W103" s="619" t="s">
        <v>379</v>
      </c>
      <c r="X103" s="24"/>
      <c r="Y103" s="273">
        <v>20010120</v>
      </c>
      <c r="Z103" s="24">
        <v>46127</v>
      </c>
      <c r="AA103" s="182">
        <v>32016296</v>
      </c>
      <c r="AB103" s="182" t="s">
        <v>702</v>
      </c>
      <c r="AC103" s="182" t="s">
        <v>263</v>
      </c>
      <c r="AD103" s="181">
        <v>46142</v>
      </c>
      <c r="AE103" s="30">
        <v>0.1</v>
      </c>
      <c r="AF103" s="277">
        <v>100</v>
      </c>
      <c r="AG103" s="4">
        <f t="shared" si="266"/>
        <v>90</v>
      </c>
      <c r="AH103" s="3" t="s">
        <v>215</v>
      </c>
      <c r="AI103" s="4">
        <v>1545</v>
      </c>
      <c r="AJ103" s="4">
        <f>AI103*AF103</f>
        <v>154500</v>
      </c>
      <c r="AK103" s="3" t="s">
        <v>249</v>
      </c>
      <c r="AL103" s="3" t="s">
        <v>238</v>
      </c>
      <c r="AM103" s="183">
        <v>0</v>
      </c>
      <c r="AN103" s="183">
        <v>0.9</v>
      </c>
      <c r="AO103" s="183">
        <v>0</v>
      </c>
      <c r="AP103" s="28" t="s">
        <v>218</v>
      </c>
      <c r="AQ103" s="18" t="s">
        <v>331</v>
      </c>
      <c r="AR103" s="18"/>
      <c r="AS103" s="27"/>
      <c r="AT103" s="3" t="s">
        <v>220</v>
      </c>
      <c r="AU103" s="3" t="s">
        <v>220</v>
      </c>
      <c r="AV103" s="3" t="s">
        <v>220</v>
      </c>
      <c r="AW103" s="9"/>
      <c r="AX103" s="3"/>
      <c r="AY103" s="47"/>
      <c r="AZ103" s="278">
        <f t="shared" si="178"/>
        <v>0</v>
      </c>
      <c r="BA103" s="18" t="s">
        <v>494</v>
      </c>
      <c r="BB103" s="22">
        <v>46132</v>
      </c>
      <c r="BC103" s="22"/>
      <c r="BD103" s="22"/>
      <c r="BE103" s="22"/>
      <c r="BF103" s="22"/>
      <c r="BG103" s="18"/>
      <c r="BH103" s="18"/>
      <c r="BI103" s="3" t="s">
        <v>703</v>
      </c>
      <c r="BJ103" s="25">
        <v>92.56</v>
      </c>
      <c r="BK103" s="189" t="s">
        <v>222</v>
      </c>
      <c r="BL103" s="497">
        <v>4</v>
      </c>
      <c r="BM103" s="18">
        <v>46178</v>
      </c>
      <c r="BN103" s="4" t="s">
        <v>704</v>
      </c>
      <c r="BO103" s="18">
        <v>46204</v>
      </c>
      <c r="BP103" s="3" t="s">
        <v>400</v>
      </c>
      <c r="BQ103" s="21" t="s">
        <v>346</v>
      </c>
      <c r="BR103" s="2" t="s">
        <v>226</v>
      </c>
      <c r="BS103" s="2"/>
      <c r="BT103" s="2" t="s">
        <v>705</v>
      </c>
      <c r="BU103" s="2"/>
      <c r="BV103" s="20"/>
      <c r="BW103" s="19"/>
      <c r="BX103" s="189">
        <f t="shared" si="223"/>
        <v>143005.20000000001</v>
      </c>
      <c r="BY103" s="22">
        <v>46164</v>
      </c>
      <c r="BZ103" s="22"/>
      <c r="CA103" s="22"/>
      <c r="CB103" s="22"/>
      <c r="CC103" s="22"/>
      <c r="CD103" s="22"/>
      <c r="CE103" s="22" t="str">
        <f t="shared" si="220"/>
        <v>Draft Rcvd</v>
      </c>
      <c r="CF103" s="22"/>
      <c r="CG103" s="22"/>
      <c r="CH103" s="182"/>
      <c r="CI103" s="182"/>
      <c r="CJ103" s="182"/>
      <c r="CK103" s="2" t="str">
        <f t="shared" si="267"/>
        <v>No CERTS Yet</v>
      </c>
      <c r="CL103" s="48"/>
      <c r="CM103" s="22"/>
      <c r="CN103" s="55"/>
      <c r="CO103" s="55"/>
      <c r="CP103" s="55" t="str">
        <f t="shared" si="179"/>
        <v/>
      </c>
      <c r="CQ103" s="190">
        <f t="shared" si="253"/>
        <v>128704.68000000001</v>
      </c>
      <c r="CR103" s="54"/>
      <c r="CS103" s="2"/>
      <c r="CT103" s="2"/>
      <c r="CU103" s="14" t="str">
        <f t="shared" si="227"/>
        <v/>
      </c>
      <c r="CV103" s="191" t="str">
        <f t="shared" si="228"/>
        <v/>
      </c>
      <c r="CW103" s="14" t="str">
        <f t="shared" si="229"/>
        <v/>
      </c>
      <c r="CX103" s="14" t="str">
        <f t="shared" si="230"/>
        <v/>
      </c>
      <c r="CY103" s="15" t="str">
        <f t="shared" si="231"/>
        <v/>
      </c>
      <c r="CZ103" s="2"/>
      <c r="DA103" s="41" t="str">
        <f t="shared" si="232"/>
        <v/>
      </c>
      <c r="DB103" s="2"/>
      <c r="DC103" s="192" t="str">
        <f t="shared" si="233"/>
        <v/>
      </c>
      <c r="DD103" s="40"/>
      <c r="DE103" s="16" t="str">
        <f t="shared" si="234"/>
        <v/>
      </c>
      <c r="DF103" s="2" t="str">
        <f t="shared" si="235"/>
        <v/>
      </c>
      <c r="DG103" s="14" t="str">
        <f t="shared" si="236"/>
        <v/>
      </c>
      <c r="DH103" s="2" t="str">
        <f t="shared" si="237"/>
        <v/>
      </c>
      <c r="DI103" s="192" t="str">
        <f t="shared" si="238"/>
        <v/>
      </c>
      <c r="DJ103" s="2" t="str">
        <f t="shared" si="239"/>
        <v/>
      </c>
      <c r="DK103" s="15" t="str">
        <f t="shared" si="240"/>
        <v/>
      </c>
      <c r="DL103" s="2"/>
      <c r="DM103" s="2"/>
      <c r="DN103" s="15" t="str">
        <f t="shared" si="241"/>
        <v/>
      </c>
      <c r="DO103" s="14" t="str">
        <f t="shared" si="242"/>
        <v/>
      </c>
      <c r="DP103" s="14" t="str">
        <f t="shared" si="243"/>
        <v/>
      </c>
      <c r="DQ103" s="15" t="str">
        <f t="shared" si="244"/>
        <v/>
      </c>
      <c r="DR103" s="15" t="str">
        <f t="shared" si="245"/>
        <v/>
      </c>
      <c r="DS103" s="2" t="str">
        <f t="shared" si="246"/>
        <v/>
      </c>
      <c r="DT103" s="2" t="str">
        <f t="shared" si="247"/>
        <v/>
      </c>
      <c r="DU103" s="2"/>
      <c r="DV103" s="2"/>
      <c r="DW103" s="2"/>
      <c r="DX103" s="2"/>
      <c r="DY103" s="2" t="s">
        <v>230</v>
      </c>
      <c r="DZ103" s="2"/>
      <c r="EA103" s="2" t="str">
        <f t="shared" si="248"/>
        <v/>
      </c>
      <c r="EB103" s="2"/>
      <c r="EC103" s="2"/>
      <c r="ED103" s="2"/>
      <c r="EE103" s="3"/>
      <c r="EF103" s="7"/>
      <c r="EG103" s="3"/>
      <c r="EH103" s="3" t="s">
        <v>302</v>
      </c>
      <c r="EI103" s="3"/>
      <c r="EJ103" s="189"/>
      <c r="EK103" s="4"/>
      <c r="EL103" s="9"/>
      <c r="EM103" s="9"/>
      <c r="EN103" s="189">
        <f t="shared" si="249"/>
        <v>0</v>
      </c>
      <c r="EO103" s="9"/>
      <c r="EP103" s="8"/>
      <c r="EQ103" s="4"/>
      <c r="ER103" s="4"/>
      <c r="ES103" s="7"/>
      <c r="ET103" s="7"/>
      <c r="EU103" s="6"/>
      <c r="EV103" s="2" t="str">
        <f t="shared" si="268"/>
        <v>Yet to load</v>
      </c>
      <c r="EW103" s="189"/>
      <c r="EX103" s="189">
        <f t="shared" si="250"/>
        <v>0</v>
      </c>
      <c r="EY103" s="189" t="s">
        <v>233</v>
      </c>
      <c r="EZ103" s="24"/>
      <c r="FA103" s="2"/>
      <c r="FB103" s="24"/>
      <c r="FC103" s="193"/>
      <c r="FD103" s="189">
        <f t="shared" si="251"/>
        <v>0</v>
      </c>
      <c r="FE103" s="52"/>
      <c r="FF103" s="52"/>
      <c r="FG103" s="49"/>
      <c r="FH103" s="49"/>
      <c r="FI103" s="49"/>
      <c r="FJ103" s="49"/>
      <c r="FK103" s="49"/>
      <c r="FL103" s="49">
        <f t="shared" si="254"/>
        <v>-46164</v>
      </c>
      <c r="FM103" s="180">
        <f t="shared" si="255"/>
        <v>46178</v>
      </c>
      <c r="FN103" s="49"/>
      <c r="FO103" s="49"/>
      <c r="FP103" s="49"/>
      <c r="FQ103" s="49"/>
      <c r="FR103" s="49"/>
      <c r="FS103" s="34">
        <f t="shared" si="256"/>
        <v>20010120</v>
      </c>
      <c r="FT103" s="34">
        <f t="shared" si="257"/>
        <v>32016296</v>
      </c>
      <c r="FU103" s="3"/>
      <c r="FV103" s="3"/>
      <c r="FW103" s="3"/>
      <c r="FX103" s="3"/>
      <c r="FY103" s="3"/>
      <c r="FZ103" s="3"/>
      <c r="GA103" s="3"/>
      <c r="GB103" s="4"/>
      <c r="GC103" s="3"/>
      <c r="GD103" s="182"/>
      <c r="GE103" s="3"/>
      <c r="GF103" s="3"/>
      <c r="GG103" s="3"/>
      <c r="GH103" s="3"/>
      <c r="GI103" s="3"/>
      <c r="GJ103" s="3"/>
      <c r="GK103" s="3"/>
      <c r="GL103" s="3"/>
      <c r="GM103" s="3"/>
      <c r="GN103" s="3"/>
    </row>
    <row r="104" spans="1:196" s="1" customFormat="1" ht="33.950000000000003">
      <c r="A104" s="2" t="str">
        <f t="shared" si="258"/>
        <v>Sailed, OBL &amp; Certs Pending</v>
      </c>
      <c r="B104" s="282">
        <v>51</v>
      </c>
      <c r="C104" s="282">
        <v>190</v>
      </c>
      <c r="D104" s="182" t="s">
        <v>208</v>
      </c>
      <c r="E104" s="2" t="str">
        <f t="shared" si="259"/>
        <v>LONG POSITION</v>
      </c>
      <c r="F104" s="271" t="str">
        <f t="shared" si="224"/>
        <v>TBA 01</v>
      </c>
      <c r="G104" s="618"/>
      <c r="H104" s="435" t="str">
        <f t="shared" si="260"/>
        <v>VALENCY VIETNAM UNSOLD</v>
      </c>
      <c r="I104" s="288" t="s">
        <v>209</v>
      </c>
      <c r="J104" s="2" t="s">
        <v>347</v>
      </c>
      <c r="K104" s="2" t="str">
        <f t="shared" si="261"/>
        <v>HCMC, VIETNAM</v>
      </c>
      <c r="L104" s="330" t="str">
        <f t="shared" si="252"/>
        <v>MEDULG630568</v>
      </c>
      <c r="M104" s="2">
        <f t="shared" si="226"/>
        <v>250.15700000000001</v>
      </c>
      <c r="N104" s="22">
        <f t="shared" si="262"/>
        <v>46158</v>
      </c>
      <c r="O104" s="22">
        <f t="shared" si="222"/>
        <v>46191</v>
      </c>
      <c r="P104" s="22" t="str">
        <f t="shared" si="263"/>
        <v>No OBL Yet</v>
      </c>
      <c r="Q104" s="2"/>
      <c r="R104" s="2" t="str">
        <f t="shared" si="264"/>
        <v>No CERTS Yet</v>
      </c>
      <c r="S104" s="2" t="str">
        <f t="shared" si="265"/>
        <v/>
      </c>
      <c r="T104" s="330" t="s">
        <v>270</v>
      </c>
      <c r="U104" s="438" t="s">
        <v>706</v>
      </c>
      <c r="V104" s="272"/>
      <c r="W104" s="450" t="s">
        <v>707</v>
      </c>
      <c r="X104" s="24"/>
      <c r="Y104" s="273"/>
      <c r="Z104" s="24"/>
      <c r="AA104" s="182" t="s">
        <v>708</v>
      </c>
      <c r="AB104" s="182" t="s">
        <v>501</v>
      </c>
      <c r="AC104" s="182" t="s">
        <v>666</v>
      </c>
      <c r="AD104" s="181">
        <v>46142</v>
      </c>
      <c r="AE104" s="30">
        <v>0.1</v>
      </c>
      <c r="AF104" s="4">
        <v>250</v>
      </c>
      <c r="AG104" s="4">
        <f t="shared" si="266"/>
        <v>225</v>
      </c>
      <c r="AH104" s="3" t="s">
        <v>215</v>
      </c>
      <c r="AI104" s="3"/>
      <c r="AJ104" s="4">
        <f>AI104*AF104</f>
        <v>0</v>
      </c>
      <c r="AK104" s="2"/>
      <c r="AL104" s="2"/>
      <c r="AM104" s="2"/>
      <c r="AN104" s="183"/>
      <c r="AO104" s="183"/>
      <c r="AP104" s="28"/>
      <c r="AQ104" s="18"/>
      <c r="AR104" s="18"/>
      <c r="AS104" s="18"/>
      <c r="AT104" s="3"/>
      <c r="AU104" s="3"/>
      <c r="AV104" s="3"/>
      <c r="AW104" s="9"/>
      <c r="AX104" s="3"/>
      <c r="AY104" s="47"/>
      <c r="AZ104" s="278">
        <f t="shared" si="178"/>
        <v>0</v>
      </c>
      <c r="BA104" s="18"/>
      <c r="BB104" s="22"/>
      <c r="BC104" s="22"/>
      <c r="BD104" s="22"/>
      <c r="BE104" s="22"/>
      <c r="BF104" s="22"/>
      <c r="BG104" s="18"/>
      <c r="BH104" s="18"/>
      <c r="BI104" s="3" t="s">
        <v>709</v>
      </c>
      <c r="BJ104" s="25">
        <v>250.15700000000001</v>
      </c>
      <c r="BK104" s="189" t="s">
        <v>222</v>
      </c>
      <c r="BL104" s="497">
        <v>10</v>
      </c>
      <c r="BM104" s="18">
        <v>46158</v>
      </c>
      <c r="BN104" s="4" t="s">
        <v>710</v>
      </c>
      <c r="BO104" s="18">
        <v>46191</v>
      </c>
      <c r="BP104" s="3" t="s">
        <v>278</v>
      </c>
      <c r="BQ104" s="21" t="s">
        <v>409</v>
      </c>
      <c r="BR104" s="2" t="s">
        <v>226</v>
      </c>
      <c r="BS104" s="2"/>
      <c r="BT104" s="2"/>
      <c r="BU104" s="3"/>
      <c r="BV104" s="20"/>
      <c r="BW104" s="19"/>
      <c r="BX104" s="189">
        <f t="shared" si="223"/>
        <v>0</v>
      </c>
      <c r="BY104" s="22"/>
      <c r="BZ104" s="22"/>
      <c r="CA104" s="22"/>
      <c r="CB104" s="22"/>
      <c r="CC104" s="22"/>
      <c r="CD104" s="22"/>
      <c r="CE104" s="22" t="str">
        <f t="shared" si="220"/>
        <v>No OBL Yet</v>
      </c>
      <c r="CF104" s="22"/>
      <c r="CG104" s="22"/>
      <c r="CH104" s="22"/>
      <c r="CI104" s="2"/>
      <c r="CJ104" s="2"/>
      <c r="CK104" s="2" t="str">
        <f t="shared" si="267"/>
        <v>No CERTS Yet</v>
      </c>
      <c r="CL104" s="48"/>
      <c r="CM104" s="22"/>
      <c r="CN104" s="55"/>
      <c r="CO104" s="55"/>
      <c r="CP104" s="55" t="str">
        <f t="shared" si="179"/>
        <v/>
      </c>
      <c r="CQ104" s="190">
        <f t="shared" si="253"/>
        <v>0</v>
      </c>
      <c r="CR104" s="54"/>
      <c r="CS104" s="2"/>
      <c r="CT104" s="2"/>
      <c r="CU104" s="14"/>
      <c r="CV104" s="191"/>
      <c r="CW104" s="14"/>
      <c r="CX104" s="14"/>
      <c r="CY104" s="15"/>
      <c r="CZ104" s="2"/>
      <c r="DA104" s="41"/>
      <c r="DB104" s="2"/>
      <c r="DC104" s="192"/>
      <c r="DD104" s="40"/>
      <c r="DE104" s="16"/>
      <c r="DF104" s="2"/>
      <c r="DG104" s="14"/>
      <c r="DH104" s="2"/>
      <c r="DI104" s="192"/>
      <c r="DJ104" s="2"/>
      <c r="DK104" s="15"/>
      <c r="DL104" s="2"/>
      <c r="DM104" s="2"/>
      <c r="DN104" s="15"/>
      <c r="DO104" s="14"/>
      <c r="DP104" s="14"/>
      <c r="DQ104" s="15"/>
      <c r="DR104" s="15"/>
      <c r="DS104" s="2"/>
      <c r="DT104" s="2"/>
      <c r="DU104" s="2"/>
      <c r="DV104" s="2"/>
      <c r="DW104" s="2"/>
      <c r="DX104" s="2"/>
      <c r="DY104" s="2" t="s">
        <v>230</v>
      </c>
      <c r="DZ104" s="2"/>
      <c r="EA104" s="2"/>
      <c r="EB104" s="2">
        <v>48.6</v>
      </c>
      <c r="EC104" s="2">
        <v>192</v>
      </c>
      <c r="ED104" s="2">
        <v>8.0500000000000007</v>
      </c>
      <c r="EE104" s="3">
        <v>4900009452</v>
      </c>
      <c r="EF104" s="37"/>
      <c r="EG104" s="3"/>
      <c r="EH104" s="2" t="s">
        <v>231</v>
      </c>
      <c r="EI104" s="3"/>
      <c r="EJ104" s="4">
        <f>BJ104</f>
        <v>250.15700000000001</v>
      </c>
      <c r="EK104" s="4">
        <v>2010</v>
      </c>
      <c r="EL104" s="11"/>
      <c r="EM104" s="7"/>
      <c r="EN104" s="189"/>
      <c r="EO104" s="3"/>
      <c r="EP104" s="3"/>
      <c r="EQ104" s="3"/>
      <c r="ER104" s="3"/>
      <c r="ES104" s="7"/>
      <c r="ET104" s="3"/>
      <c r="EU104" s="3"/>
      <c r="EV104" s="2" t="str">
        <f t="shared" si="268"/>
        <v>Yet to load</v>
      </c>
      <c r="EW104" s="189"/>
      <c r="EX104" s="189"/>
      <c r="EY104" s="189"/>
      <c r="EZ104" s="24"/>
      <c r="FA104" s="2"/>
      <c r="FB104" s="24"/>
      <c r="FC104" s="193"/>
      <c r="FD104" s="189"/>
      <c r="FE104" s="52"/>
      <c r="FF104" s="52"/>
      <c r="FG104" s="49"/>
      <c r="FH104" s="49"/>
      <c r="FI104" s="49"/>
      <c r="FJ104" s="49"/>
      <c r="FK104" s="49"/>
      <c r="FL104" s="49">
        <f t="shared" si="254"/>
        <v>0</v>
      </c>
      <c r="FM104" s="180">
        <f t="shared" si="255"/>
        <v>46158</v>
      </c>
      <c r="FN104" s="49"/>
      <c r="FO104" s="49"/>
      <c r="FP104" s="49"/>
      <c r="FQ104" s="49"/>
      <c r="FR104" s="49"/>
      <c r="FS104" s="34">
        <f t="shared" si="256"/>
        <v>0</v>
      </c>
      <c r="FT104" s="34" t="str">
        <f t="shared" si="257"/>
        <v>TBA 01</v>
      </c>
      <c r="FU104" s="3"/>
      <c r="FV104" s="3"/>
      <c r="FW104" s="3"/>
      <c r="FX104" s="3"/>
      <c r="FY104" s="3"/>
      <c r="FZ104" s="3"/>
      <c r="GA104" s="3"/>
      <c r="GB104" s="4"/>
      <c r="GC104" s="3"/>
      <c r="GD104" s="182"/>
      <c r="GE104" s="3"/>
      <c r="GF104" s="3"/>
      <c r="GG104" s="3"/>
      <c r="GH104" s="3"/>
      <c r="GI104" s="3"/>
      <c r="GJ104" s="3"/>
      <c r="GK104" s="3"/>
      <c r="GL104" s="3"/>
      <c r="GM104" s="3"/>
      <c r="GN104" s="4"/>
    </row>
    <row r="105" spans="1:196" s="1" customFormat="1">
      <c r="A105" s="2" t="str">
        <f t="shared" si="258"/>
        <v>OBL Scan Recd, Nego Pending</v>
      </c>
      <c r="B105" s="282">
        <v>51</v>
      </c>
      <c r="C105" s="282">
        <v>190</v>
      </c>
      <c r="D105" s="182" t="s">
        <v>208</v>
      </c>
      <c r="E105" s="2" t="str">
        <f t="shared" si="259"/>
        <v>LONG POSITION</v>
      </c>
      <c r="F105" s="271" t="str">
        <f t="shared" si="224"/>
        <v>TBA 02</v>
      </c>
      <c r="G105" s="271"/>
      <c r="H105" s="2" t="str">
        <f t="shared" si="260"/>
        <v>VALENCY VIETNAM UNSOLD</v>
      </c>
      <c r="I105" s="3" t="s">
        <v>209</v>
      </c>
      <c r="J105" s="2" t="s">
        <v>347</v>
      </c>
      <c r="K105" s="2" t="str">
        <f t="shared" si="261"/>
        <v>HCMC, VIETNAM</v>
      </c>
      <c r="L105" s="2" t="str">
        <f t="shared" si="252"/>
        <v>MEDULG628505</v>
      </c>
      <c r="M105" s="2">
        <f t="shared" si="226"/>
        <v>250.77199999999999</v>
      </c>
      <c r="N105" s="22">
        <f t="shared" si="262"/>
        <v>46134</v>
      </c>
      <c r="O105" s="22">
        <f t="shared" si="222"/>
        <v>46190</v>
      </c>
      <c r="P105" s="22" t="str">
        <f t="shared" si="263"/>
        <v>OBL in Origin - NIGERIA(OGB)</v>
      </c>
      <c r="Q105" s="2"/>
      <c r="R105" s="2" t="str">
        <f t="shared" si="264"/>
        <v>No CERTS Yet</v>
      </c>
      <c r="S105" s="2" t="str">
        <f t="shared" si="265"/>
        <v/>
      </c>
      <c r="T105" s="2" t="s">
        <v>711</v>
      </c>
      <c r="U105" s="438" t="s">
        <v>712</v>
      </c>
      <c r="V105" s="272"/>
      <c r="W105" s="438" t="s">
        <v>713</v>
      </c>
      <c r="X105" s="24"/>
      <c r="Y105" s="273"/>
      <c r="Z105" s="24"/>
      <c r="AA105" s="182" t="s">
        <v>714</v>
      </c>
      <c r="AB105" s="182" t="s">
        <v>501</v>
      </c>
      <c r="AC105" s="182" t="s">
        <v>666</v>
      </c>
      <c r="AD105" s="181">
        <v>46142</v>
      </c>
      <c r="AE105" s="30">
        <v>0.1</v>
      </c>
      <c r="AF105" s="4">
        <v>250</v>
      </c>
      <c r="AG105" s="4">
        <f t="shared" si="266"/>
        <v>225</v>
      </c>
      <c r="AH105" s="3" t="s">
        <v>215</v>
      </c>
      <c r="AI105" s="3"/>
      <c r="AJ105" s="3"/>
      <c r="AK105" s="2"/>
      <c r="AL105" s="2"/>
      <c r="AM105" s="2"/>
      <c r="AN105" s="183"/>
      <c r="AO105" s="183"/>
      <c r="AP105" s="28"/>
      <c r="AQ105" s="18"/>
      <c r="AR105" s="18"/>
      <c r="AS105" s="18"/>
      <c r="AT105" s="3"/>
      <c r="AU105" s="3"/>
      <c r="AV105" s="3"/>
      <c r="AW105" s="9"/>
      <c r="AX105" s="3"/>
      <c r="AY105" s="47"/>
      <c r="AZ105" s="278"/>
      <c r="BA105" s="18"/>
      <c r="BB105" s="22"/>
      <c r="BC105" s="22"/>
      <c r="BD105" s="22"/>
      <c r="BE105" s="22"/>
      <c r="BF105" s="22"/>
      <c r="BG105" s="18"/>
      <c r="BH105" s="18"/>
      <c r="BI105" s="3" t="s">
        <v>715</v>
      </c>
      <c r="BJ105" s="25">
        <v>250.77199999999999</v>
      </c>
      <c r="BK105" s="189" t="s">
        <v>222</v>
      </c>
      <c r="BL105" s="497">
        <v>10</v>
      </c>
      <c r="BM105" s="18">
        <v>46134</v>
      </c>
      <c r="BN105" s="4"/>
      <c r="BO105" s="18">
        <v>46190</v>
      </c>
      <c r="BP105" s="3" t="s">
        <v>278</v>
      </c>
      <c r="BQ105" s="21" t="s">
        <v>409</v>
      </c>
      <c r="BR105" s="2" t="s">
        <v>226</v>
      </c>
      <c r="BS105" s="2"/>
      <c r="BT105" s="2"/>
      <c r="BU105" s="3"/>
      <c r="BV105" s="20"/>
      <c r="BW105" s="19"/>
      <c r="BX105" s="189">
        <f t="shared" si="223"/>
        <v>0</v>
      </c>
      <c r="BY105" s="22">
        <v>46151</v>
      </c>
      <c r="BZ105" s="22">
        <v>46156</v>
      </c>
      <c r="CA105" s="22"/>
      <c r="CB105" s="22"/>
      <c r="CC105" s="22"/>
      <c r="CD105" s="22"/>
      <c r="CE105" s="22" t="str">
        <f t="shared" si="220"/>
        <v>OBL in Origin - NIGERIA(OGB)</v>
      </c>
      <c r="CF105" s="22"/>
      <c r="CG105" s="22"/>
      <c r="CH105" s="22"/>
      <c r="CI105" s="2"/>
      <c r="CJ105" s="2"/>
      <c r="CK105" s="2" t="str">
        <f t="shared" si="267"/>
        <v>No CERTS Yet</v>
      </c>
      <c r="CL105" s="48"/>
      <c r="CM105" s="22"/>
      <c r="CN105" s="55"/>
      <c r="CO105" s="55"/>
      <c r="CP105" s="55" t="str">
        <f t="shared" si="179"/>
        <v/>
      </c>
      <c r="CQ105" s="190">
        <f t="shared" si="253"/>
        <v>0</v>
      </c>
      <c r="CR105" s="54"/>
      <c r="CS105" s="2"/>
      <c r="CT105" s="2"/>
      <c r="CU105" s="14"/>
      <c r="CV105" s="191"/>
      <c r="CW105" s="14"/>
      <c r="CX105" s="14"/>
      <c r="CY105" s="15"/>
      <c r="CZ105" s="2"/>
      <c r="DA105" s="41"/>
      <c r="DB105" s="2"/>
      <c r="DC105" s="192"/>
      <c r="DD105" s="40"/>
      <c r="DE105" s="16"/>
      <c r="DF105" s="2"/>
      <c r="DG105" s="14"/>
      <c r="DH105" s="2"/>
      <c r="DI105" s="192"/>
      <c r="DJ105" s="2"/>
      <c r="DK105" s="15"/>
      <c r="DL105" s="2"/>
      <c r="DM105" s="2"/>
      <c r="DN105" s="15"/>
      <c r="DO105" s="14"/>
      <c r="DP105" s="14"/>
      <c r="DQ105" s="15"/>
      <c r="DR105" s="15"/>
      <c r="DS105" s="2"/>
      <c r="DT105" s="2"/>
      <c r="DU105" s="2"/>
      <c r="DV105" s="2"/>
      <c r="DW105" s="2"/>
      <c r="DX105" s="2"/>
      <c r="DY105" s="2" t="s">
        <v>230</v>
      </c>
      <c r="DZ105" s="2"/>
      <c r="EA105" s="2"/>
      <c r="EB105" s="2">
        <v>48.6</v>
      </c>
      <c r="EC105" s="2">
        <v>192</v>
      </c>
      <c r="ED105" s="2">
        <v>8.0500000000000007</v>
      </c>
      <c r="EE105" s="3">
        <v>4900009452</v>
      </c>
      <c r="EF105" s="37"/>
      <c r="EG105" s="3"/>
      <c r="EH105" s="2" t="s">
        <v>231</v>
      </c>
      <c r="EI105" s="3"/>
      <c r="EJ105" s="4">
        <f>BJ105</f>
        <v>250.77199999999999</v>
      </c>
      <c r="EK105" s="4">
        <v>2010</v>
      </c>
      <c r="EL105" s="11"/>
      <c r="EM105" s="7"/>
      <c r="EN105" s="189"/>
      <c r="EO105" s="3"/>
      <c r="EP105" s="3"/>
      <c r="EQ105" s="3"/>
      <c r="ER105" s="3"/>
      <c r="ES105" s="7"/>
      <c r="ET105" s="3"/>
      <c r="EU105" s="3"/>
      <c r="EV105" s="2" t="str">
        <f t="shared" si="268"/>
        <v>Nego Pending</v>
      </c>
      <c r="EW105" s="189"/>
      <c r="EX105" s="189"/>
      <c r="EY105" s="189"/>
      <c r="EZ105" s="24"/>
      <c r="FA105" s="2"/>
      <c r="FB105" s="24"/>
      <c r="FC105" s="193"/>
      <c r="FD105" s="189"/>
      <c r="FE105" s="52"/>
      <c r="FF105" s="52"/>
      <c r="FG105" s="49"/>
      <c r="FH105" s="49"/>
      <c r="FI105" s="49"/>
      <c r="FJ105" s="49"/>
      <c r="FK105" s="49"/>
      <c r="FL105" s="49">
        <f t="shared" si="254"/>
        <v>-46151</v>
      </c>
      <c r="FM105" s="180">
        <f t="shared" si="255"/>
        <v>46134</v>
      </c>
      <c r="FN105" s="49"/>
      <c r="FO105" s="49"/>
      <c r="FP105" s="49"/>
      <c r="FQ105" s="49"/>
      <c r="FR105" s="49"/>
      <c r="FS105" s="34">
        <f t="shared" si="256"/>
        <v>0</v>
      </c>
      <c r="FT105" s="34" t="str">
        <f t="shared" si="257"/>
        <v>TBA 02</v>
      </c>
      <c r="FU105" s="3"/>
      <c r="FV105" s="3"/>
      <c r="FW105" s="3"/>
      <c r="FX105" s="3"/>
      <c r="FY105" s="3"/>
      <c r="FZ105" s="3"/>
      <c r="GA105" s="3"/>
      <c r="GB105" s="4"/>
      <c r="GC105" s="3"/>
      <c r="GD105" s="182"/>
      <c r="GE105" s="3"/>
      <c r="GF105" s="3"/>
      <c r="GG105" s="3"/>
      <c r="GH105" s="3"/>
      <c r="GI105" s="3"/>
      <c r="GJ105" s="3"/>
      <c r="GK105" s="3"/>
      <c r="GL105" s="3"/>
      <c r="GM105" s="3"/>
      <c r="GN105" s="4"/>
    </row>
    <row r="106" spans="1:196" s="1" customFormat="1" ht="33.950000000000003">
      <c r="A106" s="2" t="str">
        <f t="shared" si="258"/>
        <v>Exp Dox Presented to Bank, Pmt Pending</v>
      </c>
      <c r="B106" s="282">
        <v>51</v>
      </c>
      <c r="C106" s="282">
        <v>190</v>
      </c>
      <c r="D106" s="182" t="s">
        <v>208</v>
      </c>
      <c r="E106" s="2" t="str">
        <f t="shared" si="259"/>
        <v>CLOSE POSITION</v>
      </c>
      <c r="F106" s="271">
        <f t="shared" si="224"/>
        <v>32016443</v>
      </c>
      <c r="G106" s="271"/>
      <c r="H106" s="2" t="str">
        <f t="shared" si="260"/>
        <v>Valency Agro (Processing)</v>
      </c>
      <c r="I106" s="3" t="s">
        <v>209</v>
      </c>
      <c r="J106" s="2" t="s">
        <v>210</v>
      </c>
      <c r="K106" s="2" t="str">
        <f t="shared" si="261"/>
        <v>MANGALORE, INDIA</v>
      </c>
      <c r="L106" s="2" t="str">
        <f t="shared" si="252"/>
        <v>MEDULG631442</v>
      </c>
      <c r="M106" s="2">
        <f t="shared" si="226"/>
        <v>51.72</v>
      </c>
      <c r="N106" s="22">
        <f t="shared" si="262"/>
        <v>46127</v>
      </c>
      <c r="O106" s="22">
        <f t="shared" si="222"/>
        <v>46186</v>
      </c>
      <c r="P106" s="22" t="str">
        <f t="shared" si="263"/>
        <v>OBL in Transit with Nego Docs - INDIA</v>
      </c>
      <c r="Q106" s="330"/>
      <c r="R106" s="2" t="str">
        <f t="shared" si="264"/>
        <v>CERTS in Destination - INDIA</v>
      </c>
      <c r="S106" s="2" t="str">
        <f t="shared" si="265"/>
        <v>Docs in Transit to Buyer's Nego Bank</v>
      </c>
      <c r="T106" s="330"/>
      <c r="U106" s="3" t="s">
        <v>716</v>
      </c>
      <c r="V106" s="272"/>
      <c r="W106" s="3" t="s">
        <v>716</v>
      </c>
      <c r="X106" s="24">
        <v>46168</v>
      </c>
      <c r="Y106" s="273">
        <v>20010447</v>
      </c>
      <c r="Z106" s="24">
        <v>46168</v>
      </c>
      <c r="AA106" s="182">
        <v>32016443</v>
      </c>
      <c r="AB106" s="182" t="s">
        <v>247</v>
      </c>
      <c r="AC106" s="182" t="s">
        <v>666</v>
      </c>
      <c r="AD106" s="181">
        <v>46142</v>
      </c>
      <c r="AE106" s="30">
        <v>0.1</v>
      </c>
      <c r="AF106" s="4">
        <v>51.72</v>
      </c>
      <c r="AG106" s="4">
        <f t="shared" si="266"/>
        <v>46.548000000000002</v>
      </c>
      <c r="AH106" s="3" t="s">
        <v>215</v>
      </c>
      <c r="AI106" s="35">
        <v>1483</v>
      </c>
      <c r="AJ106" s="35">
        <f>AI106*AF106</f>
        <v>76700.759999999995</v>
      </c>
      <c r="AK106" s="3" t="s">
        <v>249</v>
      </c>
      <c r="AL106" s="3" t="s">
        <v>217</v>
      </c>
      <c r="AM106" s="44">
        <v>0</v>
      </c>
      <c r="AN106" s="183">
        <v>1</v>
      </c>
      <c r="AO106" s="183">
        <v>0</v>
      </c>
      <c r="AP106" s="28" t="s">
        <v>218</v>
      </c>
      <c r="AQ106" s="18" t="s">
        <v>250</v>
      </c>
      <c r="AR106" s="18" t="s">
        <v>251</v>
      </c>
      <c r="AS106" s="27"/>
      <c r="AT106" s="3" t="s">
        <v>220</v>
      </c>
      <c r="AU106" s="3" t="s">
        <v>220</v>
      </c>
      <c r="AV106" s="3" t="s">
        <v>220</v>
      </c>
      <c r="AW106" s="9"/>
      <c r="AX106" s="3"/>
      <c r="AY106" s="47"/>
      <c r="AZ106" s="275">
        <f>AF106*AI106*AM106</f>
        <v>0</v>
      </c>
      <c r="BA106" s="18" t="s">
        <v>494</v>
      </c>
      <c r="BB106" s="22">
        <v>46077</v>
      </c>
      <c r="BC106" s="22"/>
      <c r="BD106" s="22"/>
      <c r="BE106" s="22"/>
      <c r="BF106" s="22">
        <v>46078</v>
      </c>
      <c r="BG106" s="18"/>
      <c r="BH106" s="18"/>
      <c r="BI106" s="3" t="s">
        <v>717</v>
      </c>
      <c r="BJ106" s="25">
        <v>51.72</v>
      </c>
      <c r="BK106" s="189" t="s">
        <v>222</v>
      </c>
      <c r="BL106" s="497">
        <v>2</v>
      </c>
      <c r="BM106" s="18">
        <v>46127</v>
      </c>
      <c r="BN106" s="4"/>
      <c r="BO106" s="18">
        <v>46186</v>
      </c>
      <c r="BP106" s="3" t="s">
        <v>278</v>
      </c>
      <c r="BQ106" s="21" t="s">
        <v>265</v>
      </c>
      <c r="BR106" s="2" t="s">
        <v>226</v>
      </c>
      <c r="BS106" s="2"/>
      <c r="BT106" s="2"/>
      <c r="BU106" s="3"/>
      <c r="BV106" s="20"/>
      <c r="BW106" s="19"/>
      <c r="BX106" s="189">
        <f t="shared" si="223"/>
        <v>76700.759999999995</v>
      </c>
      <c r="BY106" s="22">
        <v>46148</v>
      </c>
      <c r="BZ106" s="22">
        <v>46155</v>
      </c>
      <c r="CA106" s="284">
        <v>6917016956</v>
      </c>
      <c r="CB106" s="22">
        <v>46162</v>
      </c>
      <c r="CC106" s="22"/>
      <c r="CD106" s="22"/>
      <c r="CE106" s="22" t="str">
        <f t="shared" ref="CE106:CE137" si="269">IF(J106="VIETNAM",
IF(CG106&lt;&gt;"","OBL in Vietnam Office",
IF(CF106&lt;&gt;"","OBL in Transit from Vietnam Office",
IF(CD106&lt;&gt;0,"OBL In Destination - "&amp;J106,
IF(CC106&lt;&gt;0,"OBL in Transit to Destination - "&amp;J106,
IF(CB106&lt;&gt;0,"OBL in SIG Office",
IF(CA106&lt;&gt;0,"OBL in Transit from Origin to SIG",
IF(BZ106&lt;&gt;0,"OBL in Origin - "&amp;I106,
IF(BY106&lt;&gt;0,"Draft Rcvd","No OBL Yet")))))))),
IF(CO106&lt;&gt;0,"OBL In Destination - "&amp;J106,
IF(CM106&lt;&gt;0,"OBL in Transit with Nego Docs - "&amp;J106,
IF(CB106&lt;&gt;0,"OBL in SIG Office",
IF(CA106&lt;&gt;0,"OBL in Transit from Origin to SIG",
IF(BZ106&lt;&gt;0,"OBL in Origin - "&amp;I106,
IF(BY106&lt;&gt;0,"Draft Rcvd","No OBL Yet")))))))</f>
        <v>OBL in Transit with Nego Docs - INDIA</v>
      </c>
      <c r="CF106" s="22"/>
      <c r="CG106" s="22"/>
      <c r="CH106" s="22">
        <v>46157</v>
      </c>
      <c r="CI106" s="2">
        <v>6172136854</v>
      </c>
      <c r="CJ106" s="22">
        <v>46167</v>
      </c>
      <c r="CK106" s="2" t="str">
        <f t="shared" si="267"/>
        <v>CERTS in Destination - INDIA</v>
      </c>
      <c r="CL106" s="48" t="s">
        <v>229</v>
      </c>
      <c r="CM106" s="22">
        <v>46168</v>
      </c>
      <c r="CN106" s="55">
        <v>1399582936</v>
      </c>
      <c r="CO106" s="55"/>
      <c r="CP106" s="55" t="str">
        <f t="shared" si="179"/>
        <v>Docs in Transit to Buyer's Nego Bank</v>
      </c>
      <c r="CQ106" s="190">
        <f t="shared" si="253"/>
        <v>76700.759999999995</v>
      </c>
      <c r="CR106" s="54"/>
      <c r="CS106" s="2"/>
      <c r="CT106" s="2"/>
      <c r="CU106" s="14"/>
      <c r="CV106" s="191"/>
      <c r="CW106" s="14"/>
      <c r="CX106" s="14"/>
      <c r="CY106" s="15"/>
      <c r="CZ106" s="2"/>
      <c r="DA106" s="41"/>
      <c r="DB106" s="2"/>
      <c r="DC106" s="192"/>
      <c r="DD106" s="40"/>
      <c r="DE106" s="16"/>
      <c r="DF106" s="2"/>
      <c r="DG106" s="14"/>
      <c r="DH106" s="2"/>
      <c r="DI106" s="192"/>
      <c r="DJ106" s="2"/>
      <c r="DK106" s="15"/>
      <c r="DL106" s="2"/>
      <c r="DM106" s="2"/>
      <c r="DN106" s="15"/>
      <c r="DO106" s="14"/>
      <c r="DP106" s="14"/>
      <c r="DQ106" s="15"/>
      <c r="DR106" s="15"/>
      <c r="DS106" s="2"/>
      <c r="DT106" s="2"/>
      <c r="DU106" s="2"/>
      <c r="DV106" s="2"/>
      <c r="DW106" s="2"/>
      <c r="DX106" s="2"/>
      <c r="DY106" s="2" t="s">
        <v>230</v>
      </c>
      <c r="DZ106" s="2"/>
      <c r="EA106" s="2"/>
      <c r="EB106" s="2">
        <v>48.6</v>
      </c>
      <c r="EC106" s="2">
        <v>192</v>
      </c>
      <c r="ED106" s="2">
        <v>8.0500000000000007</v>
      </c>
      <c r="EE106" s="612">
        <v>4900009264</v>
      </c>
      <c r="EF106" s="37"/>
      <c r="EG106" s="3"/>
      <c r="EH106" s="2" t="s">
        <v>326</v>
      </c>
      <c r="EI106" s="3"/>
      <c r="EJ106" s="4">
        <f>BJ106</f>
        <v>51.72</v>
      </c>
      <c r="EK106" s="4">
        <v>1390</v>
      </c>
      <c r="EL106" s="11"/>
      <c r="EM106" s="7"/>
      <c r="EN106" s="189"/>
      <c r="EO106" s="3"/>
      <c r="EP106" s="3"/>
      <c r="EQ106" s="3"/>
      <c r="ER106" s="3"/>
      <c r="ES106" s="7"/>
      <c r="ET106" s="3"/>
      <c r="EU106" s="3"/>
      <c r="EV106" s="2" t="str">
        <f t="shared" si="268"/>
        <v>Export Loan</v>
      </c>
      <c r="EW106" s="189"/>
      <c r="EX106" s="189"/>
      <c r="EY106" s="189"/>
      <c r="EZ106" s="24"/>
      <c r="FA106" s="2" t="s">
        <v>718</v>
      </c>
      <c r="FB106" s="24">
        <v>46168</v>
      </c>
      <c r="FC106" s="193"/>
      <c r="FD106" s="189"/>
      <c r="FE106" s="52"/>
      <c r="FF106" s="52"/>
      <c r="FG106" s="49"/>
      <c r="FH106" s="49"/>
      <c r="FI106" s="49"/>
      <c r="FJ106" s="49"/>
      <c r="FK106" s="49"/>
      <c r="FL106" s="49">
        <f t="shared" si="254"/>
        <v>-46148</v>
      </c>
      <c r="FM106" s="180">
        <f t="shared" si="255"/>
        <v>-41</v>
      </c>
      <c r="FN106" s="49"/>
      <c r="FO106" s="49"/>
      <c r="FP106" s="49"/>
      <c r="FQ106" s="49"/>
      <c r="FR106" s="49"/>
      <c r="FS106" s="34">
        <f t="shared" si="256"/>
        <v>20010447</v>
      </c>
      <c r="FT106" s="34">
        <f t="shared" si="257"/>
        <v>32016443</v>
      </c>
      <c r="FU106" s="3"/>
      <c r="FV106" s="3"/>
      <c r="FW106" s="3"/>
      <c r="FX106" s="3"/>
      <c r="FY106" s="3"/>
      <c r="FZ106" s="3"/>
      <c r="GA106" s="3"/>
      <c r="GB106" s="4"/>
      <c r="GC106" s="3"/>
      <c r="GD106" s="182"/>
      <c r="GE106" s="3"/>
      <c r="GF106" s="3"/>
      <c r="GG106" s="3"/>
      <c r="GH106" s="3"/>
      <c r="GI106" s="3"/>
      <c r="GJ106" s="3"/>
      <c r="GK106" s="3"/>
      <c r="GL106" s="3"/>
      <c r="GM106" s="3"/>
      <c r="GN106" s="4"/>
    </row>
    <row r="107" spans="1:196" s="1" customFormat="1">
      <c r="A107" s="2" t="str">
        <f t="shared" si="258"/>
        <v>Sailed, OBL &amp; Certs Pending</v>
      </c>
      <c r="B107" s="282">
        <v>51</v>
      </c>
      <c r="C107" s="282">
        <v>190</v>
      </c>
      <c r="D107" s="182" t="s">
        <v>208</v>
      </c>
      <c r="E107" s="2" t="str">
        <f t="shared" si="259"/>
        <v>LONG POSITION</v>
      </c>
      <c r="F107" s="271" t="str">
        <f t="shared" si="224"/>
        <v>TBA 04</v>
      </c>
      <c r="G107" s="271"/>
      <c r="H107" s="2" t="str">
        <f t="shared" si="260"/>
        <v>VALENCY VIETNAM UNSOLD</v>
      </c>
      <c r="I107" s="3" t="s">
        <v>209</v>
      </c>
      <c r="J107" s="2" t="s">
        <v>347</v>
      </c>
      <c r="K107" s="2" t="str">
        <f t="shared" si="261"/>
        <v>HCMC, VIETNAM</v>
      </c>
      <c r="L107" s="2" t="str">
        <f t="shared" si="252"/>
        <v>ONEYLOSG02030900</v>
      </c>
      <c r="M107" s="2">
        <f t="shared" si="226"/>
        <v>252.143</v>
      </c>
      <c r="N107" s="22">
        <f t="shared" si="262"/>
        <v>46167</v>
      </c>
      <c r="O107" s="22">
        <f t="shared" si="222"/>
        <v>46199</v>
      </c>
      <c r="P107" s="22" t="str">
        <f t="shared" si="263"/>
        <v>No OBL Yet</v>
      </c>
      <c r="Q107" s="2"/>
      <c r="R107" s="2" t="str">
        <f t="shared" si="264"/>
        <v>No CERTS Yet</v>
      </c>
      <c r="S107" s="2" t="str">
        <f t="shared" si="265"/>
        <v/>
      </c>
      <c r="T107" s="2" t="s">
        <v>719</v>
      </c>
      <c r="U107" s="3" t="s">
        <v>720</v>
      </c>
      <c r="V107" s="272"/>
      <c r="W107" s="450" t="s">
        <v>721</v>
      </c>
      <c r="X107" s="24"/>
      <c r="Y107" s="273"/>
      <c r="Z107" s="24"/>
      <c r="AA107" s="182" t="s">
        <v>722</v>
      </c>
      <c r="AB107" s="182" t="s">
        <v>501</v>
      </c>
      <c r="AC107" s="182" t="s">
        <v>666</v>
      </c>
      <c r="AD107" s="181">
        <v>46142</v>
      </c>
      <c r="AE107" s="30">
        <v>0.1</v>
      </c>
      <c r="AF107" s="4">
        <v>250</v>
      </c>
      <c r="AG107" s="4">
        <f t="shared" si="266"/>
        <v>225</v>
      </c>
      <c r="AH107" s="3" t="s">
        <v>215</v>
      </c>
      <c r="AI107" s="3"/>
      <c r="AJ107" s="4">
        <f>AI107*AF107</f>
        <v>0</v>
      </c>
      <c r="AK107" s="2"/>
      <c r="AL107" s="2"/>
      <c r="AM107" s="2"/>
      <c r="AN107" s="183"/>
      <c r="AO107" s="183"/>
      <c r="AP107" s="28"/>
      <c r="AQ107" s="18"/>
      <c r="AR107" s="18"/>
      <c r="AS107" s="18"/>
      <c r="AT107" s="3"/>
      <c r="AU107" s="3"/>
      <c r="AV107" s="3"/>
      <c r="AW107" s="9"/>
      <c r="AX107" s="3"/>
      <c r="AY107" s="47"/>
      <c r="AZ107" s="278">
        <f>AF107*AI107*AM107</f>
        <v>0</v>
      </c>
      <c r="BA107" s="18"/>
      <c r="BB107" s="22"/>
      <c r="BC107" s="22"/>
      <c r="BD107" s="22"/>
      <c r="BE107" s="22"/>
      <c r="BF107" s="22"/>
      <c r="BG107" s="18"/>
      <c r="BH107" s="18"/>
      <c r="BI107" s="3" t="s">
        <v>723</v>
      </c>
      <c r="BJ107" s="25">
        <v>252.143</v>
      </c>
      <c r="BK107" s="189" t="s">
        <v>222</v>
      </c>
      <c r="BL107" s="497">
        <v>10</v>
      </c>
      <c r="BM107" s="18">
        <v>46167</v>
      </c>
      <c r="BN107" s="4"/>
      <c r="BO107" s="18">
        <v>46199</v>
      </c>
      <c r="BP107" s="3" t="s">
        <v>278</v>
      </c>
      <c r="BQ107" s="21" t="s">
        <v>409</v>
      </c>
      <c r="BR107" s="2" t="s">
        <v>288</v>
      </c>
      <c r="BS107" s="2"/>
      <c r="BT107" s="2"/>
      <c r="BU107" s="3"/>
      <c r="BV107" s="20"/>
      <c r="BW107" s="19"/>
      <c r="BX107" s="189">
        <f t="shared" si="223"/>
        <v>0</v>
      </c>
      <c r="BY107" s="22"/>
      <c r="BZ107" s="22"/>
      <c r="CA107" s="22"/>
      <c r="CB107" s="22"/>
      <c r="CC107" s="22"/>
      <c r="CD107" s="22"/>
      <c r="CE107" s="22" t="str">
        <f t="shared" si="269"/>
        <v>No OBL Yet</v>
      </c>
      <c r="CF107" s="22"/>
      <c r="CG107" s="22"/>
      <c r="CH107" s="22"/>
      <c r="CI107" s="2"/>
      <c r="CJ107" s="2"/>
      <c r="CK107" s="2" t="str">
        <f t="shared" si="267"/>
        <v>No CERTS Yet</v>
      </c>
      <c r="CL107" s="48"/>
      <c r="CM107" s="22"/>
      <c r="CN107" s="55"/>
      <c r="CO107" s="55"/>
      <c r="CP107" s="55" t="str">
        <f t="shared" si="179"/>
        <v/>
      </c>
      <c r="CQ107" s="190">
        <f t="shared" si="253"/>
        <v>0</v>
      </c>
      <c r="CR107" s="54"/>
      <c r="CS107" s="2"/>
      <c r="CT107" s="2"/>
      <c r="CU107" s="14"/>
      <c r="CV107" s="191"/>
      <c r="CW107" s="14"/>
      <c r="CX107" s="14"/>
      <c r="CY107" s="15"/>
      <c r="CZ107" s="2"/>
      <c r="DA107" s="41"/>
      <c r="DB107" s="2"/>
      <c r="DC107" s="192"/>
      <c r="DD107" s="40"/>
      <c r="DE107" s="16"/>
      <c r="DF107" s="2"/>
      <c r="DG107" s="14"/>
      <c r="DH107" s="2"/>
      <c r="DI107" s="192"/>
      <c r="DJ107" s="2"/>
      <c r="DK107" s="15"/>
      <c r="DL107" s="2"/>
      <c r="DM107" s="2"/>
      <c r="DN107" s="15"/>
      <c r="DO107" s="14"/>
      <c r="DP107" s="14"/>
      <c r="DQ107" s="15"/>
      <c r="DR107" s="15"/>
      <c r="DS107" s="2"/>
      <c r="DT107" s="2"/>
      <c r="DU107" s="2"/>
      <c r="DV107" s="2"/>
      <c r="DW107" s="2"/>
      <c r="DX107" s="2"/>
      <c r="DY107" s="2" t="s">
        <v>230</v>
      </c>
      <c r="DZ107" s="2"/>
      <c r="EA107" s="2"/>
      <c r="EB107" s="2">
        <v>48.6</v>
      </c>
      <c r="EC107" s="2">
        <v>192</v>
      </c>
      <c r="ED107" s="2">
        <v>8.0500000000000007</v>
      </c>
      <c r="EE107" s="3">
        <v>4900009452</v>
      </c>
      <c r="EF107" s="37"/>
      <c r="EG107" s="3"/>
      <c r="EH107" s="2" t="s">
        <v>231</v>
      </c>
      <c r="EI107" s="3"/>
      <c r="EJ107" s="4">
        <f>BJ107</f>
        <v>252.143</v>
      </c>
      <c r="EK107" s="4">
        <v>2010</v>
      </c>
      <c r="EL107" s="11"/>
      <c r="EM107" s="7"/>
      <c r="EN107" s="189"/>
      <c r="EO107" s="3"/>
      <c r="EP107" s="3"/>
      <c r="EQ107" s="3"/>
      <c r="ER107" s="3"/>
      <c r="ES107" s="7"/>
      <c r="ET107" s="3"/>
      <c r="EU107" s="3"/>
      <c r="EV107" s="2" t="str">
        <f t="shared" si="268"/>
        <v>Yet to load</v>
      </c>
      <c r="EW107" s="189"/>
      <c r="EX107" s="189"/>
      <c r="EY107" s="189"/>
      <c r="EZ107" s="24"/>
      <c r="FA107" s="2"/>
      <c r="FB107" s="24"/>
      <c r="FC107" s="193"/>
      <c r="FD107" s="189"/>
      <c r="FE107" s="52"/>
      <c r="FF107" s="52"/>
      <c r="FG107" s="49"/>
      <c r="FH107" s="49"/>
      <c r="FI107" s="49"/>
      <c r="FJ107" s="49"/>
      <c r="FK107" s="49"/>
      <c r="FL107" s="49">
        <f t="shared" si="254"/>
        <v>0</v>
      </c>
      <c r="FM107" s="180">
        <f t="shared" si="255"/>
        <v>46167</v>
      </c>
      <c r="FN107" s="49"/>
      <c r="FO107" s="49"/>
      <c r="FP107" s="49"/>
      <c r="FQ107" s="49"/>
      <c r="FR107" s="49"/>
      <c r="FS107" s="34">
        <f t="shared" si="256"/>
        <v>0</v>
      </c>
      <c r="FT107" s="34" t="str">
        <f t="shared" si="257"/>
        <v>TBA 04</v>
      </c>
      <c r="FU107" s="3"/>
      <c r="FV107" s="3"/>
      <c r="FW107" s="3"/>
      <c r="FX107" s="3"/>
      <c r="FY107" s="3"/>
      <c r="FZ107" s="3"/>
      <c r="GA107" s="3"/>
      <c r="GB107" s="4"/>
      <c r="GC107" s="3"/>
      <c r="GD107" s="182"/>
      <c r="GE107" s="3"/>
      <c r="GF107" s="3"/>
      <c r="GG107" s="3"/>
      <c r="GH107" s="3"/>
      <c r="GI107" s="3"/>
      <c r="GJ107" s="3"/>
      <c r="GK107" s="3"/>
      <c r="GL107" s="3"/>
      <c r="GM107" s="3"/>
      <c r="GN107" s="4"/>
    </row>
    <row r="108" spans="1:196" s="1" customFormat="1" ht="33.950000000000003">
      <c r="A108" s="2" t="str">
        <f t="shared" si="258"/>
        <v>Sailed, OBL &amp; Certs Pending</v>
      </c>
      <c r="B108" s="282">
        <v>51</v>
      </c>
      <c r="C108" s="282">
        <v>190</v>
      </c>
      <c r="D108" s="182" t="s">
        <v>208</v>
      </c>
      <c r="E108" s="2" t="str">
        <f t="shared" si="259"/>
        <v>LONG POSITION</v>
      </c>
      <c r="F108" s="271" t="str">
        <f t="shared" si="224"/>
        <v>TBA 05</v>
      </c>
      <c r="G108" s="271"/>
      <c r="H108" s="2" t="str">
        <f t="shared" si="260"/>
        <v>VALENCY VIETNAM UNSOLD</v>
      </c>
      <c r="I108" s="3" t="s">
        <v>209</v>
      </c>
      <c r="J108" s="2" t="s">
        <v>347</v>
      </c>
      <c r="K108" s="2" t="str">
        <f t="shared" si="261"/>
        <v>HCMC, VIETNAM</v>
      </c>
      <c r="L108" s="2" t="str">
        <f t="shared" si="252"/>
        <v>ONEYLOSG02033500</v>
      </c>
      <c r="M108" s="2">
        <f t="shared" si="226"/>
        <v>251.96600000000001</v>
      </c>
      <c r="N108" s="22">
        <f t="shared" si="262"/>
        <v>46167</v>
      </c>
      <c r="O108" s="22">
        <f t="shared" si="222"/>
        <v>46199</v>
      </c>
      <c r="P108" s="22" t="str">
        <f t="shared" si="263"/>
        <v>No OBL Yet</v>
      </c>
      <c r="Q108" s="2"/>
      <c r="R108" s="2" t="str">
        <f t="shared" si="264"/>
        <v>No CERTS Yet</v>
      </c>
      <c r="S108" s="2" t="str">
        <f t="shared" si="265"/>
        <v/>
      </c>
      <c r="T108" s="2" t="s">
        <v>724</v>
      </c>
      <c r="U108" s="3" t="s">
        <v>725</v>
      </c>
      <c r="V108" s="272"/>
      <c r="W108" s="450" t="s">
        <v>721</v>
      </c>
      <c r="X108" s="24"/>
      <c r="Y108" s="273"/>
      <c r="Z108" s="24"/>
      <c r="AA108" s="182" t="s">
        <v>726</v>
      </c>
      <c r="AB108" s="182" t="s">
        <v>501</v>
      </c>
      <c r="AC108" s="182" t="s">
        <v>666</v>
      </c>
      <c r="AD108" s="181">
        <v>46142</v>
      </c>
      <c r="AE108" s="30">
        <v>0.1</v>
      </c>
      <c r="AF108" s="4">
        <v>250</v>
      </c>
      <c r="AG108" s="4">
        <f t="shared" si="266"/>
        <v>225</v>
      </c>
      <c r="AH108" s="3" t="s">
        <v>215</v>
      </c>
      <c r="AI108" s="3"/>
      <c r="AJ108" s="3"/>
      <c r="AK108" s="2"/>
      <c r="AL108" s="2"/>
      <c r="AM108" s="2"/>
      <c r="AN108" s="183"/>
      <c r="AO108" s="183"/>
      <c r="AP108" s="28"/>
      <c r="AQ108" s="18"/>
      <c r="AR108" s="18"/>
      <c r="AS108" s="18"/>
      <c r="AT108" s="3"/>
      <c r="AU108" s="3"/>
      <c r="AV108" s="3"/>
      <c r="AW108" s="9"/>
      <c r="AX108" s="3"/>
      <c r="AY108" s="47"/>
      <c r="AZ108" s="278"/>
      <c r="BA108" s="18"/>
      <c r="BB108" s="22"/>
      <c r="BC108" s="22"/>
      <c r="BD108" s="22"/>
      <c r="BE108" s="22"/>
      <c r="BF108" s="22"/>
      <c r="BG108" s="18"/>
      <c r="BH108" s="18"/>
      <c r="BI108" s="3" t="s">
        <v>727</v>
      </c>
      <c r="BJ108" s="25">
        <v>251.96600000000001</v>
      </c>
      <c r="BK108" s="189" t="s">
        <v>222</v>
      </c>
      <c r="BL108" s="497">
        <v>10</v>
      </c>
      <c r="BM108" s="18">
        <v>46167</v>
      </c>
      <c r="BN108" s="4"/>
      <c r="BO108" s="18">
        <v>46199</v>
      </c>
      <c r="BP108" s="3" t="s">
        <v>278</v>
      </c>
      <c r="BQ108" s="21" t="s">
        <v>409</v>
      </c>
      <c r="BR108" s="2" t="s">
        <v>288</v>
      </c>
      <c r="BS108" s="2"/>
      <c r="BT108" s="2"/>
      <c r="BU108" s="3"/>
      <c r="BV108" s="20"/>
      <c r="BW108" s="19"/>
      <c r="BX108" s="189"/>
      <c r="BY108" s="22"/>
      <c r="BZ108" s="22"/>
      <c r="CA108" s="22"/>
      <c r="CB108" s="22"/>
      <c r="CC108" s="22"/>
      <c r="CD108" s="22"/>
      <c r="CE108" s="22" t="str">
        <f t="shared" si="269"/>
        <v>No OBL Yet</v>
      </c>
      <c r="CF108" s="22"/>
      <c r="CG108" s="22"/>
      <c r="CH108" s="22"/>
      <c r="CI108" s="2"/>
      <c r="CJ108" s="2"/>
      <c r="CK108" s="2" t="str">
        <f t="shared" si="267"/>
        <v>No CERTS Yet</v>
      </c>
      <c r="CL108" s="48"/>
      <c r="CM108" s="22"/>
      <c r="CN108" s="55"/>
      <c r="CO108" s="55"/>
      <c r="CP108" s="55" t="str">
        <f t="shared" si="179"/>
        <v/>
      </c>
      <c r="CQ108" s="190">
        <f t="shared" si="253"/>
        <v>0</v>
      </c>
      <c r="CR108" s="54"/>
      <c r="CS108" s="2"/>
      <c r="CT108" s="2"/>
      <c r="CU108" s="14"/>
      <c r="CV108" s="191"/>
      <c r="CW108" s="14"/>
      <c r="CX108" s="14"/>
      <c r="CY108" s="15"/>
      <c r="CZ108" s="2"/>
      <c r="DA108" s="41"/>
      <c r="DB108" s="2"/>
      <c r="DC108" s="192"/>
      <c r="DD108" s="40"/>
      <c r="DE108" s="16"/>
      <c r="DF108" s="2"/>
      <c r="DG108" s="14"/>
      <c r="DH108" s="2"/>
      <c r="DI108" s="192"/>
      <c r="DJ108" s="2"/>
      <c r="DK108" s="15"/>
      <c r="DL108" s="2"/>
      <c r="DM108" s="2"/>
      <c r="DN108" s="15"/>
      <c r="DO108" s="14"/>
      <c r="DP108" s="14"/>
      <c r="DQ108" s="15"/>
      <c r="DR108" s="15"/>
      <c r="DS108" s="2"/>
      <c r="DT108" s="2"/>
      <c r="DU108" s="2"/>
      <c r="DV108" s="2"/>
      <c r="DW108" s="2"/>
      <c r="DX108" s="2"/>
      <c r="DY108" s="2" t="s">
        <v>230</v>
      </c>
      <c r="DZ108" s="2"/>
      <c r="EA108" s="2"/>
      <c r="EB108" s="2">
        <v>48.6</v>
      </c>
      <c r="EC108" s="2">
        <v>192</v>
      </c>
      <c r="ED108" s="2">
        <v>8.0500000000000007</v>
      </c>
      <c r="EE108" s="3">
        <v>4900009452</v>
      </c>
      <c r="EF108" s="37"/>
      <c r="EG108" s="3"/>
      <c r="EH108" s="2" t="s">
        <v>231</v>
      </c>
      <c r="EI108" s="3"/>
      <c r="EJ108" s="4">
        <f>BJ108</f>
        <v>251.96600000000001</v>
      </c>
      <c r="EK108" s="4">
        <v>2010</v>
      </c>
      <c r="EL108" s="11"/>
      <c r="EM108" s="7"/>
      <c r="EN108" s="189"/>
      <c r="EO108" s="3"/>
      <c r="EP108" s="3"/>
      <c r="EQ108" s="3"/>
      <c r="ER108" s="3"/>
      <c r="ES108" s="7"/>
      <c r="ET108" s="3"/>
      <c r="EU108" s="3"/>
      <c r="EV108" s="2" t="str">
        <f t="shared" si="268"/>
        <v>Yet to load</v>
      </c>
      <c r="EW108" s="189"/>
      <c r="EX108" s="189"/>
      <c r="EY108" s="189"/>
      <c r="EZ108" s="24"/>
      <c r="FA108" s="2"/>
      <c r="FB108" s="24"/>
      <c r="FC108" s="193"/>
      <c r="FD108" s="189"/>
      <c r="FE108" s="52"/>
      <c r="FF108" s="52"/>
      <c r="FG108" s="49"/>
      <c r="FH108" s="49"/>
      <c r="FI108" s="49"/>
      <c r="FJ108" s="49"/>
      <c r="FK108" s="49"/>
      <c r="FL108" s="49">
        <f t="shared" si="254"/>
        <v>0</v>
      </c>
      <c r="FM108" s="180">
        <f t="shared" si="255"/>
        <v>46167</v>
      </c>
      <c r="FN108" s="49"/>
      <c r="FO108" s="49"/>
      <c r="FP108" s="49"/>
      <c r="FQ108" s="49"/>
      <c r="FR108" s="49"/>
      <c r="FS108" s="34">
        <f t="shared" si="256"/>
        <v>0</v>
      </c>
      <c r="FT108" s="34" t="str">
        <f t="shared" si="257"/>
        <v>TBA 05</v>
      </c>
      <c r="FU108" s="3"/>
      <c r="FV108" s="3"/>
      <c r="FW108" s="3"/>
      <c r="FX108" s="3"/>
      <c r="FY108" s="3"/>
      <c r="FZ108" s="3"/>
      <c r="GA108" s="3"/>
      <c r="GB108" s="4"/>
      <c r="GC108" s="3"/>
      <c r="GD108" s="182"/>
      <c r="GE108" s="3"/>
      <c r="GF108" s="3"/>
      <c r="GG108" s="3"/>
      <c r="GH108" s="3"/>
      <c r="GI108" s="3"/>
      <c r="GJ108" s="3"/>
      <c r="GK108" s="3"/>
      <c r="GL108" s="3"/>
      <c r="GM108" s="3"/>
      <c r="GN108" s="4"/>
    </row>
    <row r="109" spans="1:196" s="1" customFormat="1" ht="33.950000000000003">
      <c r="A109" s="2" t="str">
        <f t="shared" si="258"/>
        <v>Sailed, OBL &amp; Certs Pending</v>
      </c>
      <c r="B109" s="282">
        <v>46</v>
      </c>
      <c r="C109" s="282">
        <v>200</v>
      </c>
      <c r="D109" s="182" t="s">
        <v>208</v>
      </c>
      <c r="E109" s="2" t="str">
        <f t="shared" si="259"/>
        <v>LONG POSITION</v>
      </c>
      <c r="F109" s="271" t="str">
        <f t="shared" si="224"/>
        <v>TBA 06</v>
      </c>
      <c r="G109" s="271"/>
      <c r="H109" s="2" t="str">
        <f t="shared" si="260"/>
        <v>VALENCY VIETNAM UNSOLD</v>
      </c>
      <c r="I109" s="3" t="s">
        <v>245</v>
      </c>
      <c r="J109" s="2" t="s">
        <v>347</v>
      </c>
      <c r="K109" s="2" t="str">
        <f t="shared" si="261"/>
        <v>HCMC, VIETNAM</v>
      </c>
      <c r="L109" s="2" t="str">
        <f t="shared" si="252"/>
        <v>TMA0159717B</v>
      </c>
      <c r="M109" s="2">
        <f t="shared" si="226"/>
        <v>187.79499999999999</v>
      </c>
      <c r="N109" s="22">
        <f t="shared" si="262"/>
        <v>46167</v>
      </c>
      <c r="O109" s="22">
        <f t="shared" si="222"/>
        <v>46213</v>
      </c>
      <c r="P109" s="22" t="str">
        <f t="shared" si="263"/>
        <v>Draft Rcvd</v>
      </c>
      <c r="Q109" s="2"/>
      <c r="R109" s="2" t="str">
        <f t="shared" si="264"/>
        <v>No CERTS Yet</v>
      </c>
      <c r="S109" s="2" t="str">
        <f t="shared" si="265"/>
        <v/>
      </c>
      <c r="T109" s="2" t="str">
        <f>IFERROR(_xlfn.XLOOKUP(F109,
'[2]Data 2026'!$H$12:$H$111,
'[2]Data 2026'!$CL$12:$CL$111),"")</f>
        <v/>
      </c>
      <c r="U109" s="294" t="s">
        <v>728</v>
      </c>
      <c r="V109" s="272"/>
      <c r="W109" s="294" t="s">
        <v>729</v>
      </c>
      <c r="X109" s="24"/>
      <c r="Y109" s="273"/>
      <c r="Z109" s="24"/>
      <c r="AA109" s="182" t="s">
        <v>730</v>
      </c>
      <c r="AB109" s="182" t="s">
        <v>501</v>
      </c>
      <c r="AC109" s="181" t="s">
        <v>502</v>
      </c>
      <c r="AD109" s="181">
        <v>46173</v>
      </c>
      <c r="AE109" s="30">
        <v>0.1</v>
      </c>
      <c r="AF109" s="277">
        <v>200</v>
      </c>
      <c r="AG109" s="4">
        <f t="shared" si="266"/>
        <v>180</v>
      </c>
      <c r="AH109" s="3" t="s">
        <v>215</v>
      </c>
      <c r="AI109" s="4"/>
      <c r="AJ109" s="4">
        <f t="shared" ref="AJ109:AJ127" si="270">AI109*AF109</f>
        <v>0</v>
      </c>
      <c r="AK109" s="3" t="s">
        <v>249</v>
      </c>
      <c r="AL109" s="3" t="s">
        <v>238</v>
      </c>
      <c r="AM109" s="30">
        <v>0</v>
      </c>
      <c r="AN109" s="183">
        <v>1</v>
      </c>
      <c r="AO109" s="183">
        <v>0</v>
      </c>
      <c r="AP109" s="28" t="s">
        <v>218</v>
      </c>
      <c r="AQ109" s="3"/>
      <c r="AR109" s="18"/>
      <c r="AS109" s="27"/>
      <c r="AT109" s="3" t="s">
        <v>220</v>
      </c>
      <c r="AU109" s="3" t="s">
        <v>220</v>
      </c>
      <c r="AV109" s="3" t="s">
        <v>220</v>
      </c>
      <c r="AW109" s="9"/>
      <c r="AX109" s="3"/>
      <c r="AY109" s="47"/>
      <c r="AZ109" s="278"/>
      <c r="BA109" s="18"/>
      <c r="BB109" s="22"/>
      <c r="BC109" s="22"/>
      <c r="BD109" s="22"/>
      <c r="BE109" s="22"/>
      <c r="BF109" s="22"/>
      <c r="BG109" s="18"/>
      <c r="BH109" s="18"/>
      <c r="BI109" s="3" t="s">
        <v>731</v>
      </c>
      <c r="BJ109" s="25">
        <v>187.79499999999999</v>
      </c>
      <c r="BK109" s="189"/>
      <c r="BL109" s="497"/>
      <c r="BM109" s="18">
        <v>46167</v>
      </c>
      <c r="BN109" s="4"/>
      <c r="BO109" s="18">
        <v>46213</v>
      </c>
      <c r="BP109" s="3" t="s">
        <v>245</v>
      </c>
      <c r="BQ109" s="21" t="s">
        <v>409</v>
      </c>
      <c r="BR109" s="2" t="s">
        <v>254</v>
      </c>
      <c r="BS109" s="2"/>
      <c r="BT109" s="2" t="s">
        <v>732</v>
      </c>
      <c r="BU109" s="2"/>
      <c r="BV109" s="20"/>
      <c r="BW109" s="19"/>
      <c r="BX109" s="189"/>
      <c r="BY109" s="22">
        <v>46161</v>
      </c>
      <c r="BZ109" s="22"/>
      <c r="CA109" s="22"/>
      <c r="CB109" s="22"/>
      <c r="CC109" s="22"/>
      <c r="CD109" s="22"/>
      <c r="CE109" s="22" t="str">
        <f t="shared" si="269"/>
        <v>Draft Rcvd</v>
      </c>
      <c r="CF109" s="22"/>
      <c r="CG109" s="22"/>
      <c r="CH109" s="182"/>
      <c r="CI109" s="182"/>
      <c r="CJ109" s="182"/>
      <c r="CK109" s="2" t="str">
        <f t="shared" si="267"/>
        <v>No CERTS Yet</v>
      </c>
      <c r="CL109" s="48"/>
      <c r="CM109" s="22"/>
      <c r="CN109" s="55"/>
      <c r="CO109" s="55"/>
      <c r="CP109" s="55" t="str">
        <f>IF(CO109&lt;&gt;0,"Docs in Buyer's Bank",IF(CN109&lt;&gt;0,"Docs in Transit to Buyer's Bank",IF(CM109&lt;&gt;0,"Docs in Our Bank",IF(CL109="TT PAYMENT","Not Applicable",""))))</f>
        <v/>
      </c>
      <c r="CQ109" s="190">
        <f t="shared" si="253"/>
        <v>0</v>
      </c>
      <c r="CR109" s="54"/>
      <c r="CS109" s="2"/>
      <c r="CT109" s="2"/>
      <c r="CU109" s="14" t="str">
        <f t="shared" ref="CU109:CU115" si="271">IF(CS109="","",BJ109-CT109)</f>
        <v/>
      </c>
      <c r="CV109" s="191" t="str">
        <f t="shared" ref="CV109:CV115" si="272">IF(CS109="","",CU109/BJ109)</f>
        <v/>
      </c>
      <c r="CW109" s="14" t="str">
        <f t="shared" ref="CW109:CW115" si="273">IF(CS109="","",AZ109+CQ109)</f>
        <v/>
      </c>
      <c r="CX109" s="14" t="str">
        <f t="shared" ref="CX109:CX115" si="274">IF(CS109="","",BX109*2%)</f>
        <v/>
      </c>
      <c r="CY109" s="15" t="str">
        <f t="shared" ref="CY109:CY115" si="275">IF(CS109="","",AI109/B109)</f>
        <v/>
      </c>
      <c r="CZ109" s="2"/>
      <c r="DA109" s="41" t="str">
        <f t="shared" ref="DA109:DA115" si="276">IF(CS109="","",B109-CZ109)</f>
        <v/>
      </c>
      <c r="DB109" s="2"/>
      <c r="DC109" s="192" t="str">
        <f t="shared" ref="DC109:DC115" si="277">IF(CS109="","",IF(CS109="","",DB109-C109))</f>
        <v/>
      </c>
      <c r="DD109" s="40"/>
      <c r="DE109" s="16" t="str">
        <f t="shared" ref="DE109:DE115" si="278">IF(CS109="","",10%-DD109)</f>
        <v/>
      </c>
      <c r="DF109" s="2" t="str">
        <f t="shared" ref="DF109:DF115" si="279">IF(CS109="","",CU109*AI109)</f>
        <v/>
      </c>
      <c r="DG109" s="14" t="str">
        <f t="shared" ref="DG109:DG115" si="280">IF(CS109="","",IF(DA109&gt;2,2*DA109*CT109*CY109,DA109*CT109*CY109))</f>
        <v/>
      </c>
      <c r="DH109" s="2" t="str">
        <f t="shared" ref="DH109:DH115" si="281">IF(CS109="","",IF(DA109&gt;2,2*(DA109-2*CT109*CY109),0))</f>
        <v/>
      </c>
      <c r="DI109" s="192" t="str">
        <f t="shared" ref="DI109:DI115" si="282">IF(CS109="","",IF(DC109&gt;0,DC109*0.5*CT109,0))</f>
        <v/>
      </c>
      <c r="DJ109" s="2" t="str">
        <f>IF(CS109="","",IF(DE109&lt;0,DE109*CT109*AI109*10%,0))</f>
        <v/>
      </c>
      <c r="DK109" s="15" t="str">
        <f t="shared" ref="DK109:DK115" si="283">IF(CS109="","",SUM(DF109:DJ109))</f>
        <v/>
      </c>
      <c r="DL109" s="2"/>
      <c r="DM109" s="2"/>
      <c r="DN109" s="15" t="str">
        <f t="shared" ref="DN109:DN115" si="284">IF(CS109="","",SUM(DK109:DL109))</f>
        <v/>
      </c>
      <c r="DO109" s="14" t="str">
        <f t="shared" ref="DO109:DO115" si="285">IF(CS109="","",BJ109*AI109-DN109)</f>
        <v/>
      </c>
      <c r="DP109" s="14" t="str">
        <f t="shared" ref="DP109:DP115" si="286">IF(CS109="","",AZ109+CQ109)</f>
        <v/>
      </c>
      <c r="DQ109" s="15" t="str">
        <f t="shared" ref="DQ109:DQ115" si="287">IF(CS109="","",IF((DP109-DO109)&gt;0,DP109-DO109,""))</f>
        <v/>
      </c>
      <c r="DR109" s="15" t="str">
        <f t="shared" ref="DR109:DR115" si="288">IF(CS109="","",IF((DO109-DP109)&gt;0,(DO109-DP109),""))</f>
        <v/>
      </c>
      <c r="DS109" s="2" t="str">
        <f t="shared" ref="DS109:DS115" si="289">IF(CS109="","",IF(DQ109="",H109,"VALENCY"))</f>
        <v/>
      </c>
      <c r="DT109" s="2" t="str">
        <f t="shared" ref="DT109:DT115" si="290">IF(DN109="","",IF(DN109&gt;0,"CN", "DN"))</f>
        <v/>
      </c>
      <c r="DU109" s="2"/>
      <c r="DV109" s="2"/>
      <c r="DW109" s="2"/>
      <c r="DX109" s="2"/>
      <c r="DY109" s="2" t="s">
        <v>230</v>
      </c>
      <c r="DZ109" s="2"/>
      <c r="EA109" s="2" t="str">
        <f t="shared" ref="EA109:EA115" si="291">IF(CS109="","",
   MIN(0,(IF(DA109&gt;2,2,1)*DA109*CT109*CY109))
)</f>
        <v/>
      </c>
      <c r="EB109" s="2"/>
      <c r="EC109" s="2"/>
      <c r="ED109" s="2"/>
      <c r="EE109" s="3"/>
      <c r="EF109" s="7"/>
      <c r="EG109" s="3"/>
      <c r="EH109" s="3" t="s">
        <v>257</v>
      </c>
      <c r="EI109" s="3"/>
      <c r="EJ109" s="189"/>
      <c r="EK109" s="4"/>
      <c r="EL109" s="9"/>
      <c r="EM109" s="9"/>
      <c r="EN109" s="189">
        <f t="shared" ref="EN109:EN115" si="292">EK109*EJ109</f>
        <v>0</v>
      </c>
      <c r="EO109" s="9"/>
      <c r="EP109" s="8"/>
      <c r="EQ109" s="4"/>
      <c r="ER109" s="4"/>
      <c r="ES109" s="7"/>
      <c r="ET109" s="7"/>
      <c r="EU109" s="6"/>
      <c r="EV109" s="2" t="str">
        <f t="shared" si="268"/>
        <v>Yet to load</v>
      </c>
      <c r="EW109" s="189"/>
      <c r="EX109" s="189">
        <f t="shared" ref="EX109:EX115" si="293">EW109/BJ109</f>
        <v>0</v>
      </c>
      <c r="EY109" s="189"/>
      <c r="EZ109" s="24"/>
      <c r="FA109" s="2"/>
      <c r="FB109" s="24"/>
      <c r="FC109" s="193"/>
      <c r="FD109" s="189">
        <f t="shared" ref="FD109:FD115" si="294">FC109*BJ109</f>
        <v>0</v>
      </c>
      <c r="FE109" s="52"/>
      <c r="FF109" s="52"/>
      <c r="FG109" s="49"/>
      <c r="FH109" s="49"/>
      <c r="FI109" s="49"/>
      <c r="FJ109" s="49"/>
      <c r="FK109" s="49"/>
      <c r="FL109" s="49">
        <f t="shared" si="254"/>
        <v>-46161</v>
      </c>
      <c r="FM109" s="180">
        <f t="shared" si="255"/>
        <v>46167</v>
      </c>
      <c r="FN109" s="49"/>
      <c r="FO109" s="49"/>
      <c r="FP109" s="49"/>
      <c r="FQ109" s="49"/>
      <c r="FR109" s="49"/>
      <c r="FS109" s="34">
        <f t="shared" si="256"/>
        <v>0</v>
      </c>
      <c r="FT109" s="34" t="str">
        <f t="shared" si="257"/>
        <v>TBA 06</v>
      </c>
      <c r="FU109" s="3"/>
      <c r="FV109" s="3"/>
      <c r="FW109" s="3"/>
      <c r="FX109" s="3"/>
      <c r="FY109" s="3"/>
      <c r="FZ109" s="3"/>
      <c r="GA109" s="3"/>
      <c r="GB109" s="4"/>
      <c r="GC109" s="3"/>
      <c r="GD109" s="182"/>
      <c r="GE109" s="2"/>
      <c r="GF109" s="2"/>
      <c r="GG109" s="2"/>
      <c r="GH109" s="2"/>
      <c r="GI109" s="2"/>
      <c r="GJ109" s="2"/>
      <c r="GK109" s="2"/>
      <c r="GL109" s="2"/>
      <c r="GM109" s="2"/>
      <c r="GN109" s="2"/>
    </row>
    <row r="110" spans="1:196" s="1" customFormat="1" ht="33.950000000000003">
      <c r="A110" s="2" t="str">
        <f t="shared" si="258"/>
        <v>Sailed, OBL &amp; Certs Pending</v>
      </c>
      <c r="B110" s="282">
        <v>46</v>
      </c>
      <c r="C110" s="282">
        <v>200</v>
      </c>
      <c r="D110" s="182" t="s">
        <v>208</v>
      </c>
      <c r="E110" s="2" t="str">
        <f t="shared" si="259"/>
        <v>LONG POSITION</v>
      </c>
      <c r="F110" s="271" t="str">
        <f t="shared" si="224"/>
        <v>TBA 07</v>
      </c>
      <c r="G110" s="271"/>
      <c r="H110" s="2" t="str">
        <f t="shared" si="260"/>
        <v>VALENCY VIETNAM UNSOLD</v>
      </c>
      <c r="I110" s="3" t="s">
        <v>245</v>
      </c>
      <c r="J110" s="2" t="s">
        <v>347</v>
      </c>
      <c r="K110" s="2" t="str">
        <f t="shared" si="261"/>
        <v>HCMC, VIETNAM</v>
      </c>
      <c r="L110" s="2" t="str">
        <f t="shared" si="252"/>
        <v>TMA0159717A</v>
      </c>
      <c r="M110" s="2">
        <f t="shared" si="226"/>
        <v>156.15</v>
      </c>
      <c r="N110" s="22">
        <f t="shared" si="262"/>
        <v>46167</v>
      </c>
      <c r="O110" s="22">
        <f t="shared" ref="O110:O125" si="295">IF(BO110&lt;&gt;0,BO110,"")</f>
        <v>46213</v>
      </c>
      <c r="P110" s="22" t="str">
        <f t="shared" si="263"/>
        <v>Draft Rcvd</v>
      </c>
      <c r="Q110" s="2"/>
      <c r="R110" s="2" t="str">
        <f t="shared" si="264"/>
        <v>No CERTS Yet</v>
      </c>
      <c r="S110" s="2" t="str">
        <f t="shared" si="265"/>
        <v/>
      </c>
      <c r="T110" s="2" t="str">
        <f>IFERROR(_xlfn.XLOOKUP(F110,
'[2]Data 2026'!$H$12:$H$111,
'[2]Data 2026'!$CL$12:$CL$111),"")</f>
        <v/>
      </c>
      <c r="U110" s="294" t="s">
        <v>728</v>
      </c>
      <c r="V110" s="272"/>
      <c r="W110" s="294" t="s">
        <v>729</v>
      </c>
      <c r="X110" s="24"/>
      <c r="Y110" s="273"/>
      <c r="Z110" s="24"/>
      <c r="AA110" s="182" t="s">
        <v>733</v>
      </c>
      <c r="AB110" s="182" t="s">
        <v>501</v>
      </c>
      <c r="AC110" s="181" t="s">
        <v>502</v>
      </c>
      <c r="AD110" s="181">
        <v>46173</v>
      </c>
      <c r="AE110" s="30">
        <v>0.1</v>
      </c>
      <c r="AF110" s="277">
        <v>150</v>
      </c>
      <c r="AG110" s="4">
        <f t="shared" si="266"/>
        <v>135</v>
      </c>
      <c r="AH110" s="3" t="s">
        <v>215</v>
      </c>
      <c r="AI110" s="4"/>
      <c r="AJ110" s="4">
        <f t="shared" si="270"/>
        <v>0</v>
      </c>
      <c r="AK110" s="3" t="s">
        <v>249</v>
      </c>
      <c r="AL110" s="3" t="s">
        <v>238</v>
      </c>
      <c r="AM110" s="30">
        <v>0</v>
      </c>
      <c r="AN110" s="183">
        <v>1</v>
      </c>
      <c r="AO110" s="183">
        <v>0</v>
      </c>
      <c r="AP110" s="28" t="s">
        <v>218</v>
      </c>
      <c r="AQ110" s="3"/>
      <c r="AR110" s="18"/>
      <c r="AS110" s="27"/>
      <c r="AT110" s="3" t="s">
        <v>220</v>
      </c>
      <c r="AU110" s="3" t="s">
        <v>220</v>
      </c>
      <c r="AV110" s="3" t="s">
        <v>220</v>
      </c>
      <c r="AW110" s="9"/>
      <c r="AX110" s="3"/>
      <c r="AY110" s="47"/>
      <c r="AZ110" s="278"/>
      <c r="BA110" s="18"/>
      <c r="BB110" s="22"/>
      <c r="BC110" s="22"/>
      <c r="BD110" s="22"/>
      <c r="BE110" s="22"/>
      <c r="BF110" s="22"/>
      <c r="BG110" s="18"/>
      <c r="BH110" s="18"/>
      <c r="BI110" s="3" t="s">
        <v>734</v>
      </c>
      <c r="BJ110" s="25">
        <v>156.15</v>
      </c>
      <c r="BK110" s="189"/>
      <c r="BL110" s="497"/>
      <c r="BM110" s="18">
        <v>46167</v>
      </c>
      <c r="BN110" s="4"/>
      <c r="BO110" s="18">
        <v>46213</v>
      </c>
      <c r="BP110" s="3" t="s">
        <v>245</v>
      </c>
      <c r="BQ110" s="21" t="s">
        <v>409</v>
      </c>
      <c r="BR110" s="2" t="s">
        <v>254</v>
      </c>
      <c r="BS110" s="2"/>
      <c r="BT110" s="2" t="s">
        <v>732</v>
      </c>
      <c r="BU110" s="2"/>
      <c r="BV110" s="20"/>
      <c r="BW110" s="19"/>
      <c r="BX110" s="189"/>
      <c r="BY110" s="22">
        <v>46161</v>
      </c>
      <c r="BZ110" s="22"/>
      <c r="CA110" s="22"/>
      <c r="CB110" s="22"/>
      <c r="CC110" s="22"/>
      <c r="CD110" s="22"/>
      <c r="CE110" s="22" t="str">
        <f t="shared" si="269"/>
        <v>Draft Rcvd</v>
      </c>
      <c r="CF110" s="22"/>
      <c r="CG110" s="22"/>
      <c r="CH110" s="182"/>
      <c r="CI110" s="182"/>
      <c r="CJ110" s="182"/>
      <c r="CK110" s="2" t="str">
        <f t="shared" si="267"/>
        <v>No CERTS Yet</v>
      </c>
      <c r="CL110" s="48"/>
      <c r="CM110" s="22"/>
      <c r="CN110" s="55"/>
      <c r="CO110" s="55"/>
      <c r="CP110" s="55" t="str">
        <f>IF(CO110&lt;&gt;0,"Docs in Buyer's Bank",IF(CN110&lt;&gt;0,"Docs in Transit to Buyer's Bank",IF(CM110&lt;&gt;0,"Docs in Our Bank",IF(CL110="TT PAYMENT","Not Applicable",""))))</f>
        <v/>
      </c>
      <c r="CQ110" s="190">
        <f t="shared" si="253"/>
        <v>0</v>
      </c>
      <c r="CR110" s="54"/>
      <c r="CS110" s="2"/>
      <c r="CT110" s="2"/>
      <c r="CU110" s="14" t="str">
        <f t="shared" si="271"/>
        <v/>
      </c>
      <c r="CV110" s="191" t="str">
        <f t="shared" si="272"/>
        <v/>
      </c>
      <c r="CW110" s="14" t="str">
        <f t="shared" si="273"/>
        <v/>
      </c>
      <c r="CX110" s="14" t="str">
        <f t="shared" si="274"/>
        <v/>
      </c>
      <c r="CY110" s="15" t="str">
        <f t="shared" si="275"/>
        <v/>
      </c>
      <c r="CZ110" s="2"/>
      <c r="DA110" s="41" t="str">
        <f t="shared" si="276"/>
        <v/>
      </c>
      <c r="DB110" s="2"/>
      <c r="DC110" s="192" t="str">
        <f t="shared" si="277"/>
        <v/>
      </c>
      <c r="DD110" s="40"/>
      <c r="DE110" s="16" t="str">
        <f t="shared" si="278"/>
        <v/>
      </c>
      <c r="DF110" s="2" t="str">
        <f t="shared" si="279"/>
        <v/>
      </c>
      <c r="DG110" s="14" t="str">
        <f t="shared" si="280"/>
        <v/>
      </c>
      <c r="DH110" s="2" t="str">
        <f t="shared" si="281"/>
        <v/>
      </c>
      <c r="DI110" s="192" t="str">
        <f t="shared" si="282"/>
        <v/>
      </c>
      <c r="DJ110" s="2" t="str">
        <f>IF(CS110="","",IF(DE110&lt;0,DE110*CT110*AI110*10%,0))</f>
        <v/>
      </c>
      <c r="DK110" s="15" t="str">
        <f t="shared" si="283"/>
        <v/>
      </c>
      <c r="DL110" s="2"/>
      <c r="DM110" s="2"/>
      <c r="DN110" s="15" t="str">
        <f t="shared" si="284"/>
        <v/>
      </c>
      <c r="DO110" s="14" t="str">
        <f t="shared" si="285"/>
        <v/>
      </c>
      <c r="DP110" s="14" t="str">
        <f t="shared" si="286"/>
        <v/>
      </c>
      <c r="DQ110" s="15" t="str">
        <f t="shared" si="287"/>
        <v/>
      </c>
      <c r="DR110" s="15" t="str">
        <f t="shared" si="288"/>
        <v/>
      </c>
      <c r="DS110" s="2" t="str">
        <f t="shared" si="289"/>
        <v/>
      </c>
      <c r="DT110" s="2" t="str">
        <f t="shared" si="290"/>
        <v/>
      </c>
      <c r="DU110" s="2"/>
      <c r="DV110" s="2"/>
      <c r="DW110" s="2"/>
      <c r="DX110" s="2"/>
      <c r="DY110" s="2" t="s">
        <v>230</v>
      </c>
      <c r="DZ110" s="2"/>
      <c r="EA110" s="2" t="str">
        <f t="shared" si="291"/>
        <v/>
      </c>
      <c r="EB110" s="2"/>
      <c r="EC110" s="2"/>
      <c r="ED110" s="2"/>
      <c r="EE110" s="3"/>
      <c r="EF110" s="7"/>
      <c r="EG110" s="3"/>
      <c r="EH110" s="3" t="s">
        <v>257</v>
      </c>
      <c r="EI110" s="3"/>
      <c r="EJ110" s="189"/>
      <c r="EK110" s="4"/>
      <c r="EL110" s="9"/>
      <c r="EM110" s="9"/>
      <c r="EN110" s="189">
        <f t="shared" si="292"/>
        <v>0</v>
      </c>
      <c r="EO110" s="9"/>
      <c r="EP110" s="8"/>
      <c r="EQ110" s="4"/>
      <c r="ER110" s="4"/>
      <c r="ES110" s="7"/>
      <c r="ET110" s="7"/>
      <c r="EU110" s="6"/>
      <c r="EV110" s="2" t="str">
        <f t="shared" si="268"/>
        <v>Yet to load</v>
      </c>
      <c r="EW110" s="189"/>
      <c r="EX110" s="189">
        <f t="shared" si="293"/>
        <v>0</v>
      </c>
      <c r="EY110" s="189"/>
      <c r="EZ110" s="24"/>
      <c r="FA110" s="2"/>
      <c r="FB110" s="24"/>
      <c r="FC110" s="193"/>
      <c r="FD110" s="189">
        <f t="shared" si="294"/>
        <v>0</v>
      </c>
      <c r="FE110" s="52"/>
      <c r="FF110" s="52"/>
      <c r="FG110" s="49"/>
      <c r="FH110" s="49"/>
      <c r="FI110" s="49"/>
      <c r="FJ110" s="49"/>
      <c r="FK110" s="49"/>
      <c r="FL110" s="49">
        <f t="shared" si="254"/>
        <v>-46161</v>
      </c>
      <c r="FM110" s="180">
        <f t="shared" si="255"/>
        <v>46167</v>
      </c>
      <c r="FN110" s="49"/>
      <c r="FO110" s="49"/>
      <c r="FP110" s="49"/>
      <c r="FQ110" s="49"/>
      <c r="FR110" s="49"/>
      <c r="FS110" s="34">
        <f t="shared" si="256"/>
        <v>0</v>
      </c>
      <c r="FT110" s="34" t="str">
        <f t="shared" si="257"/>
        <v>TBA 07</v>
      </c>
      <c r="FU110" s="3"/>
      <c r="FV110" s="3"/>
      <c r="FW110" s="3"/>
      <c r="FX110" s="3"/>
      <c r="FY110" s="3"/>
      <c r="FZ110" s="3"/>
      <c r="GA110" s="3"/>
      <c r="GB110" s="4"/>
      <c r="GC110" s="3"/>
      <c r="GD110" s="182"/>
      <c r="GE110" s="2"/>
      <c r="GF110" s="2"/>
      <c r="GG110" s="2"/>
      <c r="GH110" s="2"/>
      <c r="GI110" s="2"/>
      <c r="GJ110" s="2"/>
      <c r="GK110" s="2"/>
      <c r="GL110" s="2"/>
      <c r="GM110" s="2"/>
      <c r="GN110" s="2"/>
    </row>
    <row r="111" spans="1:196" s="1" customFormat="1" ht="68.099999999999994">
      <c r="A111" s="2" t="str">
        <f t="shared" si="258"/>
        <v>SI Sent, Shipment Awaited</v>
      </c>
      <c r="B111" s="282">
        <v>48</v>
      </c>
      <c r="C111" s="282">
        <v>200</v>
      </c>
      <c r="D111" s="182" t="s">
        <v>208</v>
      </c>
      <c r="E111" s="2" t="str">
        <f t="shared" si="259"/>
        <v>SHORT POSITION</v>
      </c>
      <c r="F111" s="271">
        <f t="shared" si="224"/>
        <v>32016285</v>
      </c>
      <c r="G111" s="271"/>
      <c r="H111" s="2" t="str">
        <f t="shared" si="260"/>
        <v>VIET AGRO PTE LTD</v>
      </c>
      <c r="I111" s="3" t="s">
        <v>644</v>
      </c>
      <c r="J111" s="2" t="s">
        <v>347</v>
      </c>
      <c r="K111" s="2" t="str">
        <f t="shared" si="261"/>
        <v>HCMC, VIETNAM</v>
      </c>
      <c r="L111" s="2" t="str">
        <f t="shared" si="252"/>
        <v/>
      </c>
      <c r="M111" s="2" t="str">
        <f t="shared" si="226"/>
        <v/>
      </c>
      <c r="N111" s="22" t="str">
        <f t="shared" si="262"/>
        <v/>
      </c>
      <c r="O111" s="22" t="str">
        <f t="shared" si="295"/>
        <v/>
      </c>
      <c r="P111" s="22" t="str">
        <f t="shared" si="263"/>
        <v>No OBL Yet</v>
      </c>
      <c r="Q111" s="2"/>
      <c r="R111" s="2" t="str">
        <f t="shared" si="264"/>
        <v>No CERTS Yet</v>
      </c>
      <c r="S111" s="2" t="str">
        <f t="shared" si="265"/>
        <v/>
      </c>
      <c r="T111" s="438" t="s">
        <v>735</v>
      </c>
      <c r="U111" s="279" t="s">
        <v>736</v>
      </c>
      <c r="V111" s="272" t="s">
        <v>399</v>
      </c>
      <c r="W111" s="619" t="s">
        <v>379</v>
      </c>
      <c r="X111" s="24">
        <v>46121</v>
      </c>
      <c r="Y111" s="273">
        <v>20010093</v>
      </c>
      <c r="Z111" s="24">
        <v>46121</v>
      </c>
      <c r="AA111" s="182">
        <v>32016285</v>
      </c>
      <c r="AB111" s="182" t="s">
        <v>485</v>
      </c>
      <c r="AC111" s="182" t="s">
        <v>737</v>
      </c>
      <c r="AD111" s="181">
        <v>46157</v>
      </c>
      <c r="AE111" s="30">
        <v>0.1</v>
      </c>
      <c r="AF111" s="277">
        <v>200</v>
      </c>
      <c r="AG111" s="4">
        <f t="shared" si="266"/>
        <v>180</v>
      </c>
      <c r="AH111" s="3" t="s">
        <v>215</v>
      </c>
      <c r="AI111" s="4">
        <v>1560</v>
      </c>
      <c r="AJ111" s="4">
        <f t="shared" si="270"/>
        <v>312000</v>
      </c>
      <c r="AK111" s="3" t="s">
        <v>216</v>
      </c>
      <c r="AL111" s="3" t="s">
        <v>404</v>
      </c>
      <c r="AM111" s="183">
        <v>0.1</v>
      </c>
      <c r="AN111" s="183">
        <v>0.88</v>
      </c>
      <c r="AO111" s="183">
        <v>0.02</v>
      </c>
      <c r="AP111" s="28" t="s">
        <v>218</v>
      </c>
      <c r="AQ111" s="3" t="s">
        <v>405</v>
      </c>
      <c r="AR111" s="18"/>
      <c r="AS111" s="27"/>
      <c r="AT111" s="3" t="s">
        <v>220</v>
      </c>
      <c r="AU111" s="3" t="s">
        <v>220</v>
      </c>
      <c r="AV111" s="3" t="s">
        <v>220</v>
      </c>
      <c r="AW111" s="9"/>
      <c r="AX111" s="3"/>
      <c r="AY111" s="47">
        <v>46129</v>
      </c>
      <c r="AZ111" s="278">
        <f>AF111*AI111*AM111</f>
        <v>31200</v>
      </c>
      <c r="BA111" s="18">
        <v>46134</v>
      </c>
      <c r="BB111" s="22">
        <v>46124</v>
      </c>
      <c r="BC111" s="22"/>
      <c r="BD111" s="22"/>
      <c r="BE111" s="22"/>
      <c r="BF111" s="22"/>
      <c r="BG111" s="18"/>
      <c r="BH111" s="18"/>
      <c r="BI111" s="3"/>
      <c r="BJ111" s="25"/>
      <c r="BK111" s="189" t="s">
        <v>222</v>
      </c>
      <c r="BL111" s="497"/>
      <c r="BM111" s="18"/>
      <c r="BN111" s="4"/>
      <c r="BO111" s="18"/>
      <c r="BP111" s="3" t="s">
        <v>651</v>
      </c>
      <c r="BQ111" s="21" t="s">
        <v>409</v>
      </c>
      <c r="BR111" s="2"/>
      <c r="BS111" s="2"/>
      <c r="BT111" s="2"/>
      <c r="BU111" s="2"/>
      <c r="BV111" s="20"/>
      <c r="BW111" s="19"/>
      <c r="BX111" s="189">
        <f t="shared" ref="BX111:BX121" si="296">BJ111*AI111</f>
        <v>0</v>
      </c>
      <c r="BY111" s="22"/>
      <c r="BZ111" s="22"/>
      <c r="CA111" s="22"/>
      <c r="CB111" s="22"/>
      <c r="CC111" s="22"/>
      <c r="CD111" s="22"/>
      <c r="CE111" s="22" t="str">
        <f t="shared" si="269"/>
        <v>No OBL Yet</v>
      </c>
      <c r="CF111" s="22"/>
      <c r="CG111" s="22"/>
      <c r="CH111" s="182"/>
      <c r="CI111" s="182"/>
      <c r="CJ111" s="182"/>
      <c r="CK111" s="2" t="str">
        <f t="shared" si="267"/>
        <v>No CERTS Yet</v>
      </c>
      <c r="CL111" s="48"/>
      <c r="CM111" s="22"/>
      <c r="CN111" s="55"/>
      <c r="CO111" s="55"/>
      <c r="CP111" s="55" t="str">
        <f>IF(CO111&lt;&gt;0,"Docs in Buyer's Bank",IF(CN111&lt;&gt;0,"Docs in Transit to Buyer's Bank",IF(CM111&lt;&gt;0,"Docs in Our Bank",IF(CL111="TT PAYMENT","Not Applicable",""))))</f>
        <v/>
      </c>
      <c r="CQ111" s="190">
        <f t="shared" si="253"/>
        <v>-31200</v>
      </c>
      <c r="CR111" s="54"/>
      <c r="CS111" s="2"/>
      <c r="CT111" s="2"/>
      <c r="CU111" s="14" t="str">
        <f t="shared" si="271"/>
        <v/>
      </c>
      <c r="CV111" s="191" t="str">
        <f t="shared" si="272"/>
        <v/>
      </c>
      <c r="CW111" s="14" t="str">
        <f t="shared" si="273"/>
        <v/>
      </c>
      <c r="CX111" s="14" t="str">
        <f t="shared" si="274"/>
        <v/>
      </c>
      <c r="CY111" s="15" t="str">
        <f t="shared" si="275"/>
        <v/>
      </c>
      <c r="CZ111" s="2"/>
      <c r="DA111" s="41" t="str">
        <f t="shared" si="276"/>
        <v/>
      </c>
      <c r="DB111" s="2"/>
      <c r="DC111" s="192" t="str">
        <f t="shared" si="277"/>
        <v/>
      </c>
      <c r="DD111" s="40"/>
      <c r="DE111" s="16" t="str">
        <f t="shared" si="278"/>
        <v/>
      </c>
      <c r="DF111" s="2" t="str">
        <f t="shared" si="279"/>
        <v/>
      </c>
      <c r="DG111" s="14" t="str">
        <f t="shared" si="280"/>
        <v/>
      </c>
      <c r="DH111" s="2" t="str">
        <f t="shared" si="281"/>
        <v/>
      </c>
      <c r="DI111" s="192" t="str">
        <f t="shared" si="282"/>
        <v/>
      </c>
      <c r="DJ111" s="2" t="str">
        <f>IF(CS111="","",IF(DE111&lt;0,DE111*CT111*AI111*10%,0))</f>
        <v/>
      </c>
      <c r="DK111" s="15" t="str">
        <f t="shared" si="283"/>
        <v/>
      </c>
      <c r="DL111" s="2"/>
      <c r="DM111" s="2"/>
      <c r="DN111" s="15" t="str">
        <f t="shared" si="284"/>
        <v/>
      </c>
      <c r="DO111" s="14" t="str">
        <f t="shared" si="285"/>
        <v/>
      </c>
      <c r="DP111" s="14" t="str">
        <f t="shared" si="286"/>
        <v/>
      </c>
      <c r="DQ111" s="15" t="str">
        <f t="shared" si="287"/>
        <v/>
      </c>
      <c r="DR111" s="15" t="str">
        <f t="shared" si="288"/>
        <v/>
      </c>
      <c r="DS111" s="2" t="str">
        <f t="shared" si="289"/>
        <v/>
      </c>
      <c r="DT111" s="2" t="str">
        <f t="shared" si="290"/>
        <v/>
      </c>
      <c r="DU111" s="2"/>
      <c r="DV111" s="2"/>
      <c r="DW111" s="2"/>
      <c r="DX111" s="2"/>
      <c r="DY111" s="2" t="s">
        <v>230</v>
      </c>
      <c r="DZ111" s="2"/>
      <c r="EA111" s="2" t="str">
        <f t="shared" si="291"/>
        <v/>
      </c>
      <c r="EB111" s="2"/>
      <c r="EC111" s="2"/>
      <c r="ED111" s="2"/>
      <c r="EE111" s="3">
        <v>4900009438</v>
      </c>
      <c r="EF111" s="7"/>
      <c r="EG111" s="3"/>
      <c r="EH111" s="3" t="s">
        <v>652</v>
      </c>
      <c r="EI111" s="3"/>
      <c r="EJ111" s="189">
        <v>100</v>
      </c>
      <c r="EK111" s="4">
        <v>1290</v>
      </c>
      <c r="EL111" s="9"/>
      <c r="EM111" s="9"/>
      <c r="EN111" s="189">
        <f t="shared" si="292"/>
        <v>129000</v>
      </c>
      <c r="EO111" s="9"/>
      <c r="EP111" s="8"/>
      <c r="EQ111" s="4"/>
      <c r="ER111" s="4"/>
      <c r="ES111" s="7"/>
      <c r="ET111" s="7"/>
      <c r="EU111" s="6"/>
      <c r="EV111" s="2" t="str">
        <f t="shared" si="268"/>
        <v>Yet to load</v>
      </c>
      <c r="EW111" s="189"/>
      <c r="EX111" s="189" t="e">
        <f t="shared" si="293"/>
        <v>#DIV/0!</v>
      </c>
      <c r="EY111" s="189" t="s">
        <v>233</v>
      </c>
      <c r="EZ111" s="24"/>
      <c r="FA111" s="2"/>
      <c r="FB111" s="24"/>
      <c r="FC111" s="193"/>
      <c r="FD111" s="189">
        <f t="shared" si="294"/>
        <v>0</v>
      </c>
      <c r="FE111" s="52"/>
      <c r="FF111" s="52"/>
      <c r="FG111" s="49"/>
      <c r="FH111" s="49"/>
      <c r="FI111" s="49"/>
      <c r="FJ111" s="49"/>
      <c r="FK111" s="49"/>
      <c r="FL111" s="49">
        <f t="shared" si="254"/>
        <v>0</v>
      </c>
      <c r="FM111" s="180">
        <f t="shared" si="255"/>
        <v>0</v>
      </c>
      <c r="FN111" s="49"/>
      <c r="FO111" s="49"/>
      <c r="FP111" s="49"/>
      <c r="FQ111" s="49"/>
      <c r="FR111" s="49"/>
      <c r="FS111" s="34">
        <f t="shared" si="256"/>
        <v>20010093</v>
      </c>
      <c r="FT111" s="34">
        <f t="shared" si="257"/>
        <v>32016285</v>
      </c>
      <c r="FU111" s="3"/>
      <c r="FV111" s="3"/>
      <c r="FW111" s="3"/>
      <c r="FX111" s="3"/>
      <c r="FY111" s="3"/>
      <c r="FZ111" s="3"/>
      <c r="GA111" s="3"/>
      <c r="GB111" s="4"/>
      <c r="GC111" s="3"/>
      <c r="GD111" s="182"/>
      <c r="GE111" s="3"/>
      <c r="GF111" s="3"/>
      <c r="GG111" s="3"/>
      <c r="GH111" s="3"/>
      <c r="GI111" s="3"/>
      <c r="GJ111" s="3"/>
      <c r="GK111" s="3"/>
      <c r="GL111" s="3"/>
      <c r="GM111" s="3"/>
      <c r="GN111" s="3"/>
    </row>
    <row r="112" spans="1:196" s="1" customFormat="1" ht="51">
      <c r="A112" s="2" t="str">
        <f t="shared" si="258"/>
        <v>Stuffed, Yet to Sail</v>
      </c>
      <c r="B112" s="282">
        <v>46</v>
      </c>
      <c r="C112" s="282">
        <v>200</v>
      </c>
      <c r="D112" s="182" t="s">
        <v>208</v>
      </c>
      <c r="E112" s="2" t="str">
        <f t="shared" si="259"/>
        <v>CLOSE POSITION</v>
      </c>
      <c r="F112" s="271">
        <f t="shared" si="224"/>
        <v>32015796</v>
      </c>
      <c r="G112" s="271"/>
      <c r="H112" s="2" t="str">
        <f t="shared" si="260"/>
        <v xml:space="preserve">KIEU LOAN CO., LTD  </v>
      </c>
      <c r="I112" s="3" t="s">
        <v>259</v>
      </c>
      <c r="J112" s="2" t="s">
        <v>347</v>
      </c>
      <c r="K112" s="2" t="str">
        <f t="shared" si="261"/>
        <v>HCMC, VIETNAM</v>
      </c>
      <c r="L112" s="2" t="str">
        <f t="shared" si="252"/>
        <v>HLCUAB1260400785</v>
      </c>
      <c r="M112" s="2">
        <f t="shared" si="226"/>
        <v>248.91</v>
      </c>
      <c r="N112" s="22" t="str">
        <f t="shared" si="262"/>
        <v/>
      </c>
      <c r="O112" s="22">
        <f t="shared" si="295"/>
        <v>46215</v>
      </c>
      <c r="P112" s="22" t="str">
        <f t="shared" si="263"/>
        <v>Draft Rcvd</v>
      </c>
      <c r="Q112" s="2" t="s">
        <v>738</v>
      </c>
      <c r="R112" s="2" t="str">
        <f t="shared" si="264"/>
        <v>No CERTS Yet</v>
      </c>
      <c r="S112" s="2" t="str">
        <f t="shared" si="265"/>
        <v/>
      </c>
      <c r="T112" s="2" t="s">
        <v>428</v>
      </c>
      <c r="U112" s="3" t="s">
        <v>739</v>
      </c>
      <c r="V112" s="272"/>
      <c r="W112" s="3" t="s">
        <v>740</v>
      </c>
      <c r="X112" s="24">
        <v>46104</v>
      </c>
      <c r="Y112" s="273">
        <v>20009808</v>
      </c>
      <c r="Z112" s="24">
        <v>46104</v>
      </c>
      <c r="AA112" s="182">
        <v>32015796</v>
      </c>
      <c r="AB112" s="182" t="s">
        <v>741</v>
      </c>
      <c r="AC112" s="182" t="s">
        <v>353</v>
      </c>
      <c r="AD112" s="181">
        <v>46173</v>
      </c>
      <c r="AE112" s="30">
        <v>0.1</v>
      </c>
      <c r="AF112" s="277">
        <v>250</v>
      </c>
      <c r="AG112" s="35">
        <f t="shared" si="266"/>
        <v>225</v>
      </c>
      <c r="AH112" s="3" t="s">
        <v>215</v>
      </c>
      <c r="AI112" s="4">
        <v>1515</v>
      </c>
      <c r="AJ112" s="4">
        <f t="shared" si="270"/>
        <v>378750</v>
      </c>
      <c r="AK112" s="3" t="s">
        <v>249</v>
      </c>
      <c r="AL112" s="3" t="s">
        <v>404</v>
      </c>
      <c r="AM112" s="183">
        <v>0.1</v>
      </c>
      <c r="AN112" s="183">
        <v>0.88</v>
      </c>
      <c r="AO112" s="183">
        <v>0.02</v>
      </c>
      <c r="AP112" s="28" t="s">
        <v>218</v>
      </c>
      <c r="AQ112" s="3"/>
      <c r="AR112" s="18" t="s">
        <v>742</v>
      </c>
      <c r="AS112" s="27" t="s">
        <v>743</v>
      </c>
      <c r="AT112" s="3" t="s">
        <v>220</v>
      </c>
      <c r="AU112" s="3" t="s">
        <v>220</v>
      </c>
      <c r="AV112" s="3" t="s">
        <v>220</v>
      </c>
      <c r="AW112" s="9"/>
      <c r="AX112" s="3"/>
      <c r="AY112" s="47">
        <v>46106</v>
      </c>
      <c r="AZ112" s="278">
        <f>AF112*AI112*AM112</f>
        <v>37875</v>
      </c>
      <c r="BA112" s="18">
        <v>46111</v>
      </c>
      <c r="BB112" s="22">
        <v>46111</v>
      </c>
      <c r="BC112" s="22"/>
      <c r="BD112" s="22"/>
      <c r="BE112" s="22"/>
      <c r="BF112" s="22"/>
      <c r="BG112" s="18"/>
      <c r="BH112" s="18"/>
      <c r="BI112" s="3" t="s">
        <v>744</v>
      </c>
      <c r="BJ112" s="25">
        <v>248.91</v>
      </c>
      <c r="BK112" s="189" t="s">
        <v>222</v>
      </c>
      <c r="BL112" s="497"/>
      <c r="BM112" s="18"/>
      <c r="BN112" s="4"/>
      <c r="BO112" s="18">
        <v>46215</v>
      </c>
      <c r="BP112" s="3" t="s">
        <v>259</v>
      </c>
      <c r="BQ112" s="21" t="s">
        <v>409</v>
      </c>
      <c r="BR112" s="2" t="s">
        <v>745</v>
      </c>
      <c r="BS112" s="2"/>
      <c r="BT112" s="2"/>
      <c r="BU112" s="2"/>
      <c r="BV112" s="20"/>
      <c r="BW112" s="19"/>
      <c r="BX112" s="189">
        <f t="shared" si="296"/>
        <v>377098.65</v>
      </c>
      <c r="BY112" s="22">
        <v>46162</v>
      </c>
      <c r="BZ112" s="22"/>
      <c r="CA112" s="22"/>
      <c r="CB112" s="22"/>
      <c r="CC112" s="22"/>
      <c r="CD112" s="22"/>
      <c r="CE112" s="22" t="str">
        <f t="shared" si="269"/>
        <v>Draft Rcvd</v>
      </c>
      <c r="CF112" s="22"/>
      <c r="CG112" s="22"/>
      <c r="CH112" s="182"/>
      <c r="CI112" s="182"/>
      <c r="CJ112" s="182"/>
      <c r="CK112" s="2" t="str">
        <f t="shared" si="267"/>
        <v>No CERTS Yet</v>
      </c>
      <c r="CL112" s="48"/>
      <c r="CM112" s="22"/>
      <c r="CN112" s="55"/>
      <c r="CO112" s="55"/>
      <c r="CP112" s="55" t="str">
        <f>IF(CO112&lt;&gt;0,"Docs in Buyer's Nego Bank",IF(CN112&lt;&gt;0,"Docs in Transit to Buyer's Nego Bank",IF(CM112&lt;&gt;0,"Docs in Our Nego Bank",IF(CL112="TT PAYMENT","Not Applicable",""))))</f>
        <v/>
      </c>
      <c r="CQ112" s="190">
        <f t="shared" si="253"/>
        <v>293971.81200000003</v>
      </c>
      <c r="CR112" s="54"/>
      <c r="CS112" s="2"/>
      <c r="CT112" s="2"/>
      <c r="CU112" s="14" t="str">
        <f t="shared" si="271"/>
        <v/>
      </c>
      <c r="CV112" s="191" t="str">
        <f t="shared" si="272"/>
        <v/>
      </c>
      <c r="CW112" s="14" t="str">
        <f t="shared" si="273"/>
        <v/>
      </c>
      <c r="CX112" s="14" t="str">
        <f t="shared" si="274"/>
        <v/>
      </c>
      <c r="CY112" s="15" t="str">
        <f t="shared" si="275"/>
        <v/>
      </c>
      <c r="CZ112" s="2"/>
      <c r="DA112" s="41" t="str">
        <f t="shared" si="276"/>
        <v/>
      </c>
      <c r="DB112" s="2"/>
      <c r="DC112" s="192" t="str">
        <f t="shared" si="277"/>
        <v/>
      </c>
      <c r="DD112" s="40"/>
      <c r="DE112" s="16" t="str">
        <f t="shared" si="278"/>
        <v/>
      </c>
      <c r="DF112" s="2" t="str">
        <f t="shared" si="279"/>
        <v/>
      </c>
      <c r="DG112" s="14" t="str">
        <f t="shared" si="280"/>
        <v/>
      </c>
      <c r="DH112" s="2" t="str">
        <f t="shared" si="281"/>
        <v/>
      </c>
      <c r="DI112" s="192" t="str">
        <f t="shared" si="282"/>
        <v/>
      </c>
      <c r="DJ112" s="2" t="str">
        <f>IF(CS112="","",IF(DE112&lt;0,DE112*CT112*AI112*1%,0))</f>
        <v/>
      </c>
      <c r="DK112" s="15" t="str">
        <f t="shared" si="283"/>
        <v/>
      </c>
      <c r="DL112" s="2"/>
      <c r="DM112" s="2"/>
      <c r="DN112" s="15" t="str">
        <f t="shared" si="284"/>
        <v/>
      </c>
      <c r="DO112" s="14" t="str">
        <f t="shared" si="285"/>
        <v/>
      </c>
      <c r="DP112" s="14" t="str">
        <f t="shared" si="286"/>
        <v/>
      </c>
      <c r="DQ112" s="15" t="str">
        <f t="shared" si="287"/>
        <v/>
      </c>
      <c r="DR112" s="15" t="str">
        <f t="shared" si="288"/>
        <v/>
      </c>
      <c r="DS112" s="2" t="str">
        <f t="shared" si="289"/>
        <v/>
      </c>
      <c r="DT112" s="2" t="str">
        <f t="shared" si="290"/>
        <v/>
      </c>
      <c r="DU112" s="2"/>
      <c r="DV112" s="2"/>
      <c r="DW112" s="2"/>
      <c r="DX112" s="2"/>
      <c r="DY112" s="2" t="s">
        <v>230</v>
      </c>
      <c r="DZ112" s="2"/>
      <c r="EA112" s="2" t="str">
        <f t="shared" si="291"/>
        <v/>
      </c>
      <c r="EB112" s="2"/>
      <c r="EC112" s="2"/>
      <c r="ED112" s="2"/>
      <c r="EE112" s="3"/>
      <c r="EF112" s="7"/>
      <c r="EG112" s="3"/>
      <c r="EH112" s="3" t="s">
        <v>266</v>
      </c>
      <c r="EI112" s="3"/>
      <c r="EJ112" s="189"/>
      <c r="EK112" s="4"/>
      <c r="EL112" s="4"/>
      <c r="EM112" s="9"/>
      <c r="EN112" s="189">
        <f t="shared" si="292"/>
        <v>0</v>
      </c>
      <c r="EO112" s="9"/>
      <c r="EP112" s="8"/>
      <c r="EQ112" s="4"/>
      <c r="ER112" s="4"/>
      <c r="ES112" s="7"/>
      <c r="ET112" s="7"/>
      <c r="EU112" s="6"/>
      <c r="EV112" s="2" t="str">
        <f t="shared" si="268"/>
        <v>Yet to load</v>
      </c>
      <c r="EW112" s="189"/>
      <c r="EX112" s="189">
        <f t="shared" si="293"/>
        <v>0</v>
      </c>
      <c r="EY112" s="189" t="s">
        <v>233</v>
      </c>
      <c r="EZ112" s="24"/>
      <c r="FA112" s="2"/>
      <c r="FB112" s="24"/>
      <c r="FC112" s="193"/>
      <c r="FD112" s="189">
        <f t="shared" si="294"/>
        <v>0</v>
      </c>
      <c r="FE112" s="52"/>
      <c r="FF112" s="52"/>
      <c r="FG112" s="49"/>
      <c r="FH112" s="49"/>
      <c r="FI112" s="49"/>
      <c r="FJ112" s="49"/>
      <c r="FK112" s="49"/>
      <c r="FL112" s="49">
        <f t="shared" si="254"/>
        <v>-46162</v>
      </c>
      <c r="FM112" s="180">
        <f t="shared" si="255"/>
        <v>0</v>
      </c>
      <c r="FN112" s="49"/>
      <c r="FO112" s="49"/>
      <c r="FP112" s="49"/>
      <c r="FQ112" s="49"/>
      <c r="FR112" s="49"/>
      <c r="FS112" s="34">
        <f t="shared" si="256"/>
        <v>20009808</v>
      </c>
      <c r="FT112" s="34">
        <f t="shared" si="257"/>
        <v>32015796</v>
      </c>
      <c r="FU112" s="3"/>
      <c r="FV112" s="3"/>
      <c r="FW112" s="3"/>
      <c r="FX112" s="3"/>
      <c r="FY112" s="3"/>
      <c r="FZ112" s="3"/>
      <c r="GA112" s="3"/>
      <c r="GB112" s="4"/>
      <c r="GC112" s="3"/>
      <c r="GD112" s="182"/>
      <c r="GE112" s="3"/>
      <c r="GF112" s="3"/>
      <c r="GG112" s="3"/>
      <c r="GH112" s="3"/>
      <c r="GI112" s="3"/>
      <c r="GJ112" s="3"/>
      <c r="GK112" s="3"/>
      <c r="GL112" s="3"/>
      <c r="GM112" s="3"/>
      <c r="GN112" s="3"/>
    </row>
    <row r="113" spans="1:196" s="270" customFormat="1" ht="33.950000000000003">
      <c r="A113" s="2" t="str">
        <f t="shared" si="258"/>
        <v>Sailed, OBL &amp; Certs Pending</v>
      </c>
      <c r="B113" s="281">
        <v>49</v>
      </c>
      <c r="C113" s="281">
        <v>200</v>
      </c>
      <c r="D113" s="182" t="s">
        <v>208</v>
      </c>
      <c r="E113" s="2" t="str">
        <f t="shared" si="259"/>
        <v>CLOSE POSITION</v>
      </c>
      <c r="F113" s="271">
        <f t="shared" si="224"/>
        <v>32014492</v>
      </c>
      <c r="G113" s="529"/>
      <c r="H113" s="433" t="str">
        <f t="shared" si="260"/>
        <v>ST. GREGORIOUS CASHEW</v>
      </c>
      <c r="I113" s="434" t="s">
        <v>259</v>
      </c>
      <c r="J113" s="2" t="s">
        <v>210</v>
      </c>
      <c r="K113" s="2" t="str">
        <f t="shared" si="261"/>
        <v>COCHIN, INDIA</v>
      </c>
      <c r="L113" s="2">
        <f t="shared" si="252"/>
        <v>270261409</v>
      </c>
      <c r="M113" s="2">
        <f t="shared" si="226"/>
        <v>100.07</v>
      </c>
      <c r="N113" s="22">
        <f t="shared" si="262"/>
        <v>46172</v>
      </c>
      <c r="O113" s="22">
        <f t="shared" si="295"/>
        <v>46192</v>
      </c>
      <c r="P113" s="22" t="str">
        <f t="shared" si="263"/>
        <v>Draft Rcvd</v>
      </c>
      <c r="Q113" s="2"/>
      <c r="R113" s="2" t="str">
        <f t="shared" si="264"/>
        <v>No CERTS Yet</v>
      </c>
      <c r="S113" s="2" t="str">
        <f t="shared" si="265"/>
        <v/>
      </c>
      <c r="T113" s="2" t="s">
        <v>610</v>
      </c>
      <c r="U113" s="3" t="s">
        <v>746</v>
      </c>
      <c r="V113" s="272"/>
      <c r="W113" s="272"/>
      <c r="X113" s="24">
        <v>46076</v>
      </c>
      <c r="Y113" s="273">
        <v>20009544</v>
      </c>
      <c r="Z113" s="24">
        <v>46074</v>
      </c>
      <c r="AA113" s="182">
        <v>32014492</v>
      </c>
      <c r="AB113" s="182" t="s">
        <v>455</v>
      </c>
      <c r="AC113" s="182" t="s">
        <v>456</v>
      </c>
      <c r="AD113" s="181">
        <v>46142</v>
      </c>
      <c r="AE113" s="30">
        <v>0.1</v>
      </c>
      <c r="AF113" s="277">
        <v>100</v>
      </c>
      <c r="AG113" s="35">
        <f t="shared" si="266"/>
        <v>90</v>
      </c>
      <c r="AH113" s="3" t="s">
        <v>215</v>
      </c>
      <c r="AI113" s="4">
        <v>1545</v>
      </c>
      <c r="AJ113" s="4">
        <f t="shared" si="270"/>
        <v>154500</v>
      </c>
      <c r="AK113" s="3" t="s">
        <v>249</v>
      </c>
      <c r="AL113" s="3" t="s">
        <v>238</v>
      </c>
      <c r="AM113" s="30">
        <v>0</v>
      </c>
      <c r="AN113" s="183">
        <v>1</v>
      </c>
      <c r="AO113" s="183">
        <v>0</v>
      </c>
      <c r="AP113" s="28" t="s">
        <v>218</v>
      </c>
      <c r="AQ113" s="18" t="s">
        <v>239</v>
      </c>
      <c r="AR113" s="18" t="s">
        <v>251</v>
      </c>
      <c r="AS113" s="27"/>
      <c r="AT113" s="3" t="s">
        <v>220</v>
      </c>
      <c r="AU113" s="3" t="s">
        <v>220</v>
      </c>
      <c r="AV113" s="3" t="s">
        <v>220</v>
      </c>
      <c r="AW113" s="9"/>
      <c r="AX113" s="3"/>
      <c r="AY113" s="47"/>
      <c r="AZ113" s="275">
        <f>AF113*AI113*AM113</f>
        <v>0</v>
      </c>
      <c r="BA113" s="18"/>
      <c r="BB113" s="22">
        <v>46083</v>
      </c>
      <c r="BC113" s="22"/>
      <c r="BD113" s="22"/>
      <c r="BE113" s="22"/>
      <c r="BF113" s="22">
        <v>46083</v>
      </c>
      <c r="BG113" s="18"/>
      <c r="BH113" s="18"/>
      <c r="BI113" s="3">
        <v>270261409</v>
      </c>
      <c r="BJ113" s="25">
        <v>100.07</v>
      </c>
      <c r="BK113" s="46" t="s">
        <v>222</v>
      </c>
      <c r="BL113" s="497">
        <v>4</v>
      </c>
      <c r="BM113" s="18">
        <v>46172</v>
      </c>
      <c r="BN113" s="4"/>
      <c r="BO113" s="18">
        <v>46192</v>
      </c>
      <c r="BP113" s="3" t="s">
        <v>259</v>
      </c>
      <c r="BQ113" s="21" t="s">
        <v>458</v>
      </c>
      <c r="BR113" s="2" t="s">
        <v>416</v>
      </c>
      <c r="BS113" s="2"/>
      <c r="BT113" s="2" t="s">
        <v>460</v>
      </c>
      <c r="BU113" s="2"/>
      <c r="BV113" s="20"/>
      <c r="BW113" s="19"/>
      <c r="BX113" s="46">
        <f t="shared" si="296"/>
        <v>154608.15</v>
      </c>
      <c r="BY113" s="22">
        <v>46165</v>
      </c>
      <c r="BZ113" s="22"/>
      <c r="CA113" s="2"/>
      <c r="CB113" s="22"/>
      <c r="CC113" s="22"/>
      <c r="CD113" s="22"/>
      <c r="CE113" s="22" t="str">
        <f t="shared" si="269"/>
        <v>Draft Rcvd</v>
      </c>
      <c r="CF113" s="22"/>
      <c r="CG113" s="22"/>
      <c r="CH113" s="182"/>
      <c r="CI113" s="182"/>
      <c r="CJ113" s="182"/>
      <c r="CK113" s="2" t="str">
        <f t="shared" si="267"/>
        <v>No CERTS Yet</v>
      </c>
      <c r="CL113" s="48"/>
      <c r="CM113" s="22"/>
      <c r="CN113" s="55"/>
      <c r="CO113" s="55"/>
      <c r="CP113" s="55" t="str">
        <f>IF(CO113&lt;&gt;0,"Docs in Buyer's Nego Bank",IF(CN113&lt;&gt;0,"Docs in Transit to Buyer's Nego Bank",IF(CM113&lt;&gt;0,"Docs in Our Nego Bank",IF(CL113="TT PAYMENT","Not Applicable",""))))</f>
        <v/>
      </c>
      <c r="CQ113" s="50">
        <f t="shared" si="253"/>
        <v>154608.15</v>
      </c>
      <c r="CR113" s="54"/>
      <c r="CS113" s="2"/>
      <c r="CT113" s="2"/>
      <c r="CU113" s="14" t="str">
        <f t="shared" si="271"/>
        <v/>
      </c>
      <c r="CV113" s="42" t="str">
        <f t="shared" si="272"/>
        <v/>
      </c>
      <c r="CW113" s="14" t="str">
        <f t="shared" si="273"/>
        <v/>
      </c>
      <c r="CX113" s="14" t="str">
        <f t="shared" si="274"/>
        <v/>
      </c>
      <c r="CY113" s="15" t="str">
        <f t="shared" si="275"/>
        <v/>
      </c>
      <c r="CZ113" s="2"/>
      <c r="DA113" s="41" t="str">
        <f t="shared" si="276"/>
        <v/>
      </c>
      <c r="DB113" s="2"/>
      <c r="DC113" s="39" t="str">
        <f t="shared" si="277"/>
        <v/>
      </c>
      <c r="DD113" s="40"/>
      <c r="DE113" s="16" t="str">
        <f t="shared" si="278"/>
        <v/>
      </c>
      <c r="DF113" s="2" t="str">
        <f t="shared" si="279"/>
        <v/>
      </c>
      <c r="DG113" s="14" t="str">
        <f t="shared" si="280"/>
        <v/>
      </c>
      <c r="DH113" s="2" t="str">
        <f t="shared" si="281"/>
        <v/>
      </c>
      <c r="DI113" s="39" t="str">
        <f t="shared" si="282"/>
        <v/>
      </c>
      <c r="DJ113" s="2" t="str">
        <f>IF(CS113="","",IF(DE113&lt;0,DE113*CT113*AI113*1%,0))</f>
        <v/>
      </c>
      <c r="DK113" s="15" t="str">
        <f t="shared" si="283"/>
        <v/>
      </c>
      <c r="DL113" s="2"/>
      <c r="DM113" s="2"/>
      <c r="DN113" s="15" t="str">
        <f t="shared" si="284"/>
        <v/>
      </c>
      <c r="DO113" s="14" t="str">
        <f t="shared" si="285"/>
        <v/>
      </c>
      <c r="DP113" s="14" t="str">
        <f t="shared" si="286"/>
        <v/>
      </c>
      <c r="DQ113" s="15" t="str">
        <f t="shared" si="287"/>
        <v/>
      </c>
      <c r="DR113" s="15" t="str">
        <f t="shared" si="288"/>
        <v/>
      </c>
      <c r="DS113" s="2" t="str">
        <f t="shared" si="289"/>
        <v/>
      </c>
      <c r="DT113" s="2" t="str">
        <f t="shared" si="290"/>
        <v/>
      </c>
      <c r="DU113" s="2"/>
      <c r="DV113" s="2"/>
      <c r="DW113" s="2"/>
      <c r="DX113" s="2"/>
      <c r="DY113" s="2" t="s">
        <v>230</v>
      </c>
      <c r="DZ113" s="2"/>
      <c r="EA113" s="2" t="str">
        <f t="shared" si="291"/>
        <v/>
      </c>
      <c r="EB113" s="2"/>
      <c r="EC113" s="2"/>
      <c r="ED113" s="2"/>
      <c r="EE113" s="3"/>
      <c r="EF113" s="7"/>
      <c r="EG113" s="3"/>
      <c r="EH113" s="3" t="s">
        <v>266</v>
      </c>
      <c r="EI113" s="3"/>
      <c r="EJ113" s="189"/>
      <c r="EK113" s="4"/>
      <c r="EL113" s="4"/>
      <c r="EM113" s="9"/>
      <c r="EN113" s="46">
        <f t="shared" si="292"/>
        <v>0</v>
      </c>
      <c r="EO113" s="9"/>
      <c r="EP113" s="8"/>
      <c r="EQ113" s="4"/>
      <c r="ER113" s="4"/>
      <c r="ES113" s="7"/>
      <c r="ET113" s="7"/>
      <c r="EU113" s="6"/>
      <c r="EV113" s="2" t="str">
        <f t="shared" si="268"/>
        <v>Yet to load</v>
      </c>
      <c r="EW113" s="46"/>
      <c r="EX113" s="46">
        <f t="shared" si="293"/>
        <v>0</v>
      </c>
      <c r="EY113" s="46" t="s">
        <v>233</v>
      </c>
      <c r="EZ113" s="24"/>
      <c r="FA113" s="2"/>
      <c r="FB113" s="24"/>
      <c r="FC113" s="53"/>
      <c r="FD113" s="46">
        <f t="shared" si="294"/>
        <v>0</v>
      </c>
      <c r="FE113" s="52"/>
      <c r="FF113" s="52"/>
      <c r="FG113" s="49"/>
      <c r="FH113" s="49"/>
      <c r="FI113" s="49"/>
      <c r="FJ113" s="49"/>
      <c r="FK113" s="354"/>
      <c r="FL113" s="354">
        <f t="shared" si="254"/>
        <v>-46165</v>
      </c>
      <c r="FM113" s="355">
        <f t="shared" si="255"/>
        <v>46172</v>
      </c>
      <c r="FN113" s="354"/>
      <c r="FO113" s="354"/>
      <c r="FP113" s="354"/>
      <c r="FQ113" s="354"/>
      <c r="FR113" s="354"/>
      <c r="FS113" s="493">
        <f t="shared" si="256"/>
        <v>20009544</v>
      </c>
      <c r="FT113" s="493">
        <f t="shared" si="257"/>
        <v>32014492</v>
      </c>
      <c r="FU113" s="329"/>
      <c r="FV113" s="329"/>
      <c r="FW113" s="329"/>
      <c r="FX113" s="329"/>
      <c r="FY113" s="329"/>
      <c r="FZ113" s="329"/>
      <c r="GA113" s="329"/>
      <c r="GB113" s="338"/>
      <c r="GC113" s="329"/>
      <c r="GD113" s="332"/>
      <c r="GE113" s="329"/>
      <c r="GF113" s="329"/>
      <c r="GG113" s="329"/>
      <c r="GH113" s="329"/>
      <c r="GI113" s="329"/>
      <c r="GJ113" s="329"/>
      <c r="GK113" s="329"/>
      <c r="GL113" s="329"/>
      <c r="GM113" s="329"/>
      <c r="GN113" s="329"/>
    </row>
    <row r="114" spans="1:196" s="1" customFormat="1" ht="55.5">
      <c r="A114" s="2" t="str">
        <f t="shared" si="258"/>
        <v>SI Sent, Shipment Awaited</v>
      </c>
      <c r="B114" s="282">
        <v>46</v>
      </c>
      <c r="C114" s="282">
        <v>200</v>
      </c>
      <c r="D114" s="182" t="s">
        <v>208</v>
      </c>
      <c r="E114" s="2" t="str">
        <f t="shared" si="259"/>
        <v>SHORT POSITION</v>
      </c>
      <c r="F114" s="431">
        <f t="shared" si="224"/>
        <v>32016278</v>
      </c>
      <c r="G114" s="271"/>
      <c r="H114" s="2" t="str">
        <f t="shared" si="260"/>
        <v>RED RIVER FOODS</v>
      </c>
      <c r="I114" s="3" t="s">
        <v>259</v>
      </c>
      <c r="J114" s="432" t="s">
        <v>347</v>
      </c>
      <c r="K114" s="2" t="str">
        <f t="shared" si="261"/>
        <v>Qui Nhon, Vietnam</v>
      </c>
      <c r="L114" s="2" t="str">
        <f t="shared" si="252"/>
        <v/>
      </c>
      <c r="M114" s="2" t="str">
        <f t="shared" si="226"/>
        <v/>
      </c>
      <c r="N114" s="22" t="str">
        <f t="shared" si="262"/>
        <v/>
      </c>
      <c r="O114" s="22" t="str">
        <f t="shared" si="295"/>
        <v/>
      </c>
      <c r="P114" s="22" t="str">
        <f t="shared" si="263"/>
        <v>No OBL Yet</v>
      </c>
      <c r="Q114" s="2"/>
      <c r="R114" s="2" t="str">
        <f t="shared" si="264"/>
        <v>No CERTS Yet</v>
      </c>
      <c r="S114" s="2" t="str">
        <f t="shared" si="265"/>
        <v/>
      </c>
      <c r="T114" s="615" t="s">
        <v>747</v>
      </c>
      <c r="U114" s="3" t="s">
        <v>748</v>
      </c>
      <c r="V114" s="272" t="s">
        <v>749</v>
      </c>
      <c r="W114" s="619" t="s">
        <v>379</v>
      </c>
      <c r="X114" s="24">
        <v>46125</v>
      </c>
      <c r="Y114" s="273">
        <v>20010089</v>
      </c>
      <c r="Z114" s="24">
        <v>46125</v>
      </c>
      <c r="AA114" s="182">
        <v>32016278</v>
      </c>
      <c r="AB114" s="182" t="s">
        <v>380</v>
      </c>
      <c r="AC114" s="181">
        <v>46168</v>
      </c>
      <c r="AD114" s="181">
        <v>46173</v>
      </c>
      <c r="AE114" s="30">
        <v>0.05</v>
      </c>
      <c r="AF114" s="277">
        <v>300</v>
      </c>
      <c r="AG114" s="4">
        <f t="shared" si="266"/>
        <v>285</v>
      </c>
      <c r="AH114" s="3" t="s">
        <v>215</v>
      </c>
      <c r="AI114" s="4">
        <v>1515</v>
      </c>
      <c r="AJ114" s="4">
        <f t="shared" si="270"/>
        <v>454500</v>
      </c>
      <c r="AK114" s="3" t="s">
        <v>216</v>
      </c>
      <c r="AL114" s="3" t="s">
        <v>238</v>
      </c>
      <c r="AM114" s="183">
        <v>0.1</v>
      </c>
      <c r="AN114" s="183">
        <v>0.88</v>
      </c>
      <c r="AO114" s="183">
        <v>0.02</v>
      </c>
      <c r="AP114" s="28" t="s">
        <v>218</v>
      </c>
      <c r="AQ114" s="3" t="s">
        <v>354</v>
      </c>
      <c r="AR114" s="18" t="s">
        <v>251</v>
      </c>
      <c r="AS114" s="27"/>
      <c r="AT114" s="3" t="s">
        <v>220</v>
      </c>
      <c r="AU114" s="3" t="s">
        <v>220</v>
      </c>
      <c r="AV114" s="3" t="s">
        <v>220</v>
      </c>
      <c r="AW114" s="9"/>
      <c r="AX114" s="3"/>
      <c r="AY114" s="47">
        <v>46129</v>
      </c>
      <c r="AZ114" s="278">
        <f>AF114*AI114*AM114</f>
        <v>45450</v>
      </c>
      <c r="BA114" s="18">
        <v>46134</v>
      </c>
      <c r="BB114" s="22">
        <v>46128</v>
      </c>
      <c r="BC114" s="22"/>
      <c r="BD114" s="22"/>
      <c r="BE114" s="22"/>
      <c r="BF114" s="22"/>
      <c r="BG114" s="18"/>
      <c r="BH114" s="18"/>
      <c r="BI114" s="3"/>
      <c r="BJ114" s="25"/>
      <c r="BK114" s="189"/>
      <c r="BL114" s="497"/>
      <c r="BM114" s="18"/>
      <c r="BN114" s="4"/>
      <c r="BO114" s="18"/>
      <c r="BP114" s="3" t="s">
        <v>259</v>
      </c>
      <c r="BQ114" s="21" t="s">
        <v>381</v>
      </c>
      <c r="BR114" s="2"/>
      <c r="BS114" s="2"/>
      <c r="BT114" s="2"/>
      <c r="BU114" s="2"/>
      <c r="BV114" s="20"/>
      <c r="BW114" s="19"/>
      <c r="BX114" s="189">
        <f t="shared" si="296"/>
        <v>0</v>
      </c>
      <c r="BY114" s="22"/>
      <c r="BZ114" s="22"/>
      <c r="CA114" s="2"/>
      <c r="CB114" s="22"/>
      <c r="CC114" s="22"/>
      <c r="CD114" s="22"/>
      <c r="CE114" s="22" t="str">
        <f t="shared" si="269"/>
        <v>No OBL Yet</v>
      </c>
      <c r="CF114" s="22"/>
      <c r="CG114" s="22"/>
      <c r="CH114" s="182"/>
      <c r="CI114" s="182"/>
      <c r="CJ114" s="182"/>
      <c r="CK114" s="2" t="str">
        <f t="shared" si="267"/>
        <v>No CERTS Yet</v>
      </c>
      <c r="CL114" s="48"/>
      <c r="CM114" s="22"/>
      <c r="CN114" s="55"/>
      <c r="CO114" s="55"/>
      <c r="CP114" s="55" t="str">
        <f>IF(CO114&lt;&gt;0,"Docs in Buyer's Nego Bank",IF(CN114&lt;&gt;0,"Docs in Transit to Buyer's Nego Bank",IF(CM114&lt;&gt;0,"Docs in Our Nego Bank",IF(CL114="TT PAYMENT","Not Applicable",""))))</f>
        <v/>
      </c>
      <c r="CQ114" s="190">
        <f t="shared" si="253"/>
        <v>-45450</v>
      </c>
      <c r="CR114" s="54"/>
      <c r="CS114" s="2"/>
      <c r="CT114" s="2"/>
      <c r="CU114" s="14" t="str">
        <f t="shared" si="271"/>
        <v/>
      </c>
      <c r="CV114" s="191" t="str">
        <f t="shared" si="272"/>
        <v/>
      </c>
      <c r="CW114" s="14" t="str">
        <f t="shared" si="273"/>
        <v/>
      </c>
      <c r="CX114" s="14" t="str">
        <f t="shared" si="274"/>
        <v/>
      </c>
      <c r="CY114" s="15" t="str">
        <f t="shared" si="275"/>
        <v/>
      </c>
      <c r="CZ114" s="2"/>
      <c r="DA114" s="41" t="str">
        <f t="shared" si="276"/>
        <v/>
      </c>
      <c r="DB114" s="2"/>
      <c r="DC114" s="192" t="str">
        <f t="shared" si="277"/>
        <v/>
      </c>
      <c r="DD114" s="40"/>
      <c r="DE114" s="16" t="str">
        <f t="shared" si="278"/>
        <v/>
      </c>
      <c r="DF114" s="2" t="str">
        <f t="shared" si="279"/>
        <v/>
      </c>
      <c r="DG114" s="14" t="str">
        <f t="shared" si="280"/>
        <v/>
      </c>
      <c r="DH114" s="2" t="str">
        <f t="shared" si="281"/>
        <v/>
      </c>
      <c r="DI114" s="192" t="str">
        <f t="shared" si="282"/>
        <v/>
      </c>
      <c r="DJ114" s="2" t="str">
        <f>IF(CS114="","",IF(DE114&lt;0,DE114*CT114*AI114*1%,0))</f>
        <v/>
      </c>
      <c r="DK114" s="15" t="str">
        <f t="shared" si="283"/>
        <v/>
      </c>
      <c r="DL114" s="2"/>
      <c r="DM114" s="2"/>
      <c r="DN114" s="15" t="str">
        <f t="shared" si="284"/>
        <v/>
      </c>
      <c r="DO114" s="14" t="str">
        <f t="shared" si="285"/>
        <v/>
      </c>
      <c r="DP114" s="14" t="str">
        <f t="shared" si="286"/>
        <v/>
      </c>
      <c r="DQ114" s="15" t="str">
        <f t="shared" si="287"/>
        <v/>
      </c>
      <c r="DR114" s="15" t="str">
        <f t="shared" si="288"/>
        <v/>
      </c>
      <c r="DS114" s="2" t="str">
        <f t="shared" si="289"/>
        <v/>
      </c>
      <c r="DT114" s="2" t="str">
        <f t="shared" si="290"/>
        <v/>
      </c>
      <c r="DU114" s="2"/>
      <c r="DV114" s="2"/>
      <c r="DW114" s="2"/>
      <c r="DX114" s="2"/>
      <c r="DY114" s="2" t="s">
        <v>230</v>
      </c>
      <c r="DZ114" s="2"/>
      <c r="EA114" s="2" t="str">
        <f t="shared" si="291"/>
        <v/>
      </c>
      <c r="EB114" s="2"/>
      <c r="EC114" s="2"/>
      <c r="ED114" s="2"/>
      <c r="EE114" s="3"/>
      <c r="EF114" s="7"/>
      <c r="EG114" s="3"/>
      <c r="EH114" s="3" t="s">
        <v>266</v>
      </c>
      <c r="EI114" s="3"/>
      <c r="EJ114" s="189"/>
      <c r="EK114" s="4"/>
      <c r="EL114" s="4"/>
      <c r="EM114" s="9"/>
      <c r="EN114" s="189">
        <f t="shared" si="292"/>
        <v>0</v>
      </c>
      <c r="EO114" s="9"/>
      <c r="EP114" s="8"/>
      <c r="EQ114" s="4"/>
      <c r="ER114" s="4"/>
      <c r="ES114" s="7"/>
      <c r="ET114" s="7"/>
      <c r="EU114" s="6"/>
      <c r="EV114" s="2" t="str">
        <f t="shared" si="268"/>
        <v>Yet to load</v>
      </c>
      <c r="EW114" s="189"/>
      <c r="EX114" s="189" t="e">
        <f t="shared" si="293"/>
        <v>#DIV/0!</v>
      </c>
      <c r="EY114" s="189" t="s">
        <v>233</v>
      </c>
      <c r="EZ114" s="24"/>
      <c r="FA114" s="2"/>
      <c r="FB114" s="24"/>
      <c r="FC114" s="193"/>
      <c r="FD114" s="189">
        <f t="shared" si="294"/>
        <v>0</v>
      </c>
      <c r="FE114" s="52"/>
      <c r="FF114" s="52"/>
      <c r="FG114" s="49"/>
      <c r="FH114" s="49"/>
      <c r="FI114" s="49"/>
      <c r="FJ114" s="49"/>
      <c r="FK114" s="49"/>
      <c r="FL114" s="49">
        <f t="shared" si="254"/>
        <v>0</v>
      </c>
      <c r="FM114" s="180">
        <f t="shared" si="255"/>
        <v>0</v>
      </c>
      <c r="FN114" s="49"/>
      <c r="FO114" s="49"/>
      <c r="FP114" s="49"/>
      <c r="FQ114" s="49"/>
      <c r="FR114" s="49"/>
      <c r="FS114" s="34">
        <f t="shared" si="256"/>
        <v>20010089</v>
      </c>
      <c r="FT114" s="34">
        <f t="shared" si="257"/>
        <v>32016278</v>
      </c>
      <c r="FU114" s="3"/>
      <c r="FV114" s="3"/>
      <c r="FW114" s="3"/>
      <c r="FX114" s="3"/>
      <c r="FY114" s="3"/>
      <c r="FZ114" s="3"/>
      <c r="GA114" s="3"/>
      <c r="GB114" s="4"/>
      <c r="GC114" s="3"/>
      <c r="GD114" s="182"/>
      <c r="GE114" s="3"/>
      <c r="GF114" s="3"/>
      <c r="GG114" s="3"/>
      <c r="GH114" s="3"/>
      <c r="GI114" s="3"/>
      <c r="GJ114" s="3"/>
      <c r="GK114" s="3"/>
      <c r="GL114" s="3"/>
      <c r="GM114" s="3"/>
      <c r="GN114" s="3"/>
    </row>
    <row r="115" spans="1:196" s="1" customFormat="1" ht="51">
      <c r="A115" s="2" t="str">
        <f t="shared" si="258"/>
        <v>SI Sent, Shipment Awaited</v>
      </c>
      <c r="B115" s="282">
        <v>46</v>
      </c>
      <c r="C115" s="282">
        <v>200</v>
      </c>
      <c r="D115" s="182" t="s">
        <v>208</v>
      </c>
      <c r="E115" s="2" t="str">
        <f t="shared" si="259"/>
        <v>SHORT POSITION</v>
      </c>
      <c r="F115" s="271">
        <f t="shared" si="224"/>
        <v>32016329</v>
      </c>
      <c r="G115" s="271"/>
      <c r="H115" s="435" t="str">
        <f t="shared" si="260"/>
        <v>RED RIVER FOODS</v>
      </c>
      <c r="I115" s="288" t="s">
        <v>375</v>
      </c>
      <c r="J115" s="2" t="s">
        <v>347</v>
      </c>
      <c r="K115" s="2" t="str">
        <f t="shared" si="261"/>
        <v>QUI NHON, VIETNAM</v>
      </c>
      <c r="L115" s="2" t="str">
        <f t="shared" si="252"/>
        <v/>
      </c>
      <c r="M115" s="2" t="str">
        <f t="shared" si="226"/>
        <v/>
      </c>
      <c r="N115" s="22" t="str">
        <f t="shared" si="262"/>
        <v/>
      </c>
      <c r="O115" s="22" t="str">
        <f t="shared" si="295"/>
        <v/>
      </c>
      <c r="P115" s="22" t="str">
        <f t="shared" si="263"/>
        <v>No OBL Yet</v>
      </c>
      <c r="Q115" s="2"/>
      <c r="R115" s="2" t="str">
        <f t="shared" si="264"/>
        <v>No CERTS Yet</v>
      </c>
      <c r="S115" s="2" t="str">
        <f t="shared" si="265"/>
        <v/>
      </c>
      <c r="T115" s="438" t="s">
        <v>750</v>
      </c>
      <c r="U115" s="3" t="s">
        <v>751</v>
      </c>
      <c r="V115" s="272" t="s">
        <v>378</v>
      </c>
      <c r="W115" s="619" t="s">
        <v>379</v>
      </c>
      <c r="X115" s="24"/>
      <c r="Y115" s="273">
        <v>20010175</v>
      </c>
      <c r="Z115" s="24">
        <v>46136</v>
      </c>
      <c r="AA115" s="182">
        <v>32016329</v>
      </c>
      <c r="AB115" s="182" t="s">
        <v>380</v>
      </c>
      <c r="AC115" s="181" t="s">
        <v>502</v>
      </c>
      <c r="AD115" s="181">
        <v>46173</v>
      </c>
      <c r="AE115" s="30">
        <v>0.1</v>
      </c>
      <c r="AF115" s="277">
        <v>250</v>
      </c>
      <c r="AG115" s="4">
        <f t="shared" si="266"/>
        <v>225</v>
      </c>
      <c r="AH115" s="3" t="s">
        <v>215</v>
      </c>
      <c r="AI115" s="4">
        <v>1460</v>
      </c>
      <c r="AJ115" s="4">
        <f t="shared" si="270"/>
        <v>365000</v>
      </c>
      <c r="AK115" s="3" t="s">
        <v>249</v>
      </c>
      <c r="AL115" s="3" t="s">
        <v>404</v>
      </c>
      <c r="AM115" s="183">
        <v>0.1</v>
      </c>
      <c r="AN115" s="183">
        <v>0.88</v>
      </c>
      <c r="AO115" s="183">
        <v>0.02</v>
      </c>
      <c r="AP115" s="28" t="s">
        <v>218</v>
      </c>
      <c r="AQ115" s="3" t="s">
        <v>354</v>
      </c>
      <c r="AR115" s="18" t="s">
        <v>251</v>
      </c>
      <c r="AS115" s="27"/>
      <c r="AT115" s="3" t="s">
        <v>220</v>
      </c>
      <c r="AU115" s="3" t="s">
        <v>220</v>
      </c>
      <c r="AV115" s="3" t="s">
        <v>220</v>
      </c>
      <c r="AW115" s="9"/>
      <c r="AX115" s="3"/>
      <c r="AY115" s="47">
        <v>46140</v>
      </c>
      <c r="AZ115" s="278">
        <f>AF115*AI115*AM115</f>
        <v>36500</v>
      </c>
      <c r="BA115" s="18">
        <v>46150</v>
      </c>
      <c r="BB115" s="22">
        <v>46139</v>
      </c>
      <c r="BC115" s="22"/>
      <c r="BD115" s="22"/>
      <c r="BE115" s="22"/>
      <c r="BF115" s="22"/>
      <c r="BG115" s="18"/>
      <c r="BH115" s="18"/>
      <c r="BI115" s="18"/>
      <c r="BJ115" s="25"/>
      <c r="BK115" s="189"/>
      <c r="BL115" s="497"/>
      <c r="BM115" s="18"/>
      <c r="BN115" s="4"/>
      <c r="BO115" s="18"/>
      <c r="BP115" s="3" t="s">
        <v>375</v>
      </c>
      <c r="BQ115" s="21" t="s">
        <v>752</v>
      </c>
      <c r="BR115" s="2"/>
      <c r="BS115" s="2"/>
      <c r="BT115" s="2"/>
      <c r="BU115" s="2"/>
      <c r="BV115" s="20"/>
      <c r="BW115" s="19"/>
      <c r="BX115" s="189">
        <f t="shared" si="296"/>
        <v>0</v>
      </c>
      <c r="BY115" s="22"/>
      <c r="BZ115" s="22"/>
      <c r="CA115" s="22"/>
      <c r="CB115" s="22"/>
      <c r="CC115" s="22"/>
      <c r="CD115" s="22"/>
      <c r="CE115" s="22" t="str">
        <f t="shared" si="269"/>
        <v>No OBL Yet</v>
      </c>
      <c r="CF115" s="22"/>
      <c r="CG115" s="22"/>
      <c r="CH115" s="182"/>
      <c r="CI115" s="182"/>
      <c r="CJ115" s="182"/>
      <c r="CK115" s="2" t="str">
        <f t="shared" si="267"/>
        <v>No CERTS Yet</v>
      </c>
      <c r="CL115" s="48"/>
      <c r="CM115" s="22"/>
      <c r="CN115" s="55"/>
      <c r="CO115" s="55"/>
      <c r="CP115" s="55" t="str">
        <f>IF(CO115&lt;&gt;0,"Docs in Buyer's Bank",IF(CN115&lt;&gt;0,"Docs in Transit to Buyer's Bank",IF(CM115&lt;&gt;0,"Docs in Our Bank",IF(CL115="TT PAYMENT","Not Applicable",""))))</f>
        <v/>
      </c>
      <c r="CQ115" s="190">
        <f t="shared" si="253"/>
        <v>-36500</v>
      </c>
      <c r="CR115" s="54"/>
      <c r="CS115" s="2"/>
      <c r="CT115" s="2"/>
      <c r="CU115" s="14" t="str">
        <f t="shared" si="271"/>
        <v/>
      </c>
      <c r="CV115" s="191" t="str">
        <f t="shared" si="272"/>
        <v/>
      </c>
      <c r="CW115" s="14" t="str">
        <f t="shared" si="273"/>
        <v/>
      </c>
      <c r="CX115" s="14" t="str">
        <f t="shared" si="274"/>
        <v/>
      </c>
      <c r="CY115" s="15" t="str">
        <f t="shared" si="275"/>
        <v/>
      </c>
      <c r="CZ115" s="2"/>
      <c r="DA115" s="41" t="str">
        <f t="shared" si="276"/>
        <v/>
      </c>
      <c r="DB115" s="2"/>
      <c r="DC115" s="192" t="str">
        <f t="shared" si="277"/>
        <v/>
      </c>
      <c r="DD115" s="40"/>
      <c r="DE115" s="16" t="str">
        <f t="shared" si="278"/>
        <v/>
      </c>
      <c r="DF115" s="2" t="str">
        <f t="shared" si="279"/>
        <v/>
      </c>
      <c r="DG115" s="14" t="str">
        <f t="shared" si="280"/>
        <v/>
      </c>
      <c r="DH115" s="2" t="str">
        <f t="shared" si="281"/>
        <v/>
      </c>
      <c r="DI115" s="192" t="str">
        <f t="shared" si="282"/>
        <v/>
      </c>
      <c r="DJ115" s="2" t="str">
        <f>IF(CS115="","",IF(DE115&lt;0,DE115*CT115*AI115*1%,0))</f>
        <v/>
      </c>
      <c r="DK115" s="15" t="str">
        <f t="shared" si="283"/>
        <v/>
      </c>
      <c r="DL115" s="2"/>
      <c r="DM115" s="2"/>
      <c r="DN115" s="15" t="str">
        <f t="shared" si="284"/>
        <v/>
      </c>
      <c r="DO115" s="14" t="str">
        <f t="shared" si="285"/>
        <v/>
      </c>
      <c r="DP115" s="14" t="str">
        <f t="shared" si="286"/>
        <v/>
      </c>
      <c r="DQ115" s="15" t="str">
        <f t="shared" si="287"/>
        <v/>
      </c>
      <c r="DR115" s="15" t="str">
        <f t="shared" si="288"/>
        <v/>
      </c>
      <c r="DS115" s="2" t="str">
        <f t="shared" si="289"/>
        <v/>
      </c>
      <c r="DT115" s="2" t="str">
        <f t="shared" si="290"/>
        <v/>
      </c>
      <c r="DU115" s="2"/>
      <c r="DV115" s="2"/>
      <c r="DW115" s="2"/>
      <c r="DX115" s="2"/>
      <c r="DY115" s="2" t="s">
        <v>230</v>
      </c>
      <c r="DZ115" s="2"/>
      <c r="EA115" s="2" t="str">
        <f t="shared" si="291"/>
        <v/>
      </c>
      <c r="EB115" s="2"/>
      <c r="EC115" s="2"/>
      <c r="ED115" s="2"/>
      <c r="EE115" s="3"/>
      <c r="EF115" s="7"/>
      <c r="EG115" s="3"/>
      <c r="EH115" s="3" t="s">
        <v>382</v>
      </c>
      <c r="EI115" s="3"/>
      <c r="EJ115" s="189">
        <v>250</v>
      </c>
      <c r="EK115" s="4">
        <v>1425</v>
      </c>
      <c r="EL115" s="9"/>
      <c r="EM115" s="9"/>
      <c r="EN115" s="189">
        <f t="shared" si="292"/>
        <v>356250</v>
      </c>
      <c r="EO115" s="9"/>
      <c r="EP115" s="8"/>
      <c r="EQ115" s="4"/>
      <c r="ER115" s="4"/>
      <c r="ES115" s="7"/>
      <c r="ET115" s="7"/>
      <c r="EU115" s="6"/>
      <c r="EV115" s="2" t="str">
        <f t="shared" si="268"/>
        <v>Yet to load</v>
      </c>
      <c r="EW115" s="189"/>
      <c r="EX115" s="189" t="e">
        <f t="shared" si="293"/>
        <v>#DIV/0!</v>
      </c>
      <c r="EY115" s="189" t="s">
        <v>233</v>
      </c>
      <c r="EZ115" s="24"/>
      <c r="FA115" s="2"/>
      <c r="FB115" s="24"/>
      <c r="FC115" s="193"/>
      <c r="FD115" s="189">
        <f t="shared" si="294"/>
        <v>0</v>
      </c>
      <c r="FE115" s="52"/>
      <c r="FF115" s="52"/>
      <c r="FG115" s="49"/>
      <c r="FH115" s="49"/>
      <c r="FI115" s="49"/>
      <c r="FJ115" s="49"/>
      <c r="FK115" s="49"/>
      <c r="FL115" s="49">
        <f t="shared" si="254"/>
        <v>0</v>
      </c>
      <c r="FM115" s="180">
        <f t="shared" si="255"/>
        <v>0</v>
      </c>
      <c r="FN115" s="49"/>
      <c r="FO115" s="49"/>
      <c r="FP115" s="49"/>
      <c r="FQ115" s="49"/>
      <c r="FR115" s="49"/>
      <c r="FS115" s="34">
        <f t="shared" si="256"/>
        <v>20010175</v>
      </c>
      <c r="FT115" s="34">
        <f t="shared" si="257"/>
        <v>32016329</v>
      </c>
      <c r="FU115" s="3"/>
      <c r="FV115" s="3"/>
      <c r="FW115" s="3"/>
      <c r="FX115" s="3"/>
      <c r="FY115" s="3"/>
      <c r="FZ115" s="3"/>
      <c r="GA115" s="3"/>
      <c r="GB115" s="4"/>
      <c r="GC115" s="3"/>
      <c r="GD115" s="182"/>
      <c r="GE115" s="3"/>
      <c r="GF115" s="3"/>
      <c r="GG115" s="3"/>
      <c r="GH115" s="3"/>
      <c r="GI115" s="3"/>
      <c r="GJ115" s="3"/>
      <c r="GK115" s="3"/>
      <c r="GL115" s="3"/>
      <c r="GM115" s="3"/>
      <c r="GN115" s="3"/>
    </row>
    <row r="116" spans="1:196" s="328" customFormat="1" ht="51">
      <c r="A116" s="2" t="str">
        <f t="shared" si="258"/>
        <v xml:space="preserve"> Final Pmt Recd , FNF Pending</v>
      </c>
      <c r="B116" s="296">
        <v>51</v>
      </c>
      <c r="C116" s="296">
        <v>215</v>
      </c>
      <c r="D116" s="297" t="s">
        <v>208</v>
      </c>
      <c r="E116" s="2" t="str">
        <f t="shared" si="259"/>
        <v>CLOSE POSITION</v>
      </c>
      <c r="F116" s="271">
        <f t="shared" si="224"/>
        <v>32012911</v>
      </c>
      <c r="G116" s="271"/>
      <c r="H116" s="298" t="s">
        <v>753</v>
      </c>
      <c r="I116" s="3" t="s">
        <v>754</v>
      </c>
      <c r="J116" s="2" t="s">
        <v>210</v>
      </c>
      <c r="K116" s="2" t="str">
        <f t="shared" si="261"/>
        <v>MANGALORE, INDIA</v>
      </c>
      <c r="L116" s="2" t="str">
        <f t="shared" si="252"/>
        <v>MEDUEO002897</v>
      </c>
      <c r="M116" s="2">
        <f t="shared" si="226"/>
        <v>28.2</v>
      </c>
      <c r="N116" s="22">
        <f t="shared" si="262"/>
        <v>46022</v>
      </c>
      <c r="O116" s="22">
        <f t="shared" si="295"/>
        <v>46134</v>
      </c>
      <c r="P116" s="22" t="str">
        <f t="shared" si="263"/>
        <v>OBL In Destination - INDIA</v>
      </c>
      <c r="Q116" s="299"/>
      <c r="R116" s="2" t="str">
        <f t="shared" si="264"/>
        <v>CERTS in Destination - INDIA</v>
      </c>
      <c r="S116" s="299"/>
      <c r="T116" s="300"/>
      <c r="U116" s="301" t="s">
        <v>755</v>
      </c>
      <c r="V116" s="302"/>
      <c r="W116" s="301"/>
      <c r="X116" s="297"/>
      <c r="Y116" s="304"/>
      <c r="Z116" s="305"/>
      <c r="AA116" s="303">
        <v>32012911</v>
      </c>
      <c r="AB116" s="182" t="s">
        <v>247</v>
      </c>
      <c r="AC116" s="304">
        <v>45991</v>
      </c>
      <c r="AD116" s="304"/>
      <c r="AE116" s="30">
        <v>0.1</v>
      </c>
      <c r="AF116" s="306">
        <v>30</v>
      </c>
      <c r="AG116" s="4">
        <f t="shared" si="266"/>
        <v>27</v>
      </c>
      <c r="AH116" s="3" t="s">
        <v>215</v>
      </c>
      <c r="AI116" s="4">
        <v>1580</v>
      </c>
      <c r="AJ116" s="4">
        <f t="shared" si="270"/>
        <v>47400</v>
      </c>
      <c r="AK116" s="3" t="s">
        <v>249</v>
      </c>
      <c r="AL116" s="3" t="s">
        <v>238</v>
      </c>
      <c r="AM116" s="183">
        <v>0</v>
      </c>
      <c r="AN116" s="183">
        <v>1</v>
      </c>
      <c r="AO116" s="183">
        <v>0</v>
      </c>
      <c r="AP116" s="28" t="s">
        <v>218</v>
      </c>
      <c r="AQ116" s="308"/>
      <c r="AR116" s="297"/>
      <c r="AS116" s="297"/>
      <c r="AT116" s="309"/>
      <c r="AU116" s="310"/>
      <c r="AV116" s="311"/>
      <c r="AW116" s="310"/>
      <c r="AX116" s="310"/>
      <c r="AY116" s="298"/>
      <c r="AZ116" s="310"/>
      <c r="BA116" s="18" t="s">
        <v>494</v>
      </c>
      <c r="BB116" s="22">
        <v>46077</v>
      </c>
      <c r="BC116" s="22"/>
      <c r="BD116" s="22"/>
      <c r="BE116" s="22"/>
      <c r="BF116" s="22">
        <v>46078</v>
      </c>
      <c r="BG116" s="18"/>
      <c r="BH116" s="18"/>
      <c r="BI116" s="298" t="s">
        <v>756</v>
      </c>
      <c r="BJ116" s="312">
        <v>28.2</v>
      </c>
      <c r="BK116" s="313" t="s">
        <v>222</v>
      </c>
      <c r="BL116" s="500">
        <v>1</v>
      </c>
      <c r="BM116" s="18">
        <v>46022</v>
      </c>
      <c r="BN116" s="306"/>
      <c r="BO116" s="18">
        <v>46134</v>
      </c>
      <c r="BP116" s="3" t="s">
        <v>754</v>
      </c>
      <c r="BQ116" s="21" t="s">
        <v>265</v>
      </c>
      <c r="BR116" s="297" t="s">
        <v>226</v>
      </c>
      <c r="BS116" s="297"/>
      <c r="BT116" s="297" t="s">
        <v>757</v>
      </c>
      <c r="BU116" s="310"/>
      <c r="BV116" s="314">
        <v>90079115</v>
      </c>
      <c r="BW116" s="315">
        <v>46022</v>
      </c>
      <c r="BX116" s="189">
        <f t="shared" si="296"/>
        <v>44556</v>
      </c>
      <c r="BY116" s="310"/>
      <c r="BZ116" s="317"/>
      <c r="CA116" s="318"/>
      <c r="CB116" s="319"/>
      <c r="CC116" s="311"/>
      <c r="CD116" s="295"/>
      <c r="CE116" s="22" t="str">
        <f t="shared" si="269"/>
        <v>OBL In Destination - INDIA</v>
      </c>
      <c r="CF116" s="320" t="str">
        <f>IF(CD116="","",BB116-CE116)</f>
        <v/>
      </c>
      <c r="CG116" s="321" t="str">
        <f>IF(CD116="","",CF116/BB116)</f>
        <v/>
      </c>
      <c r="CH116" s="320" t="str">
        <f>IF(CD116="","",AT116+CA116)</f>
        <v/>
      </c>
      <c r="CI116" s="297">
        <v>4731182540</v>
      </c>
      <c r="CJ116" s="181">
        <v>46072</v>
      </c>
      <c r="CK116" s="2" t="str">
        <f t="shared" si="267"/>
        <v>CERTS in Destination - INDIA</v>
      </c>
      <c r="CL116" s="316" t="s">
        <v>229</v>
      </c>
      <c r="CM116" s="310">
        <v>46057</v>
      </c>
      <c r="CN116" s="316" t="s">
        <v>229</v>
      </c>
      <c r="CO116" s="310">
        <v>46057</v>
      </c>
      <c r="CP116" s="55" t="str">
        <f>IF(CO116&lt;&gt;0,"Docs in Buyer's Nego Bank",IF(CN116&lt;&gt;0,"Docs in Transit to Buyer's Nego Bank",IF(CM116&lt;&gt;0,"Docs in Our Nego Bank",IF(CL116="TT PAYMENT","Not Applicable",""))))</f>
        <v>Docs in Buyer's Nego Bank</v>
      </c>
      <c r="CQ116" s="190">
        <f t="shared" si="253"/>
        <v>44556</v>
      </c>
      <c r="CR116" s="54">
        <v>46136</v>
      </c>
      <c r="CS116" s="2"/>
      <c r="CT116" s="323" t="str">
        <f>IF(CD116="","",IF(CN116&gt;0,CN116*0.5*CE116,0))</f>
        <v/>
      </c>
      <c r="CU116" s="295" t="str">
        <f>IF(CD116="","",IF(CP116&lt;0,CP116*CE116*AE116*10%,0))</f>
        <v/>
      </c>
      <c r="CV116" s="322" t="str">
        <f>IF(CD116="","",SUM(CQ116:CU116))</f>
        <v/>
      </c>
      <c r="CW116" s="295"/>
      <c r="CX116" s="295"/>
      <c r="CY116" s="322" t="str">
        <f>IF(CD116="","",SUM(CV116:CW116))</f>
        <v/>
      </c>
      <c r="CZ116" s="320" t="str">
        <f>IF(CD116="","",BB116*AE116-CY116)</f>
        <v/>
      </c>
      <c r="DA116" s="320" t="str">
        <f>IF(CD116="","",AT116+CA116)</f>
        <v/>
      </c>
      <c r="DB116" s="322" t="str">
        <f>IF(CD116="","",IF((DA116-CZ116)&gt;0,DA116-CZ116,""))</f>
        <v/>
      </c>
      <c r="DC116" s="322" t="str">
        <f>IF(CD116="","",IF((CZ116-DA116)&gt;0,(CZ116-DA116),""))</f>
        <v/>
      </c>
      <c r="DD116" s="295" t="str">
        <f>IF(CD116="","",IF(DB116="",H116,"VALENCY"))</f>
        <v/>
      </c>
      <c r="DE116" s="295" t="str">
        <f>IF(CY116="","",IF(CY116&gt;0,"CN", "DN"))</f>
        <v/>
      </c>
      <c r="DF116" s="324"/>
      <c r="DG116" s="324"/>
      <c r="DH116" s="324"/>
      <c r="DI116" s="295"/>
      <c r="DJ116" s="295"/>
      <c r="DK116" s="295"/>
      <c r="DL116" s="295"/>
      <c r="DM116" s="295" t="str">
        <f>IF(CD116="","",
   MIN(0,(IF(CL116&gt;2,2,1)*CL116*CE116*CJ116))
)</f>
        <v/>
      </c>
      <c r="DN116" s="300"/>
      <c r="DO116" s="300"/>
      <c r="DP116" s="300"/>
      <c r="DQ116" s="298">
        <v>4900008361</v>
      </c>
      <c r="DR116" s="325"/>
      <c r="DS116" s="297"/>
      <c r="DT116" s="300" t="s">
        <v>758</v>
      </c>
      <c r="DU116" s="297"/>
      <c r="DV116" s="307">
        <v>28.2</v>
      </c>
      <c r="DW116" s="307">
        <v>1300</v>
      </c>
      <c r="DX116" s="296" t="s">
        <v>220</v>
      </c>
      <c r="DY116" s="304"/>
      <c r="DZ116" s="313">
        <f>DW116*DV116</f>
        <v>36660</v>
      </c>
      <c r="EA116" s="297" t="s">
        <v>232</v>
      </c>
      <c r="EB116" s="304"/>
      <c r="EC116" s="297"/>
      <c r="ED116" s="297"/>
      <c r="EE116" s="295" t="str">
        <f>IF('[3]MIS Data'!BY114&lt;&gt;0,"Final Pmt Recd",IF('[3]MIS Data'!BV114&lt;&gt;0,"Export Loan",IF('[3]MIS Data'!BS114&lt;&gt;0,"Nego Pending",IF('[3]MIS Data'!BM114&lt;&gt;0,"Nego Pending",IF('[3]MIS Data'!AT114&lt;&gt;0,"Nego Pending",IF('[3]MIS Data'!AU114&lt;&gt;0,"Yet to load",IF('[3]MIS Data'!Q114&lt;0,"Yet to load","Yet to load")))))))</f>
        <v>Final Pmt Recd</v>
      </c>
      <c r="EF116" s="306"/>
      <c r="EG116" s="306">
        <f>EF116/BB116</f>
        <v>0</v>
      </c>
      <c r="EH116" s="3" t="s">
        <v>759</v>
      </c>
      <c r="EI116" s="302"/>
      <c r="EJ116" s="297"/>
      <c r="EK116" s="302"/>
      <c r="EL116" s="326"/>
      <c r="EM116" s="306">
        <f>EL116*BB116</f>
        <v>0</v>
      </c>
      <c r="EN116" s="304"/>
      <c r="EO116" s="304"/>
      <c r="EP116" s="301"/>
      <c r="EQ116" s="301" t="str">
        <f>IF(EI116&gt;0,EI116-EH116,IF(AZ116="","Yet to Sail",IF(EH116="","To be recd",0)))</f>
        <v>Yet to Sail</v>
      </c>
      <c r="ER116" s="301"/>
      <c r="ES116" s="301">
        <f>IF(EK116="NA","NA",EK116-$AZ116)</f>
        <v>0</v>
      </c>
      <c r="ET116" s="301" t="e">
        <f ca="1">IF(BP116&lt;&gt;0,BP116-AZ116,IF(AZ116="","Yet to Sail",IF(BP116="",TODAY()-AZ116)))</f>
        <v>#VALUE!</v>
      </c>
      <c r="EU116" s="301" t="str">
        <f ca="1">IF(BY116&lt;&gt;0,BY116-AZ116,IF(AZ116="","Yet to Sail",TODAY()-AZ116))</f>
        <v>Yet to Sail</v>
      </c>
      <c r="EV116" s="2" t="str">
        <f t="shared" si="268"/>
        <v>Final Pmt Recd</v>
      </c>
      <c r="EW116" s="301"/>
      <c r="EX116" s="301" t="str">
        <f>U116</f>
        <v>PAYMENT RCVD 24/4</v>
      </c>
      <c r="EY116" s="297">
        <f>W116</f>
        <v>0</v>
      </c>
      <c r="EZ116" s="297">
        <f>DQ116</f>
        <v>4900008361</v>
      </c>
      <c r="FA116" s="297">
        <v>5000255011</v>
      </c>
      <c r="FB116" s="297" t="s">
        <v>760</v>
      </c>
      <c r="FC116" s="297">
        <v>5105702181</v>
      </c>
      <c r="FD116" s="297"/>
      <c r="FE116" s="297"/>
      <c r="FF116" s="327"/>
      <c r="FG116" s="297"/>
      <c r="FH116" s="297"/>
      <c r="FI116" s="297"/>
      <c r="FJ116" s="297"/>
      <c r="FK116" s="297"/>
      <c r="FL116" s="297">
        <v>40077522</v>
      </c>
      <c r="FM116" s="297">
        <v>90079115</v>
      </c>
      <c r="FN116" s="297"/>
      <c r="FO116" s="297" t="s">
        <v>678</v>
      </c>
      <c r="FP116" s="297"/>
      <c r="FQ116" s="297"/>
      <c r="FR116" s="297"/>
      <c r="FS116" s="34">
        <f t="shared" si="256"/>
        <v>0</v>
      </c>
      <c r="FT116" s="34">
        <f t="shared" si="257"/>
        <v>32012911</v>
      </c>
      <c r="FU116" s="297"/>
      <c r="FV116" s="297"/>
      <c r="FW116" s="306"/>
    </row>
    <row r="117" spans="1:196" s="1" customFormat="1" ht="68.099999999999994">
      <c r="A117" s="2" t="str">
        <f t="shared" si="258"/>
        <v>SI Sent, Shipment Awaited</v>
      </c>
      <c r="B117" s="282">
        <v>47</v>
      </c>
      <c r="C117" s="282">
        <v>210</v>
      </c>
      <c r="D117" s="182" t="s">
        <v>208</v>
      </c>
      <c r="E117" s="2" t="str">
        <f t="shared" si="259"/>
        <v>ENTRY PENDING</v>
      </c>
      <c r="F117" s="271" t="str">
        <f t="shared" si="224"/>
        <v>TBA 08</v>
      </c>
      <c r="G117" s="271"/>
      <c r="H117" s="2" t="str">
        <f t="shared" ref="H117:H148" si="297">AB117</f>
        <v>VALENCY AGRO UNSOLD</v>
      </c>
      <c r="I117" s="3" t="s">
        <v>291</v>
      </c>
      <c r="J117" s="2" t="s">
        <v>210</v>
      </c>
      <c r="K117" s="2" t="str">
        <f t="shared" si="261"/>
        <v>TUTICORIN, INDIA</v>
      </c>
      <c r="L117" s="2" t="str">
        <f t="shared" si="252"/>
        <v/>
      </c>
      <c r="M117" s="2" t="str">
        <f t="shared" si="226"/>
        <v/>
      </c>
      <c r="N117" s="22" t="str">
        <f t="shared" si="262"/>
        <v/>
      </c>
      <c r="O117" s="22" t="str">
        <f t="shared" si="295"/>
        <v/>
      </c>
      <c r="P117" s="22" t="str">
        <f t="shared" si="263"/>
        <v>No OBL Yet</v>
      </c>
      <c r="Q117" s="2"/>
      <c r="R117" s="2" t="str">
        <f t="shared" si="264"/>
        <v>No CERTS Yet</v>
      </c>
      <c r="S117" s="2" t="str">
        <f t="shared" ref="S117:S133" si="298">CP117</f>
        <v/>
      </c>
      <c r="T117" s="638" t="s">
        <v>761</v>
      </c>
      <c r="U117" s="3" t="s">
        <v>762</v>
      </c>
      <c r="V117" s="272"/>
      <c r="W117" s="3" t="s">
        <v>763</v>
      </c>
      <c r="X117" s="24"/>
      <c r="Y117" s="273"/>
      <c r="Z117" s="24"/>
      <c r="AA117" s="182" t="s">
        <v>764</v>
      </c>
      <c r="AB117" s="182" t="s">
        <v>665</v>
      </c>
      <c r="AC117" s="182" t="s">
        <v>622</v>
      </c>
      <c r="AD117" s="181">
        <v>46173</v>
      </c>
      <c r="AE117" s="30">
        <v>0.1</v>
      </c>
      <c r="AF117" s="277">
        <v>100</v>
      </c>
      <c r="AG117" s="35">
        <f t="shared" si="266"/>
        <v>90</v>
      </c>
      <c r="AH117" s="3" t="s">
        <v>215</v>
      </c>
      <c r="AI117" s="4"/>
      <c r="AJ117" s="4">
        <f t="shared" si="270"/>
        <v>0</v>
      </c>
      <c r="AK117" s="3" t="s">
        <v>249</v>
      </c>
      <c r="AL117" s="3" t="s">
        <v>238</v>
      </c>
      <c r="AM117" s="30">
        <v>0</v>
      </c>
      <c r="AN117" s="183">
        <v>1</v>
      </c>
      <c r="AO117" s="183">
        <v>0</v>
      </c>
      <c r="AP117" s="28" t="s">
        <v>218</v>
      </c>
      <c r="AQ117" s="18"/>
      <c r="AR117" s="18"/>
      <c r="AS117" s="27"/>
      <c r="AT117" s="3" t="s">
        <v>220</v>
      </c>
      <c r="AU117" s="3" t="s">
        <v>220</v>
      </c>
      <c r="AV117" s="3" t="s">
        <v>220</v>
      </c>
      <c r="AW117" s="9"/>
      <c r="AX117" s="3"/>
      <c r="AY117" s="47"/>
      <c r="AZ117" s="278">
        <f t="shared" ref="AZ117:AZ148" si="299">AF117*AI117*AM117</f>
        <v>0</v>
      </c>
      <c r="BA117" s="18" t="s">
        <v>494</v>
      </c>
      <c r="BB117" s="22">
        <v>46139</v>
      </c>
      <c r="BC117" s="22"/>
      <c r="BD117" s="22"/>
      <c r="BE117" s="22"/>
      <c r="BF117" s="22"/>
      <c r="BG117" s="18"/>
      <c r="BH117" s="18"/>
      <c r="BI117" s="3"/>
      <c r="BJ117" s="25"/>
      <c r="BK117" s="189" t="s">
        <v>222</v>
      </c>
      <c r="BL117" s="497"/>
      <c r="BM117" s="18"/>
      <c r="BN117" s="4"/>
      <c r="BO117" s="18"/>
      <c r="BP117" s="3" t="s">
        <v>400</v>
      </c>
      <c r="BQ117" s="21" t="s">
        <v>346</v>
      </c>
      <c r="BR117" s="2"/>
      <c r="BS117" s="2"/>
      <c r="BT117" s="2"/>
      <c r="BU117" s="2"/>
      <c r="BV117" s="20"/>
      <c r="BW117" s="19"/>
      <c r="BX117" s="189">
        <f t="shared" si="296"/>
        <v>0</v>
      </c>
      <c r="BY117" s="22"/>
      <c r="BZ117" s="22"/>
      <c r="CA117" s="22"/>
      <c r="CB117" s="22"/>
      <c r="CC117" s="22"/>
      <c r="CD117" s="22"/>
      <c r="CE117" s="22" t="str">
        <f t="shared" si="269"/>
        <v>No OBL Yet</v>
      </c>
      <c r="CF117" s="22"/>
      <c r="CG117" s="22"/>
      <c r="CH117" s="182"/>
      <c r="CI117" s="182"/>
      <c r="CJ117" s="182"/>
      <c r="CK117" s="2" t="str">
        <f t="shared" si="267"/>
        <v>No CERTS Yet</v>
      </c>
      <c r="CL117" s="48"/>
      <c r="CM117" s="22"/>
      <c r="CN117" s="55"/>
      <c r="CO117" s="55"/>
      <c r="CP117" s="55" t="str">
        <f>IF(CO117&lt;&gt;0,"Docs in Buyer's Bank",IF(CN117&lt;&gt;0,"Docs in Transit to Buyer's Bank",IF(CM117&lt;&gt;0,"Docs in Our Bank",IF(CL117="TT PAYMENT","Not Applicable",""))))</f>
        <v/>
      </c>
      <c r="CQ117" s="190">
        <f t="shared" si="253"/>
        <v>0</v>
      </c>
      <c r="CR117" s="54"/>
      <c r="CS117" s="2"/>
      <c r="CT117" s="2"/>
      <c r="CU117" s="14" t="str">
        <f>IF(CS117="","",BJ117-CT117)</f>
        <v/>
      </c>
      <c r="CV117" s="191" t="str">
        <f>IF(CS117="","",CU117/BJ117)</f>
        <v/>
      </c>
      <c r="CW117" s="14" t="str">
        <f>IF(CS117="","",AZ117+CQ117)</f>
        <v/>
      </c>
      <c r="CX117" s="14" t="str">
        <f>IF(CS117="","",BX117*2%)</f>
        <v/>
      </c>
      <c r="CY117" s="15" t="str">
        <f>IF(CS117="","",AI117/B117)</f>
        <v/>
      </c>
      <c r="CZ117" s="2"/>
      <c r="DA117" s="41" t="str">
        <f>IF(CS117="","",B117-CZ117)</f>
        <v/>
      </c>
      <c r="DB117" s="2"/>
      <c r="DC117" s="192" t="str">
        <f>IF(CS117="","",IF(CS117="","",DB117-C117))</f>
        <v/>
      </c>
      <c r="DD117" s="40"/>
      <c r="DE117" s="16" t="str">
        <f>IF(CS117="","",10%-DD117)</f>
        <v/>
      </c>
      <c r="DF117" s="2" t="str">
        <f>IF(CS117="","",CU117*AI117)</f>
        <v/>
      </c>
      <c r="DG117" s="14" t="str">
        <f>IF(CS117="","",IF(DA117&gt;2,2*DA117*CT117*CY117,DA117*CT117*CY117))</f>
        <v/>
      </c>
      <c r="DH117" s="2" t="str">
        <f>IF(CS117="","",IF(DA117&gt;2,2*(DA117-2*CT117*CY117),0))</f>
        <v/>
      </c>
      <c r="DI117" s="192" t="str">
        <f>IF(CS117="","",IF(DC117&gt;0,DC117*0.5*CT117,0))</f>
        <v/>
      </c>
      <c r="DJ117" s="2" t="str">
        <f>IF(CS117="","",IF(DE117&lt;0,DE117*CT117*AI117*1%,0))</f>
        <v/>
      </c>
      <c r="DK117" s="15" t="str">
        <f>IF(CS117="","",SUM(DF117:DJ117))</f>
        <v/>
      </c>
      <c r="DL117" s="2"/>
      <c r="DM117" s="2"/>
      <c r="DN117" s="15" t="str">
        <f>IF(CS117="","",SUM(DK117:DL117))</f>
        <v/>
      </c>
      <c r="DO117" s="14" t="str">
        <f>IF(CS117="","",BJ117*AI117-DN117)</f>
        <v/>
      </c>
      <c r="DP117" s="14" t="str">
        <f>IF(CS117="","",AZ117+CQ117)</f>
        <v/>
      </c>
      <c r="DQ117" s="15" t="str">
        <f>IF(CS117="","",IF((DP117-DO117)&gt;0,DP117-DO117,""))</f>
        <v/>
      </c>
      <c r="DR117" s="15" t="str">
        <f>IF(CS117="","",IF((DO117-DP117)&gt;0,(DO117-DP117),""))</f>
        <v/>
      </c>
      <c r="DS117" s="2" t="str">
        <f>IF(CS117="","",IF(DQ117="",H117,"VALENCY"))</f>
        <v/>
      </c>
      <c r="DT117" s="2" t="str">
        <f>IF(DN117="","",IF(DN117&gt;0,"CN", "DN"))</f>
        <v/>
      </c>
      <c r="DU117" s="2"/>
      <c r="DV117" s="2"/>
      <c r="DW117" s="2"/>
      <c r="DX117" s="2"/>
      <c r="DY117" s="2" t="s">
        <v>230</v>
      </c>
      <c r="DZ117" s="2"/>
      <c r="EA117" s="2" t="str">
        <f>IF(CS117="","",
   MIN(0,(IF(DA117&gt;2,2,1)*DA117*CT117*CY117))
)</f>
        <v/>
      </c>
      <c r="EB117" s="2"/>
      <c r="EC117" s="2"/>
      <c r="ED117" s="2"/>
      <c r="EE117" s="3"/>
      <c r="EF117" s="7"/>
      <c r="EG117" s="3"/>
      <c r="EH117" s="3" t="s">
        <v>302</v>
      </c>
      <c r="EI117" s="3"/>
      <c r="EJ117" s="189"/>
      <c r="EK117" s="4"/>
      <c r="EL117" s="9"/>
      <c r="EM117" s="9"/>
      <c r="EN117" s="189">
        <f>EK117*EJ117</f>
        <v>0</v>
      </c>
      <c r="EO117" s="9"/>
      <c r="EP117" s="8"/>
      <c r="EQ117" s="4"/>
      <c r="ER117" s="4"/>
      <c r="ES117" s="7"/>
      <c r="ET117" s="7"/>
      <c r="EU117" s="6"/>
      <c r="EV117" s="2" t="str">
        <f t="shared" si="268"/>
        <v>Yet to load</v>
      </c>
      <c r="EW117" s="189"/>
      <c r="EX117" s="189" t="e">
        <f>EW117/BJ117</f>
        <v>#DIV/0!</v>
      </c>
      <c r="EY117" s="189" t="s">
        <v>233</v>
      </c>
      <c r="EZ117" s="24"/>
      <c r="FA117" s="2"/>
      <c r="FB117" s="24"/>
      <c r="FC117" s="193"/>
      <c r="FD117" s="189">
        <f>FC117*BJ117</f>
        <v>0</v>
      </c>
      <c r="FE117" s="52"/>
      <c r="FF117" s="52"/>
      <c r="FG117" s="49"/>
      <c r="FH117" s="49"/>
      <c r="FI117" s="49"/>
      <c r="FJ117" s="49"/>
      <c r="FK117" s="49"/>
      <c r="FL117" s="49">
        <f t="shared" ref="FL117:FL123" si="300">IFERROR(EZ117-BY117,"")</f>
        <v>0</v>
      </c>
      <c r="FM117" s="180">
        <f t="shared" ref="FM117:FM123" si="301">IFERROR(BM117-FB117,"")</f>
        <v>0</v>
      </c>
      <c r="FN117" s="49"/>
      <c r="FO117" s="49"/>
      <c r="FP117" s="49"/>
      <c r="FQ117" s="49"/>
      <c r="FR117" s="49"/>
      <c r="FS117" s="34">
        <f t="shared" si="256"/>
        <v>0</v>
      </c>
      <c r="FT117" s="34" t="str">
        <f t="shared" si="257"/>
        <v>TBA 08</v>
      </c>
      <c r="FU117" s="3"/>
      <c r="FV117" s="3"/>
      <c r="FW117" s="3"/>
      <c r="FX117" s="3"/>
      <c r="FY117" s="3"/>
      <c r="FZ117" s="3"/>
      <c r="GA117" s="3"/>
      <c r="GB117" s="4"/>
      <c r="GC117" s="3"/>
      <c r="GD117" s="182"/>
      <c r="GE117" s="3"/>
      <c r="GF117" s="3"/>
      <c r="GG117" s="3"/>
      <c r="GH117" s="3"/>
      <c r="GI117" s="3"/>
      <c r="GJ117" s="3"/>
      <c r="GK117" s="3"/>
      <c r="GL117" s="3"/>
      <c r="GM117" s="3"/>
      <c r="GN117" s="3"/>
    </row>
    <row r="118" spans="1:196" s="1" customFormat="1" ht="68.099999999999994">
      <c r="A118" s="2" t="str">
        <f t="shared" si="258"/>
        <v>SI Sent, Shipment Awaited</v>
      </c>
      <c r="B118" s="282">
        <v>47</v>
      </c>
      <c r="C118" s="282">
        <v>210</v>
      </c>
      <c r="D118" s="182" t="s">
        <v>208</v>
      </c>
      <c r="E118" s="2" t="str">
        <f t="shared" si="259"/>
        <v>ENTRY PENDING</v>
      </c>
      <c r="F118" s="271" t="str">
        <f t="shared" ref="F118:F149" si="302">AA118</f>
        <v>TBA 17</v>
      </c>
      <c r="G118" s="271"/>
      <c r="H118" s="2" t="str">
        <f t="shared" si="297"/>
        <v>VALENCY VIETNAM UNSOLD</v>
      </c>
      <c r="I118" s="3" t="s">
        <v>291</v>
      </c>
      <c r="J118" s="2" t="s">
        <v>347</v>
      </c>
      <c r="K118" s="2" t="str">
        <f t="shared" si="261"/>
        <v>HCMC, VIETNAM</v>
      </c>
      <c r="L118" s="2" t="str">
        <f t="shared" si="252"/>
        <v/>
      </c>
      <c r="M118" s="2" t="str">
        <f t="shared" si="226"/>
        <v/>
      </c>
      <c r="N118" s="22" t="str">
        <f t="shared" si="262"/>
        <v/>
      </c>
      <c r="O118" s="22" t="str">
        <f t="shared" si="295"/>
        <v/>
      </c>
      <c r="P118" s="22" t="str">
        <f t="shared" si="263"/>
        <v>No OBL Yet</v>
      </c>
      <c r="Q118" s="2"/>
      <c r="R118" s="2" t="str">
        <f t="shared" si="264"/>
        <v>No CERTS Yet</v>
      </c>
      <c r="S118" s="2" t="str">
        <f t="shared" si="298"/>
        <v/>
      </c>
      <c r="T118" s="2" t="s">
        <v>765</v>
      </c>
      <c r="U118" s="3" t="s">
        <v>766</v>
      </c>
      <c r="V118" s="272"/>
      <c r="W118" s="3" t="s">
        <v>767</v>
      </c>
      <c r="X118" s="24"/>
      <c r="Y118" s="273"/>
      <c r="Z118" s="24"/>
      <c r="AA118" s="182" t="s">
        <v>768</v>
      </c>
      <c r="AB118" s="182" t="s">
        <v>501</v>
      </c>
      <c r="AC118" s="182" t="s">
        <v>622</v>
      </c>
      <c r="AD118" s="181">
        <v>46173</v>
      </c>
      <c r="AE118" s="30">
        <v>0.1</v>
      </c>
      <c r="AF118" s="277">
        <v>200</v>
      </c>
      <c r="AG118" s="4">
        <f t="shared" si="266"/>
        <v>180</v>
      </c>
      <c r="AH118" s="3" t="s">
        <v>215</v>
      </c>
      <c r="AI118" s="4"/>
      <c r="AJ118" s="4">
        <f t="shared" si="270"/>
        <v>0</v>
      </c>
      <c r="AK118" s="3" t="s">
        <v>249</v>
      </c>
      <c r="AL118" s="3" t="s">
        <v>238</v>
      </c>
      <c r="AM118" s="30">
        <v>0</v>
      </c>
      <c r="AN118" s="183">
        <v>1</v>
      </c>
      <c r="AO118" s="183">
        <v>0</v>
      </c>
      <c r="AP118" s="28" t="s">
        <v>218</v>
      </c>
      <c r="AQ118" s="18"/>
      <c r="AR118" s="18"/>
      <c r="AS118" s="27"/>
      <c r="AT118" s="3" t="s">
        <v>220</v>
      </c>
      <c r="AU118" s="3" t="s">
        <v>220</v>
      </c>
      <c r="AV118" s="3" t="s">
        <v>220</v>
      </c>
      <c r="AW118" s="9"/>
      <c r="AX118" s="3"/>
      <c r="AY118" s="47"/>
      <c r="AZ118" s="278">
        <f t="shared" si="299"/>
        <v>0</v>
      </c>
      <c r="BA118" s="18" t="s">
        <v>494</v>
      </c>
      <c r="BB118" s="22">
        <v>46139</v>
      </c>
      <c r="BC118" s="22"/>
      <c r="BD118" s="22"/>
      <c r="BE118" s="22"/>
      <c r="BF118" s="22"/>
      <c r="BG118" s="18"/>
      <c r="BH118" s="18"/>
      <c r="BI118" s="3"/>
      <c r="BJ118" s="25"/>
      <c r="BK118" s="189" t="s">
        <v>222</v>
      </c>
      <c r="BL118" s="497"/>
      <c r="BM118" s="18"/>
      <c r="BN118" s="4"/>
      <c r="BO118" s="18"/>
      <c r="BP118" s="3" t="s">
        <v>298</v>
      </c>
      <c r="BQ118" s="21" t="s">
        <v>409</v>
      </c>
      <c r="BR118" s="2"/>
      <c r="BS118" s="2"/>
      <c r="BT118" s="2"/>
      <c r="BU118" s="2"/>
      <c r="BV118" s="20"/>
      <c r="BW118" s="19"/>
      <c r="BX118" s="189">
        <f t="shared" si="296"/>
        <v>0</v>
      </c>
      <c r="BY118" s="22"/>
      <c r="BZ118" s="22"/>
      <c r="CA118" s="22"/>
      <c r="CB118" s="22"/>
      <c r="CC118" s="22"/>
      <c r="CD118" s="22"/>
      <c r="CE118" s="22" t="str">
        <f t="shared" si="269"/>
        <v>No OBL Yet</v>
      </c>
      <c r="CF118" s="22"/>
      <c r="CG118" s="22"/>
      <c r="CH118" s="182"/>
      <c r="CI118" s="182"/>
      <c r="CJ118" s="182"/>
      <c r="CK118" s="2" t="str">
        <f t="shared" si="267"/>
        <v>No CERTS Yet</v>
      </c>
      <c r="CL118" s="48"/>
      <c r="CM118" s="22"/>
      <c r="CN118" s="55"/>
      <c r="CO118" s="55"/>
      <c r="CP118" s="55" t="str">
        <f>IF(CO118&lt;&gt;0,"Docs in Buyer's Bank",IF(CN118&lt;&gt;0,"Docs in Transit to Buyer's Bank",IF(CM118&lt;&gt;0,"Docs in Our Bank",IF(CL118="TT PAYMENT","Not Applicable",""))))</f>
        <v/>
      </c>
      <c r="CQ118" s="190">
        <f t="shared" si="253"/>
        <v>0</v>
      </c>
      <c r="CR118" s="54"/>
      <c r="CS118" s="2"/>
      <c r="CT118" s="2"/>
      <c r="CU118" s="14" t="str">
        <f>IF(CS118="","",BJ118-CT118)</f>
        <v/>
      </c>
      <c r="CV118" s="191" t="str">
        <f>IF(CS118="","",CU118/BJ118)</f>
        <v/>
      </c>
      <c r="CW118" s="14" t="str">
        <f>IF(CS118="","",AZ118+CQ118)</f>
        <v/>
      </c>
      <c r="CX118" s="14" t="str">
        <f>IF(CS118="","",BX118*2%)</f>
        <v/>
      </c>
      <c r="CY118" s="15" t="str">
        <f>IF(CS118="","",AI118/B118)</f>
        <v/>
      </c>
      <c r="CZ118" s="2"/>
      <c r="DA118" s="41" t="str">
        <f>IF(CS118="","",B118-CZ118)</f>
        <v/>
      </c>
      <c r="DB118" s="2"/>
      <c r="DC118" s="192" t="str">
        <f>IF(CS118="","",IF(CS118="","",DB118-C118))</f>
        <v/>
      </c>
      <c r="DD118" s="40"/>
      <c r="DE118" s="16" t="str">
        <f>IF(CS118="","",10%-DD118)</f>
        <v/>
      </c>
      <c r="DF118" s="2" t="str">
        <f>IF(CS118="","",CU118*AI118)</f>
        <v/>
      </c>
      <c r="DG118" s="14" t="str">
        <f>IF(CS118="","",IF(DA118&gt;2,2*DA118*CT118*CY118,DA118*CT118*CY118))</f>
        <v/>
      </c>
      <c r="DH118" s="2" t="str">
        <f>IF(CS118="","",IF(DA118&gt;2,2*(DA118-2*CT118*CY118),0))</f>
        <v/>
      </c>
      <c r="DI118" s="192" t="str">
        <f>IF(CS118="","",IF(DC118&gt;0,DC118*0.5*CT118,0))</f>
        <v/>
      </c>
      <c r="DJ118" s="2" t="str">
        <f>IF(CS118="","",IF(DE118&lt;0,DE118*CT118*AI118*1%,0))</f>
        <v/>
      </c>
      <c r="DK118" s="15" t="str">
        <f>IF(CS118="","",SUM(DF118:DJ118))</f>
        <v/>
      </c>
      <c r="DL118" s="2"/>
      <c r="DM118" s="2"/>
      <c r="DN118" s="15" t="str">
        <f>IF(CS118="","",SUM(DK118:DL118))</f>
        <v/>
      </c>
      <c r="DO118" s="14" t="str">
        <f>IF(CS118="","",BJ118*AI118-DN118)</f>
        <v/>
      </c>
      <c r="DP118" s="14" t="str">
        <f>IF(CS118="","",AZ118+CQ118)</f>
        <v/>
      </c>
      <c r="DQ118" s="15" t="str">
        <f>IF(CS118="","",IF((DP118-DO118)&gt;0,DP118-DO118,""))</f>
        <v/>
      </c>
      <c r="DR118" s="15" t="str">
        <f>IF(CS118="","",IF((DO118-DP118)&gt;0,(DO118-DP118),""))</f>
        <v/>
      </c>
      <c r="DS118" s="2" t="str">
        <f>IF(CS118="","",IF(DQ118="",H118,"VALENCY"))</f>
        <v/>
      </c>
      <c r="DT118" s="2" t="str">
        <f>IF(DN118="","",IF(DN118&gt;0,"CN", "DN"))</f>
        <v/>
      </c>
      <c r="DU118" s="2"/>
      <c r="DV118" s="2"/>
      <c r="DW118" s="2"/>
      <c r="DX118" s="2"/>
      <c r="DY118" s="2" t="s">
        <v>230</v>
      </c>
      <c r="DZ118" s="2"/>
      <c r="EA118" s="2" t="str">
        <f>IF(CS118="","",
   MIN(0,(IF(DA118&gt;2,2,1)*DA118*CT118*CY118))
)</f>
        <v/>
      </c>
      <c r="EB118" s="2"/>
      <c r="EC118" s="2"/>
      <c r="ED118" s="2"/>
      <c r="EE118" s="3"/>
      <c r="EF118" s="7"/>
      <c r="EG118" s="3"/>
      <c r="EH118" s="3" t="s">
        <v>302</v>
      </c>
      <c r="EI118" s="3"/>
      <c r="EJ118" s="189"/>
      <c r="EK118" s="4"/>
      <c r="EL118" s="9"/>
      <c r="EM118" s="9"/>
      <c r="EN118" s="189">
        <f>EK118*EJ118</f>
        <v>0</v>
      </c>
      <c r="EO118" s="9"/>
      <c r="EP118" s="8"/>
      <c r="EQ118" s="4"/>
      <c r="ER118" s="4"/>
      <c r="ES118" s="7"/>
      <c r="ET118" s="7"/>
      <c r="EU118" s="6"/>
      <c r="EV118" s="2" t="str">
        <f t="shared" si="268"/>
        <v>Yet to load</v>
      </c>
      <c r="EW118" s="189"/>
      <c r="EX118" s="189" t="e">
        <f>EW118/BJ118</f>
        <v>#DIV/0!</v>
      </c>
      <c r="EY118" s="189" t="s">
        <v>233</v>
      </c>
      <c r="EZ118" s="24"/>
      <c r="FA118" s="2"/>
      <c r="FB118" s="24"/>
      <c r="FC118" s="193"/>
      <c r="FD118" s="189">
        <f>FC118*BJ118</f>
        <v>0</v>
      </c>
      <c r="FE118" s="52"/>
      <c r="FF118" s="52"/>
      <c r="FG118" s="49"/>
      <c r="FH118" s="49"/>
      <c r="FI118" s="49"/>
      <c r="FJ118" s="49"/>
      <c r="FK118" s="49"/>
      <c r="FL118" s="49">
        <f t="shared" si="300"/>
        <v>0</v>
      </c>
      <c r="FM118" s="180">
        <f t="shared" si="301"/>
        <v>0</v>
      </c>
      <c r="FN118" s="49"/>
      <c r="FO118" s="49"/>
      <c r="FP118" s="49"/>
      <c r="FQ118" s="49"/>
      <c r="FR118" s="49"/>
      <c r="FS118" s="34">
        <f t="shared" si="256"/>
        <v>0</v>
      </c>
      <c r="FT118" s="34" t="str">
        <f t="shared" si="257"/>
        <v>TBA 17</v>
      </c>
      <c r="FU118" s="3"/>
      <c r="FV118" s="3"/>
      <c r="FW118" s="3"/>
      <c r="FX118" s="3"/>
      <c r="FY118" s="3"/>
      <c r="FZ118" s="3"/>
      <c r="GA118" s="3"/>
      <c r="GB118" s="4"/>
      <c r="GC118" s="3"/>
      <c r="GD118" s="182"/>
      <c r="GE118" s="3"/>
      <c r="GF118" s="3"/>
      <c r="GG118" s="3"/>
      <c r="GH118" s="3"/>
      <c r="GI118" s="3"/>
      <c r="GJ118" s="3"/>
      <c r="GK118" s="3"/>
      <c r="GL118" s="3"/>
      <c r="GM118" s="3"/>
      <c r="GN118" s="3"/>
    </row>
    <row r="119" spans="1:196" s="1" customFormat="1" ht="33.950000000000003">
      <c r="A119" s="2" t="str">
        <f t="shared" si="258"/>
        <v>Stuffed, Yet to Sail</v>
      </c>
      <c r="B119" s="282">
        <v>51</v>
      </c>
      <c r="C119" s="282">
        <v>190</v>
      </c>
      <c r="D119" s="182" t="s">
        <v>208</v>
      </c>
      <c r="E119" s="2" t="str">
        <f t="shared" si="259"/>
        <v>LONG POSITION</v>
      </c>
      <c r="F119" s="271" t="str">
        <f t="shared" si="302"/>
        <v>TBA 13</v>
      </c>
      <c r="G119" s="271"/>
      <c r="H119" s="2" t="str">
        <f t="shared" si="297"/>
        <v>VALENCY AGRO UNSOLD</v>
      </c>
      <c r="I119" s="3" t="s">
        <v>269</v>
      </c>
      <c r="J119" s="2" t="s">
        <v>210</v>
      </c>
      <c r="K119" s="2" t="str">
        <f t="shared" si="261"/>
        <v>TUTICORIN, INDIA</v>
      </c>
      <c r="L119" s="2" t="str">
        <f t="shared" si="252"/>
        <v>ONEYLOSG02180800</v>
      </c>
      <c r="M119" s="2">
        <f t="shared" si="226"/>
        <v>99.94</v>
      </c>
      <c r="N119" s="22" t="str">
        <f t="shared" si="262"/>
        <v/>
      </c>
      <c r="O119" s="22">
        <f t="shared" si="295"/>
        <v>46218</v>
      </c>
      <c r="P119" s="22" t="str">
        <f t="shared" si="263"/>
        <v>Draft Rcvd</v>
      </c>
      <c r="Q119" s="2"/>
      <c r="R119" s="2" t="str">
        <f t="shared" si="264"/>
        <v>No CERTS Yet</v>
      </c>
      <c r="S119" s="2" t="str">
        <f t="shared" si="298"/>
        <v/>
      </c>
      <c r="T119" s="2" t="s">
        <v>769</v>
      </c>
      <c r="U119" s="3" t="s">
        <v>770</v>
      </c>
      <c r="V119" s="272"/>
      <c r="W119" s="438" t="s">
        <v>771</v>
      </c>
      <c r="X119" s="24"/>
      <c r="Y119" s="273"/>
      <c r="Z119" s="24"/>
      <c r="AA119" s="182" t="s">
        <v>772</v>
      </c>
      <c r="AB119" s="182" t="s">
        <v>665</v>
      </c>
      <c r="AC119" s="182" t="s">
        <v>502</v>
      </c>
      <c r="AD119" s="181">
        <v>46173</v>
      </c>
      <c r="AE119" s="30">
        <v>0.1</v>
      </c>
      <c r="AF119" s="4">
        <v>100</v>
      </c>
      <c r="AG119" s="4">
        <f t="shared" si="266"/>
        <v>90</v>
      </c>
      <c r="AH119" s="3" t="s">
        <v>215</v>
      </c>
      <c r="AI119" s="3"/>
      <c r="AJ119" s="4">
        <f t="shared" si="270"/>
        <v>0</v>
      </c>
      <c r="AK119" s="2"/>
      <c r="AL119" s="2"/>
      <c r="AM119" s="2"/>
      <c r="AN119" s="183"/>
      <c r="AO119" s="183"/>
      <c r="AP119" s="28"/>
      <c r="AQ119" s="18"/>
      <c r="AR119" s="18"/>
      <c r="AS119" s="18"/>
      <c r="AT119" s="3"/>
      <c r="AU119" s="3"/>
      <c r="AV119" s="3"/>
      <c r="AW119" s="9"/>
      <c r="AX119" s="3"/>
      <c r="AY119" s="47"/>
      <c r="AZ119" s="278">
        <f t="shared" si="299"/>
        <v>0</v>
      </c>
      <c r="BA119" s="18"/>
      <c r="BB119" s="22"/>
      <c r="BC119" s="22"/>
      <c r="BD119" s="22"/>
      <c r="BE119" s="22"/>
      <c r="BF119" s="22"/>
      <c r="BG119" s="18"/>
      <c r="BH119" s="18"/>
      <c r="BI119" s="3" t="s">
        <v>773</v>
      </c>
      <c r="BJ119" s="25">
        <v>99.94</v>
      </c>
      <c r="BK119" s="189"/>
      <c r="BL119" s="497"/>
      <c r="BM119" s="18"/>
      <c r="BN119" s="4"/>
      <c r="BO119" s="18">
        <v>46218</v>
      </c>
      <c r="BP119" s="3" t="s">
        <v>278</v>
      </c>
      <c r="BQ119" s="21" t="s">
        <v>346</v>
      </c>
      <c r="BR119" s="2" t="s">
        <v>288</v>
      </c>
      <c r="BS119" s="2"/>
      <c r="BT119" s="2"/>
      <c r="BU119" s="3"/>
      <c r="BV119" s="20"/>
      <c r="BW119" s="19"/>
      <c r="BX119" s="189">
        <f t="shared" si="296"/>
        <v>0</v>
      </c>
      <c r="BY119" s="22">
        <v>46155</v>
      </c>
      <c r="BZ119" s="22"/>
      <c r="CA119" s="22"/>
      <c r="CB119" s="22"/>
      <c r="CC119" s="22"/>
      <c r="CD119" s="22"/>
      <c r="CE119" s="22" t="str">
        <f t="shared" si="269"/>
        <v>Draft Rcvd</v>
      </c>
      <c r="CF119" s="22"/>
      <c r="CG119" s="22"/>
      <c r="CH119" s="22"/>
      <c r="CI119" s="2"/>
      <c r="CJ119" s="2"/>
      <c r="CK119" s="2" t="str">
        <f t="shared" si="267"/>
        <v>No CERTS Yet</v>
      </c>
      <c r="CL119" s="48"/>
      <c r="CM119" s="22"/>
      <c r="CN119" s="55"/>
      <c r="CO119" s="55"/>
      <c r="CP119" s="55" t="str">
        <f>IF(CO119&lt;&gt;0,"Docs in Buyer's Nego Bank",IF(CN119&lt;&gt;0,"Docs in Transit to Buyer's Nego Bank",IF(CM119&lt;&gt;0,"Docs in Our Nego Bank",IF(CL119="TT PAYMENT","Not Applicable",""))))</f>
        <v/>
      </c>
      <c r="CQ119" s="190">
        <f t="shared" si="253"/>
        <v>0</v>
      </c>
      <c r="CR119" s="54"/>
      <c r="CS119" s="2"/>
      <c r="CT119" s="2"/>
      <c r="CU119" s="14"/>
      <c r="CV119" s="191"/>
      <c r="CW119" s="14"/>
      <c r="CX119" s="14"/>
      <c r="CY119" s="15"/>
      <c r="CZ119" s="2"/>
      <c r="DA119" s="41"/>
      <c r="DB119" s="2"/>
      <c r="DC119" s="192"/>
      <c r="DD119" s="40"/>
      <c r="DE119" s="16"/>
      <c r="DF119" s="2"/>
      <c r="DG119" s="14"/>
      <c r="DH119" s="2"/>
      <c r="DI119" s="192"/>
      <c r="DJ119" s="2"/>
      <c r="DK119" s="15"/>
      <c r="DL119" s="2"/>
      <c r="DM119" s="2"/>
      <c r="DN119" s="15"/>
      <c r="DO119" s="14"/>
      <c r="DP119" s="14"/>
      <c r="DQ119" s="15"/>
      <c r="DR119" s="15"/>
      <c r="DS119" s="2"/>
      <c r="DT119" s="2"/>
      <c r="DU119" s="2"/>
      <c r="DV119" s="2"/>
      <c r="DW119" s="2"/>
      <c r="DX119" s="2"/>
      <c r="DY119" s="2" t="s">
        <v>230</v>
      </c>
      <c r="DZ119" s="2"/>
      <c r="EA119" s="2"/>
      <c r="EB119" s="2"/>
      <c r="EC119" s="2"/>
      <c r="ED119" s="2"/>
      <c r="EE119" s="3"/>
      <c r="EF119" s="37"/>
      <c r="EG119" s="3"/>
      <c r="EH119" s="2" t="s">
        <v>231</v>
      </c>
      <c r="EI119" s="3"/>
      <c r="EJ119" s="4"/>
      <c r="EK119" s="4"/>
      <c r="EL119" s="11"/>
      <c r="EM119" s="7"/>
      <c r="EN119" s="189"/>
      <c r="EO119" s="3"/>
      <c r="EP119" s="3"/>
      <c r="EQ119" s="3"/>
      <c r="ER119" s="3"/>
      <c r="ES119" s="7"/>
      <c r="ET119" s="3"/>
      <c r="EU119" s="3"/>
      <c r="EV119" s="2" t="str">
        <f t="shared" si="268"/>
        <v>Yet to load</v>
      </c>
      <c r="EW119" s="189"/>
      <c r="EX119" s="189"/>
      <c r="EY119" s="24"/>
      <c r="EZ119" s="24"/>
      <c r="FA119" s="2"/>
      <c r="FB119" s="24"/>
      <c r="FC119" s="193"/>
      <c r="FD119" s="189"/>
      <c r="FE119" s="52"/>
      <c r="FF119" s="52"/>
      <c r="FG119" s="49"/>
      <c r="FH119" s="49"/>
      <c r="FI119" s="49"/>
      <c r="FJ119" s="49"/>
      <c r="FK119" s="49"/>
      <c r="FL119" s="49">
        <f t="shared" si="300"/>
        <v>-46155</v>
      </c>
      <c r="FM119" s="180">
        <f t="shared" si="301"/>
        <v>0</v>
      </c>
      <c r="FN119" s="49"/>
      <c r="FO119" s="49"/>
      <c r="FP119" s="49"/>
      <c r="FQ119" s="49"/>
      <c r="FR119" s="49"/>
      <c r="FS119" s="34">
        <f t="shared" si="256"/>
        <v>0</v>
      </c>
      <c r="FT119" s="34" t="str">
        <f t="shared" si="257"/>
        <v>TBA 13</v>
      </c>
      <c r="FU119" s="3"/>
      <c r="FV119" s="3"/>
      <c r="FW119" s="3"/>
      <c r="FX119" s="3"/>
      <c r="FY119" s="3"/>
      <c r="FZ119" s="3"/>
      <c r="GA119" s="3"/>
      <c r="GB119" s="4"/>
      <c r="GC119" s="3"/>
      <c r="GD119" s="182"/>
      <c r="GE119" s="3"/>
      <c r="GF119" s="3"/>
      <c r="GG119" s="3"/>
      <c r="GH119" s="3"/>
      <c r="GI119" s="3"/>
      <c r="GJ119" s="3"/>
      <c r="GK119" s="3"/>
      <c r="GL119" s="3"/>
      <c r="GM119" s="3"/>
      <c r="GN119" s="3"/>
    </row>
    <row r="120" spans="1:196" s="1" customFormat="1" ht="33.950000000000003">
      <c r="A120" s="2" t="str">
        <f t="shared" si="258"/>
        <v>Stuffed, Yet to Sail</v>
      </c>
      <c r="B120" s="282">
        <v>51</v>
      </c>
      <c r="C120" s="282">
        <v>190</v>
      </c>
      <c r="D120" s="182" t="s">
        <v>208</v>
      </c>
      <c r="E120" s="2" t="str">
        <f t="shared" si="259"/>
        <v>LONG POSITION</v>
      </c>
      <c r="F120" s="271" t="str">
        <f t="shared" si="302"/>
        <v>TBA 14</v>
      </c>
      <c r="G120" s="271"/>
      <c r="H120" s="2" t="str">
        <f t="shared" si="297"/>
        <v>VALENCY AGRO UNSOLD</v>
      </c>
      <c r="I120" s="3" t="s">
        <v>269</v>
      </c>
      <c r="J120" s="2" t="s">
        <v>210</v>
      </c>
      <c r="K120" s="2" t="str">
        <f t="shared" si="261"/>
        <v>TUTICORIN, INDIA</v>
      </c>
      <c r="L120" s="2" t="str">
        <f t="shared" si="252"/>
        <v>ONEYLOSG02181900</v>
      </c>
      <c r="M120" s="2">
        <f t="shared" si="226"/>
        <v>100.06399999999999</v>
      </c>
      <c r="N120" s="22" t="str">
        <f t="shared" si="262"/>
        <v/>
      </c>
      <c r="O120" s="22">
        <f t="shared" si="295"/>
        <v>46218</v>
      </c>
      <c r="P120" s="22" t="str">
        <f t="shared" si="263"/>
        <v>No OBL Yet</v>
      </c>
      <c r="Q120" s="2"/>
      <c r="R120" s="2" t="str">
        <f t="shared" si="264"/>
        <v>No CERTS Yet</v>
      </c>
      <c r="S120" s="2" t="str">
        <f t="shared" si="298"/>
        <v/>
      </c>
      <c r="T120" s="2" t="s">
        <v>769</v>
      </c>
      <c r="U120" s="3" t="s">
        <v>770</v>
      </c>
      <c r="V120" s="272"/>
      <c r="W120" s="438" t="s">
        <v>771</v>
      </c>
      <c r="X120" s="24"/>
      <c r="Y120" s="273"/>
      <c r="Z120" s="24"/>
      <c r="AA120" s="182" t="s">
        <v>774</v>
      </c>
      <c r="AB120" s="182" t="s">
        <v>665</v>
      </c>
      <c r="AC120" s="182" t="s">
        <v>502</v>
      </c>
      <c r="AD120" s="181">
        <v>46173</v>
      </c>
      <c r="AE120" s="30">
        <v>0.1</v>
      </c>
      <c r="AF120" s="4">
        <v>100</v>
      </c>
      <c r="AG120" s="4">
        <f t="shared" si="266"/>
        <v>90</v>
      </c>
      <c r="AH120" s="3" t="s">
        <v>215</v>
      </c>
      <c r="AI120" s="3"/>
      <c r="AJ120" s="4">
        <f t="shared" si="270"/>
        <v>0</v>
      </c>
      <c r="AK120" s="2"/>
      <c r="AL120" s="2"/>
      <c r="AM120" s="2"/>
      <c r="AN120" s="183"/>
      <c r="AO120" s="183"/>
      <c r="AP120" s="28"/>
      <c r="AQ120" s="18"/>
      <c r="AR120" s="18"/>
      <c r="AS120" s="18"/>
      <c r="AT120" s="3"/>
      <c r="AU120" s="3"/>
      <c r="AV120" s="3"/>
      <c r="AW120" s="9"/>
      <c r="AX120" s="3"/>
      <c r="AY120" s="47"/>
      <c r="AZ120" s="278">
        <f t="shared" si="299"/>
        <v>0</v>
      </c>
      <c r="BA120" s="18"/>
      <c r="BB120" s="22"/>
      <c r="BC120" s="22"/>
      <c r="BD120" s="22"/>
      <c r="BE120" s="22"/>
      <c r="BF120" s="22"/>
      <c r="BG120" s="18"/>
      <c r="BH120" s="18"/>
      <c r="BI120" s="3" t="s">
        <v>775</v>
      </c>
      <c r="BJ120" s="25">
        <v>100.06399999999999</v>
      </c>
      <c r="BK120" s="189"/>
      <c r="BL120" s="497"/>
      <c r="BM120" s="18"/>
      <c r="BN120" s="4"/>
      <c r="BO120" s="18">
        <v>46218</v>
      </c>
      <c r="BP120" s="3" t="s">
        <v>278</v>
      </c>
      <c r="BQ120" s="21" t="s">
        <v>346</v>
      </c>
      <c r="BR120" s="2" t="s">
        <v>288</v>
      </c>
      <c r="BS120" s="2"/>
      <c r="BT120" s="2"/>
      <c r="BU120" s="3"/>
      <c r="BV120" s="20"/>
      <c r="BW120" s="19"/>
      <c r="BX120" s="189">
        <f t="shared" si="296"/>
        <v>0</v>
      </c>
      <c r="BY120" s="22"/>
      <c r="BZ120" s="22"/>
      <c r="CA120" s="22"/>
      <c r="CB120" s="22"/>
      <c r="CC120" s="22"/>
      <c r="CD120" s="22"/>
      <c r="CE120" s="22" t="str">
        <f t="shared" si="269"/>
        <v>No OBL Yet</v>
      </c>
      <c r="CF120" s="22"/>
      <c r="CG120" s="22"/>
      <c r="CH120" s="22"/>
      <c r="CI120" s="2"/>
      <c r="CJ120" s="2"/>
      <c r="CK120" s="2" t="str">
        <f t="shared" si="267"/>
        <v>No CERTS Yet</v>
      </c>
      <c r="CL120" s="48"/>
      <c r="CM120" s="22"/>
      <c r="CN120" s="55"/>
      <c r="CO120" s="55"/>
      <c r="CP120" s="55" t="str">
        <f>IF(CO120&lt;&gt;0,"Docs in Buyer's Nego Bank",IF(CN120&lt;&gt;0,"Docs in Transit to Buyer's Nego Bank",IF(CM120&lt;&gt;0,"Docs in Our Nego Bank",IF(CL120="TT PAYMENT","Not Applicable",""))))</f>
        <v/>
      </c>
      <c r="CQ120" s="190">
        <f t="shared" si="253"/>
        <v>0</v>
      </c>
      <c r="CR120" s="54"/>
      <c r="CS120" s="2"/>
      <c r="CT120" s="2"/>
      <c r="CU120" s="14"/>
      <c r="CV120" s="191"/>
      <c r="CW120" s="14"/>
      <c r="CX120" s="14"/>
      <c r="CY120" s="15"/>
      <c r="CZ120" s="2"/>
      <c r="DA120" s="41"/>
      <c r="DB120" s="2"/>
      <c r="DC120" s="192"/>
      <c r="DD120" s="40"/>
      <c r="DE120" s="16"/>
      <c r="DF120" s="2"/>
      <c r="DG120" s="14"/>
      <c r="DH120" s="2"/>
      <c r="DI120" s="192"/>
      <c r="DJ120" s="2"/>
      <c r="DK120" s="15"/>
      <c r="DL120" s="2"/>
      <c r="DM120" s="2"/>
      <c r="DN120" s="15"/>
      <c r="DO120" s="14"/>
      <c r="DP120" s="14"/>
      <c r="DQ120" s="15"/>
      <c r="DR120" s="15"/>
      <c r="DS120" s="2"/>
      <c r="DT120" s="2"/>
      <c r="DU120" s="2"/>
      <c r="DV120" s="2"/>
      <c r="DW120" s="2"/>
      <c r="DX120" s="2"/>
      <c r="DY120" s="2" t="s">
        <v>230</v>
      </c>
      <c r="DZ120" s="2"/>
      <c r="EA120" s="2"/>
      <c r="EB120" s="2"/>
      <c r="EC120" s="2"/>
      <c r="ED120" s="2"/>
      <c r="EE120" s="3"/>
      <c r="EF120" s="37"/>
      <c r="EG120" s="3"/>
      <c r="EH120" s="2" t="s">
        <v>231</v>
      </c>
      <c r="EI120" s="3"/>
      <c r="EJ120" s="4"/>
      <c r="EK120" s="4"/>
      <c r="EL120" s="11"/>
      <c r="EM120" s="7"/>
      <c r="EN120" s="189"/>
      <c r="EO120" s="3"/>
      <c r="EP120" s="3"/>
      <c r="EQ120" s="3"/>
      <c r="ER120" s="3"/>
      <c r="ES120" s="7"/>
      <c r="ET120" s="3"/>
      <c r="EU120" s="3"/>
      <c r="EV120" s="2" t="str">
        <f t="shared" si="268"/>
        <v>Yet to load</v>
      </c>
      <c r="EW120" s="189"/>
      <c r="EX120" s="189"/>
      <c r="EY120" s="24"/>
      <c r="EZ120" s="24"/>
      <c r="FA120" s="2"/>
      <c r="FB120" s="24"/>
      <c r="FC120" s="193"/>
      <c r="FD120" s="189"/>
      <c r="FE120" s="52"/>
      <c r="FF120" s="52"/>
      <c r="FG120" s="49"/>
      <c r="FH120" s="49"/>
      <c r="FI120" s="49"/>
      <c r="FJ120" s="49"/>
      <c r="FK120" s="49"/>
      <c r="FL120" s="49">
        <f t="shared" si="300"/>
        <v>0</v>
      </c>
      <c r="FM120" s="180">
        <f t="shared" si="301"/>
        <v>0</v>
      </c>
      <c r="FN120" s="49"/>
      <c r="FO120" s="49"/>
      <c r="FP120" s="49"/>
      <c r="FQ120" s="49"/>
      <c r="FR120" s="49"/>
      <c r="FS120" s="34">
        <f t="shared" si="256"/>
        <v>0</v>
      </c>
      <c r="FT120" s="34" t="str">
        <f t="shared" si="257"/>
        <v>TBA 14</v>
      </c>
      <c r="FU120" s="3"/>
      <c r="FV120" s="3"/>
      <c r="FW120" s="3"/>
      <c r="FX120" s="3"/>
      <c r="FY120" s="3"/>
      <c r="FZ120" s="3"/>
      <c r="GA120" s="3"/>
      <c r="GB120" s="4"/>
      <c r="GC120" s="3"/>
      <c r="GD120" s="182"/>
      <c r="GE120" s="3"/>
      <c r="GF120" s="3"/>
      <c r="GG120" s="3"/>
      <c r="GH120" s="3"/>
      <c r="GI120" s="3"/>
      <c r="GJ120" s="3"/>
      <c r="GK120" s="3"/>
      <c r="GL120" s="3"/>
      <c r="GM120" s="3"/>
      <c r="GN120" s="3"/>
    </row>
    <row r="121" spans="1:196" s="1" customFormat="1" ht="33.950000000000003">
      <c r="A121" s="2" t="str">
        <f t="shared" si="258"/>
        <v>Stuffed, Yet to Sail</v>
      </c>
      <c r="B121" s="282">
        <v>51</v>
      </c>
      <c r="C121" s="282">
        <v>190</v>
      </c>
      <c r="D121" s="182" t="s">
        <v>208</v>
      </c>
      <c r="E121" s="2" t="str">
        <f t="shared" si="259"/>
        <v>LONG POSITION</v>
      </c>
      <c r="F121" s="271" t="str">
        <f t="shared" si="302"/>
        <v>TBA 15</v>
      </c>
      <c r="G121" s="271"/>
      <c r="H121" s="2" t="str">
        <f t="shared" si="297"/>
        <v>VALENCY AGRO UNSOLD</v>
      </c>
      <c r="I121" s="3" t="s">
        <v>269</v>
      </c>
      <c r="J121" s="2" t="s">
        <v>210</v>
      </c>
      <c r="K121" s="2" t="str">
        <f t="shared" si="261"/>
        <v>TUTICORIN, INDIA</v>
      </c>
      <c r="L121" s="2" t="str">
        <f t="shared" si="252"/>
        <v>ONEYLOSG02185600</v>
      </c>
      <c r="M121" s="2">
        <f t="shared" si="226"/>
        <v>100.021</v>
      </c>
      <c r="N121" s="22" t="str">
        <f t="shared" si="262"/>
        <v/>
      </c>
      <c r="O121" s="22">
        <f t="shared" si="295"/>
        <v>46224</v>
      </c>
      <c r="P121" s="22" t="str">
        <f t="shared" si="263"/>
        <v>Draft Rcvd</v>
      </c>
      <c r="Q121" s="2"/>
      <c r="R121" s="2" t="str">
        <f t="shared" si="264"/>
        <v>No CERTS Yet</v>
      </c>
      <c r="S121" s="2" t="str">
        <f t="shared" si="298"/>
        <v/>
      </c>
      <c r="T121" s="2" t="s">
        <v>769</v>
      </c>
      <c r="U121" s="3" t="s">
        <v>770</v>
      </c>
      <c r="V121" s="272"/>
      <c r="W121" s="438" t="s">
        <v>771</v>
      </c>
      <c r="X121" s="24"/>
      <c r="Y121" s="273"/>
      <c r="Z121" s="24"/>
      <c r="AA121" s="182" t="s">
        <v>776</v>
      </c>
      <c r="AB121" s="182" t="s">
        <v>665</v>
      </c>
      <c r="AC121" s="182" t="s">
        <v>502</v>
      </c>
      <c r="AD121" s="181">
        <v>46173</v>
      </c>
      <c r="AE121" s="30">
        <v>0.1</v>
      </c>
      <c r="AF121" s="4">
        <v>100</v>
      </c>
      <c r="AG121" s="4">
        <f t="shared" si="266"/>
        <v>90</v>
      </c>
      <c r="AH121" s="3" t="s">
        <v>215</v>
      </c>
      <c r="AI121" s="3"/>
      <c r="AJ121" s="4">
        <f t="shared" si="270"/>
        <v>0</v>
      </c>
      <c r="AK121" s="2"/>
      <c r="AL121" s="2"/>
      <c r="AM121" s="2"/>
      <c r="AN121" s="183"/>
      <c r="AO121" s="183"/>
      <c r="AP121" s="28"/>
      <c r="AQ121" s="18"/>
      <c r="AR121" s="18"/>
      <c r="AS121" s="18"/>
      <c r="AT121" s="3"/>
      <c r="AU121" s="3"/>
      <c r="AV121" s="3"/>
      <c r="AW121" s="9"/>
      <c r="AX121" s="3"/>
      <c r="AY121" s="47"/>
      <c r="AZ121" s="278">
        <f t="shared" si="299"/>
        <v>0</v>
      </c>
      <c r="BA121" s="18"/>
      <c r="BB121" s="22"/>
      <c r="BC121" s="22"/>
      <c r="BD121" s="22"/>
      <c r="BE121" s="22"/>
      <c r="BF121" s="22"/>
      <c r="BG121" s="18"/>
      <c r="BH121" s="18"/>
      <c r="BI121" s="3" t="s">
        <v>777</v>
      </c>
      <c r="BJ121" s="25">
        <v>100.021</v>
      </c>
      <c r="BK121" s="189"/>
      <c r="BL121" s="497">
        <v>4</v>
      </c>
      <c r="BM121" s="18"/>
      <c r="BN121" s="4"/>
      <c r="BO121" s="18">
        <v>46224</v>
      </c>
      <c r="BP121" s="3" t="s">
        <v>278</v>
      </c>
      <c r="BQ121" s="21" t="s">
        <v>346</v>
      </c>
      <c r="BR121" s="2" t="s">
        <v>288</v>
      </c>
      <c r="BS121" s="2"/>
      <c r="BT121" s="2"/>
      <c r="BU121" s="3"/>
      <c r="BV121" s="20"/>
      <c r="BW121" s="19"/>
      <c r="BX121" s="189">
        <f t="shared" si="296"/>
        <v>0</v>
      </c>
      <c r="BY121" s="22">
        <v>46155</v>
      </c>
      <c r="BZ121" s="22"/>
      <c r="CA121" s="22"/>
      <c r="CB121" s="22"/>
      <c r="CC121" s="22"/>
      <c r="CD121" s="22"/>
      <c r="CE121" s="22" t="str">
        <f t="shared" si="269"/>
        <v>Draft Rcvd</v>
      </c>
      <c r="CF121" s="22"/>
      <c r="CG121" s="22"/>
      <c r="CH121" s="22"/>
      <c r="CI121" s="2"/>
      <c r="CJ121" s="2"/>
      <c r="CK121" s="2" t="str">
        <f t="shared" si="267"/>
        <v>No CERTS Yet</v>
      </c>
      <c r="CL121" s="48"/>
      <c r="CM121" s="22"/>
      <c r="CN121" s="55"/>
      <c r="CO121" s="55"/>
      <c r="CP121" s="55" t="str">
        <f>IF(CO121&lt;&gt;0,"Docs in Buyer's Nego Bank",IF(CN121&lt;&gt;0,"Docs in Transit to Buyer's Nego Bank",IF(CM121&lt;&gt;0,"Docs in Our Nego Bank",IF(CL121="TT PAYMENT","Not Applicable",""))))</f>
        <v/>
      </c>
      <c r="CQ121" s="190">
        <f t="shared" si="253"/>
        <v>0</v>
      </c>
      <c r="CR121" s="54"/>
      <c r="CS121" s="2"/>
      <c r="CT121" s="2"/>
      <c r="CU121" s="14"/>
      <c r="CV121" s="191"/>
      <c r="CW121" s="14"/>
      <c r="CX121" s="14"/>
      <c r="CY121" s="15"/>
      <c r="CZ121" s="2"/>
      <c r="DA121" s="41"/>
      <c r="DB121" s="2"/>
      <c r="DC121" s="192"/>
      <c r="DD121" s="40"/>
      <c r="DE121" s="16"/>
      <c r="DF121" s="2"/>
      <c r="DG121" s="14"/>
      <c r="DH121" s="2"/>
      <c r="DI121" s="192"/>
      <c r="DJ121" s="2"/>
      <c r="DK121" s="15"/>
      <c r="DL121" s="2"/>
      <c r="DM121" s="2"/>
      <c r="DN121" s="15"/>
      <c r="DO121" s="14"/>
      <c r="DP121" s="14"/>
      <c r="DQ121" s="15"/>
      <c r="DR121" s="15"/>
      <c r="DS121" s="2"/>
      <c r="DT121" s="2"/>
      <c r="DU121" s="2"/>
      <c r="DV121" s="2"/>
      <c r="DW121" s="2"/>
      <c r="DX121" s="2"/>
      <c r="DY121" s="2" t="s">
        <v>230</v>
      </c>
      <c r="DZ121" s="2"/>
      <c r="EA121" s="2"/>
      <c r="EB121" s="2"/>
      <c r="EC121" s="2"/>
      <c r="ED121" s="2"/>
      <c r="EE121" s="3"/>
      <c r="EF121" s="37"/>
      <c r="EG121" s="3"/>
      <c r="EH121" s="2" t="s">
        <v>231</v>
      </c>
      <c r="EI121" s="3"/>
      <c r="EJ121" s="4"/>
      <c r="EK121" s="4"/>
      <c r="EL121" s="11"/>
      <c r="EM121" s="7"/>
      <c r="EN121" s="189"/>
      <c r="EO121" s="3"/>
      <c r="EP121" s="3"/>
      <c r="EQ121" s="3"/>
      <c r="ER121" s="3"/>
      <c r="ES121" s="7"/>
      <c r="ET121" s="3"/>
      <c r="EU121" s="3"/>
      <c r="EV121" s="2" t="str">
        <f t="shared" si="268"/>
        <v>Yet to load</v>
      </c>
      <c r="EW121" s="189"/>
      <c r="EX121" s="189"/>
      <c r="EY121" s="24"/>
      <c r="EZ121" s="24"/>
      <c r="FA121" s="2"/>
      <c r="FB121" s="24"/>
      <c r="FC121" s="193"/>
      <c r="FD121" s="189"/>
      <c r="FE121" s="52"/>
      <c r="FF121" s="52"/>
      <c r="FG121" s="49"/>
      <c r="FH121" s="49"/>
      <c r="FI121" s="49"/>
      <c r="FJ121" s="49"/>
      <c r="FK121" s="49"/>
      <c r="FL121" s="49">
        <f t="shared" si="300"/>
        <v>-46155</v>
      </c>
      <c r="FM121" s="180">
        <f t="shared" si="301"/>
        <v>0</v>
      </c>
      <c r="FN121" s="49"/>
      <c r="FO121" s="49"/>
      <c r="FP121" s="49"/>
      <c r="FQ121" s="49"/>
      <c r="FR121" s="49"/>
      <c r="FS121" s="34">
        <f t="shared" si="256"/>
        <v>0</v>
      </c>
      <c r="FT121" s="34" t="str">
        <f t="shared" si="257"/>
        <v>TBA 15</v>
      </c>
      <c r="FU121" s="3"/>
      <c r="FV121" s="3"/>
      <c r="FW121" s="3"/>
      <c r="FX121" s="3"/>
      <c r="FY121" s="3"/>
      <c r="FZ121" s="3"/>
      <c r="GA121" s="3"/>
      <c r="GB121" s="4"/>
      <c r="GC121" s="3"/>
      <c r="GD121" s="182"/>
      <c r="GE121" s="3"/>
      <c r="GF121" s="3"/>
      <c r="GG121" s="3"/>
      <c r="GH121" s="3"/>
      <c r="GI121" s="3"/>
      <c r="GJ121" s="3"/>
      <c r="GK121" s="3"/>
      <c r="GL121" s="3"/>
      <c r="GM121" s="3"/>
      <c r="GN121" s="3"/>
    </row>
    <row r="122" spans="1:196" s="1" customFormat="1" ht="68.099999999999994">
      <c r="A122" s="2" t="str">
        <f t="shared" si="258"/>
        <v>Advance Rcvd, SI Pending</v>
      </c>
      <c r="B122" s="282">
        <v>50</v>
      </c>
      <c r="C122" s="282">
        <v>185</v>
      </c>
      <c r="D122" s="182" t="s">
        <v>208</v>
      </c>
      <c r="E122" s="2" t="str">
        <f t="shared" si="259"/>
        <v>SHORT POSITION</v>
      </c>
      <c r="F122" s="271">
        <f t="shared" si="302"/>
        <v>32016430</v>
      </c>
      <c r="G122" s="271"/>
      <c r="H122" s="2" t="str">
        <f t="shared" si="297"/>
        <v>COMPANY LIMITED LIABILITY DIEU DAI THANH</v>
      </c>
      <c r="I122" s="3" t="s">
        <v>209</v>
      </c>
      <c r="J122" s="2" t="s">
        <v>347</v>
      </c>
      <c r="K122" s="2" t="str">
        <f t="shared" si="261"/>
        <v>HCMC, VIETNAM</v>
      </c>
      <c r="L122" s="2" t="str">
        <f t="shared" si="252"/>
        <v/>
      </c>
      <c r="M122" s="2" t="str">
        <f t="shared" ref="M122:M127" si="303">IF(BJ122&lt;&gt;0,BJ122,"")</f>
        <v/>
      </c>
      <c r="N122" s="22" t="str">
        <f t="shared" si="262"/>
        <v/>
      </c>
      <c r="O122" s="22" t="str">
        <f t="shared" si="295"/>
        <v/>
      </c>
      <c r="P122" s="22" t="str">
        <f t="shared" si="263"/>
        <v>No OBL Yet</v>
      </c>
      <c r="Q122" s="2"/>
      <c r="R122" s="2" t="str">
        <f t="shared" si="264"/>
        <v>No CERTS Yet</v>
      </c>
      <c r="S122" s="2">
        <f t="shared" si="298"/>
        <v>0</v>
      </c>
      <c r="T122" s="2"/>
      <c r="U122" s="3" t="s">
        <v>778</v>
      </c>
      <c r="V122" s="272"/>
      <c r="W122" s="3"/>
      <c r="X122" s="24">
        <v>46163</v>
      </c>
      <c r="Y122" s="273">
        <v>20010396</v>
      </c>
      <c r="Z122" s="24">
        <v>46163</v>
      </c>
      <c r="AA122" s="182">
        <v>32016430</v>
      </c>
      <c r="AB122" s="182" t="s">
        <v>779</v>
      </c>
      <c r="AC122" s="182" t="s">
        <v>502</v>
      </c>
      <c r="AD122" s="181">
        <v>46173</v>
      </c>
      <c r="AE122" s="30">
        <v>0.1</v>
      </c>
      <c r="AF122" s="277">
        <v>250</v>
      </c>
      <c r="AG122" s="4">
        <f t="shared" si="266"/>
        <v>225</v>
      </c>
      <c r="AH122" s="3" t="s">
        <v>215</v>
      </c>
      <c r="AI122" s="4">
        <v>1580</v>
      </c>
      <c r="AJ122" s="4">
        <f t="shared" si="270"/>
        <v>395000</v>
      </c>
      <c r="AK122" s="3" t="s">
        <v>249</v>
      </c>
      <c r="AL122" s="3" t="s">
        <v>780</v>
      </c>
      <c r="AM122" s="30">
        <v>0.1</v>
      </c>
      <c r="AN122" s="183">
        <v>0.88</v>
      </c>
      <c r="AO122" s="183">
        <v>0.02</v>
      </c>
      <c r="AP122" s="28" t="s">
        <v>218</v>
      </c>
      <c r="AQ122" s="18" t="s">
        <v>354</v>
      </c>
      <c r="AR122" s="18" t="s">
        <v>781</v>
      </c>
      <c r="AS122" s="359">
        <v>5</v>
      </c>
      <c r="AT122" s="3" t="s">
        <v>220</v>
      </c>
      <c r="AU122" s="3" t="s">
        <v>220</v>
      </c>
      <c r="AV122" s="3" t="s">
        <v>220</v>
      </c>
      <c r="AW122" s="9"/>
      <c r="AX122" s="3"/>
      <c r="AY122" s="47">
        <v>46170</v>
      </c>
      <c r="AZ122" s="278">
        <f t="shared" si="299"/>
        <v>39500</v>
      </c>
      <c r="BA122" s="18">
        <v>46170</v>
      </c>
      <c r="BB122" s="22"/>
      <c r="BC122" s="22"/>
      <c r="BD122" s="22"/>
      <c r="BE122" s="22"/>
      <c r="BF122" s="22"/>
      <c r="BG122" s="18"/>
      <c r="BH122" s="18"/>
      <c r="BI122" s="3"/>
      <c r="BJ122" s="25"/>
      <c r="BK122" s="18"/>
      <c r="BL122" s="271"/>
      <c r="BM122" s="18"/>
      <c r="BN122" s="2"/>
      <c r="BO122" s="18"/>
      <c r="BP122" s="20" t="s">
        <v>278</v>
      </c>
      <c r="BQ122" s="21" t="s">
        <v>409</v>
      </c>
      <c r="BR122" s="189"/>
      <c r="BS122" s="22"/>
      <c r="BT122" s="22"/>
      <c r="BU122" s="189">
        <f>BI122*AF122</f>
        <v>0</v>
      </c>
      <c r="BV122" s="22"/>
      <c r="BW122" s="22"/>
      <c r="BX122" s="22"/>
      <c r="BY122" s="22"/>
      <c r="BZ122" s="22"/>
      <c r="CA122" s="22"/>
      <c r="CB122" s="22"/>
      <c r="CC122" s="182"/>
      <c r="CD122" s="182"/>
      <c r="CE122" s="22" t="str">
        <f t="shared" si="269"/>
        <v>No OBL Yet</v>
      </c>
      <c r="CF122" s="48"/>
      <c r="CG122" s="22"/>
      <c r="CH122" s="2"/>
      <c r="CI122" s="55"/>
      <c r="CJ122" s="55"/>
      <c r="CK122" s="2" t="str">
        <f t="shared" si="267"/>
        <v>No CERTS Yet</v>
      </c>
      <c r="CL122" s="54"/>
      <c r="CM122" s="2"/>
      <c r="CN122" s="182"/>
      <c r="CO122" s="14"/>
      <c r="CP122" s="191"/>
      <c r="CQ122" s="190">
        <f t="shared" si="253"/>
        <v>-39500</v>
      </c>
      <c r="CR122" s="14"/>
      <c r="CS122" s="15"/>
      <c r="CT122" s="2"/>
      <c r="CU122" s="41"/>
      <c r="CV122" s="2"/>
      <c r="CW122" s="192"/>
      <c r="CX122" s="40"/>
      <c r="CY122" s="16"/>
      <c r="CZ122" s="2"/>
      <c r="DA122" s="14"/>
      <c r="DB122" s="2"/>
      <c r="DC122" s="192"/>
      <c r="DD122" s="2"/>
      <c r="DE122" s="15"/>
      <c r="DF122" s="2"/>
      <c r="DG122" s="2"/>
      <c r="DH122" s="15"/>
      <c r="DI122" s="14"/>
      <c r="DJ122" s="14"/>
      <c r="DK122" s="15"/>
      <c r="DL122" s="15"/>
      <c r="DM122" s="2"/>
      <c r="DN122" s="2"/>
      <c r="DO122" s="2"/>
      <c r="DP122" s="2"/>
      <c r="DQ122" s="2"/>
      <c r="DR122" s="2"/>
      <c r="DS122" s="2"/>
      <c r="DT122" s="2"/>
      <c r="DU122" s="2"/>
      <c r="DV122" s="182"/>
      <c r="DW122" s="2"/>
      <c r="DX122" s="2"/>
      <c r="DY122" s="2" t="s">
        <v>230</v>
      </c>
      <c r="DZ122" s="2"/>
      <c r="EA122" s="3"/>
      <c r="EB122" s="3"/>
      <c r="EC122" s="3"/>
      <c r="ED122" s="189"/>
      <c r="EE122" s="4"/>
      <c r="EF122" s="9"/>
      <c r="EG122" s="9"/>
      <c r="EH122" s="2" t="s">
        <v>231</v>
      </c>
      <c r="EI122" s="9"/>
      <c r="EJ122" s="8"/>
      <c r="EK122" s="189"/>
      <c r="EL122" s="7"/>
      <c r="EM122" s="7"/>
      <c r="EN122" s="6"/>
      <c r="EO122" s="2"/>
      <c r="EP122" s="189"/>
      <c r="EQ122" s="189"/>
      <c r="ER122" s="189"/>
      <c r="ES122" s="2"/>
      <c r="ET122" s="24"/>
      <c r="EU122" s="2"/>
      <c r="EV122" s="2" t="str">
        <f t="shared" si="268"/>
        <v>Yet to load</v>
      </c>
      <c r="EW122" s="193"/>
      <c r="EX122" s="189"/>
      <c r="EY122" s="24"/>
      <c r="EZ122" s="52"/>
      <c r="FA122" s="49"/>
      <c r="FB122" s="49"/>
      <c r="FC122" s="180"/>
      <c r="FD122" s="49"/>
      <c r="FE122" s="49"/>
      <c r="FF122" s="49"/>
      <c r="FG122" s="49"/>
      <c r="FH122" s="49"/>
      <c r="FI122" s="49"/>
      <c r="FJ122" s="49"/>
      <c r="FK122" s="49"/>
      <c r="FL122" s="49">
        <f t="shared" si="300"/>
        <v>0</v>
      </c>
      <c r="FM122" s="180">
        <f t="shared" si="301"/>
        <v>0</v>
      </c>
      <c r="FN122" s="49"/>
      <c r="FO122" s="49"/>
      <c r="FP122" s="49"/>
      <c r="FQ122" s="49"/>
      <c r="FR122" s="49"/>
      <c r="FS122" s="34">
        <f t="shared" si="256"/>
        <v>20010396</v>
      </c>
      <c r="FT122" s="34">
        <f t="shared" si="257"/>
        <v>32016430</v>
      </c>
      <c r="FU122" s="3"/>
      <c r="FV122" s="3"/>
      <c r="FW122" s="3"/>
      <c r="FX122" s="3"/>
      <c r="FY122" s="3"/>
      <c r="FZ122" s="3"/>
      <c r="GA122" s="3"/>
      <c r="GB122" s="4"/>
      <c r="GC122" s="3"/>
      <c r="GD122" s="182"/>
      <c r="GE122" s="3"/>
      <c r="GF122" s="3"/>
      <c r="GG122" s="3"/>
      <c r="GH122" s="3"/>
      <c r="GI122" s="3"/>
      <c r="GJ122" s="3"/>
      <c r="GK122" s="3"/>
      <c r="GL122" s="3"/>
      <c r="GM122" s="3"/>
      <c r="GN122" s="3"/>
    </row>
    <row r="123" spans="1:196" s="1" customFormat="1" ht="36.950000000000003">
      <c r="A123" s="2" t="str">
        <f t="shared" si="258"/>
        <v>SI Sent, Shipment Awaited</v>
      </c>
      <c r="B123" s="282">
        <v>46</v>
      </c>
      <c r="C123" s="282">
        <v>200</v>
      </c>
      <c r="D123" s="182" t="s">
        <v>208</v>
      </c>
      <c r="E123" s="2" t="str">
        <f t="shared" si="259"/>
        <v>SHORT POSITION</v>
      </c>
      <c r="F123" s="271">
        <f t="shared" si="302"/>
        <v>32016316</v>
      </c>
      <c r="G123" s="271"/>
      <c r="H123" s="2" t="str">
        <f t="shared" si="297"/>
        <v xml:space="preserve">VIET PHI AGRICULTURE JOINT 
STOCK COMPANY </v>
      </c>
      <c r="I123" s="3" t="s">
        <v>259</v>
      </c>
      <c r="J123" s="2" t="s">
        <v>347</v>
      </c>
      <c r="K123" s="2" t="str">
        <f t="shared" si="261"/>
        <v>HCMC, VIETNAM</v>
      </c>
      <c r="L123" s="2" t="str">
        <f t="shared" si="252"/>
        <v/>
      </c>
      <c r="M123" s="2" t="str">
        <f t="shared" si="303"/>
        <v/>
      </c>
      <c r="N123" s="22" t="str">
        <f t="shared" si="262"/>
        <v/>
      </c>
      <c r="O123" s="22" t="str">
        <f t="shared" si="295"/>
        <v/>
      </c>
      <c r="P123" s="22" t="str">
        <f t="shared" si="263"/>
        <v>No OBL Yet</v>
      </c>
      <c r="Q123" s="2"/>
      <c r="R123" s="2" t="str">
        <f t="shared" si="264"/>
        <v>No CERTS Yet</v>
      </c>
      <c r="S123" s="2" t="str">
        <f t="shared" si="298"/>
        <v/>
      </c>
      <c r="T123" s="2" t="s">
        <v>747</v>
      </c>
      <c r="U123" s="3" t="s">
        <v>782</v>
      </c>
      <c r="V123" s="272"/>
      <c r="W123" s="3"/>
      <c r="X123" s="24">
        <v>46132</v>
      </c>
      <c r="Y123" s="273">
        <v>20010143</v>
      </c>
      <c r="Z123" s="24">
        <v>46132</v>
      </c>
      <c r="AA123" s="182">
        <v>32016316</v>
      </c>
      <c r="AB123" s="272" t="s">
        <v>432</v>
      </c>
      <c r="AC123" s="181" t="s">
        <v>783</v>
      </c>
      <c r="AD123" s="181">
        <v>46188</v>
      </c>
      <c r="AE123" s="30">
        <v>0.1</v>
      </c>
      <c r="AF123" s="277">
        <v>1500</v>
      </c>
      <c r="AG123" s="4">
        <f t="shared" si="266"/>
        <v>1350</v>
      </c>
      <c r="AH123" s="3" t="s">
        <v>215</v>
      </c>
      <c r="AI123" s="4">
        <v>1525</v>
      </c>
      <c r="AJ123" s="4">
        <f t="shared" si="270"/>
        <v>2287500</v>
      </c>
      <c r="AK123" s="3" t="s">
        <v>249</v>
      </c>
      <c r="AL123" s="3" t="s">
        <v>238</v>
      </c>
      <c r="AM123" s="183">
        <v>0.1</v>
      </c>
      <c r="AN123" s="183">
        <v>0.88</v>
      </c>
      <c r="AO123" s="183">
        <v>0.02</v>
      </c>
      <c r="AP123" s="28" t="s">
        <v>218</v>
      </c>
      <c r="AQ123" s="3" t="s">
        <v>354</v>
      </c>
      <c r="AR123" s="18" t="s">
        <v>251</v>
      </c>
      <c r="AS123" s="27"/>
      <c r="AT123" s="3" t="s">
        <v>220</v>
      </c>
      <c r="AU123" s="3" t="s">
        <v>220</v>
      </c>
      <c r="AV123" s="3" t="s">
        <v>220</v>
      </c>
      <c r="AW123" s="9"/>
      <c r="AX123" s="3"/>
      <c r="AY123" s="47">
        <v>46138</v>
      </c>
      <c r="AZ123" s="278">
        <f t="shared" si="299"/>
        <v>228750</v>
      </c>
      <c r="BA123" s="18">
        <v>46119</v>
      </c>
      <c r="BB123" s="22">
        <v>46132</v>
      </c>
      <c r="BC123" s="22"/>
      <c r="BD123" s="22"/>
      <c r="BE123" s="22"/>
      <c r="BF123" s="22"/>
      <c r="BG123" s="18"/>
      <c r="BH123" s="18"/>
      <c r="BI123" s="3"/>
      <c r="BJ123" s="25"/>
      <c r="BK123" s="189"/>
      <c r="BL123" s="497"/>
      <c r="BM123" s="18"/>
      <c r="BN123" s="4"/>
      <c r="BO123" s="18"/>
      <c r="BP123" s="3" t="s">
        <v>259</v>
      </c>
      <c r="BQ123" s="21" t="s">
        <v>409</v>
      </c>
      <c r="BR123" s="2"/>
      <c r="BS123" s="2"/>
      <c r="BT123" s="2"/>
      <c r="BU123" s="2"/>
      <c r="BV123" s="20"/>
      <c r="BW123" s="19"/>
      <c r="BX123" s="189">
        <f t="shared" ref="BX123:BX133" si="304">BJ123*AI123</f>
        <v>0</v>
      </c>
      <c r="BY123" s="22"/>
      <c r="BZ123" s="22"/>
      <c r="CA123" s="22"/>
      <c r="CB123" s="22"/>
      <c r="CC123" s="22"/>
      <c r="CD123" s="22"/>
      <c r="CE123" s="22" t="str">
        <f t="shared" si="269"/>
        <v>No OBL Yet</v>
      </c>
      <c r="CF123" s="22"/>
      <c r="CG123" s="22"/>
      <c r="CH123" s="182"/>
      <c r="CI123" s="182"/>
      <c r="CJ123" s="182"/>
      <c r="CK123" s="2" t="str">
        <f t="shared" si="267"/>
        <v>No CERTS Yet</v>
      </c>
      <c r="CL123" s="48"/>
      <c r="CM123" s="22"/>
      <c r="CN123" s="55"/>
      <c r="CO123" s="55"/>
      <c r="CP123" s="55" t="str">
        <f>IF(CO123&lt;&gt;0,"Docs in Buyer's Bank",IF(CN123&lt;&gt;0,"Docs in Transit to Buyer's Bank",IF(CM123&lt;&gt;0,"Docs in Our Bank",IF(CL123="TT PAYMENT","Not Applicable",""))))</f>
        <v/>
      </c>
      <c r="CQ123" s="190">
        <f t="shared" si="253"/>
        <v>-228750</v>
      </c>
      <c r="CR123" s="54"/>
      <c r="CS123" s="2"/>
      <c r="CT123" s="2"/>
      <c r="CU123" s="14" t="str">
        <f t="shared" ref="CU123:CU133" si="305">IF(CS123="","",BJ123-CT123)</f>
        <v/>
      </c>
      <c r="CV123" s="191" t="str">
        <f t="shared" ref="CV123:CV133" si="306">IF(CS123="","",CU123/BJ123)</f>
        <v/>
      </c>
      <c r="CW123" s="14" t="str">
        <f t="shared" ref="CW123:CW133" si="307">IF(CS123="","",AZ123+CQ123)</f>
        <v/>
      </c>
      <c r="CX123" s="14" t="str">
        <f t="shared" ref="CX123:CX133" si="308">IF(CS123="","",BX123*2%)</f>
        <v/>
      </c>
      <c r="CY123" s="15" t="str">
        <f t="shared" ref="CY123:CY133" si="309">IF(CS123="","",AI123/B123)</f>
        <v/>
      </c>
      <c r="CZ123" s="2"/>
      <c r="DA123" s="41" t="str">
        <f t="shared" ref="DA123:DA133" si="310">IF(CS123="","",B123-CZ123)</f>
        <v/>
      </c>
      <c r="DB123" s="2"/>
      <c r="DC123" s="192" t="str">
        <f t="shared" ref="DC123:DC133" si="311">IF(CS123="","",IF(CS123="","",DB123-C123))</f>
        <v/>
      </c>
      <c r="DD123" s="40"/>
      <c r="DE123" s="16" t="str">
        <f t="shared" ref="DE123:DE133" si="312">IF(CS123="","",10%-DD123)</f>
        <v/>
      </c>
      <c r="DF123" s="2" t="str">
        <f t="shared" ref="DF123:DF133" si="313">IF(CS123="","",CU123*AI123)</f>
        <v/>
      </c>
      <c r="DG123" s="14" t="str">
        <f t="shared" ref="DG123:DG133" si="314">IF(CS123="","",IF(DA123&gt;2,2*DA123*CT123*CY123,DA123*CT123*CY123))</f>
        <v/>
      </c>
      <c r="DH123" s="2" t="str">
        <f t="shared" ref="DH123:DH133" si="315">IF(CS123="","",IF(DA123&gt;2,2*(DA123-2*CT123*CY123),0))</f>
        <v/>
      </c>
      <c r="DI123" s="192" t="str">
        <f t="shared" ref="DI123:DI133" si="316">IF(CS123="","",IF(DC123&gt;0,DC123*0.5*CT123,0))</f>
        <v/>
      </c>
      <c r="DJ123" s="2" t="str">
        <f>IF(CS123="","",IF(DE123&lt;0,DE123*CT123*AI123*10%,0))</f>
        <v/>
      </c>
      <c r="DK123" s="15" t="str">
        <f t="shared" ref="DK123:DK133" si="317">IF(CS123="","",SUM(DF123:DJ123))</f>
        <v/>
      </c>
      <c r="DL123" s="2"/>
      <c r="DM123" s="2"/>
      <c r="DN123" s="15" t="str">
        <f t="shared" ref="DN123:DN133" si="318">IF(CS123="","",SUM(DK123:DL123))</f>
        <v/>
      </c>
      <c r="DO123" s="14" t="str">
        <f t="shared" ref="DO123:DO133" si="319">IF(CS123="","",BJ123*AI123-DN123)</f>
        <v/>
      </c>
      <c r="DP123" s="14" t="str">
        <f t="shared" ref="DP123:DP133" si="320">IF(CS123="","",AZ123+CQ123)</f>
        <v/>
      </c>
      <c r="DQ123" s="15" t="str">
        <f t="shared" ref="DQ123:DQ133" si="321">IF(CS123="","",IF((DP123-DO123)&gt;0,DP123-DO123,""))</f>
        <v/>
      </c>
      <c r="DR123" s="15" t="str">
        <f t="shared" ref="DR123:DR133" si="322">IF(CS123="","",IF((DO123-DP123)&gt;0,(DO123-DP123),""))</f>
        <v/>
      </c>
      <c r="DS123" s="2" t="str">
        <f t="shared" ref="DS123:DS133" si="323">IF(CS123="","",IF(DQ123="",H123,"VALENCY"))</f>
        <v/>
      </c>
      <c r="DT123" s="2" t="str">
        <f t="shared" ref="DT123:DT133" si="324">IF(DN123="","",IF(DN123&gt;0,"CN", "DN"))</f>
        <v/>
      </c>
      <c r="DU123" s="2"/>
      <c r="DV123" s="2"/>
      <c r="DW123" s="2"/>
      <c r="DX123" s="2"/>
      <c r="DY123" s="2" t="s">
        <v>230</v>
      </c>
      <c r="DZ123" s="2"/>
      <c r="EA123" s="2" t="str">
        <f t="shared" ref="EA123:EA133" si="325">IF(CS123="","",
   MIN(0,(IF(DA123&gt;2,2,1)*DA123*CT123*CY123))
)</f>
        <v/>
      </c>
      <c r="EB123" s="2"/>
      <c r="EC123" s="2"/>
      <c r="ED123" s="2"/>
      <c r="EE123" s="3"/>
      <c r="EF123" s="7"/>
      <c r="EG123" s="3"/>
      <c r="EH123" s="3" t="s">
        <v>266</v>
      </c>
      <c r="EI123" s="3"/>
      <c r="EJ123" s="189"/>
      <c r="EK123" s="4"/>
      <c r="EL123" s="9"/>
      <c r="EM123" s="9"/>
      <c r="EN123" s="189">
        <f t="shared" ref="EN123:EN133" si="326">EK123*EJ123</f>
        <v>0</v>
      </c>
      <c r="EO123" s="9"/>
      <c r="EP123" s="8"/>
      <c r="EQ123" s="4"/>
      <c r="ER123" s="4"/>
      <c r="ES123" s="7"/>
      <c r="ET123" s="7"/>
      <c r="EU123" s="6"/>
      <c r="EV123" s="2" t="str">
        <f t="shared" si="268"/>
        <v>Yet to load</v>
      </c>
      <c r="EW123" s="189"/>
      <c r="EX123" s="189" t="e">
        <f t="shared" ref="EX123:EX133" si="327">EW123/BJ123</f>
        <v>#DIV/0!</v>
      </c>
      <c r="EY123" s="189" t="s">
        <v>233</v>
      </c>
      <c r="EZ123" s="24"/>
      <c r="FA123" s="2"/>
      <c r="FB123" s="24"/>
      <c r="FC123" s="193"/>
      <c r="FD123" s="189">
        <f t="shared" ref="FD123:FD133" si="328">FC123*BJ123</f>
        <v>0</v>
      </c>
      <c r="FE123" s="52"/>
      <c r="FF123" s="52"/>
      <c r="FG123" s="49"/>
      <c r="FH123" s="49"/>
      <c r="FI123" s="49"/>
      <c r="FJ123" s="49"/>
      <c r="FK123" s="49"/>
      <c r="FL123" s="49">
        <f t="shared" si="300"/>
        <v>0</v>
      </c>
      <c r="FM123" s="180">
        <f t="shared" si="301"/>
        <v>0</v>
      </c>
      <c r="FN123" s="49"/>
      <c r="FO123" s="49"/>
      <c r="FP123" s="49"/>
      <c r="FQ123" s="49"/>
      <c r="FR123" s="49"/>
      <c r="FS123" s="34">
        <f t="shared" si="256"/>
        <v>20010143</v>
      </c>
      <c r="FT123" s="34">
        <f t="shared" si="257"/>
        <v>32016316</v>
      </c>
      <c r="FU123" s="3"/>
      <c r="FV123" s="3"/>
      <c r="FW123" s="3"/>
      <c r="FX123" s="3"/>
      <c r="FY123" s="3"/>
      <c r="FZ123" s="3"/>
      <c r="GA123" s="3"/>
      <c r="GB123" s="4"/>
      <c r="GC123" s="3"/>
      <c r="GD123" s="182"/>
      <c r="GE123" s="3"/>
      <c r="GF123" s="3"/>
      <c r="GG123" s="3"/>
      <c r="GH123" s="3"/>
      <c r="GI123" s="3"/>
      <c r="GJ123" s="3"/>
      <c r="GK123" s="3"/>
      <c r="GL123" s="3"/>
      <c r="GM123" s="3"/>
      <c r="GN123" s="3"/>
    </row>
    <row r="124" spans="1:196" s="1" customFormat="1" ht="36.950000000000003">
      <c r="A124" s="2" t="str">
        <f t="shared" si="258"/>
        <v>SI Sent, Shipment Awaited</v>
      </c>
      <c r="B124" s="282">
        <v>45</v>
      </c>
      <c r="C124" s="282">
        <v>200</v>
      </c>
      <c r="D124" s="182" t="s">
        <v>208</v>
      </c>
      <c r="E124" s="2" t="str">
        <f t="shared" si="259"/>
        <v>SHORT POSITION</v>
      </c>
      <c r="F124" s="271">
        <f t="shared" si="302"/>
        <v>32016315</v>
      </c>
      <c r="G124" s="271"/>
      <c r="H124" s="2" t="str">
        <f t="shared" si="297"/>
        <v xml:space="preserve">VIET PHI AGRICULTURE JOINT 
STOCK COMPANY </v>
      </c>
      <c r="I124" s="3" t="s">
        <v>259</v>
      </c>
      <c r="J124" s="2" t="s">
        <v>347</v>
      </c>
      <c r="K124" s="2" t="str">
        <f t="shared" si="261"/>
        <v>CAT LAI PORT, HCMC, VIETNAM</v>
      </c>
      <c r="L124" s="2" t="str">
        <f t="shared" si="252"/>
        <v/>
      </c>
      <c r="M124" s="2" t="str">
        <f t="shared" si="303"/>
        <v/>
      </c>
      <c r="N124" s="22" t="str">
        <f t="shared" si="262"/>
        <v/>
      </c>
      <c r="O124" s="22" t="str">
        <f t="shared" si="295"/>
        <v/>
      </c>
      <c r="P124" s="22" t="str">
        <f t="shared" si="263"/>
        <v>No OBL Yet</v>
      </c>
      <c r="Q124" s="2"/>
      <c r="R124" s="2" t="str">
        <f t="shared" si="264"/>
        <v>No CERTS Yet</v>
      </c>
      <c r="S124" s="2" t="str">
        <f t="shared" si="298"/>
        <v/>
      </c>
      <c r="T124" s="2" t="s">
        <v>747</v>
      </c>
      <c r="U124" s="3" t="s">
        <v>784</v>
      </c>
      <c r="V124" s="272"/>
      <c r="W124" s="3" t="s">
        <v>785</v>
      </c>
      <c r="X124" s="24">
        <v>46132</v>
      </c>
      <c r="Y124" s="273">
        <v>20010142</v>
      </c>
      <c r="Z124" s="24">
        <v>46132</v>
      </c>
      <c r="AA124" s="182">
        <v>32016315</v>
      </c>
      <c r="AB124" s="272" t="s">
        <v>432</v>
      </c>
      <c r="AC124" s="181" t="s">
        <v>783</v>
      </c>
      <c r="AD124" s="181">
        <v>46188</v>
      </c>
      <c r="AE124" s="30">
        <v>0.1</v>
      </c>
      <c r="AF124" s="277">
        <v>1500</v>
      </c>
      <c r="AG124" s="4">
        <f t="shared" si="266"/>
        <v>1350</v>
      </c>
      <c r="AH124" s="3" t="s">
        <v>215</v>
      </c>
      <c r="AI124" s="4">
        <v>1485</v>
      </c>
      <c r="AJ124" s="4">
        <f t="shared" si="270"/>
        <v>2227500</v>
      </c>
      <c r="AK124" s="3" t="s">
        <v>249</v>
      </c>
      <c r="AL124" s="3" t="s">
        <v>238</v>
      </c>
      <c r="AM124" s="183">
        <v>0.1</v>
      </c>
      <c r="AN124" s="183">
        <v>0.88</v>
      </c>
      <c r="AO124" s="183">
        <v>0.02</v>
      </c>
      <c r="AP124" s="28" t="s">
        <v>218</v>
      </c>
      <c r="AQ124" s="3" t="s">
        <v>354</v>
      </c>
      <c r="AR124" s="18" t="s">
        <v>251</v>
      </c>
      <c r="AS124" s="27"/>
      <c r="AT124" s="3" t="s">
        <v>220</v>
      </c>
      <c r="AU124" s="3" t="s">
        <v>220</v>
      </c>
      <c r="AV124" s="3" t="s">
        <v>220</v>
      </c>
      <c r="AW124" s="9"/>
      <c r="AX124" s="3"/>
      <c r="AY124" s="47">
        <v>46138</v>
      </c>
      <c r="AZ124" s="278">
        <f t="shared" si="299"/>
        <v>222750</v>
      </c>
      <c r="BA124" s="18">
        <v>46160</v>
      </c>
      <c r="BB124" s="22">
        <v>46167</v>
      </c>
      <c r="BC124" s="22"/>
      <c r="BD124" s="22"/>
      <c r="BE124" s="22"/>
      <c r="BF124" s="22"/>
      <c r="BG124" s="18"/>
      <c r="BH124" s="18"/>
      <c r="BI124" s="3"/>
      <c r="BJ124" s="25"/>
      <c r="BK124" s="189"/>
      <c r="BL124" s="497"/>
      <c r="BM124" s="18"/>
      <c r="BN124" s="4"/>
      <c r="BO124" s="18"/>
      <c r="BP124" s="3" t="s">
        <v>259</v>
      </c>
      <c r="BQ124" s="21" t="s">
        <v>786</v>
      </c>
      <c r="BR124" s="2"/>
      <c r="BS124" s="2"/>
      <c r="BT124" s="2"/>
      <c r="BU124" s="2"/>
      <c r="BV124" s="20"/>
      <c r="BW124" s="19"/>
      <c r="BX124" s="189">
        <f t="shared" si="304"/>
        <v>0</v>
      </c>
      <c r="BY124" s="22"/>
      <c r="BZ124" s="22"/>
      <c r="CA124" s="22"/>
      <c r="CB124" s="22"/>
      <c r="CC124" s="22"/>
      <c r="CD124" s="22"/>
      <c r="CE124" s="22" t="str">
        <f t="shared" si="269"/>
        <v>No OBL Yet</v>
      </c>
      <c r="CF124" s="22"/>
      <c r="CG124" s="22"/>
      <c r="CH124" s="182"/>
      <c r="CI124" s="182"/>
      <c r="CJ124" s="182"/>
      <c r="CK124" s="2" t="str">
        <f t="shared" si="267"/>
        <v>No CERTS Yet</v>
      </c>
      <c r="CL124" s="48"/>
      <c r="CM124" s="22"/>
      <c r="CN124" s="55"/>
      <c r="CO124" s="55"/>
      <c r="CP124" s="55" t="str">
        <f>IF(CO124&lt;&gt;0,"Docs in Buyer's Bank",IF(CN124&lt;&gt;0,"Docs in Transit to Buyer's Bank",IF(CM124&lt;&gt;0,"Docs in Our Bank",IF(CL124="TT PAYMENT","Not Applicable",""))))</f>
        <v/>
      </c>
      <c r="CQ124" s="190">
        <f t="shared" si="253"/>
        <v>-222750</v>
      </c>
      <c r="CR124" s="54"/>
      <c r="CS124" s="2"/>
      <c r="CT124" s="2"/>
      <c r="CU124" s="14" t="str">
        <f t="shared" si="305"/>
        <v/>
      </c>
      <c r="CV124" s="191" t="str">
        <f t="shared" si="306"/>
        <v/>
      </c>
      <c r="CW124" s="14" t="str">
        <f t="shared" si="307"/>
        <v/>
      </c>
      <c r="CX124" s="14" t="str">
        <f t="shared" si="308"/>
        <v/>
      </c>
      <c r="CY124" s="15" t="str">
        <f t="shared" si="309"/>
        <v/>
      </c>
      <c r="CZ124" s="2"/>
      <c r="DA124" s="41" t="str">
        <f t="shared" si="310"/>
        <v/>
      </c>
      <c r="DB124" s="2"/>
      <c r="DC124" s="192" t="str">
        <f t="shared" si="311"/>
        <v/>
      </c>
      <c r="DD124" s="40"/>
      <c r="DE124" s="16" t="str">
        <f t="shared" si="312"/>
        <v/>
      </c>
      <c r="DF124" s="2" t="str">
        <f t="shared" si="313"/>
        <v/>
      </c>
      <c r="DG124" s="14" t="str">
        <f t="shared" si="314"/>
        <v/>
      </c>
      <c r="DH124" s="2" t="str">
        <f t="shared" si="315"/>
        <v/>
      </c>
      <c r="DI124" s="192" t="str">
        <f t="shared" si="316"/>
        <v/>
      </c>
      <c r="DJ124" s="2" t="str">
        <f>IF(CS124="","",IF(DE124&lt;0,DE124*CT124*AI124*10%,0))</f>
        <v/>
      </c>
      <c r="DK124" s="15" t="str">
        <f t="shared" si="317"/>
        <v/>
      </c>
      <c r="DL124" s="2"/>
      <c r="DM124" s="2"/>
      <c r="DN124" s="15" t="str">
        <f t="shared" si="318"/>
        <v/>
      </c>
      <c r="DO124" s="14" t="str">
        <f t="shared" si="319"/>
        <v/>
      </c>
      <c r="DP124" s="14" t="str">
        <f t="shared" si="320"/>
        <v/>
      </c>
      <c r="DQ124" s="15" t="str">
        <f t="shared" si="321"/>
        <v/>
      </c>
      <c r="DR124" s="15" t="str">
        <f t="shared" si="322"/>
        <v/>
      </c>
      <c r="DS124" s="2" t="str">
        <f t="shared" si="323"/>
        <v/>
      </c>
      <c r="DT124" s="2" t="str">
        <f t="shared" si="324"/>
        <v/>
      </c>
      <c r="DU124" s="2"/>
      <c r="DV124" s="2"/>
      <c r="DW124" s="2"/>
      <c r="DX124" s="2"/>
      <c r="DY124" s="2" t="s">
        <v>230</v>
      </c>
      <c r="DZ124" s="2"/>
      <c r="EA124" s="2" t="str">
        <f t="shared" si="325"/>
        <v/>
      </c>
      <c r="EB124" s="2"/>
      <c r="EC124" s="2"/>
      <c r="ED124" s="2"/>
      <c r="EE124" s="3"/>
      <c r="EF124" s="7"/>
      <c r="EG124" s="3"/>
      <c r="EH124" s="3" t="s">
        <v>266</v>
      </c>
      <c r="EI124" s="3"/>
      <c r="EJ124" s="189"/>
      <c r="EK124" s="4"/>
      <c r="EL124" s="9"/>
      <c r="EM124" s="9"/>
      <c r="EN124" s="189">
        <f t="shared" si="326"/>
        <v>0</v>
      </c>
      <c r="EO124" s="9"/>
      <c r="EP124" s="8"/>
      <c r="EQ124" s="4"/>
      <c r="ER124" s="4"/>
      <c r="ES124" s="7"/>
      <c r="ET124" s="7"/>
      <c r="EU124" s="6"/>
      <c r="EV124" s="2" t="str">
        <f t="shared" si="268"/>
        <v>Yet to load</v>
      </c>
      <c r="EW124" s="189"/>
      <c r="EX124" s="189" t="e">
        <f t="shared" si="327"/>
        <v>#DIV/0!</v>
      </c>
      <c r="EY124" s="189" t="s">
        <v>233</v>
      </c>
      <c r="EZ124" s="24"/>
      <c r="FA124" s="2"/>
      <c r="FB124" s="24"/>
      <c r="FC124" s="193"/>
      <c r="FD124" s="189">
        <f t="shared" si="328"/>
        <v>0</v>
      </c>
      <c r="FE124" s="52"/>
      <c r="FF124" s="52"/>
      <c r="FG124" s="49"/>
      <c r="FH124" s="49"/>
      <c r="FI124" s="49"/>
      <c r="FJ124" s="49"/>
      <c r="FK124" s="49"/>
      <c r="FL124" s="49"/>
      <c r="FM124" s="180"/>
      <c r="FN124" s="49"/>
      <c r="FO124" s="49"/>
      <c r="FP124" s="49"/>
      <c r="FQ124" s="49"/>
      <c r="FR124" s="49"/>
      <c r="FS124" s="34">
        <f t="shared" si="256"/>
        <v>20010142</v>
      </c>
      <c r="FT124" s="34">
        <f t="shared" si="257"/>
        <v>32016315</v>
      </c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4"/>
    </row>
    <row r="125" spans="1:196" s="270" customFormat="1" ht="51">
      <c r="A125" s="2" t="str">
        <f t="shared" si="258"/>
        <v>SI Sent, Shipment Awaited</v>
      </c>
      <c r="B125" s="282">
        <v>46</v>
      </c>
      <c r="C125" s="282">
        <v>200</v>
      </c>
      <c r="D125" s="182" t="s">
        <v>208</v>
      </c>
      <c r="E125" s="2" t="str">
        <f t="shared" si="259"/>
        <v>SHORT POSITION</v>
      </c>
      <c r="F125" s="271">
        <f t="shared" si="302"/>
        <v>32016425</v>
      </c>
      <c r="G125" s="271"/>
      <c r="H125" s="2" t="str">
        <f t="shared" si="297"/>
        <v>TERRA NUTS GROUP JOINT STOCK COMPANY</v>
      </c>
      <c r="I125" s="3" t="s">
        <v>259</v>
      </c>
      <c r="J125" s="2" t="s">
        <v>347</v>
      </c>
      <c r="K125" s="2" t="str">
        <f t="shared" si="261"/>
        <v>HCMC, VIETNAM</v>
      </c>
      <c r="L125" s="2" t="str">
        <f t="shared" si="252"/>
        <v/>
      </c>
      <c r="M125" s="2" t="str">
        <f t="shared" si="303"/>
        <v/>
      </c>
      <c r="N125" s="22" t="str">
        <f t="shared" si="262"/>
        <v/>
      </c>
      <c r="O125" s="22" t="str">
        <f t="shared" si="295"/>
        <v/>
      </c>
      <c r="P125" s="22" t="str">
        <f t="shared" si="263"/>
        <v>No OBL Yet</v>
      </c>
      <c r="Q125" s="2"/>
      <c r="R125" s="2" t="str">
        <f t="shared" si="264"/>
        <v>No CERTS Yet</v>
      </c>
      <c r="S125" s="2" t="str">
        <f t="shared" si="298"/>
        <v/>
      </c>
      <c r="T125" s="2" t="s">
        <v>787</v>
      </c>
      <c r="U125" s="3" t="s">
        <v>788</v>
      </c>
      <c r="V125" s="272"/>
      <c r="W125" s="3"/>
      <c r="X125" s="24">
        <v>46136</v>
      </c>
      <c r="Y125" s="273">
        <v>20010374</v>
      </c>
      <c r="Z125" s="24">
        <v>46136</v>
      </c>
      <c r="AA125" s="182">
        <v>32016425</v>
      </c>
      <c r="AB125" s="182" t="s">
        <v>577</v>
      </c>
      <c r="AC125" s="181" t="s">
        <v>783</v>
      </c>
      <c r="AD125" s="181">
        <v>46188</v>
      </c>
      <c r="AE125" s="30">
        <v>0.1</v>
      </c>
      <c r="AF125" s="277">
        <v>500</v>
      </c>
      <c r="AG125" s="4">
        <f t="shared" si="266"/>
        <v>450</v>
      </c>
      <c r="AH125" s="3" t="s">
        <v>215</v>
      </c>
      <c r="AI125" s="4">
        <v>1505</v>
      </c>
      <c r="AJ125" s="4">
        <f t="shared" si="270"/>
        <v>752500</v>
      </c>
      <c r="AK125" s="3" t="s">
        <v>249</v>
      </c>
      <c r="AL125" s="3" t="s">
        <v>404</v>
      </c>
      <c r="AM125" s="183">
        <v>0.1</v>
      </c>
      <c r="AN125" s="183">
        <v>0.88</v>
      </c>
      <c r="AO125" s="183">
        <v>0.02</v>
      </c>
      <c r="AP125" s="28" t="s">
        <v>218</v>
      </c>
      <c r="AQ125" s="3" t="s">
        <v>354</v>
      </c>
      <c r="AR125" s="18" t="s">
        <v>251</v>
      </c>
      <c r="AS125" s="27"/>
      <c r="AT125" s="3" t="s">
        <v>220</v>
      </c>
      <c r="AU125" s="3" t="s">
        <v>220</v>
      </c>
      <c r="AV125" s="3" t="s">
        <v>220</v>
      </c>
      <c r="AW125" s="9"/>
      <c r="AX125" s="3"/>
      <c r="AY125" s="47">
        <v>46142</v>
      </c>
      <c r="AZ125" s="278">
        <f t="shared" si="299"/>
        <v>75250</v>
      </c>
      <c r="BA125" s="18">
        <v>46164</v>
      </c>
      <c r="BB125" s="22">
        <v>46167</v>
      </c>
      <c r="BC125" s="22"/>
      <c r="BD125" s="22"/>
      <c r="BE125" s="22"/>
      <c r="BF125" s="22"/>
      <c r="BG125" s="18"/>
      <c r="BH125" s="18"/>
      <c r="BI125" s="3"/>
      <c r="BJ125" s="25"/>
      <c r="BK125" s="189"/>
      <c r="BL125" s="497"/>
      <c r="BM125" s="18"/>
      <c r="BN125" s="4"/>
      <c r="BO125" s="18"/>
      <c r="BP125" s="3" t="s">
        <v>259</v>
      </c>
      <c r="BQ125" s="21" t="s">
        <v>409</v>
      </c>
      <c r="BR125" s="2"/>
      <c r="BS125" s="2"/>
      <c r="BT125" s="2"/>
      <c r="BU125" s="2"/>
      <c r="BV125" s="20"/>
      <c r="BW125" s="19"/>
      <c r="BX125" s="189">
        <f t="shared" si="304"/>
        <v>0</v>
      </c>
      <c r="BY125" s="22"/>
      <c r="BZ125" s="22"/>
      <c r="CA125" s="22"/>
      <c r="CB125" s="22"/>
      <c r="CC125" s="22"/>
      <c r="CD125" s="22"/>
      <c r="CE125" s="22" t="str">
        <f t="shared" si="269"/>
        <v>No OBL Yet</v>
      </c>
      <c r="CF125" s="22"/>
      <c r="CG125" s="22"/>
      <c r="CH125" s="182"/>
      <c r="CI125" s="182"/>
      <c r="CJ125" s="182"/>
      <c r="CK125" s="2" t="str">
        <f t="shared" si="267"/>
        <v>No CERTS Yet</v>
      </c>
      <c r="CL125" s="48"/>
      <c r="CM125" s="22"/>
      <c r="CN125" s="55"/>
      <c r="CO125" s="55"/>
      <c r="CP125" s="55" t="str">
        <f>IF(CO125&lt;&gt;0,"Docs in Buyer's Bank",IF(CN125&lt;&gt;0,"Docs in Transit to Buyer's Bank",IF(CM125&lt;&gt;0,"Docs in Our Bank",IF(CL125="TT PAYMENT","Not Applicable",""))))</f>
        <v/>
      </c>
      <c r="CQ125" s="190">
        <f t="shared" si="253"/>
        <v>-75250</v>
      </c>
      <c r="CR125" s="54"/>
      <c r="CS125" s="2"/>
      <c r="CT125" s="2"/>
      <c r="CU125" s="14" t="str">
        <f t="shared" si="305"/>
        <v/>
      </c>
      <c r="CV125" s="191" t="str">
        <f t="shared" si="306"/>
        <v/>
      </c>
      <c r="CW125" s="14" t="str">
        <f t="shared" si="307"/>
        <v/>
      </c>
      <c r="CX125" s="14" t="str">
        <f t="shared" si="308"/>
        <v/>
      </c>
      <c r="CY125" s="15" t="str">
        <f t="shared" si="309"/>
        <v/>
      </c>
      <c r="CZ125" s="2"/>
      <c r="DA125" s="41" t="str">
        <f t="shared" si="310"/>
        <v/>
      </c>
      <c r="DB125" s="2"/>
      <c r="DC125" s="192" t="str">
        <f t="shared" si="311"/>
        <v/>
      </c>
      <c r="DD125" s="40"/>
      <c r="DE125" s="16" t="str">
        <f t="shared" si="312"/>
        <v/>
      </c>
      <c r="DF125" s="2" t="str">
        <f t="shared" si="313"/>
        <v/>
      </c>
      <c r="DG125" s="14" t="str">
        <f t="shared" si="314"/>
        <v/>
      </c>
      <c r="DH125" s="2" t="str">
        <f t="shared" si="315"/>
        <v/>
      </c>
      <c r="DI125" s="192" t="str">
        <f t="shared" si="316"/>
        <v/>
      </c>
      <c r="DJ125" s="2" t="str">
        <f>IF(CS125="","",IF(DE125&lt;0,DE125*CT125*AI125*10%,0))</f>
        <v/>
      </c>
      <c r="DK125" s="15" t="str">
        <f t="shared" si="317"/>
        <v/>
      </c>
      <c r="DL125" s="2"/>
      <c r="DM125" s="2"/>
      <c r="DN125" s="15" t="str">
        <f t="shared" si="318"/>
        <v/>
      </c>
      <c r="DO125" s="14" t="str">
        <f t="shared" si="319"/>
        <v/>
      </c>
      <c r="DP125" s="14" t="str">
        <f t="shared" si="320"/>
        <v/>
      </c>
      <c r="DQ125" s="15" t="str">
        <f t="shared" si="321"/>
        <v/>
      </c>
      <c r="DR125" s="15" t="str">
        <f t="shared" si="322"/>
        <v/>
      </c>
      <c r="DS125" s="2" t="str">
        <f t="shared" si="323"/>
        <v/>
      </c>
      <c r="DT125" s="2" t="str">
        <f t="shared" si="324"/>
        <v/>
      </c>
      <c r="DU125" s="2"/>
      <c r="DV125" s="2"/>
      <c r="DW125" s="2"/>
      <c r="DX125" s="2"/>
      <c r="DY125" s="2" t="s">
        <v>230</v>
      </c>
      <c r="DZ125" s="2"/>
      <c r="EA125" s="2" t="str">
        <f t="shared" si="325"/>
        <v/>
      </c>
      <c r="EB125" s="2"/>
      <c r="EC125" s="2"/>
      <c r="ED125" s="2"/>
      <c r="EE125" s="3"/>
      <c r="EF125" s="7"/>
      <c r="EG125" s="3"/>
      <c r="EH125" s="3" t="s">
        <v>266</v>
      </c>
      <c r="EI125" s="3"/>
      <c r="EJ125" s="189"/>
      <c r="EK125" s="4"/>
      <c r="EL125" s="9"/>
      <c r="EM125" s="9"/>
      <c r="EN125" s="189">
        <f t="shared" si="326"/>
        <v>0</v>
      </c>
      <c r="EO125" s="9"/>
      <c r="EP125" s="8"/>
      <c r="EQ125" s="4"/>
      <c r="ER125" s="4"/>
      <c r="ES125" s="7"/>
      <c r="ET125" s="7"/>
      <c r="EU125" s="6"/>
      <c r="EV125" s="2" t="str">
        <f t="shared" si="268"/>
        <v>Yet to load</v>
      </c>
      <c r="EW125" s="189"/>
      <c r="EX125" s="189" t="e">
        <f t="shared" si="327"/>
        <v>#DIV/0!</v>
      </c>
      <c r="EY125" s="189" t="s">
        <v>233</v>
      </c>
      <c r="EZ125" s="24"/>
      <c r="FA125" s="2"/>
      <c r="FB125" s="24"/>
      <c r="FC125" s="193"/>
      <c r="FD125" s="189">
        <f t="shared" si="328"/>
        <v>0</v>
      </c>
      <c r="FE125" s="52"/>
      <c r="FF125" s="52"/>
      <c r="FG125" s="49"/>
      <c r="FH125" s="49"/>
      <c r="FI125" s="49"/>
      <c r="FJ125" s="49"/>
      <c r="FK125" s="354"/>
      <c r="FL125" s="354"/>
      <c r="FM125" s="355"/>
      <c r="FN125" s="354"/>
      <c r="FO125" s="354"/>
      <c r="FP125" s="354"/>
      <c r="FQ125" s="354"/>
      <c r="FR125" s="354"/>
      <c r="FS125" s="493">
        <f t="shared" si="256"/>
        <v>20010374</v>
      </c>
      <c r="FT125" s="493">
        <f t="shared" si="257"/>
        <v>32016425</v>
      </c>
      <c r="FU125" s="329"/>
      <c r="FV125" s="329"/>
      <c r="FW125" s="329"/>
      <c r="FX125" s="329"/>
      <c r="FY125" s="329"/>
      <c r="FZ125" s="329"/>
      <c r="GA125" s="329"/>
      <c r="GB125" s="329"/>
      <c r="GC125" s="329"/>
      <c r="GD125" s="329"/>
      <c r="GE125" s="329"/>
      <c r="GF125" s="329"/>
      <c r="GG125" s="329"/>
      <c r="GH125" s="329"/>
      <c r="GI125" s="329"/>
      <c r="GJ125" s="329"/>
      <c r="GK125" s="329"/>
      <c r="GL125" s="329"/>
      <c r="GM125" s="329"/>
      <c r="GN125" s="338"/>
    </row>
    <row r="126" spans="1:196" s="1" customFormat="1" ht="84.95">
      <c r="A126" s="2" t="str">
        <f t="shared" si="258"/>
        <v>OBL Scan Recd, Nego Pending</v>
      </c>
      <c r="B126" s="282">
        <v>49</v>
      </c>
      <c r="C126" s="282">
        <v>200</v>
      </c>
      <c r="D126" s="182" t="s">
        <v>208</v>
      </c>
      <c r="E126" s="2" t="str">
        <f t="shared" si="259"/>
        <v>LONG POSITION</v>
      </c>
      <c r="F126" s="271" t="str">
        <f t="shared" si="302"/>
        <v>TBA 13</v>
      </c>
      <c r="G126" s="271"/>
      <c r="H126" s="2" t="str">
        <f t="shared" si="297"/>
        <v>VALENCY AGRO UNSOLD</v>
      </c>
      <c r="I126" s="3" t="s">
        <v>644</v>
      </c>
      <c r="J126" s="2" t="s">
        <v>210</v>
      </c>
      <c r="K126" s="2" t="str">
        <f t="shared" si="261"/>
        <v>TUTICORIN, INDIA</v>
      </c>
      <c r="L126" s="2" t="str">
        <f t="shared" si="252"/>
        <v>MEDUCN100499</v>
      </c>
      <c r="M126" s="2">
        <f t="shared" si="303"/>
        <v>107.36199999999999</v>
      </c>
      <c r="N126" s="22">
        <f t="shared" si="262"/>
        <v>46159</v>
      </c>
      <c r="O126" s="22">
        <v>46197</v>
      </c>
      <c r="P126" s="22" t="str">
        <f t="shared" si="263"/>
        <v>OBL in Origin - GUINEA CONAKRY-BOKE</v>
      </c>
      <c r="Q126" s="2"/>
      <c r="R126" s="2" t="str">
        <f t="shared" si="264"/>
        <v>No CERTS Yet</v>
      </c>
      <c r="S126" s="2" t="str">
        <f t="shared" si="298"/>
        <v/>
      </c>
      <c r="T126" s="2" t="s">
        <v>789</v>
      </c>
      <c r="U126" s="438" t="s">
        <v>790</v>
      </c>
      <c r="V126" s="272" t="s">
        <v>791</v>
      </c>
      <c r="W126" s="3" t="s">
        <v>792</v>
      </c>
      <c r="X126" s="24"/>
      <c r="Y126" s="273"/>
      <c r="Z126" s="24"/>
      <c r="AA126" s="182" t="s">
        <v>772</v>
      </c>
      <c r="AB126" s="182" t="s">
        <v>665</v>
      </c>
      <c r="AC126" s="182" t="s">
        <v>502</v>
      </c>
      <c r="AD126" s="181">
        <v>46173</v>
      </c>
      <c r="AE126" s="30">
        <v>0.1</v>
      </c>
      <c r="AF126" s="277">
        <v>100</v>
      </c>
      <c r="AG126" s="4">
        <f t="shared" si="266"/>
        <v>90</v>
      </c>
      <c r="AH126" s="3" t="s">
        <v>215</v>
      </c>
      <c r="AI126" s="4"/>
      <c r="AJ126" s="4">
        <f t="shared" si="270"/>
        <v>0</v>
      </c>
      <c r="AK126" s="3" t="s">
        <v>249</v>
      </c>
      <c r="AL126" s="3" t="s">
        <v>238</v>
      </c>
      <c r="AM126" s="30">
        <v>0</v>
      </c>
      <c r="AN126" s="183">
        <v>1</v>
      </c>
      <c r="AO126" s="183">
        <v>0</v>
      </c>
      <c r="AP126" s="28" t="s">
        <v>218</v>
      </c>
      <c r="AQ126" s="18"/>
      <c r="AR126" s="18" t="s">
        <v>251</v>
      </c>
      <c r="AS126" s="27"/>
      <c r="AT126" s="3" t="s">
        <v>220</v>
      </c>
      <c r="AU126" s="3" t="s">
        <v>220</v>
      </c>
      <c r="AV126" s="3" t="s">
        <v>220</v>
      </c>
      <c r="AW126" s="9"/>
      <c r="AX126" s="3"/>
      <c r="AY126" s="47"/>
      <c r="AZ126" s="278">
        <f t="shared" si="299"/>
        <v>0</v>
      </c>
      <c r="BA126" s="18">
        <f>Z126</f>
        <v>0</v>
      </c>
      <c r="BB126" s="22">
        <v>46144</v>
      </c>
      <c r="BC126" s="22"/>
      <c r="BD126" s="22"/>
      <c r="BE126" s="22"/>
      <c r="BF126" s="22"/>
      <c r="BG126" s="18"/>
      <c r="BH126" s="18"/>
      <c r="BI126" s="3" t="s">
        <v>793</v>
      </c>
      <c r="BJ126" s="25">
        <v>107.36199999999999</v>
      </c>
      <c r="BK126" s="189" t="s">
        <v>222</v>
      </c>
      <c r="BL126" s="497">
        <v>4</v>
      </c>
      <c r="BM126" s="18">
        <v>46159</v>
      </c>
      <c r="BN126" s="4" t="s">
        <v>794</v>
      </c>
      <c r="BO126" s="18"/>
      <c r="BP126" s="3" t="s">
        <v>651</v>
      </c>
      <c r="BQ126" s="21" t="s">
        <v>346</v>
      </c>
      <c r="BR126" s="2" t="s">
        <v>226</v>
      </c>
      <c r="BS126" s="2"/>
      <c r="BT126" s="2" t="s">
        <v>795</v>
      </c>
      <c r="BU126" s="2"/>
      <c r="BV126" s="20"/>
      <c r="BW126" s="19"/>
      <c r="BX126" s="189">
        <f t="shared" si="304"/>
        <v>0</v>
      </c>
      <c r="BY126" s="22">
        <v>46150</v>
      </c>
      <c r="BZ126" s="22">
        <v>46164</v>
      </c>
      <c r="CA126" s="22"/>
      <c r="CB126" s="22"/>
      <c r="CC126" s="22"/>
      <c r="CD126" s="22"/>
      <c r="CE126" s="22" t="str">
        <f t="shared" si="269"/>
        <v>OBL in Origin - GUINEA CONAKRY-BOKE</v>
      </c>
      <c r="CF126" s="22"/>
      <c r="CG126" s="22"/>
      <c r="CH126" s="182"/>
      <c r="CI126" s="182"/>
      <c r="CJ126" s="182"/>
      <c r="CK126" s="2" t="str">
        <f t="shared" si="267"/>
        <v>No CERTS Yet</v>
      </c>
      <c r="CL126" s="48"/>
      <c r="CM126" s="22"/>
      <c r="CN126" s="55"/>
      <c r="CO126" s="55"/>
      <c r="CP126" s="55" t="str">
        <f>IF(CO126&lt;&gt;0,"Docs in Buyer's Bank",IF(CN126&lt;&gt;0,"Docs in Transit to Buyer's Bank",IF(CM126&lt;&gt;0,"Docs in Our Bank",IF(CL126="TT PAYMENT","Not Applicable",""))))</f>
        <v/>
      </c>
      <c r="CQ126" s="190">
        <f t="shared" si="253"/>
        <v>0</v>
      </c>
      <c r="CR126" s="54"/>
      <c r="CS126" s="2"/>
      <c r="CT126" s="2"/>
      <c r="CU126" s="14" t="str">
        <f t="shared" si="305"/>
        <v/>
      </c>
      <c r="CV126" s="191" t="str">
        <f t="shared" si="306"/>
        <v/>
      </c>
      <c r="CW126" s="14" t="str">
        <f t="shared" si="307"/>
        <v/>
      </c>
      <c r="CX126" s="14" t="str">
        <f t="shared" si="308"/>
        <v/>
      </c>
      <c r="CY126" s="15" t="str">
        <f t="shared" si="309"/>
        <v/>
      </c>
      <c r="CZ126" s="2"/>
      <c r="DA126" s="41" t="str">
        <f t="shared" si="310"/>
        <v/>
      </c>
      <c r="DB126" s="2"/>
      <c r="DC126" s="192" t="str">
        <f t="shared" si="311"/>
        <v/>
      </c>
      <c r="DD126" s="40"/>
      <c r="DE126" s="16" t="str">
        <f t="shared" si="312"/>
        <v/>
      </c>
      <c r="DF126" s="2" t="str">
        <f t="shared" si="313"/>
        <v/>
      </c>
      <c r="DG126" s="14" t="str">
        <f t="shared" si="314"/>
        <v/>
      </c>
      <c r="DH126" s="2" t="str">
        <f t="shared" si="315"/>
        <v/>
      </c>
      <c r="DI126" s="192" t="str">
        <f t="shared" si="316"/>
        <v/>
      </c>
      <c r="DJ126" s="2" t="str">
        <f t="shared" ref="DJ126:DJ131" si="329">IF(CS126="","",IF(DE126&lt;0,DE126*CT126*AI126*1%,0))</f>
        <v/>
      </c>
      <c r="DK126" s="15" t="str">
        <f t="shared" si="317"/>
        <v/>
      </c>
      <c r="DL126" s="2"/>
      <c r="DM126" s="2"/>
      <c r="DN126" s="15" t="str">
        <f t="shared" si="318"/>
        <v/>
      </c>
      <c r="DO126" s="14" t="str">
        <f t="shared" si="319"/>
        <v/>
      </c>
      <c r="DP126" s="14" t="str">
        <f t="shared" si="320"/>
        <v/>
      </c>
      <c r="DQ126" s="15" t="str">
        <f t="shared" si="321"/>
        <v/>
      </c>
      <c r="DR126" s="15" t="str">
        <f t="shared" si="322"/>
        <v/>
      </c>
      <c r="DS126" s="2" t="str">
        <f t="shared" si="323"/>
        <v/>
      </c>
      <c r="DT126" s="2" t="str">
        <f t="shared" si="324"/>
        <v/>
      </c>
      <c r="DU126" s="2"/>
      <c r="DV126" s="2"/>
      <c r="DW126" s="2"/>
      <c r="DX126" s="2"/>
      <c r="DY126" s="2" t="s">
        <v>230</v>
      </c>
      <c r="DZ126" s="2"/>
      <c r="EA126" s="2" t="str">
        <f t="shared" si="325"/>
        <v/>
      </c>
      <c r="EB126" s="2"/>
      <c r="EC126" s="2"/>
      <c r="ED126" s="2"/>
      <c r="EE126" s="329">
        <v>4900009477</v>
      </c>
      <c r="EF126" s="7"/>
      <c r="EG126" s="3"/>
      <c r="EH126" s="3" t="s">
        <v>796</v>
      </c>
      <c r="EI126" s="3"/>
      <c r="EJ126" s="189">
        <v>100</v>
      </c>
      <c r="EK126" s="4">
        <v>1510</v>
      </c>
      <c r="EL126" s="9"/>
      <c r="EM126" s="9"/>
      <c r="EN126" s="189">
        <f t="shared" si="326"/>
        <v>151000</v>
      </c>
      <c r="EO126" s="9"/>
      <c r="EP126" s="8"/>
      <c r="EQ126" s="4"/>
      <c r="ER126" s="4"/>
      <c r="ES126" s="7"/>
      <c r="ET126" s="7"/>
      <c r="EU126" s="6"/>
      <c r="EV126" s="2" t="str">
        <f t="shared" si="268"/>
        <v>Nego Pending</v>
      </c>
      <c r="EW126" s="189"/>
      <c r="EX126" s="189">
        <f t="shared" si="327"/>
        <v>0</v>
      </c>
      <c r="EY126" s="189" t="s">
        <v>233</v>
      </c>
      <c r="EZ126" s="24"/>
      <c r="FA126" s="2"/>
      <c r="FB126" s="24"/>
      <c r="FC126" s="193"/>
      <c r="FD126" s="189">
        <f t="shared" si="328"/>
        <v>0</v>
      </c>
      <c r="FE126" s="52"/>
      <c r="FF126" s="52"/>
      <c r="FG126" s="49"/>
      <c r="FH126" s="49"/>
      <c r="FI126" s="49"/>
      <c r="FJ126" s="49"/>
      <c r="FK126" s="49"/>
      <c r="FL126" s="49">
        <f t="shared" ref="FL126:FL133" si="330">IFERROR(EZ126-BY126,"")</f>
        <v>-46150</v>
      </c>
      <c r="FM126" s="180">
        <f t="shared" ref="FM126:FM133" si="331">IFERROR(BM126-FB126,"")</f>
        <v>46159</v>
      </c>
      <c r="FN126" s="49"/>
      <c r="FO126" s="49"/>
      <c r="FP126" s="49"/>
      <c r="FQ126" s="49"/>
      <c r="FR126" s="49"/>
      <c r="FS126" s="34">
        <f t="shared" si="256"/>
        <v>0</v>
      </c>
      <c r="FT126" s="34" t="str">
        <f t="shared" si="257"/>
        <v>TBA 13</v>
      </c>
      <c r="FU126" s="3"/>
      <c r="FV126" s="3"/>
      <c r="FW126" s="3"/>
      <c r="FX126" s="3"/>
      <c r="FY126" s="3"/>
      <c r="FZ126" s="3"/>
      <c r="GA126" s="3"/>
      <c r="GB126" s="4"/>
      <c r="GC126" s="3"/>
      <c r="GD126" s="182"/>
      <c r="GE126" s="3"/>
      <c r="GF126" s="3"/>
      <c r="GG126" s="3"/>
      <c r="GH126" s="3"/>
      <c r="GI126" s="3"/>
      <c r="GJ126" s="3"/>
      <c r="GK126" s="3"/>
      <c r="GL126" s="3"/>
      <c r="GM126" s="3"/>
      <c r="GN126" s="3"/>
    </row>
    <row r="127" spans="1:196" s="1" customFormat="1" ht="33.950000000000003">
      <c r="A127" s="2" t="str">
        <f t="shared" si="258"/>
        <v>SI Sent, Shipment Awaited</v>
      </c>
      <c r="B127" s="282">
        <v>46</v>
      </c>
      <c r="C127" s="282">
        <v>200</v>
      </c>
      <c r="D127" s="182" t="s">
        <v>208</v>
      </c>
      <c r="E127" s="2" t="str">
        <f t="shared" si="259"/>
        <v>SHORT POSITION</v>
      </c>
      <c r="F127" s="271">
        <f t="shared" si="302"/>
        <v>32016355</v>
      </c>
      <c r="G127" s="271"/>
      <c r="H127" s="2" t="str">
        <f t="shared" si="297"/>
        <v xml:space="preserve">THAO NGUYEN COMPANY LIMITED  </v>
      </c>
      <c r="I127" s="3" t="s">
        <v>259</v>
      </c>
      <c r="J127" s="2" t="s">
        <v>347</v>
      </c>
      <c r="K127" s="2" t="str">
        <f t="shared" si="261"/>
        <v>THI VAI- CAI MEP PORT, BA RIA VUNG TAU</v>
      </c>
      <c r="L127" s="2" t="str">
        <f t="shared" si="252"/>
        <v/>
      </c>
      <c r="M127" s="2" t="str">
        <f t="shared" si="303"/>
        <v/>
      </c>
      <c r="N127" s="22" t="str">
        <f t="shared" si="262"/>
        <v/>
      </c>
      <c r="O127" s="22" t="str">
        <f t="shared" ref="O127:O158" si="332">IF(BO127&lt;&gt;0,BO127,"")</f>
        <v/>
      </c>
      <c r="P127" s="22" t="str">
        <f t="shared" si="263"/>
        <v>No OBL Yet</v>
      </c>
      <c r="Q127" s="2"/>
      <c r="R127" s="2" t="str">
        <f t="shared" si="264"/>
        <v>No CERTS Yet</v>
      </c>
      <c r="S127" s="2" t="str">
        <f t="shared" si="298"/>
        <v/>
      </c>
      <c r="T127" s="2" t="s">
        <v>787</v>
      </c>
      <c r="U127" s="3"/>
      <c r="V127" s="272"/>
      <c r="W127" s="3" t="s">
        <v>785</v>
      </c>
      <c r="X127" s="24">
        <v>46147</v>
      </c>
      <c r="Y127" s="273">
        <v>20010250</v>
      </c>
      <c r="Z127" s="24">
        <v>46147</v>
      </c>
      <c r="AA127" s="182">
        <v>32016355</v>
      </c>
      <c r="AB127" s="182" t="s">
        <v>352</v>
      </c>
      <c r="AC127" s="182" t="s">
        <v>797</v>
      </c>
      <c r="AD127" s="181">
        <v>46203</v>
      </c>
      <c r="AE127" s="30">
        <v>0.1</v>
      </c>
      <c r="AF127" s="277">
        <v>250</v>
      </c>
      <c r="AG127" s="4">
        <f t="shared" si="266"/>
        <v>225</v>
      </c>
      <c r="AH127" s="3" t="s">
        <v>215</v>
      </c>
      <c r="AI127" s="4">
        <v>1485</v>
      </c>
      <c r="AJ127" s="4">
        <f t="shared" si="270"/>
        <v>371250</v>
      </c>
      <c r="AK127" s="3" t="s">
        <v>249</v>
      </c>
      <c r="AL127" s="3" t="s">
        <v>780</v>
      </c>
      <c r="AM127" s="30">
        <v>0.1</v>
      </c>
      <c r="AN127" s="183">
        <v>0.88</v>
      </c>
      <c r="AO127" s="183">
        <v>0.02</v>
      </c>
      <c r="AP127" s="28" t="s">
        <v>218</v>
      </c>
      <c r="AQ127" s="18" t="s">
        <v>370</v>
      </c>
      <c r="AR127" s="18" t="s">
        <v>251</v>
      </c>
      <c r="AS127" s="27"/>
      <c r="AT127" s="3" t="s">
        <v>220</v>
      </c>
      <c r="AU127" s="3" t="s">
        <v>220</v>
      </c>
      <c r="AV127" s="3" t="s">
        <v>220</v>
      </c>
      <c r="AW127" s="9"/>
      <c r="AX127" s="3"/>
      <c r="AY127" s="47">
        <v>46154</v>
      </c>
      <c r="AZ127" s="278">
        <f t="shared" si="299"/>
        <v>37125</v>
      </c>
      <c r="BA127" s="18">
        <v>46154</v>
      </c>
      <c r="BB127" s="22">
        <v>46167</v>
      </c>
      <c r="BC127" s="22"/>
      <c r="BD127" s="22"/>
      <c r="BE127" s="22"/>
      <c r="BF127" s="22"/>
      <c r="BG127" s="18"/>
      <c r="BH127" s="18"/>
      <c r="BI127" s="3"/>
      <c r="BJ127" s="25"/>
      <c r="BK127" s="189" t="s">
        <v>222</v>
      </c>
      <c r="BL127" s="497"/>
      <c r="BM127" s="18"/>
      <c r="BN127" s="4"/>
      <c r="BO127" s="18"/>
      <c r="BP127" s="3" t="s">
        <v>259</v>
      </c>
      <c r="BQ127" s="21" t="s">
        <v>798</v>
      </c>
      <c r="BR127" s="2"/>
      <c r="BS127" s="2"/>
      <c r="BT127" s="2"/>
      <c r="BU127" s="2"/>
      <c r="BV127" s="20"/>
      <c r="BW127" s="19"/>
      <c r="BX127" s="189">
        <f t="shared" si="304"/>
        <v>0</v>
      </c>
      <c r="BY127" s="22"/>
      <c r="BZ127" s="22"/>
      <c r="CA127" s="22"/>
      <c r="CB127" s="22"/>
      <c r="CC127" s="22"/>
      <c r="CD127" s="22"/>
      <c r="CE127" s="22" t="str">
        <f t="shared" si="269"/>
        <v>No OBL Yet</v>
      </c>
      <c r="CF127" s="22"/>
      <c r="CG127" s="22"/>
      <c r="CH127" s="182"/>
      <c r="CI127" s="182"/>
      <c r="CJ127" s="182"/>
      <c r="CK127" s="2" t="str">
        <f t="shared" si="267"/>
        <v>No CERTS Yet</v>
      </c>
      <c r="CL127" s="48"/>
      <c r="CM127" s="22"/>
      <c r="CN127" s="55"/>
      <c r="CO127" s="55"/>
      <c r="CP127" s="55" t="str">
        <f>IF(CO127&lt;&gt;0,"Docs in Buyer's Bank",IF(CN127&lt;&gt;0,"Docs in Transit to Buyer's Bank",IF(CM127&lt;&gt;0,"Docs in Our Bank",IF(CL127="TT PAYMENT","Not Applicable",""))))</f>
        <v/>
      </c>
      <c r="CQ127" s="190">
        <f t="shared" si="253"/>
        <v>-37125</v>
      </c>
      <c r="CR127" s="54"/>
      <c r="CS127" s="2"/>
      <c r="CT127" s="2"/>
      <c r="CU127" s="14" t="str">
        <f t="shared" si="305"/>
        <v/>
      </c>
      <c r="CV127" s="191" t="str">
        <f t="shared" si="306"/>
        <v/>
      </c>
      <c r="CW127" s="14" t="str">
        <f t="shared" si="307"/>
        <v/>
      </c>
      <c r="CX127" s="14" t="str">
        <f t="shared" si="308"/>
        <v/>
      </c>
      <c r="CY127" s="15" t="str">
        <f t="shared" si="309"/>
        <v/>
      </c>
      <c r="CZ127" s="2"/>
      <c r="DA127" s="41" t="str">
        <f t="shared" si="310"/>
        <v/>
      </c>
      <c r="DB127" s="2"/>
      <c r="DC127" s="192" t="str">
        <f t="shared" si="311"/>
        <v/>
      </c>
      <c r="DD127" s="40"/>
      <c r="DE127" s="16" t="str">
        <f t="shared" si="312"/>
        <v/>
      </c>
      <c r="DF127" s="2" t="str">
        <f t="shared" si="313"/>
        <v/>
      </c>
      <c r="DG127" s="14" t="str">
        <f t="shared" si="314"/>
        <v/>
      </c>
      <c r="DH127" s="2" t="str">
        <f t="shared" si="315"/>
        <v/>
      </c>
      <c r="DI127" s="192" t="str">
        <f t="shared" si="316"/>
        <v/>
      </c>
      <c r="DJ127" s="2" t="str">
        <f t="shared" si="329"/>
        <v/>
      </c>
      <c r="DK127" s="15" t="str">
        <f t="shared" si="317"/>
        <v/>
      </c>
      <c r="DL127" s="2"/>
      <c r="DM127" s="2"/>
      <c r="DN127" s="15" t="str">
        <f t="shared" si="318"/>
        <v/>
      </c>
      <c r="DO127" s="14" t="str">
        <f t="shared" si="319"/>
        <v/>
      </c>
      <c r="DP127" s="14" t="str">
        <f t="shared" si="320"/>
        <v/>
      </c>
      <c r="DQ127" s="15" t="str">
        <f t="shared" si="321"/>
        <v/>
      </c>
      <c r="DR127" s="15" t="str">
        <f t="shared" si="322"/>
        <v/>
      </c>
      <c r="DS127" s="2" t="str">
        <f t="shared" si="323"/>
        <v/>
      </c>
      <c r="DT127" s="2" t="str">
        <f t="shared" si="324"/>
        <v/>
      </c>
      <c r="DU127" s="2"/>
      <c r="DV127" s="2"/>
      <c r="DW127" s="2"/>
      <c r="DX127" s="2"/>
      <c r="DY127" s="2" t="s">
        <v>230</v>
      </c>
      <c r="DZ127" s="2"/>
      <c r="EA127" s="2" t="str">
        <f t="shared" si="325"/>
        <v/>
      </c>
      <c r="EB127" s="2"/>
      <c r="EC127" s="2"/>
      <c r="ED127" s="2"/>
      <c r="EE127" s="3"/>
      <c r="EF127" s="7"/>
      <c r="EG127" s="3"/>
      <c r="EH127" s="3" t="s">
        <v>266</v>
      </c>
      <c r="EI127" s="3"/>
      <c r="EJ127" s="189">
        <v>250</v>
      </c>
      <c r="EK127" s="4"/>
      <c r="EL127" s="9"/>
      <c r="EM127" s="9"/>
      <c r="EN127" s="189">
        <f t="shared" si="326"/>
        <v>0</v>
      </c>
      <c r="EO127" s="9"/>
      <c r="EP127" s="8"/>
      <c r="EQ127" s="4"/>
      <c r="ER127" s="4"/>
      <c r="ES127" s="7"/>
      <c r="ET127" s="7"/>
      <c r="EU127" s="6"/>
      <c r="EV127" s="2" t="str">
        <f t="shared" si="268"/>
        <v>Yet to load</v>
      </c>
      <c r="EW127" s="189"/>
      <c r="EX127" s="189" t="e">
        <f t="shared" si="327"/>
        <v>#DIV/0!</v>
      </c>
      <c r="EY127" s="189" t="s">
        <v>233</v>
      </c>
      <c r="EZ127" s="24"/>
      <c r="FA127" s="2"/>
      <c r="FB127" s="24"/>
      <c r="FC127" s="193"/>
      <c r="FD127" s="189">
        <f t="shared" si="328"/>
        <v>0</v>
      </c>
      <c r="FE127" s="52"/>
      <c r="FF127" s="52"/>
      <c r="FG127" s="49"/>
      <c r="FH127" s="49"/>
      <c r="FI127" s="49"/>
      <c r="FJ127" s="49"/>
      <c r="FK127" s="49"/>
      <c r="FL127" s="49">
        <f t="shared" si="330"/>
        <v>0</v>
      </c>
      <c r="FM127" s="180">
        <f t="shared" si="331"/>
        <v>0</v>
      </c>
      <c r="FN127" s="49"/>
      <c r="FO127" s="49"/>
      <c r="FP127" s="49"/>
      <c r="FQ127" s="49"/>
      <c r="FR127" s="49"/>
      <c r="FS127" s="34">
        <f t="shared" si="256"/>
        <v>20010250</v>
      </c>
      <c r="FT127" s="34">
        <f t="shared" si="257"/>
        <v>32016355</v>
      </c>
      <c r="FU127" s="3"/>
      <c r="FV127" s="3"/>
      <c r="FW127" s="3"/>
      <c r="FX127" s="3"/>
      <c r="FY127" s="3"/>
      <c r="FZ127" s="3"/>
      <c r="GA127" s="3"/>
      <c r="GB127" s="4"/>
      <c r="GC127" s="3"/>
      <c r="GD127" s="182"/>
      <c r="GE127" s="3"/>
      <c r="GF127" s="3"/>
      <c r="GG127" s="3"/>
      <c r="GH127" s="3"/>
      <c r="GI127" s="3"/>
      <c r="GJ127" s="3"/>
      <c r="GK127" s="3"/>
      <c r="GL127" s="3"/>
      <c r="GM127" s="3"/>
      <c r="GN127" s="3"/>
    </row>
    <row r="128" spans="1:196" s="1" customFormat="1" ht="33.950000000000003">
      <c r="A128" s="2" t="str">
        <f t="shared" si="258"/>
        <v>Exp Dox Presented to Bank, Pmt Pending</v>
      </c>
      <c r="B128" s="281">
        <v>51</v>
      </c>
      <c r="C128" s="281">
        <v>185</v>
      </c>
      <c r="D128" s="182" t="s">
        <v>208</v>
      </c>
      <c r="E128" s="2" t="str">
        <f t="shared" si="259"/>
        <v>CLOSE POSITION</v>
      </c>
      <c r="F128" s="271">
        <f t="shared" si="302"/>
        <v>32013816</v>
      </c>
      <c r="G128" s="271"/>
      <c r="H128" s="2" t="str">
        <f t="shared" si="297"/>
        <v>MAHALASA EXPORTS</v>
      </c>
      <c r="I128" s="3" t="s">
        <v>799</v>
      </c>
      <c r="J128" s="2" t="s">
        <v>210</v>
      </c>
      <c r="K128" s="2" t="str">
        <f t="shared" si="261"/>
        <v>MANGALORE, INDIA</v>
      </c>
      <c r="L128" s="2" t="str">
        <f t="shared" si="252"/>
        <v>MEDULG628380</v>
      </c>
      <c r="M128" s="2"/>
      <c r="N128" s="22">
        <f t="shared" si="262"/>
        <v>46193</v>
      </c>
      <c r="O128" s="22">
        <f t="shared" si="332"/>
        <v>46193</v>
      </c>
      <c r="P128" s="22" t="str">
        <f t="shared" si="263"/>
        <v>OBL in Transit with Nego Docs - INDIA</v>
      </c>
      <c r="Q128" s="2"/>
      <c r="R128" s="2" t="str">
        <f t="shared" si="264"/>
        <v>CERTS in Destination - INDIA</v>
      </c>
      <c r="S128" s="2" t="str">
        <f t="shared" si="298"/>
        <v>Docs in Transit to Buyer's Nego Bank</v>
      </c>
      <c r="T128" s="2"/>
      <c r="U128" s="3" t="s">
        <v>580</v>
      </c>
      <c r="V128" s="272"/>
      <c r="W128" s="3"/>
      <c r="X128" s="24">
        <v>46035</v>
      </c>
      <c r="Y128" s="273">
        <v>20009174</v>
      </c>
      <c r="Z128" s="24">
        <v>46035</v>
      </c>
      <c r="AA128" s="182">
        <v>32013816</v>
      </c>
      <c r="AB128" s="182" t="s">
        <v>359</v>
      </c>
      <c r="AC128" s="182" t="s">
        <v>517</v>
      </c>
      <c r="AD128" s="181">
        <v>46112</v>
      </c>
      <c r="AE128" s="30">
        <v>0.1</v>
      </c>
      <c r="AF128" s="277">
        <v>100.38</v>
      </c>
      <c r="AG128" s="35">
        <f t="shared" si="266"/>
        <v>90.341999999999999</v>
      </c>
      <c r="AH128" s="3" t="s">
        <v>215</v>
      </c>
      <c r="AI128" s="4">
        <v>1625</v>
      </c>
      <c r="AJ128" s="4">
        <v>162500</v>
      </c>
      <c r="AK128" s="3" t="s">
        <v>249</v>
      </c>
      <c r="AL128" s="3" t="s">
        <v>238</v>
      </c>
      <c r="AM128" s="30">
        <v>0</v>
      </c>
      <c r="AN128" s="183">
        <v>1</v>
      </c>
      <c r="AO128" s="183">
        <v>0</v>
      </c>
      <c r="AP128" s="28" t="s">
        <v>218</v>
      </c>
      <c r="AQ128" s="18" t="s">
        <v>239</v>
      </c>
      <c r="AR128" s="18" t="s">
        <v>264</v>
      </c>
      <c r="AS128" s="27">
        <v>5</v>
      </c>
      <c r="AT128" s="3" t="s">
        <v>220</v>
      </c>
      <c r="AU128" s="3" t="s">
        <v>220</v>
      </c>
      <c r="AV128" s="3" t="s">
        <v>220</v>
      </c>
      <c r="AW128" s="9"/>
      <c r="AX128" s="3"/>
      <c r="AY128" s="47"/>
      <c r="AZ128" s="275">
        <f t="shared" si="299"/>
        <v>0</v>
      </c>
      <c r="BA128" s="18">
        <v>46035</v>
      </c>
      <c r="BB128" s="22">
        <v>46042</v>
      </c>
      <c r="BC128" s="22"/>
      <c r="BD128" s="22"/>
      <c r="BE128" s="22"/>
      <c r="BF128" s="22">
        <v>46042</v>
      </c>
      <c r="BG128" s="18"/>
      <c r="BH128" s="18"/>
      <c r="BI128" s="3" t="s">
        <v>800</v>
      </c>
      <c r="BJ128" s="25">
        <v>100.38</v>
      </c>
      <c r="BK128" s="46" t="s">
        <v>222</v>
      </c>
      <c r="BL128" s="497">
        <v>4</v>
      </c>
      <c r="BM128" s="18">
        <v>46193</v>
      </c>
      <c r="BN128" s="4" t="s">
        <v>801</v>
      </c>
      <c r="BO128" s="18">
        <v>46193</v>
      </c>
      <c r="BP128" s="3" t="s">
        <v>278</v>
      </c>
      <c r="BQ128" s="21" t="s">
        <v>265</v>
      </c>
      <c r="BR128" s="2" t="s">
        <v>226</v>
      </c>
      <c r="BS128" s="2"/>
      <c r="BT128" s="2"/>
      <c r="BU128" s="2"/>
      <c r="BV128" s="20">
        <v>90085852</v>
      </c>
      <c r="BW128" s="19">
        <v>46134</v>
      </c>
      <c r="BX128" s="46">
        <f t="shared" si="304"/>
        <v>163117.5</v>
      </c>
      <c r="BY128" s="22">
        <v>46149</v>
      </c>
      <c r="BZ128" s="22">
        <v>46149</v>
      </c>
      <c r="CA128" s="2">
        <v>8329298622</v>
      </c>
      <c r="CB128" s="22">
        <v>46155</v>
      </c>
      <c r="CC128" s="22"/>
      <c r="CD128" s="22"/>
      <c r="CE128" s="22" t="str">
        <f t="shared" si="269"/>
        <v>OBL in Transit with Nego Docs - INDIA</v>
      </c>
      <c r="CF128" s="22"/>
      <c r="CG128" s="22"/>
      <c r="CH128" s="22">
        <v>46160</v>
      </c>
      <c r="CI128" s="418">
        <v>6180173156</v>
      </c>
      <c r="CJ128" s="22">
        <v>46167</v>
      </c>
      <c r="CK128" s="2" t="str">
        <f t="shared" si="267"/>
        <v>CERTS in Destination - INDIA</v>
      </c>
      <c r="CL128" s="48" t="s">
        <v>244</v>
      </c>
      <c r="CM128" s="22">
        <v>46161</v>
      </c>
      <c r="CN128" s="55">
        <v>2869697762</v>
      </c>
      <c r="CO128" s="55"/>
      <c r="CP128" s="55" t="str">
        <f>IF(CO128&lt;&gt;0,"Docs in Buyer's Nego Bank",IF(CN128&lt;&gt;0,"Docs in Transit to Buyer's Nego Bank",IF(CM128&lt;&gt;0,"Docs in Our Nego Bank",IF(CL128="TT PAYMENT","Not Applicable",""))))</f>
        <v>Docs in Transit to Buyer's Nego Bank</v>
      </c>
      <c r="CQ128" s="50">
        <f t="shared" si="253"/>
        <v>163117.5</v>
      </c>
      <c r="CR128" s="54"/>
      <c r="CS128" s="2"/>
      <c r="CT128" s="2"/>
      <c r="CU128" s="14" t="str">
        <f t="shared" si="305"/>
        <v/>
      </c>
      <c r="CV128" s="42" t="str">
        <f t="shared" si="306"/>
        <v/>
      </c>
      <c r="CW128" s="14" t="str">
        <f t="shared" si="307"/>
        <v/>
      </c>
      <c r="CX128" s="14" t="str">
        <f t="shared" si="308"/>
        <v/>
      </c>
      <c r="CY128" s="15" t="str">
        <f t="shared" si="309"/>
        <v/>
      </c>
      <c r="CZ128" s="2"/>
      <c r="DA128" s="41" t="str">
        <f t="shared" si="310"/>
        <v/>
      </c>
      <c r="DB128" s="2"/>
      <c r="DC128" s="39" t="str">
        <f t="shared" si="311"/>
        <v/>
      </c>
      <c r="DD128" s="40"/>
      <c r="DE128" s="16" t="str">
        <f t="shared" si="312"/>
        <v/>
      </c>
      <c r="DF128" s="2" t="str">
        <f t="shared" si="313"/>
        <v/>
      </c>
      <c r="DG128" s="14" t="str">
        <f t="shared" si="314"/>
        <v/>
      </c>
      <c r="DH128" s="2" t="str">
        <f t="shared" si="315"/>
        <v/>
      </c>
      <c r="DI128" s="39" t="str">
        <f t="shared" si="316"/>
        <v/>
      </c>
      <c r="DJ128" s="2" t="str">
        <f t="shared" si="329"/>
        <v/>
      </c>
      <c r="DK128" s="15" t="str">
        <f t="shared" si="317"/>
        <v/>
      </c>
      <c r="DL128" s="2"/>
      <c r="DM128" s="2"/>
      <c r="DN128" s="15" t="str">
        <f t="shared" si="318"/>
        <v/>
      </c>
      <c r="DO128" s="14" t="str">
        <f t="shared" si="319"/>
        <v/>
      </c>
      <c r="DP128" s="14" t="str">
        <f t="shared" si="320"/>
        <v/>
      </c>
      <c r="DQ128" s="15" t="str">
        <f t="shared" si="321"/>
        <v/>
      </c>
      <c r="DR128" s="15" t="str">
        <f t="shared" si="322"/>
        <v/>
      </c>
      <c r="DS128" s="2" t="str">
        <f t="shared" si="323"/>
        <v/>
      </c>
      <c r="DT128" s="2" t="str">
        <f t="shared" si="324"/>
        <v/>
      </c>
      <c r="DU128" s="2"/>
      <c r="DV128" s="2"/>
      <c r="DW128" s="2"/>
      <c r="DX128" s="2"/>
      <c r="DY128" s="2" t="s">
        <v>230</v>
      </c>
      <c r="DZ128" s="2"/>
      <c r="EA128" s="2" t="str">
        <f t="shared" si="325"/>
        <v/>
      </c>
      <c r="EB128" s="2"/>
      <c r="EC128" s="2"/>
      <c r="ED128" s="2"/>
      <c r="EE128" s="3">
        <v>4900008821</v>
      </c>
      <c r="EF128" s="7">
        <v>46032</v>
      </c>
      <c r="EG128" s="3"/>
      <c r="EH128" s="3" t="s">
        <v>231</v>
      </c>
      <c r="EI128" s="3" t="s">
        <v>258</v>
      </c>
      <c r="EJ128" s="4">
        <v>100</v>
      </c>
      <c r="EK128" s="4">
        <v>1500</v>
      </c>
      <c r="EL128" s="11" t="s">
        <v>220</v>
      </c>
      <c r="EM128" s="7"/>
      <c r="EN128" s="46">
        <f t="shared" si="326"/>
        <v>150000</v>
      </c>
      <c r="EO128" s="3" t="s">
        <v>232</v>
      </c>
      <c r="EP128" s="3"/>
      <c r="EQ128" s="3"/>
      <c r="ER128" s="3"/>
      <c r="ES128" s="7"/>
      <c r="ET128" s="3"/>
      <c r="EU128" s="3"/>
      <c r="EV128" s="2" t="str">
        <f t="shared" si="268"/>
        <v>Export Loan</v>
      </c>
      <c r="EW128" s="46"/>
      <c r="EX128" s="46">
        <f t="shared" si="327"/>
        <v>0</v>
      </c>
      <c r="EY128" s="46" t="s">
        <v>233</v>
      </c>
      <c r="EZ128" s="24"/>
      <c r="FA128" s="2">
        <v>22141455</v>
      </c>
      <c r="FB128" s="24"/>
      <c r="FC128" s="53"/>
      <c r="FD128" s="46">
        <f t="shared" si="328"/>
        <v>0</v>
      </c>
      <c r="FE128" s="52"/>
      <c r="FF128" s="52"/>
      <c r="FG128" s="49"/>
      <c r="FH128" s="49"/>
      <c r="FI128" s="49"/>
      <c r="FJ128" s="49"/>
      <c r="FK128" s="49"/>
      <c r="FL128" s="49">
        <f t="shared" si="330"/>
        <v>-46149</v>
      </c>
      <c r="FM128" s="180">
        <f t="shared" si="331"/>
        <v>46193</v>
      </c>
      <c r="FN128" s="49"/>
      <c r="FO128" s="49"/>
      <c r="FP128" s="49"/>
      <c r="FQ128" s="49"/>
      <c r="FR128" s="49"/>
      <c r="FS128" s="6">
        <v>20009174</v>
      </c>
      <c r="FT128" s="3">
        <v>32013816</v>
      </c>
      <c r="FU128" s="3"/>
      <c r="FV128" s="3"/>
      <c r="FW128" s="3"/>
      <c r="FX128" s="3"/>
      <c r="FY128" s="3"/>
      <c r="FZ128" s="3"/>
      <c r="GA128" s="3"/>
      <c r="GB128" s="3"/>
      <c r="GC128" s="3"/>
      <c r="GD128" s="3">
        <v>90085852</v>
      </c>
      <c r="GE128" s="3"/>
      <c r="GF128" s="3" t="s">
        <v>235</v>
      </c>
      <c r="GG128" s="3"/>
      <c r="GH128" s="3"/>
      <c r="GI128" s="3"/>
      <c r="GJ128" s="3"/>
      <c r="GK128" s="3"/>
      <c r="GL128" s="3"/>
      <c r="GM128" s="3"/>
      <c r="GN128" s="4"/>
    </row>
    <row r="129" spans="1:196" s="1" customFormat="1" ht="33.950000000000003">
      <c r="A129" s="2" t="str">
        <f t="shared" si="258"/>
        <v>Exp Dox Presented to Bank, Pmt Pending</v>
      </c>
      <c r="B129" s="281">
        <v>51</v>
      </c>
      <c r="C129" s="281">
        <v>185</v>
      </c>
      <c r="D129" s="182" t="s">
        <v>208</v>
      </c>
      <c r="E129" s="2" t="str">
        <f t="shared" si="259"/>
        <v>CLOSE POSITION</v>
      </c>
      <c r="F129" s="271">
        <f t="shared" si="302"/>
        <v>32013811</v>
      </c>
      <c r="G129" s="271"/>
      <c r="H129" s="2" t="str">
        <f t="shared" si="297"/>
        <v>SRI VIJAYALAXMI CASHEW INDUSTRIES</v>
      </c>
      <c r="I129" s="3" t="s">
        <v>799</v>
      </c>
      <c r="J129" s="2" t="s">
        <v>210</v>
      </c>
      <c r="K129" s="2" t="str">
        <f t="shared" si="261"/>
        <v>MANGALORE, INDIA</v>
      </c>
      <c r="L129" s="2" t="str">
        <f t="shared" si="252"/>
        <v>MEDULG628398</v>
      </c>
      <c r="M129" s="2">
        <f t="shared" ref="M129:M160" si="333">IF(BJ129&lt;&gt;0,BJ129,"")</f>
        <v>99.923000000000002</v>
      </c>
      <c r="N129" s="22">
        <f t="shared" si="262"/>
        <v>46193</v>
      </c>
      <c r="O129" s="22">
        <f t="shared" si="332"/>
        <v>46193</v>
      </c>
      <c r="P129" s="22" t="str">
        <f t="shared" si="263"/>
        <v>OBL in Transit with Nego Docs - INDIA</v>
      </c>
      <c r="Q129" s="2"/>
      <c r="R129" s="2" t="str">
        <f t="shared" si="264"/>
        <v>CERTS in Destination - INDIA</v>
      </c>
      <c r="S129" s="2" t="str">
        <f t="shared" si="298"/>
        <v>Docs in Transit to Buyer's Nego Bank</v>
      </c>
      <c r="T129" s="2"/>
      <c r="U129" s="3" t="s">
        <v>580</v>
      </c>
      <c r="V129" s="272"/>
      <c r="W129" s="3"/>
      <c r="X129" s="24">
        <v>46035</v>
      </c>
      <c r="Y129" s="273">
        <v>20009173</v>
      </c>
      <c r="Z129" s="24">
        <v>46035</v>
      </c>
      <c r="AA129" s="182">
        <v>32013811</v>
      </c>
      <c r="AB129" s="182" t="s">
        <v>321</v>
      </c>
      <c r="AC129" s="182" t="s">
        <v>517</v>
      </c>
      <c r="AD129" s="181">
        <v>46112</v>
      </c>
      <c r="AE129" s="30">
        <v>0.1</v>
      </c>
      <c r="AF129" s="277">
        <v>100</v>
      </c>
      <c r="AG129" s="35">
        <f t="shared" si="266"/>
        <v>90</v>
      </c>
      <c r="AH129" s="3" t="s">
        <v>215</v>
      </c>
      <c r="AI129" s="4">
        <v>1620</v>
      </c>
      <c r="AJ129" s="4">
        <v>162000</v>
      </c>
      <c r="AK129" s="3" t="s">
        <v>249</v>
      </c>
      <c r="AL129" s="3" t="s">
        <v>238</v>
      </c>
      <c r="AM129" s="30">
        <v>0</v>
      </c>
      <c r="AN129" s="183">
        <v>1</v>
      </c>
      <c r="AO129" s="183">
        <v>0</v>
      </c>
      <c r="AP129" s="28" t="s">
        <v>218</v>
      </c>
      <c r="AQ129" s="18" t="s">
        <v>239</v>
      </c>
      <c r="AR129" s="18" t="s">
        <v>251</v>
      </c>
      <c r="AS129" s="27"/>
      <c r="AT129" s="3" t="s">
        <v>220</v>
      </c>
      <c r="AU129" s="3" t="s">
        <v>220</v>
      </c>
      <c r="AV129" s="3" t="s">
        <v>220</v>
      </c>
      <c r="AW129" s="9"/>
      <c r="AX129" s="3"/>
      <c r="AY129" s="47"/>
      <c r="AZ129" s="275">
        <f t="shared" si="299"/>
        <v>0</v>
      </c>
      <c r="BA129" s="18">
        <v>46035</v>
      </c>
      <c r="BB129" s="22">
        <v>46042</v>
      </c>
      <c r="BC129" s="22"/>
      <c r="BD129" s="22"/>
      <c r="BE129" s="22"/>
      <c r="BF129" s="22">
        <v>46042</v>
      </c>
      <c r="BG129" s="18"/>
      <c r="BH129" s="18"/>
      <c r="BI129" s="3" t="s">
        <v>802</v>
      </c>
      <c r="BJ129" s="25">
        <v>99.923000000000002</v>
      </c>
      <c r="BK129" s="46" t="s">
        <v>222</v>
      </c>
      <c r="BL129" s="497">
        <v>4</v>
      </c>
      <c r="BM129" s="18">
        <v>46193</v>
      </c>
      <c r="BN129" s="4" t="s">
        <v>803</v>
      </c>
      <c r="BO129" s="18">
        <v>46193</v>
      </c>
      <c r="BP129" s="3" t="s">
        <v>278</v>
      </c>
      <c r="BQ129" s="21" t="s">
        <v>265</v>
      </c>
      <c r="BR129" s="2" t="s">
        <v>226</v>
      </c>
      <c r="BS129" s="2"/>
      <c r="BT129" s="2"/>
      <c r="BU129" s="2"/>
      <c r="BV129" s="20">
        <v>90085331</v>
      </c>
      <c r="BW129" s="19">
        <v>46134</v>
      </c>
      <c r="BX129" s="46">
        <f t="shared" si="304"/>
        <v>161875.26</v>
      </c>
      <c r="BY129" s="22">
        <v>46149</v>
      </c>
      <c r="BZ129" s="22">
        <v>46149</v>
      </c>
      <c r="CA129" s="271">
        <v>8329298622</v>
      </c>
      <c r="CB129" s="22">
        <v>46155</v>
      </c>
      <c r="CC129" s="22"/>
      <c r="CD129" s="22"/>
      <c r="CE129" s="22" t="str">
        <f t="shared" si="269"/>
        <v>OBL in Transit with Nego Docs - INDIA</v>
      </c>
      <c r="CF129" s="22"/>
      <c r="CG129" s="22"/>
      <c r="CH129" s="22">
        <v>46161</v>
      </c>
      <c r="CI129" s="418">
        <v>2760011251</v>
      </c>
      <c r="CJ129" s="22">
        <v>46169</v>
      </c>
      <c r="CK129" s="2" t="str">
        <f t="shared" si="267"/>
        <v>CERTS in Destination - INDIA</v>
      </c>
      <c r="CL129" s="48" t="s">
        <v>244</v>
      </c>
      <c r="CM129" s="22">
        <v>46155</v>
      </c>
      <c r="CN129" s="55">
        <v>6456780365</v>
      </c>
      <c r="CO129" s="54"/>
      <c r="CP129" s="55" t="str">
        <f>IF(CO129&lt;&gt;0,"Docs in Buyer's Nego Bank",IF(CN129&lt;&gt;0,"Docs in Transit to Buyer's Nego Bank",IF(CM129&lt;&gt;0,"Docs in Our Nego Bank",IF(CL129="TT PAYMENT","Not Applicable",""))))</f>
        <v>Docs in Transit to Buyer's Nego Bank</v>
      </c>
      <c r="CQ129" s="50">
        <f t="shared" si="253"/>
        <v>161875.26</v>
      </c>
      <c r="CR129" s="54"/>
      <c r="CS129" s="2"/>
      <c r="CT129" s="2"/>
      <c r="CU129" s="14" t="str">
        <f t="shared" si="305"/>
        <v/>
      </c>
      <c r="CV129" s="42" t="str">
        <f t="shared" si="306"/>
        <v/>
      </c>
      <c r="CW129" s="14" t="str">
        <f t="shared" si="307"/>
        <v/>
      </c>
      <c r="CX129" s="14" t="str">
        <f t="shared" si="308"/>
        <v/>
      </c>
      <c r="CY129" s="15" t="str">
        <f t="shared" si="309"/>
        <v/>
      </c>
      <c r="CZ129" s="2"/>
      <c r="DA129" s="41" t="str">
        <f t="shared" si="310"/>
        <v/>
      </c>
      <c r="DB129" s="2"/>
      <c r="DC129" s="39" t="str">
        <f t="shared" si="311"/>
        <v/>
      </c>
      <c r="DD129" s="40"/>
      <c r="DE129" s="16" t="str">
        <f t="shared" si="312"/>
        <v/>
      </c>
      <c r="DF129" s="2" t="str">
        <f t="shared" si="313"/>
        <v/>
      </c>
      <c r="DG129" s="14" t="str">
        <f t="shared" si="314"/>
        <v/>
      </c>
      <c r="DH129" s="2" t="str">
        <f t="shared" si="315"/>
        <v/>
      </c>
      <c r="DI129" s="39" t="str">
        <f t="shared" si="316"/>
        <v/>
      </c>
      <c r="DJ129" s="2" t="str">
        <f t="shared" si="329"/>
        <v/>
      </c>
      <c r="DK129" s="15" t="str">
        <f t="shared" si="317"/>
        <v/>
      </c>
      <c r="DL129" s="2"/>
      <c r="DM129" s="2"/>
      <c r="DN129" s="15" t="str">
        <f t="shared" si="318"/>
        <v/>
      </c>
      <c r="DO129" s="14" t="str">
        <f t="shared" si="319"/>
        <v/>
      </c>
      <c r="DP129" s="14" t="str">
        <f t="shared" si="320"/>
        <v/>
      </c>
      <c r="DQ129" s="15" t="str">
        <f t="shared" si="321"/>
        <v/>
      </c>
      <c r="DR129" s="15" t="str">
        <f t="shared" si="322"/>
        <v/>
      </c>
      <c r="DS129" s="2" t="str">
        <f t="shared" si="323"/>
        <v/>
      </c>
      <c r="DT129" s="2" t="str">
        <f t="shared" si="324"/>
        <v/>
      </c>
      <c r="DU129" s="2"/>
      <c r="DV129" s="2"/>
      <c r="DW129" s="2"/>
      <c r="DX129" s="2"/>
      <c r="DY129" s="2" t="s">
        <v>230</v>
      </c>
      <c r="DZ129" s="2"/>
      <c r="EA129" s="2" t="str">
        <f t="shared" si="325"/>
        <v/>
      </c>
      <c r="EB129" s="2"/>
      <c r="EC129" s="2"/>
      <c r="ED129" s="2"/>
      <c r="EE129" s="3">
        <v>4900008821</v>
      </c>
      <c r="EF129" s="7">
        <v>46032</v>
      </c>
      <c r="EG129" s="3"/>
      <c r="EH129" s="3" t="s">
        <v>231</v>
      </c>
      <c r="EI129" s="3" t="s">
        <v>258</v>
      </c>
      <c r="EJ129" s="4">
        <f>M129</f>
        <v>99.923000000000002</v>
      </c>
      <c r="EK129" s="4">
        <v>1500</v>
      </c>
      <c r="EL129" s="11" t="s">
        <v>220</v>
      </c>
      <c r="EM129" s="7"/>
      <c r="EN129" s="46">
        <f t="shared" si="326"/>
        <v>149884.5</v>
      </c>
      <c r="EO129" s="3" t="s">
        <v>232</v>
      </c>
      <c r="EP129" s="3"/>
      <c r="EQ129" s="3"/>
      <c r="ER129" s="3"/>
      <c r="ES129" s="7"/>
      <c r="ET129" s="3"/>
      <c r="EU129" s="3"/>
      <c r="EV129" s="2" t="str">
        <f t="shared" si="268"/>
        <v>Export Loan</v>
      </c>
      <c r="EW129" s="46"/>
      <c r="EX129" s="46">
        <f t="shared" si="327"/>
        <v>0</v>
      </c>
      <c r="EY129" s="46" t="s">
        <v>233</v>
      </c>
      <c r="EZ129" s="24"/>
      <c r="FA129" s="2">
        <v>22141447</v>
      </c>
      <c r="FB129" s="24"/>
      <c r="FC129" s="53"/>
      <c r="FD129" s="46">
        <f t="shared" si="328"/>
        <v>0</v>
      </c>
      <c r="FE129" s="52"/>
      <c r="FF129" s="52"/>
      <c r="FG129" s="49"/>
      <c r="FH129" s="49"/>
      <c r="FI129" s="49"/>
      <c r="FJ129" s="49"/>
      <c r="FK129" s="49"/>
      <c r="FL129" s="49">
        <f t="shared" si="330"/>
        <v>-46149</v>
      </c>
      <c r="FM129" s="180">
        <f t="shared" si="331"/>
        <v>46193</v>
      </c>
      <c r="FN129" s="49"/>
      <c r="FO129" s="49"/>
      <c r="FP129" s="49"/>
      <c r="FQ129" s="49"/>
      <c r="FR129" s="49"/>
      <c r="FS129" s="6">
        <v>20009173</v>
      </c>
      <c r="FT129" s="3">
        <v>32013811</v>
      </c>
      <c r="FU129" s="3">
        <v>4900008821</v>
      </c>
      <c r="FV129" s="3"/>
      <c r="FW129" s="3"/>
      <c r="FX129" s="3"/>
      <c r="FY129" s="3"/>
      <c r="FZ129" s="3"/>
      <c r="GA129" s="3"/>
      <c r="GB129" s="3"/>
      <c r="GC129" s="3"/>
      <c r="GD129" s="3">
        <v>90085331</v>
      </c>
      <c r="GE129" s="3"/>
      <c r="GF129" s="3" t="s">
        <v>235</v>
      </c>
      <c r="GG129" s="3"/>
      <c r="GH129" s="3"/>
      <c r="GI129" s="3"/>
      <c r="GJ129" s="3"/>
      <c r="GK129" s="3"/>
      <c r="GL129" s="3"/>
      <c r="GM129" s="3"/>
      <c r="GN129" s="4"/>
    </row>
    <row r="130" spans="1:196" s="1" customFormat="1" ht="51">
      <c r="A130" s="2" t="str">
        <f t="shared" si="258"/>
        <v>Exp Dox Presented to Bank, Pmt Pending</v>
      </c>
      <c r="B130" s="281">
        <v>51</v>
      </c>
      <c r="C130" s="281">
        <v>190</v>
      </c>
      <c r="D130" s="182" t="s">
        <v>208</v>
      </c>
      <c r="E130" s="2" t="str">
        <f t="shared" si="259"/>
        <v>CLOSE POSITION</v>
      </c>
      <c r="F130" s="271">
        <f t="shared" si="302"/>
        <v>32013812</v>
      </c>
      <c r="G130" s="271"/>
      <c r="H130" s="2" t="str">
        <f t="shared" si="297"/>
        <v>AGGARWAL AND COMPANY</v>
      </c>
      <c r="I130" s="3" t="s">
        <v>799</v>
      </c>
      <c r="J130" s="2" t="s">
        <v>210</v>
      </c>
      <c r="K130" s="2" t="str">
        <f t="shared" si="261"/>
        <v>MUNDRA, INDIA</v>
      </c>
      <c r="L130" s="2" t="str">
        <f t="shared" si="252"/>
        <v>MEDULG628372</v>
      </c>
      <c r="M130" s="2">
        <f t="shared" si="333"/>
        <v>99.805000000000007</v>
      </c>
      <c r="N130" s="22">
        <f t="shared" si="262"/>
        <v>46131</v>
      </c>
      <c r="O130" s="22">
        <f t="shared" si="332"/>
        <v>46200</v>
      </c>
      <c r="P130" s="22" t="str">
        <f t="shared" si="263"/>
        <v>OBL in Transit with Nego Docs - INDIA</v>
      </c>
      <c r="Q130" s="2"/>
      <c r="R130" s="2" t="str">
        <f t="shared" si="264"/>
        <v>CERTS in Destination - INDIA</v>
      </c>
      <c r="S130" s="2" t="str">
        <f t="shared" si="298"/>
        <v>Docs in Transit to Buyer's Nego Bank</v>
      </c>
      <c r="T130" s="2"/>
      <c r="U130" s="3" t="s">
        <v>580</v>
      </c>
      <c r="V130" s="272"/>
      <c r="W130" s="3"/>
      <c r="X130" s="24">
        <v>46034</v>
      </c>
      <c r="Y130" s="273">
        <v>20009169</v>
      </c>
      <c r="Z130" s="24">
        <v>46035</v>
      </c>
      <c r="AA130" s="182">
        <v>32013812</v>
      </c>
      <c r="AB130" s="182" t="s">
        <v>516</v>
      </c>
      <c r="AC130" s="182" t="s">
        <v>517</v>
      </c>
      <c r="AD130" s="181">
        <v>46112</v>
      </c>
      <c r="AE130" s="30">
        <v>0.1</v>
      </c>
      <c r="AF130" s="277">
        <v>100</v>
      </c>
      <c r="AG130" s="35">
        <f t="shared" si="266"/>
        <v>90</v>
      </c>
      <c r="AH130" s="3" t="s">
        <v>215</v>
      </c>
      <c r="AI130" s="4">
        <v>1620</v>
      </c>
      <c r="AJ130" s="4">
        <v>162000</v>
      </c>
      <c r="AK130" s="3" t="s">
        <v>249</v>
      </c>
      <c r="AL130" s="3" t="s">
        <v>238</v>
      </c>
      <c r="AM130" s="183">
        <v>0.1</v>
      </c>
      <c r="AN130" s="183">
        <v>0.9</v>
      </c>
      <c r="AO130" s="183">
        <v>0</v>
      </c>
      <c r="AP130" s="28" t="s">
        <v>218</v>
      </c>
      <c r="AQ130" s="18" t="s">
        <v>239</v>
      </c>
      <c r="AR130" s="18" t="s">
        <v>518</v>
      </c>
      <c r="AS130" s="27">
        <v>5</v>
      </c>
      <c r="AT130" s="3" t="s">
        <v>220</v>
      </c>
      <c r="AU130" s="3" t="s">
        <v>220</v>
      </c>
      <c r="AV130" s="3" t="s">
        <v>220</v>
      </c>
      <c r="AW130" s="9"/>
      <c r="AX130" s="3"/>
      <c r="AY130" s="47">
        <v>46042</v>
      </c>
      <c r="AZ130" s="275">
        <f t="shared" si="299"/>
        <v>16200</v>
      </c>
      <c r="BA130" s="22">
        <v>46042</v>
      </c>
      <c r="BB130" s="22">
        <v>46042</v>
      </c>
      <c r="BC130" s="22"/>
      <c r="BD130" s="22"/>
      <c r="BE130" s="22"/>
      <c r="BF130" s="22">
        <v>46042</v>
      </c>
      <c r="BG130" s="18"/>
      <c r="BH130" s="18"/>
      <c r="BI130" s="3" t="s">
        <v>804</v>
      </c>
      <c r="BJ130" s="25">
        <v>99.805000000000007</v>
      </c>
      <c r="BK130" s="46">
        <v>4</v>
      </c>
      <c r="BL130" s="497">
        <v>4</v>
      </c>
      <c r="BM130" s="18">
        <v>46131</v>
      </c>
      <c r="BN130" s="4" t="s">
        <v>805</v>
      </c>
      <c r="BO130" s="18">
        <v>46200</v>
      </c>
      <c r="BP130" s="3" t="s">
        <v>278</v>
      </c>
      <c r="BQ130" s="21" t="s">
        <v>253</v>
      </c>
      <c r="BR130" s="2" t="s">
        <v>226</v>
      </c>
      <c r="BS130" s="2"/>
      <c r="BT130" s="2"/>
      <c r="BU130" s="2"/>
      <c r="BV130" s="20">
        <v>90085850</v>
      </c>
      <c r="BW130" s="19">
        <v>46134</v>
      </c>
      <c r="BX130" s="46">
        <f t="shared" si="304"/>
        <v>161684.1</v>
      </c>
      <c r="BY130" s="22">
        <v>46149</v>
      </c>
      <c r="BZ130" s="22">
        <v>46149</v>
      </c>
      <c r="CA130" s="284">
        <v>8329298622</v>
      </c>
      <c r="CB130" s="22">
        <v>46155</v>
      </c>
      <c r="CC130" s="22"/>
      <c r="CD130" s="22"/>
      <c r="CE130" s="22" t="str">
        <f t="shared" si="269"/>
        <v>OBL in Transit with Nego Docs - INDIA</v>
      </c>
      <c r="CF130" s="22"/>
      <c r="CG130" s="22"/>
      <c r="CH130" s="22">
        <v>46160</v>
      </c>
      <c r="CI130" s="418">
        <v>9880127924</v>
      </c>
      <c r="CJ130" s="22">
        <v>46170</v>
      </c>
      <c r="CK130" s="2" t="str">
        <f t="shared" si="267"/>
        <v>CERTS in Destination - INDIA</v>
      </c>
      <c r="CL130" s="48" t="s">
        <v>244</v>
      </c>
      <c r="CM130" s="22">
        <v>46161</v>
      </c>
      <c r="CN130" s="55">
        <v>1823546620</v>
      </c>
      <c r="CO130" s="55"/>
      <c r="CP130" s="55" t="str">
        <f>IF(CO130&lt;&gt;0,"Docs in Buyer's Nego Bank",IF(CN130&lt;&gt;0,"Docs in Transit to Buyer's Nego Bank",IF(CM130&lt;&gt;0,"Docs in Our Nego Bank",IF(CL130="TT PAYMENT","Not Applicable",""))))</f>
        <v>Docs in Transit to Buyer's Nego Bank</v>
      </c>
      <c r="CQ130" s="50">
        <f t="shared" si="253"/>
        <v>129315.69</v>
      </c>
      <c r="CR130" s="54"/>
      <c r="CS130" s="2"/>
      <c r="CT130" s="2"/>
      <c r="CU130" s="14" t="str">
        <f t="shared" si="305"/>
        <v/>
      </c>
      <c r="CV130" s="42" t="str">
        <f t="shared" si="306"/>
        <v/>
      </c>
      <c r="CW130" s="14" t="str">
        <f t="shared" si="307"/>
        <v/>
      </c>
      <c r="CX130" s="14" t="str">
        <f t="shared" si="308"/>
        <v/>
      </c>
      <c r="CY130" s="15" t="str">
        <f t="shared" si="309"/>
        <v/>
      </c>
      <c r="CZ130" s="2"/>
      <c r="DA130" s="41" t="str">
        <f t="shared" si="310"/>
        <v/>
      </c>
      <c r="DB130" s="2"/>
      <c r="DC130" s="39" t="str">
        <f t="shared" si="311"/>
        <v/>
      </c>
      <c r="DD130" s="40"/>
      <c r="DE130" s="16" t="str">
        <f t="shared" si="312"/>
        <v/>
      </c>
      <c r="DF130" s="2" t="str">
        <f t="shared" si="313"/>
        <v/>
      </c>
      <c r="DG130" s="14" t="str">
        <f t="shared" si="314"/>
        <v/>
      </c>
      <c r="DH130" s="2" t="str">
        <f t="shared" si="315"/>
        <v/>
      </c>
      <c r="DI130" s="39" t="str">
        <f t="shared" si="316"/>
        <v/>
      </c>
      <c r="DJ130" s="2" t="str">
        <f t="shared" si="329"/>
        <v/>
      </c>
      <c r="DK130" s="15" t="str">
        <f t="shared" si="317"/>
        <v/>
      </c>
      <c r="DL130" s="2"/>
      <c r="DM130" s="2"/>
      <c r="DN130" s="15" t="str">
        <f t="shared" si="318"/>
        <v/>
      </c>
      <c r="DO130" s="14" t="str">
        <f t="shared" si="319"/>
        <v/>
      </c>
      <c r="DP130" s="14" t="str">
        <f t="shared" si="320"/>
        <v/>
      </c>
      <c r="DQ130" s="15" t="str">
        <f t="shared" si="321"/>
        <v/>
      </c>
      <c r="DR130" s="15" t="str">
        <f t="shared" si="322"/>
        <v/>
      </c>
      <c r="DS130" s="2" t="str">
        <f t="shared" si="323"/>
        <v/>
      </c>
      <c r="DT130" s="2" t="str">
        <f t="shared" si="324"/>
        <v/>
      </c>
      <c r="DU130" s="2"/>
      <c r="DV130" s="2"/>
      <c r="DW130" s="2"/>
      <c r="DX130" s="2"/>
      <c r="DY130" s="2" t="s">
        <v>230</v>
      </c>
      <c r="DZ130" s="2"/>
      <c r="EA130" s="2" t="str">
        <f t="shared" si="325"/>
        <v/>
      </c>
      <c r="EB130" s="2"/>
      <c r="EC130" s="2"/>
      <c r="ED130" s="2"/>
      <c r="EE130" s="3"/>
      <c r="EF130" s="7"/>
      <c r="EG130" s="3"/>
      <c r="EH130" s="3" t="s">
        <v>231</v>
      </c>
      <c r="EI130" s="3"/>
      <c r="EJ130" s="4">
        <v>100</v>
      </c>
      <c r="EK130" s="4"/>
      <c r="EL130" s="11" t="s">
        <v>220</v>
      </c>
      <c r="EM130" s="7"/>
      <c r="EN130" s="46">
        <f t="shared" si="326"/>
        <v>0</v>
      </c>
      <c r="EO130" s="3"/>
      <c r="EP130" s="3"/>
      <c r="EQ130" s="3"/>
      <c r="ER130" s="3"/>
      <c r="ES130" s="7"/>
      <c r="ET130" s="3"/>
      <c r="EU130" s="3"/>
      <c r="EV130" s="2" t="str">
        <f t="shared" si="268"/>
        <v>Export Loan</v>
      </c>
      <c r="EW130" s="46"/>
      <c r="EX130" s="46">
        <f t="shared" si="327"/>
        <v>0</v>
      </c>
      <c r="EY130" s="46" t="s">
        <v>233</v>
      </c>
      <c r="EZ130" s="24"/>
      <c r="FA130" s="2">
        <v>22141450</v>
      </c>
      <c r="FB130" s="24"/>
      <c r="FC130" s="53"/>
      <c r="FD130" s="46">
        <f t="shared" si="328"/>
        <v>0</v>
      </c>
      <c r="FE130" s="52"/>
      <c r="FF130" s="52"/>
      <c r="FG130" s="49"/>
      <c r="FH130" s="49"/>
      <c r="FI130" s="49"/>
      <c r="FJ130" s="49"/>
      <c r="FK130" s="49"/>
      <c r="FL130" s="49">
        <f t="shared" si="330"/>
        <v>-46149</v>
      </c>
      <c r="FM130" s="180">
        <f t="shared" si="331"/>
        <v>46131</v>
      </c>
      <c r="FN130" s="49"/>
      <c r="FO130" s="49"/>
      <c r="FP130" s="49"/>
      <c r="FQ130" s="49"/>
      <c r="FR130" s="49"/>
      <c r="FS130" s="6">
        <v>20009169</v>
      </c>
      <c r="FT130" s="3">
        <v>32013812</v>
      </c>
      <c r="FU130" s="3"/>
      <c r="FV130" s="3"/>
      <c r="FW130" s="3"/>
      <c r="FX130" s="3"/>
      <c r="FY130" s="3"/>
      <c r="FZ130" s="3"/>
      <c r="GA130" s="3"/>
      <c r="GB130" s="3"/>
      <c r="GC130" s="3"/>
      <c r="GD130" s="3">
        <v>90085850</v>
      </c>
      <c r="GE130" s="3"/>
      <c r="GF130" s="3" t="s">
        <v>235</v>
      </c>
      <c r="GG130" s="3"/>
      <c r="GH130" s="3"/>
      <c r="GI130" s="3"/>
      <c r="GJ130" s="3"/>
      <c r="GK130" s="3"/>
      <c r="GL130" s="3"/>
      <c r="GM130" s="3"/>
      <c r="GN130" s="4"/>
    </row>
    <row r="131" spans="1:196" s="1" customFormat="1" ht="33.950000000000003">
      <c r="A131" s="2" t="str">
        <f t="shared" si="258"/>
        <v>Exp Dox Presented to Bank, Pmt Pending</v>
      </c>
      <c r="B131" s="282">
        <v>47</v>
      </c>
      <c r="C131" s="282">
        <v>200</v>
      </c>
      <c r="D131" s="182" t="s">
        <v>208</v>
      </c>
      <c r="E131" s="2" t="str">
        <f t="shared" si="259"/>
        <v>CLOSE POSITION</v>
      </c>
      <c r="F131" s="271" t="str">
        <f t="shared" si="302"/>
        <v>32015968-4</v>
      </c>
      <c r="G131" s="271"/>
      <c r="H131" s="2" t="str">
        <f t="shared" si="297"/>
        <v>Valency Agro (Processing)</v>
      </c>
      <c r="I131" s="3" t="s">
        <v>259</v>
      </c>
      <c r="J131" s="2" t="s">
        <v>210</v>
      </c>
      <c r="K131" s="2" t="str">
        <f t="shared" si="261"/>
        <v>MANGALORE, INDIA</v>
      </c>
      <c r="L131" s="2" t="str">
        <f t="shared" ref="L131:L162" si="334">IF(BI131&lt;&gt;0,BI131,"")</f>
        <v>268599953</v>
      </c>
      <c r="M131" s="2">
        <f t="shared" si="333"/>
        <v>244.07</v>
      </c>
      <c r="N131" s="22">
        <f t="shared" si="262"/>
        <v>46152</v>
      </c>
      <c r="O131" s="22">
        <f t="shared" si="332"/>
        <v>46180</v>
      </c>
      <c r="P131" s="22" t="str">
        <f t="shared" si="263"/>
        <v>OBL in Transit with Nego Docs - INDIA</v>
      </c>
      <c r="Q131" s="330" t="s">
        <v>806</v>
      </c>
      <c r="R131" s="2" t="str">
        <f t="shared" si="264"/>
        <v>CERTS in Destination - INDIA</v>
      </c>
      <c r="S131" s="2" t="str">
        <f t="shared" si="298"/>
        <v>Docs in Transit to Buyer's Nego Bank</v>
      </c>
      <c r="T131" s="2"/>
      <c r="U131" s="3" t="s">
        <v>716</v>
      </c>
      <c r="V131" s="272"/>
      <c r="W131" s="3" t="s">
        <v>716</v>
      </c>
      <c r="X131" s="24"/>
      <c r="Y131" s="273">
        <v>20009857</v>
      </c>
      <c r="Z131" s="24">
        <v>46107</v>
      </c>
      <c r="AA131" s="182" t="s">
        <v>807</v>
      </c>
      <c r="AB131" s="182" t="s">
        <v>247</v>
      </c>
      <c r="AC131" s="182" t="s">
        <v>385</v>
      </c>
      <c r="AD131" s="181">
        <v>46142</v>
      </c>
      <c r="AE131" s="30">
        <v>0.1</v>
      </c>
      <c r="AF131" s="277">
        <v>250</v>
      </c>
      <c r="AG131" s="4">
        <f t="shared" si="266"/>
        <v>225</v>
      </c>
      <c r="AH131" s="3" t="s">
        <v>215</v>
      </c>
      <c r="AI131" s="4">
        <v>1508</v>
      </c>
      <c r="AJ131" s="4">
        <f t="shared" ref="AJ131:AJ162" si="335">AI131*AF131</f>
        <v>377000</v>
      </c>
      <c r="AK131" s="3" t="s">
        <v>249</v>
      </c>
      <c r="AL131" s="3" t="s">
        <v>217</v>
      </c>
      <c r="AM131" s="30">
        <v>0</v>
      </c>
      <c r="AN131" s="183">
        <v>1</v>
      </c>
      <c r="AO131" s="183">
        <v>0</v>
      </c>
      <c r="AP131" s="28" t="s">
        <v>218</v>
      </c>
      <c r="AQ131" s="18" t="s">
        <v>250</v>
      </c>
      <c r="AR131" s="18" t="s">
        <v>251</v>
      </c>
      <c r="AS131" s="27"/>
      <c r="AT131" s="3" t="s">
        <v>220</v>
      </c>
      <c r="AU131" s="3" t="s">
        <v>220</v>
      </c>
      <c r="AV131" s="3" t="s">
        <v>220</v>
      </c>
      <c r="AW131" s="9"/>
      <c r="AX131" s="3"/>
      <c r="AY131" s="47"/>
      <c r="AZ131" s="278">
        <f t="shared" si="299"/>
        <v>0</v>
      </c>
      <c r="BA131" s="18">
        <f>Z131</f>
        <v>46107</v>
      </c>
      <c r="BB131" s="22">
        <v>46077</v>
      </c>
      <c r="BC131" s="22"/>
      <c r="BD131" s="22"/>
      <c r="BE131" s="22"/>
      <c r="BF131" s="22">
        <v>46078</v>
      </c>
      <c r="BG131" s="18"/>
      <c r="BH131" s="18"/>
      <c r="BI131" s="21" t="s">
        <v>808</v>
      </c>
      <c r="BJ131" s="25">
        <v>244.07</v>
      </c>
      <c r="BK131" s="189" t="s">
        <v>222</v>
      </c>
      <c r="BL131" s="497">
        <v>10</v>
      </c>
      <c r="BM131" s="18">
        <v>46152</v>
      </c>
      <c r="BN131" s="4"/>
      <c r="BO131" s="18">
        <v>46180</v>
      </c>
      <c r="BP131" s="3" t="s">
        <v>259</v>
      </c>
      <c r="BQ131" s="21" t="s">
        <v>265</v>
      </c>
      <c r="BR131" s="2" t="s">
        <v>416</v>
      </c>
      <c r="BS131" s="2"/>
      <c r="BT131" s="2"/>
      <c r="BU131" s="2"/>
      <c r="BV131" s="20"/>
      <c r="BW131" s="19"/>
      <c r="BX131" s="189">
        <f t="shared" si="304"/>
        <v>368057.56</v>
      </c>
      <c r="BY131" s="22">
        <v>46149</v>
      </c>
      <c r="BZ131" s="22" t="s">
        <v>507</v>
      </c>
      <c r="CA131" s="22"/>
      <c r="CB131" s="22"/>
      <c r="CC131" s="22"/>
      <c r="CD131" s="22"/>
      <c r="CE131" s="22" t="str">
        <f t="shared" si="269"/>
        <v>OBL in Transit with Nego Docs - INDIA</v>
      </c>
      <c r="CF131" s="22"/>
      <c r="CG131" s="22"/>
      <c r="CH131" s="181">
        <v>46154</v>
      </c>
      <c r="CI131" s="64">
        <v>2046495802</v>
      </c>
      <c r="CJ131" s="181">
        <v>46160</v>
      </c>
      <c r="CK131" s="2" t="str">
        <f t="shared" si="267"/>
        <v>CERTS in Destination - INDIA</v>
      </c>
      <c r="CL131" s="48" t="s">
        <v>229</v>
      </c>
      <c r="CM131" s="22">
        <v>46168</v>
      </c>
      <c r="CN131" s="55">
        <v>1399582936</v>
      </c>
      <c r="CO131" s="55"/>
      <c r="CP131" s="55" t="str">
        <f>IF(CO131&lt;&gt;0,"Docs in Buyer's Nego Bank",IF(CN131&lt;&gt;0,"Docs in Transit to Buyer's Nego Bank",IF(CM131&lt;&gt;0,"Docs in Our Nego Bank",IF(CL131="TT PAYMENT","Not Applicable",""))))</f>
        <v>Docs in Transit to Buyer's Nego Bank</v>
      </c>
      <c r="CQ131" s="190">
        <f t="shared" ref="CQ131:CQ157" si="336">(AN131*AI131*BJ131)-AZ131</f>
        <v>368057.56</v>
      </c>
      <c r="CR131" s="54"/>
      <c r="CS131" s="2"/>
      <c r="CT131" s="2"/>
      <c r="CU131" s="14" t="str">
        <f t="shared" si="305"/>
        <v/>
      </c>
      <c r="CV131" s="191" t="str">
        <f t="shared" si="306"/>
        <v/>
      </c>
      <c r="CW131" s="14" t="str">
        <f t="shared" si="307"/>
        <v/>
      </c>
      <c r="CX131" s="14" t="str">
        <f t="shared" si="308"/>
        <v/>
      </c>
      <c r="CY131" s="15" t="str">
        <f t="shared" si="309"/>
        <v/>
      </c>
      <c r="CZ131" s="2"/>
      <c r="DA131" s="41" t="str">
        <f t="shared" si="310"/>
        <v/>
      </c>
      <c r="DB131" s="2"/>
      <c r="DC131" s="192" t="str">
        <f t="shared" si="311"/>
        <v/>
      </c>
      <c r="DD131" s="40"/>
      <c r="DE131" s="16" t="str">
        <f t="shared" si="312"/>
        <v/>
      </c>
      <c r="DF131" s="2" t="str">
        <f t="shared" si="313"/>
        <v/>
      </c>
      <c r="DG131" s="14" t="str">
        <f t="shared" si="314"/>
        <v/>
      </c>
      <c r="DH131" s="2" t="str">
        <f t="shared" si="315"/>
        <v/>
      </c>
      <c r="DI131" s="192" t="str">
        <f t="shared" si="316"/>
        <v/>
      </c>
      <c r="DJ131" s="2" t="str">
        <f t="shared" si="329"/>
        <v/>
      </c>
      <c r="DK131" s="15" t="str">
        <f t="shared" si="317"/>
        <v/>
      </c>
      <c r="DL131" s="2"/>
      <c r="DM131" s="2"/>
      <c r="DN131" s="15" t="str">
        <f t="shared" si="318"/>
        <v/>
      </c>
      <c r="DO131" s="14" t="str">
        <f t="shared" si="319"/>
        <v/>
      </c>
      <c r="DP131" s="14" t="str">
        <f t="shared" si="320"/>
        <v/>
      </c>
      <c r="DQ131" s="15" t="str">
        <f t="shared" si="321"/>
        <v/>
      </c>
      <c r="DR131" s="15" t="str">
        <f t="shared" si="322"/>
        <v/>
      </c>
      <c r="DS131" s="2" t="str">
        <f t="shared" si="323"/>
        <v/>
      </c>
      <c r="DT131" s="2" t="str">
        <f t="shared" si="324"/>
        <v/>
      </c>
      <c r="DU131" s="2"/>
      <c r="DV131" s="2"/>
      <c r="DW131" s="2"/>
      <c r="DX131" s="2"/>
      <c r="DY131" s="2" t="s">
        <v>230</v>
      </c>
      <c r="DZ131" s="2"/>
      <c r="EA131" s="2" t="str">
        <f t="shared" si="325"/>
        <v/>
      </c>
      <c r="EB131" s="2"/>
      <c r="EC131" s="2"/>
      <c r="ED131" s="2"/>
      <c r="EE131" s="3"/>
      <c r="EF131" s="7"/>
      <c r="EG131" s="3"/>
      <c r="EH131" s="3" t="s">
        <v>266</v>
      </c>
      <c r="EI131" s="3" t="s">
        <v>258</v>
      </c>
      <c r="EJ131" s="189"/>
      <c r="EK131" s="4"/>
      <c r="EL131" s="9"/>
      <c r="EM131" s="9"/>
      <c r="EN131" s="189">
        <f t="shared" si="326"/>
        <v>0</v>
      </c>
      <c r="EO131" s="9"/>
      <c r="EP131" s="8"/>
      <c r="EQ131" s="4"/>
      <c r="ER131" s="4"/>
      <c r="ES131" s="7"/>
      <c r="ET131" s="7"/>
      <c r="EU131" s="6"/>
      <c r="EV131" s="2" t="str">
        <f t="shared" si="268"/>
        <v>Export Loan</v>
      </c>
      <c r="EW131" s="189"/>
      <c r="EX131" s="189">
        <f t="shared" si="327"/>
        <v>0</v>
      </c>
      <c r="EY131" s="189" t="s">
        <v>233</v>
      </c>
      <c r="EZ131" s="24"/>
      <c r="FA131" s="330" t="s">
        <v>809</v>
      </c>
      <c r="FB131" s="24">
        <v>46168</v>
      </c>
      <c r="FC131" s="193"/>
      <c r="FD131" s="189">
        <f t="shared" si="328"/>
        <v>0</v>
      </c>
      <c r="FE131" s="52"/>
      <c r="FF131" s="52"/>
      <c r="FG131" s="49"/>
      <c r="FH131" s="49"/>
      <c r="FI131" s="49"/>
      <c r="FJ131" s="49"/>
      <c r="FK131" s="49"/>
      <c r="FL131" s="49">
        <f t="shared" si="330"/>
        <v>-46149</v>
      </c>
      <c r="FM131" s="180">
        <f t="shared" si="331"/>
        <v>-16</v>
      </c>
      <c r="FN131" s="49"/>
      <c r="FO131" s="49"/>
      <c r="FP131" s="49"/>
      <c r="FQ131" s="49"/>
      <c r="FR131" s="49"/>
      <c r="FS131" s="34">
        <f t="shared" ref="FS131:FS165" si="337">Y131</f>
        <v>20009857</v>
      </c>
      <c r="FT131" s="34" t="str">
        <f t="shared" ref="FT131:FT146" si="338">AA131</f>
        <v>32015968-4</v>
      </c>
      <c r="FU131" s="3"/>
      <c r="FV131" s="3"/>
      <c r="FW131" s="3"/>
      <c r="FX131" s="3"/>
      <c r="FY131" s="3"/>
      <c r="FZ131" s="3"/>
      <c r="GA131" s="3"/>
      <c r="GB131" s="4"/>
      <c r="GC131" s="3"/>
      <c r="GD131" s="182"/>
      <c r="GE131" s="2"/>
      <c r="GF131" s="2"/>
      <c r="GG131" s="2"/>
      <c r="GH131" s="2"/>
      <c r="GI131" s="2"/>
      <c r="GJ131" s="2"/>
      <c r="GK131" s="2"/>
      <c r="GL131" s="2"/>
      <c r="GM131" s="2"/>
      <c r="GN131" s="2"/>
    </row>
    <row r="132" spans="1:196" s="1" customFormat="1" ht="51">
      <c r="A132" s="2" t="str">
        <f t="shared" si="258"/>
        <v>SC Raised, Advance Pending</v>
      </c>
      <c r="B132" s="282">
        <v>51</v>
      </c>
      <c r="C132" s="282">
        <v>190</v>
      </c>
      <c r="D132" s="182" t="s">
        <v>208</v>
      </c>
      <c r="E132" s="2" t="str">
        <f t="shared" si="259"/>
        <v>ENTRY PENDING</v>
      </c>
      <c r="F132" s="271" t="str">
        <f t="shared" si="302"/>
        <v>TBA 14</v>
      </c>
      <c r="G132" s="271"/>
      <c r="H132" s="2" t="str">
        <f t="shared" si="297"/>
        <v>VALENCY AGRO //HSS//Shree Electromelts Foods</v>
      </c>
      <c r="I132" s="3" t="s">
        <v>644</v>
      </c>
      <c r="J132" s="2" t="s">
        <v>210</v>
      </c>
      <c r="K132" s="2" t="str">
        <f t="shared" si="261"/>
        <v>MUNDRA, INDIA</v>
      </c>
      <c r="L132" s="2" t="str">
        <f t="shared" si="334"/>
        <v/>
      </c>
      <c r="M132" s="2" t="str">
        <f t="shared" si="333"/>
        <v/>
      </c>
      <c r="N132" s="22" t="str">
        <f t="shared" si="262"/>
        <v/>
      </c>
      <c r="O132" s="22" t="str">
        <f t="shared" si="332"/>
        <v/>
      </c>
      <c r="P132" s="22" t="str">
        <f t="shared" si="263"/>
        <v>No OBL Yet</v>
      </c>
      <c r="Q132" s="2"/>
      <c r="R132" s="2" t="str">
        <f t="shared" si="264"/>
        <v>No CERTS Yet</v>
      </c>
      <c r="S132" s="2" t="str">
        <f t="shared" si="298"/>
        <v/>
      </c>
      <c r="T132" s="2" t="s">
        <v>810</v>
      </c>
      <c r="U132" s="3" t="s">
        <v>811</v>
      </c>
      <c r="V132" s="272"/>
      <c r="W132" s="3" t="s">
        <v>811</v>
      </c>
      <c r="X132" s="24">
        <v>46162</v>
      </c>
      <c r="Y132" s="273">
        <v>20010376</v>
      </c>
      <c r="Z132" s="24">
        <v>46162</v>
      </c>
      <c r="AA132" s="182" t="s">
        <v>774</v>
      </c>
      <c r="AB132" s="182" t="s">
        <v>812</v>
      </c>
      <c r="AC132" s="182" t="s">
        <v>813</v>
      </c>
      <c r="AD132" s="181">
        <v>46188</v>
      </c>
      <c r="AE132" s="30">
        <v>0.05</v>
      </c>
      <c r="AF132" s="277">
        <v>110</v>
      </c>
      <c r="AG132" s="4">
        <f t="shared" si="266"/>
        <v>104.5</v>
      </c>
      <c r="AH132" s="3" t="s">
        <v>215</v>
      </c>
      <c r="AI132" s="4">
        <v>1600</v>
      </c>
      <c r="AJ132" s="4">
        <f t="shared" si="335"/>
        <v>176000</v>
      </c>
      <c r="AK132" s="3" t="s">
        <v>249</v>
      </c>
      <c r="AL132" s="3" t="s">
        <v>238</v>
      </c>
      <c r="AM132" s="30">
        <v>0</v>
      </c>
      <c r="AN132" s="183">
        <v>1</v>
      </c>
      <c r="AO132" s="183">
        <v>0</v>
      </c>
      <c r="AP132" s="28" t="s">
        <v>218</v>
      </c>
      <c r="AQ132" s="18" t="s">
        <v>331</v>
      </c>
      <c r="AR132" s="18" t="s">
        <v>251</v>
      </c>
      <c r="AS132" s="27"/>
      <c r="AT132" s="3" t="s">
        <v>220</v>
      </c>
      <c r="AU132" s="3" t="s">
        <v>220</v>
      </c>
      <c r="AV132" s="3" t="s">
        <v>220</v>
      </c>
      <c r="AW132" s="9"/>
      <c r="AX132" s="3"/>
      <c r="AY132" s="47"/>
      <c r="AZ132" s="278">
        <f t="shared" si="299"/>
        <v>0</v>
      </c>
      <c r="BA132" s="18"/>
      <c r="BB132" s="22"/>
      <c r="BC132" s="22"/>
      <c r="BD132" s="22"/>
      <c r="BE132" s="22"/>
      <c r="BF132" s="22"/>
      <c r="BG132" s="18"/>
      <c r="BH132" s="18"/>
      <c r="BI132" s="3"/>
      <c r="BJ132" s="25"/>
      <c r="BK132" s="24"/>
      <c r="BL132" s="271"/>
      <c r="BM132" s="18"/>
      <c r="BN132" s="21"/>
      <c r="BO132" s="18"/>
      <c r="BP132" s="3" t="s">
        <v>651</v>
      </c>
      <c r="BQ132" s="21" t="s">
        <v>253</v>
      </c>
      <c r="BR132" s="2"/>
      <c r="BS132" s="2"/>
      <c r="BT132" s="2"/>
      <c r="BU132" s="2"/>
      <c r="BV132" s="20"/>
      <c r="BW132" s="19"/>
      <c r="BX132" s="189">
        <f t="shared" si="304"/>
        <v>0</v>
      </c>
      <c r="BY132" s="22"/>
      <c r="BZ132" s="22"/>
      <c r="CA132" s="22"/>
      <c r="CB132" s="22"/>
      <c r="CC132" s="22"/>
      <c r="CD132" s="22"/>
      <c r="CE132" s="22" t="str">
        <f t="shared" si="269"/>
        <v>No OBL Yet</v>
      </c>
      <c r="CF132" s="22"/>
      <c r="CG132" s="22"/>
      <c r="CH132" s="182"/>
      <c r="CI132" s="182"/>
      <c r="CJ132" s="182"/>
      <c r="CK132" s="2" t="str">
        <f t="shared" si="267"/>
        <v>No CERTS Yet</v>
      </c>
      <c r="CL132" s="48"/>
      <c r="CM132" s="22"/>
      <c r="CN132" s="55"/>
      <c r="CO132" s="55"/>
      <c r="CP132" s="55" t="str">
        <f>IF(CO132&lt;&gt;0,"Docs in Buyer's Bank",IF(CN132&lt;&gt;0,"Docs in Transit to Buyer's Bank",IF(CM132&lt;&gt;0,"Docs in Our Bank",IF(CL132="TT PAYMENT","Not Applicable",""))))</f>
        <v/>
      </c>
      <c r="CQ132" s="190">
        <f t="shared" si="336"/>
        <v>0</v>
      </c>
      <c r="CR132" s="54"/>
      <c r="CS132" s="2"/>
      <c r="CT132" s="2"/>
      <c r="CU132" s="14" t="str">
        <f t="shared" si="305"/>
        <v/>
      </c>
      <c r="CV132" s="191" t="str">
        <f t="shared" si="306"/>
        <v/>
      </c>
      <c r="CW132" s="14" t="str">
        <f t="shared" si="307"/>
        <v/>
      </c>
      <c r="CX132" s="14" t="str">
        <f t="shared" si="308"/>
        <v/>
      </c>
      <c r="CY132" s="15" t="str">
        <f t="shared" si="309"/>
        <v/>
      </c>
      <c r="CZ132" s="2"/>
      <c r="DA132" s="41" t="str">
        <f t="shared" si="310"/>
        <v/>
      </c>
      <c r="DB132" s="2"/>
      <c r="DC132" s="192" t="str">
        <f t="shared" si="311"/>
        <v/>
      </c>
      <c r="DD132" s="40"/>
      <c r="DE132" s="16" t="str">
        <f t="shared" si="312"/>
        <v/>
      </c>
      <c r="DF132" s="2" t="str">
        <f t="shared" si="313"/>
        <v/>
      </c>
      <c r="DG132" s="14" t="str">
        <f t="shared" si="314"/>
        <v/>
      </c>
      <c r="DH132" s="2" t="str">
        <f t="shared" si="315"/>
        <v/>
      </c>
      <c r="DI132" s="192" t="str">
        <f t="shared" si="316"/>
        <v/>
      </c>
      <c r="DJ132" s="2" t="str">
        <f>IF(CS132="","",IF(DE132&lt;0,DE132*CT132*AI132*10%,0))</f>
        <v/>
      </c>
      <c r="DK132" s="15" t="str">
        <f t="shared" si="317"/>
        <v/>
      </c>
      <c r="DL132" s="2"/>
      <c r="DM132" s="2"/>
      <c r="DN132" s="15" t="str">
        <f t="shared" si="318"/>
        <v/>
      </c>
      <c r="DO132" s="14" t="str">
        <f t="shared" si="319"/>
        <v/>
      </c>
      <c r="DP132" s="14" t="str">
        <f t="shared" si="320"/>
        <v/>
      </c>
      <c r="DQ132" s="15" t="str">
        <f t="shared" si="321"/>
        <v/>
      </c>
      <c r="DR132" s="15" t="str">
        <f t="shared" si="322"/>
        <v/>
      </c>
      <c r="DS132" s="2" t="str">
        <f t="shared" si="323"/>
        <v/>
      </c>
      <c r="DT132" s="2" t="str">
        <f t="shared" si="324"/>
        <v/>
      </c>
      <c r="DU132" s="2"/>
      <c r="DV132" s="2"/>
      <c r="DW132" s="2"/>
      <c r="DX132" s="2"/>
      <c r="DY132" s="2" t="s">
        <v>230</v>
      </c>
      <c r="DZ132" s="2"/>
      <c r="EA132" s="2" t="str">
        <f t="shared" si="325"/>
        <v/>
      </c>
      <c r="EB132" s="2"/>
      <c r="EC132" s="2"/>
      <c r="ED132" s="2"/>
      <c r="EE132" s="3"/>
      <c r="EF132" s="7"/>
      <c r="EG132" s="3"/>
      <c r="EH132" s="3"/>
      <c r="EI132" s="3"/>
      <c r="EJ132" s="189"/>
      <c r="EK132" s="4"/>
      <c r="EL132" s="9"/>
      <c r="EM132" s="9"/>
      <c r="EN132" s="189">
        <f t="shared" si="326"/>
        <v>0</v>
      </c>
      <c r="EO132" s="9"/>
      <c r="EP132" s="8"/>
      <c r="EQ132" s="4"/>
      <c r="ER132" s="4"/>
      <c r="ES132" s="7"/>
      <c r="ET132" s="7"/>
      <c r="EU132" s="6"/>
      <c r="EV132" s="2" t="str">
        <f t="shared" si="268"/>
        <v>Yet to load</v>
      </c>
      <c r="EW132" s="189"/>
      <c r="EX132" s="189" t="e">
        <f t="shared" si="327"/>
        <v>#DIV/0!</v>
      </c>
      <c r="EY132" s="189" t="s">
        <v>233</v>
      </c>
      <c r="EZ132" s="24"/>
      <c r="FA132" s="2"/>
      <c r="FB132" s="24"/>
      <c r="FC132" s="193"/>
      <c r="FD132" s="189">
        <f t="shared" si="328"/>
        <v>0</v>
      </c>
      <c r="FE132" s="52"/>
      <c r="FF132" s="52"/>
      <c r="FG132" s="49"/>
      <c r="FH132" s="49"/>
      <c r="FI132" s="49"/>
      <c r="FJ132" s="49"/>
      <c r="FK132" s="49"/>
      <c r="FL132" s="49">
        <f t="shared" si="330"/>
        <v>0</v>
      </c>
      <c r="FM132" s="180">
        <f t="shared" si="331"/>
        <v>0</v>
      </c>
      <c r="FN132" s="49"/>
      <c r="FO132" s="49"/>
      <c r="FP132" s="49"/>
      <c r="FQ132" s="49"/>
      <c r="FR132" s="49"/>
      <c r="FS132" s="34">
        <f t="shared" si="337"/>
        <v>20010376</v>
      </c>
      <c r="FT132" s="34" t="str">
        <f t="shared" si="338"/>
        <v>TBA 14</v>
      </c>
      <c r="FU132" s="3"/>
      <c r="FV132" s="3"/>
      <c r="FW132" s="3"/>
      <c r="FX132" s="3"/>
      <c r="FY132" s="3"/>
      <c r="FZ132" s="3"/>
      <c r="GA132" s="3"/>
      <c r="GB132" s="4"/>
      <c r="GC132" s="3"/>
      <c r="GD132" s="182"/>
      <c r="GE132" s="3"/>
      <c r="GF132" s="3"/>
      <c r="GG132" s="3"/>
      <c r="GH132" s="3"/>
      <c r="GI132" s="3"/>
      <c r="GJ132" s="3"/>
      <c r="GK132" s="3"/>
      <c r="GL132" s="3"/>
      <c r="GM132" s="3"/>
      <c r="GN132" s="3"/>
    </row>
    <row r="133" spans="1:196" s="1" customFormat="1" ht="68.099999999999994">
      <c r="A133" s="2" t="str">
        <f t="shared" si="258"/>
        <v>SI Sent, Shipment Awaited</v>
      </c>
      <c r="B133" s="282">
        <v>50</v>
      </c>
      <c r="C133" s="282">
        <v>190</v>
      </c>
      <c r="D133" s="182" t="s">
        <v>208</v>
      </c>
      <c r="E133" s="2" t="str">
        <f t="shared" si="259"/>
        <v>SHORT POSITION</v>
      </c>
      <c r="F133" s="271">
        <f t="shared" si="302"/>
        <v>32016361</v>
      </c>
      <c r="G133" s="271"/>
      <c r="H133" s="2" t="str">
        <f t="shared" si="297"/>
        <v>HOANG SON I JOINT STOCK COMPANY</v>
      </c>
      <c r="I133" s="3" t="s">
        <v>644</v>
      </c>
      <c r="J133" s="2" t="s">
        <v>347</v>
      </c>
      <c r="K133" s="2" t="str">
        <f t="shared" si="261"/>
        <v>HCMC, VIETNAM</v>
      </c>
      <c r="L133" s="2" t="str">
        <f t="shared" si="334"/>
        <v/>
      </c>
      <c r="M133" s="2" t="str">
        <f t="shared" si="333"/>
        <v/>
      </c>
      <c r="N133" s="22" t="str">
        <f t="shared" si="262"/>
        <v/>
      </c>
      <c r="O133" s="22" t="str">
        <f t="shared" si="332"/>
        <v/>
      </c>
      <c r="P133" s="22" t="str">
        <f t="shared" si="263"/>
        <v>No OBL Yet</v>
      </c>
      <c r="Q133" s="2"/>
      <c r="R133" s="2" t="str">
        <f t="shared" si="264"/>
        <v>No CERTS Yet</v>
      </c>
      <c r="S133" s="2" t="str">
        <f t="shared" si="298"/>
        <v/>
      </c>
      <c r="T133" s="3" t="s">
        <v>814</v>
      </c>
      <c r="U133" s="279"/>
      <c r="V133" s="272"/>
      <c r="W133" s="279"/>
      <c r="X133" s="24"/>
      <c r="Y133" s="273">
        <v>20010260</v>
      </c>
      <c r="Z133" s="24">
        <v>46149</v>
      </c>
      <c r="AA133" s="182">
        <v>32016361</v>
      </c>
      <c r="AB133" s="182" t="s">
        <v>815</v>
      </c>
      <c r="AC133" s="182" t="s">
        <v>816</v>
      </c>
      <c r="AD133" s="181">
        <v>46203</v>
      </c>
      <c r="AE133" s="30">
        <v>0.1</v>
      </c>
      <c r="AF133" s="277">
        <v>200</v>
      </c>
      <c r="AG133" s="4">
        <f t="shared" si="266"/>
        <v>180</v>
      </c>
      <c r="AH133" s="3" t="s">
        <v>215</v>
      </c>
      <c r="AI133" s="4">
        <v>1580</v>
      </c>
      <c r="AJ133" s="4">
        <f t="shared" si="335"/>
        <v>316000</v>
      </c>
      <c r="AK133" s="3" t="s">
        <v>216</v>
      </c>
      <c r="AL133" s="3" t="s">
        <v>404</v>
      </c>
      <c r="AM133" s="183">
        <v>0.1</v>
      </c>
      <c r="AN133" s="183">
        <v>0.88</v>
      </c>
      <c r="AO133" s="183">
        <v>0.02</v>
      </c>
      <c r="AP133" s="28" t="s">
        <v>218</v>
      </c>
      <c r="AQ133" s="3" t="s">
        <v>405</v>
      </c>
      <c r="AR133" s="18" t="s">
        <v>781</v>
      </c>
      <c r="AS133" s="27">
        <v>5</v>
      </c>
      <c r="AT133" s="3" t="s">
        <v>220</v>
      </c>
      <c r="AU133" s="3" t="s">
        <v>220</v>
      </c>
      <c r="AV133" s="3" t="s">
        <v>220</v>
      </c>
      <c r="AW133" s="9"/>
      <c r="AX133" s="3"/>
      <c r="AY133" s="47">
        <v>46154</v>
      </c>
      <c r="AZ133" s="278">
        <f t="shared" si="299"/>
        <v>31600</v>
      </c>
      <c r="BA133" s="18">
        <v>46154</v>
      </c>
      <c r="BB133" s="22">
        <v>46158</v>
      </c>
      <c r="BC133" s="22"/>
      <c r="BD133" s="22"/>
      <c r="BE133" s="22"/>
      <c r="BF133" s="22"/>
      <c r="BG133" s="18"/>
      <c r="BH133" s="18"/>
      <c r="BI133" s="3"/>
      <c r="BJ133" s="25"/>
      <c r="BK133" s="189" t="s">
        <v>222</v>
      </c>
      <c r="BL133" s="497"/>
      <c r="BM133" s="18"/>
      <c r="BN133" s="4"/>
      <c r="BO133" s="18"/>
      <c r="BP133" s="3" t="s">
        <v>651</v>
      </c>
      <c r="BQ133" s="21" t="s">
        <v>409</v>
      </c>
      <c r="BR133" s="2"/>
      <c r="BS133" s="2"/>
      <c r="BT133" s="2"/>
      <c r="BU133" s="2"/>
      <c r="BV133" s="20"/>
      <c r="BW133" s="19"/>
      <c r="BX133" s="189">
        <f t="shared" si="304"/>
        <v>0</v>
      </c>
      <c r="BY133" s="22"/>
      <c r="BZ133" s="22"/>
      <c r="CA133" s="22"/>
      <c r="CB133" s="22"/>
      <c r="CC133" s="22"/>
      <c r="CD133" s="22"/>
      <c r="CE133" s="22" t="str">
        <f t="shared" si="269"/>
        <v>No OBL Yet</v>
      </c>
      <c r="CF133" s="22"/>
      <c r="CG133" s="22"/>
      <c r="CH133" s="182"/>
      <c r="CI133" s="182"/>
      <c r="CJ133" s="182"/>
      <c r="CK133" s="2" t="str">
        <f t="shared" si="267"/>
        <v>No CERTS Yet</v>
      </c>
      <c r="CL133" s="48"/>
      <c r="CM133" s="22"/>
      <c r="CN133" s="55"/>
      <c r="CO133" s="55"/>
      <c r="CP133" s="55" t="str">
        <f>IF(CO133&lt;&gt;0,"Docs in Buyer's Bank",IF(CN133&lt;&gt;0,"Docs in Transit to Buyer's Bank",IF(CM133&lt;&gt;0,"Docs in Our Bank",IF(CL133="TT PAYMENT","Not Applicable",""))))</f>
        <v/>
      </c>
      <c r="CQ133" s="190">
        <f t="shared" si="336"/>
        <v>-31600</v>
      </c>
      <c r="CR133" s="54"/>
      <c r="CS133" s="2"/>
      <c r="CT133" s="2"/>
      <c r="CU133" s="14" t="str">
        <f t="shared" si="305"/>
        <v/>
      </c>
      <c r="CV133" s="191" t="str">
        <f t="shared" si="306"/>
        <v/>
      </c>
      <c r="CW133" s="14" t="str">
        <f t="shared" si="307"/>
        <v/>
      </c>
      <c r="CX133" s="14" t="str">
        <f t="shared" si="308"/>
        <v/>
      </c>
      <c r="CY133" s="15" t="str">
        <f t="shared" si="309"/>
        <v/>
      </c>
      <c r="CZ133" s="2"/>
      <c r="DA133" s="41" t="str">
        <f t="shared" si="310"/>
        <v/>
      </c>
      <c r="DB133" s="2"/>
      <c r="DC133" s="192" t="str">
        <f t="shared" si="311"/>
        <v/>
      </c>
      <c r="DD133" s="40"/>
      <c r="DE133" s="16" t="str">
        <f t="shared" si="312"/>
        <v/>
      </c>
      <c r="DF133" s="2" t="str">
        <f t="shared" si="313"/>
        <v/>
      </c>
      <c r="DG133" s="14" t="str">
        <f t="shared" si="314"/>
        <v/>
      </c>
      <c r="DH133" s="2" t="str">
        <f t="shared" si="315"/>
        <v/>
      </c>
      <c r="DI133" s="192" t="str">
        <f t="shared" si="316"/>
        <v/>
      </c>
      <c r="DJ133" s="2" t="str">
        <f>IF(CS133="","",IF(DE133&lt;0,DE133*CT133*AI133*10%,0))</f>
        <v/>
      </c>
      <c r="DK133" s="15" t="str">
        <f t="shared" si="317"/>
        <v/>
      </c>
      <c r="DL133" s="2"/>
      <c r="DM133" s="2"/>
      <c r="DN133" s="15" t="str">
        <f t="shared" si="318"/>
        <v/>
      </c>
      <c r="DO133" s="14" t="str">
        <f t="shared" si="319"/>
        <v/>
      </c>
      <c r="DP133" s="14" t="str">
        <f t="shared" si="320"/>
        <v/>
      </c>
      <c r="DQ133" s="15" t="str">
        <f t="shared" si="321"/>
        <v/>
      </c>
      <c r="DR133" s="15" t="str">
        <f t="shared" si="322"/>
        <v/>
      </c>
      <c r="DS133" s="2" t="str">
        <f t="shared" si="323"/>
        <v/>
      </c>
      <c r="DT133" s="2" t="str">
        <f t="shared" si="324"/>
        <v/>
      </c>
      <c r="DU133" s="2"/>
      <c r="DV133" s="2"/>
      <c r="DW133" s="2"/>
      <c r="DX133" s="2"/>
      <c r="DY133" s="2" t="s">
        <v>230</v>
      </c>
      <c r="DZ133" s="2"/>
      <c r="EA133" s="2" t="str">
        <f t="shared" si="325"/>
        <v/>
      </c>
      <c r="EB133" s="2"/>
      <c r="EC133" s="2"/>
      <c r="ED133" s="2"/>
      <c r="EE133" s="3"/>
      <c r="EF133" s="7"/>
      <c r="EG133" s="3"/>
      <c r="EH133" s="3" t="s">
        <v>817</v>
      </c>
      <c r="EI133" s="3"/>
      <c r="EJ133" s="189"/>
      <c r="EK133" s="4"/>
      <c r="EL133" s="9"/>
      <c r="EM133" s="9"/>
      <c r="EN133" s="189">
        <f t="shared" si="326"/>
        <v>0</v>
      </c>
      <c r="EO133" s="9"/>
      <c r="EP133" s="8"/>
      <c r="EQ133" s="4"/>
      <c r="ER133" s="4"/>
      <c r="ES133" s="7"/>
      <c r="ET133" s="7"/>
      <c r="EU133" s="6"/>
      <c r="EV133" s="2" t="str">
        <f t="shared" si="268"/>
        <v>Yet to load</v>
      </c>
      <c r="EW133" s="189"/>
      <c r="EX133" s="189" t="e">
        <f t="shared" si="327"/>
        <v>#DIV/0!</v>
      </c>
      <c r="EY133" s="189" t="s">
        <v>233</v>
      </c>
      <c r="EZ133" s="24"/>
      <c r="FA133" s="2"/>
      <c r="FB133" s="24"/>
      <c r="FC133" s="193"/>
      <c r="FD133" s="189">
        <f t="shared" si="328"/>
        <v>0</v>
      </c>
      <c r="FE133" s="52"/>
      <c r="FF133" s="52"/>
      <c r="FG133" s="49"/>
      <c r="FH133" s="49"/>
      <c r="FI133" s="49"/>
      <c r="FJ133" s="49"/>
      <c r="FK133" s="49"/>
      <c r="FL133" s="49">
        <f t="shared" si="330"/>
        <v>0</v>
      </c>
      <c r="FM133" s="180">
        <f t="shared" si="331"/>
        <v>0</v>
      </c>
      <c r="FN133" s="49"/>
      <c r="FO133" s="49"/>
      <c r="FP133" s="49"/>
      <c r="FQ133" s="49"/>
      <c r="FR133" s="49"/>
      <c r="FS133" s="34">
        <f t="shared" si="337"/>
        <v>20010260</v>
      </c>
      <c r="FT133" s="34">
        <f t="shared" si="338"/>
        <v>32016361</v>
      </c>
      <c r="FU133" s="3"/>
      <c r="FV133" s="3"/>
      <c r="FW133" s="3"/>
      <c r="FX133" s="3"/>
      <c r="FY133" s="3"/>
      <c r="FZ133" s="3"/>
      <c r="GA133" s="3"/>
      <c r="GB133" s="4"/>
      <c r="GC133" s="3"/>
      <c r="GD133" s="182"/>
      <c r="GE133" s="3"/>
      <c r="GF133" s="3"/>
      <c r="GG133" s="3"/>
      <c r="GH133" s="3"/>
      <c r="GI133" s="3"/>
      <c r="GJ133" s="3"/>
      <c r="GK133" s="3"/>
      <c r="GL133" s="3"/>
      <c r="GM133" s="3"/>
      <c r="GN133" s="3"/>
    </row>
    <row r="134" spans="1:196" s="1" customFormat="1" ht="33.950000000000003">
      <c r="A134" s="2" t="str">
        <f t="shared" ref="A134:A165" si="339">IF(DZ134="CLOSE","Trade closed",IF(DZ134="PMT Pending","FNF Settlement is Due",IF(CS134&lt;&gt;0,"FNF Reconcillation Onging",IF(CR134&lt;&gt;0," Final Pmt Recd , FNF Pending",IF(CM134&lt;&gt;0,"Exp Dox Presented to Bank, Pmt Pending",IF(BZ134&lt;&gt;0,"OBL Scan Recd, Nego Pending",IF(BM134&lt;&gt;0,"Sailed, OBL &amp; Certs Pending",IF(BJ134&lt;&gt;0,"Stuffed, Yet to Sail",IF(BB134&lt;&gt;0,"SI Sent, Shipment Awaited",IF(BA134&lt;&gt;0,"Advance Rcvd, SI Pending",IF(Z134&lt;&gt;0,"SC Raised, Advance Pending",IF(X134&lt;&gt;0,"Deal Ticket Rcvd SC Pending", "Entry Pending"))))))))))))</f>
        <v>SI Sent, Shipment Awaited</v>
      </c>
      <c r="B134" s="282">
        <v>47</v>
      </c>
      <c r="C134" s="282">
        <v>200</v>
      </c>
      <c r="D134" s="182" t="s">
        <v>208</v>
      </c>
      <c r="E134" s="2" t="str">
        <f t="shared" ref="E134:E165" si="340">IF(AND(LEFT(TRIM(AA134&amp;""),1)="3",BI134&lt;&gt;""),"CLOSE POSITION",
IF(AND(LEFT(TRIM(AA134&amp;""),1)="3",BI134=""),"SHORT POSITION",
IF(AND(LEFT(TRIM(AA134&amp;""),1)&lt;&gt;"3",BI134&lt;&gt;""),"LONG POSITION","ENTRY PENDING")))</f>
        <v>SHORT POSITION</v>
      </c>
      <c r="F134" s="271">
        <f t="shared" si="302"/>
        <v>32016364</v>
      </c>
      <c r="G134" s="271"/>
      <c r="H134" s="2" t="str">
        <f t="shared" si="297"/>
        <v>HOANG SON I JOINT STOCK COMPANY LIMITED</v>
      </c>
      <c r="I134" s="3" t="s">
        <v>259</v>
      </c>
      <c r="J134" s="2" t="s">
        <v>347</v>
      </c>
      <c r="K134" s="2" t="str">
        <f t="shared" ref="K134:K165" si="341">IF(BQ134&lt;&gt;0,BQ134,"")</f>
        <v>HCMC, VIETNAM</v>
      </c>
      <c r="L134" s="2" t="str">
        <f t="shared" si="334"/>
        <v/>
      </c>
      <c r="M134" s="2" t="str">
        <f t="shared" si="333"/>
        <v/>
      </c>
      <c r="N134" s="22" t="str">
        <f t="shared" ref="N134:N165" si="342">IF(BM134&lt;&gt;0,BM134,"")</f>
        <v/>
      </c>
      <c r="O134" s="22" t="str">
        <f t="shared" si="332"/>
        <v/>
      </c>
      <c r="P134" s="22" t="str">
        <f t="shared" ref="P134:P165" si="343">CE134</f>
        <v>No OBL Yet</v>
      </c>
      <c r="Q134" s="2"/>
      <c r="R134" s="2" t="str">
        <f t="shared" ref="R134:R165" si="344">CK134</f>
        <v>No CERTS Yet</v>
      </c>
      <c r="S134" s="2"/>
      <c r="T134" s="2" t="s">
        <v>787</v>
      </c>
      <c r="U134" s="3"/>
      <c r="V134" s="272"/>
      <c r="W134" s="3" t="s">
        <v>785</v>
      </c>
      <c r="X134" s="24"/>
      <c r="Y134" s="273">
        <v>20010279</v>
      </c>
      <c r="Z134" s="24">
        <v>46153</v>
      </c>
      <c r="AA134" s="182">
        <v>32016364</v>
      </c>
      <c r="AB134" s="182" t="s">
        <v>818</v>
      </c>
      <c r="AC134" s="182" t="s">
        <v>797</v>
      </c>
      <c r="AD134" s="181">
        <v>46203</v>
      </c>
      <c r="AE134" s="30">
        <v>0.1</v>
      </c>
      <c r="AF134" s="277">
        <v>250</v>
      </c>
      <c r="AG134" s="4">
        <f t="shared" ref="AG134:AG165" si="345">AF134*(1-AE134)</f>
        <v>225</v>
      </c>
      <c r="AH134" s="3" t="s">
        <v>215</v>
      </c>
      <c r="AI134" s="4">
        <v>1500</v>
      </c>
      <c r="AJ134" s="4">
        <f t="shared" si="335"/>
        <v>375000</v>
      </c>
      <c r="AK134" s="3" t="s">
        <v>249</v>
      </c>
      <c r="AL134" s="3" t="s">
        <v>780</v>
      </c>
      <c r="AM134" s="30">
        <v>0.1</v>
      </c>
      <c r="AN134" s="183">
        <v>0.88</v>
      </c>
      <c r="AO134" s="183">
        <v>0.02</v>
      </c>
      <c r="AP134" s="28" t="s">
        <v>218</v>
      </c>
      <c r="AQ134" s="18" t="s">
        <v>370</v>
      </c>
      <c r="AR134" s="18" t="s">
        <v>251</v>
      </c>
      <c r="AS134" s="27"/>
      <c r="AT134" s="3" t="s">
        <v>220</v>
      </c>
      <c r="AU134" s="3" t="s">
        <v>220</v>
      </c>
      <c r="AV134" s="3" t="s">
        <v>220</v>
      </c>
      <c r="AW134" s="9"/>
      <c r="AX134" s="3"/>
      <c r="AY134" s="47">
        <v>46157</v>
      </c>
      <c r="AZ134" s="278">
        <f t="shared" si="299"/>
        <v>37500</v>
      </c>
      <c r="BA134" s="18">
        <v>46155</v>
      </c>
      <c r="BB134" s="22">
        <v>46167</v>
      </c>
      <c r="BC134" s="22"/>
      <c r="BD134" s="22"/>
      <c r="BE134" s="22"/>
      <c r="BF134" s="22"/>
      <c r="BG134" s="18"/>
      <c r="BH134" s="18"/>
      <c r="BI134" s="3"/>
      <c r="BJ134" s="25"/>
      <c r="BK134" s="24"/>
      <c r="BL134" s="271"/>
      <c r="BM134" s="18"/>
      <c r="BN134" s="21" t="s">
        <v>798</v>
      </c>
      <c r="BO134" s="18"/>
      <c r="BP134" s="3" t="s">
        <v>259</v>
      </c>
      <c r="BQ134" s="21" t="s">
        <v>409</v>
      </c>
      <c r="BR134" s="2"/>
      <c r="BS134" s="20"/>
      <c r="BT134" s="19"/>
      <c r="BU134" s="189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 t="str">
        <f t="shared" si="269"/>
        <v>No OBL Yet</v>
      </c>
      <c r="CF134" s="182"/>
      <c r="CG134" s="182"/>
      <c r="CH134" s="2"/>
      <c r="CI134" s="48"/>
      <c r="CJ134" s="22"/>
      <c r="CK134" s="2" t="str">
        <f t="shared" ref="CK134:CK165" si="346">IF(CJ134&lt;&gt;0,"CERTS in Destination - "&amp;J134,IF(CI134&lt;&gt;0,"CERT in Transit to -"&amp;J134,IF(CH134&lt;&gt;0,"CERT in Origin - "&amp;I134,IF(CH134="","No CERTS Yet"))))</f>
        <v>No CERTS Yet</v>
      </c>
      <c r="CL134" s="55"/>
      <c r="CM134" s="55"/>
      <c r="CN134" s="190"/>
      <c r="CO134" s="54"/>
      <c r="CP134" s="2"/>
      <c r="CQ134" s="190">
        <f t="shared" si="336"/>
        <v>-37500</v>
      </c>
      <c r="CR134" s="14"/>
      <c r="CS134" s="191"/>
      <c r="CT134" s="14"/>
      <c r="CU134" s="14"/>
      <c r="CV134" s="15"/>
      <c r="CW134" s="2"/>
      <c r="CX134" s="41"/>
      <c r="CY134" s="2"/>
      <c r="CZ134" s="192"/>
      <c r="DA134" s="40"/>
      <c r="DB134" s="16"/>
      <c r="DC134" s="2"/>
      <c r="DD134" s="14"/>
      <c r="DE134" s="2"/>
      <c r="DF134" s="192"/>
      <c r="DG134" s="2"/>
      <c r="DH134" s="15"/>
      <c r="DI134" s="2"/>
      <c r="DJ134" s="2"/>
      <c r="DK134" s="15"/>
      <c r="DL134" s="14"/>
      <c r="DM134" s="14"/>
      <c r="DN134" s="15"/>
      <c r="DO134" s="15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3"/>
      <c r="EC134" s="7"/>
      <c r="ED134" s="3"/>
      <c r="EE134" s="3"/>
      <c r="EF134" s="3"/>
      <c r="EG134" s="189"/>
      <c r="EH134" s="3" t="s">
        <v>266</v>
      </c>
      <c r="EI134" s="9"/>
      <c r="EJ134" s="9"/>
      <c r="EK134" s="189"/>
      <c r="EL134" s="9"/>
      <c r="EM134" s="8"/>
      <c r="EN134" s="4"/>
      <c r="EO134" s="7"/>
      <c r="EP134" s="7"/>
      <c r="EQ134" s="6"/>
      <c r="ER134" s="6"/>
      <c r="ES134" s="2"/>
      <c r="ET134" s="189"/>
      <c r="EU134" s="189"/>
      <c r="EV134" s="2" t="str">
        <f t="shared" ref="EV134:EV165" si="347">IF(CR134&lt;&gt;0,"Final Pmt Recd",IF(CM134&lt;&gt;0,"Export Loan",IF(BZ134&lt;&gt;0,"Nego Pending",IF(Z134&lt;&gt;0,"Yet to load","Yet to load"))))</f>
        <v>Yet to load</v>
      </c>
      <c r="EW134" s="24"/>
      <c r="EX134" s="2"/>
      <c r="EY134" s="24"/>
      <c r="EZ134" s="193"/>
      <c r="FA134" s="189"/>
      <c r="FB134" s="52"/>
      <c r="FC134" s="52"/>
      <c r="FD134" s="49"/>
      <c r="FE134" s="49"/>
      <c r="FF134" s="180"/>
      <c r="FG134" s="49"/>
      <c r="FH134" s="49"/>
      <c r="FI134" s="49"/>
      <c r="FJ134" s="49"/>
      <c r="FK134" s="49"/>
      <c r="FL134" s="49"/>
      <c r="FM134" s="49"/>
      <c r="FN134" s="49"/>
      <c r="FO134" s="49"/>
      <c r="FP134" s="34"/>
      <c r="FQ134" s="34"/>
      <c r="FR134" s="3"/>
      <c r="FS134" s="34">
        <f t="shared" si="337"/>
        <v>20010279</v>
      </c>
      <c r="FT134" s="34">
        <f t="shared" si="338"/>
        <v>32016364</v>
      </c>
      <c r="FU134" s="3"/>
      <c r="FV134" s="3"/>
      <c r="FW134" s="3"/>
      <c r="FX134" s="3"/>
      <c r="FY134" s="4"/>
      <c r="FZ134" s="3"/>
      <c r="GA134" s="182"/>
      <c r="GB134" s="3"/>
      <c r="GC134" s="3"/>
      <c r="GD134" s="3"/>
      <c r="GE134" s="3"/>
      <c r="GF134" s="3"/>
      <c r="GG134" s="3"/>
      <c r="GH134" s="3"/>
      <c r="GI134" s="3"/>
      <c r="GJ134" s="3"/>
      <c r="GK134" s="3"/>
    </row>
    <row r="135" spans="1:196" s="1" customFormat="1" ht="51">
      <c r="A135" s="2" t="str">
        <f t="shared" si="339"/>
        <v>Entry Pending</v>
      </c>
      <c r="B135" s="282">
        <v>51</v>
      </c>
      <c r="C135" s="282">
        <v>190</v>
      </c>
      <c r="D135" s="182" t="s">
        <v>208</v>
      </c>
      <c r="E135" s="2" t="str">
        <f t="shared" si="340"/>
        <v>ENTRY PENDING</v>
      </c>
      <c r="F135" s="271">
        <f t="shared" si="302"/>
        <v>0</v>
      </c>
      <c r="G135" s="271"/>
      <c r="H135" s="2" t="str">
        <f t="shared" si="297"/>
        <v xml:space="preserve">VALENCY AGRO/HSS/MAGOKORO FOODS </v>
      </c>
      <c r="I135" s="3" t="s">
        <v>644</v>
      </c>
      <c r="J135" s="2" t="s">
        <v>210</v>
      </c>
      <c r="K135" s="2" t="str">
        <f t="shared" si="341"/>
        <v>MUNDRA, INDIA</v>
      </c>
      <c r="L135" s="2" t="str">
        <f t="shared" si="334"/>
        <v/>
      </c>
      <c r="M135" s="2" t="str">
        <f t="shared" si="333"/>
        <v/>
      </c>
      <c r="N135" s="22" t="str">
        <f t="shared" si="342"/>
        <v/>
      </c>
      <c r="O135" s="22" t="str">
        <f t="shared" si="332"/>
        <v/>
      </c>
      <c r="P135" s="22" t="str">
        <f t="shared" si="343"/>
        <v>No OBL Yet</v>
      </c>
      <c r="Q135" s="2"/>
      <c r="R135" s="2" t="str">
        <f t="shared" si="344"/>
        <v>No CERTS Yet</v>
      </c>
      <c r="S135" s="2" t="str">
        <f>CP135</f>
        <v/>
      </c>
      <c r="T135" s="2" t="s">
        <v>819</v>
      </c>
      <c r="U135" s="438" t="s">
        <v>820</v>
      </c>
      <c r="V135" s="272"/>
      <c r="W135" s="438" t="s">
        <v>820</v>
      </c>
      <c r="X135" s="24"/>
      <c r="Y135" s="273"/>
      <c r="Z135" s="24"/>
      <c r="AA135" s="182"/>
      <c r="AB135" s="182" t="s">
        <v>821</v>
      </c>
      <c r="AC135" s="182" t="s">
        <v>816</v>
      </c>
      <c r="AD135" s="181">
        <v>46203</v>
      </c>
      <c r="AE135" s="30">
        <v>0.05</v>
      </c>
      <c r="AF135" s="277">
        <v>110</v>
      </c>
      <c r="AG135" s="4">
        <f t="shared" si="345"/>
        <v>104.5</v>
      </c>
      <c r="AH135" s="3" t="s">
        <v>215</v>
      </c>
      <c r="AI135" s="4">
        <v>1610</v>
      </c>
      <c r="AJ135" s="4">
        <f t="shared" si="335"/>
        <v>177100</v>
      </c>
      <c r="AK135" s="3" t="s">
        <v>216</v>
      </c>
      <c r="AL135" s="3" t="s">
        <v>238</v>
      </c>
      <c r="AM135" s="30">
        <v>0.1</v>
      </c>
      <c r="AN135" s="183">
        <v>0.9</v>
      </c>
      <c r="AO135" s="183">
        <v>0</v>
      </c>
      <c r="AP135" s="28" t="s">
        <v>218</v>
      </c>
      <c r="AQ135" s="18"/>
      <c r="AR135" s="18" t="s">
        <v>822</v>
      </c>
      <c r="AS135" s="364" t="s">
        <v>823</v>
      </c>
      <c r="AT135" s="3" t="s">
        <v>220</v>
      </c>
      <c r="AU135" s="3" t="s">
        <v>220</v>
      </c>
      <c r="AV135" s="3" t="s">
        <v>220</v>
      </c>
      <c r="AW135" s="9"/>
      <c r="AX135" s="3"/>
      <c r="AY135" s="47"/>
      <c r="AZ135" s="278">
        <f t="shared" si="299"/>
        <v>17710</v>
      </c>
      <c r="BA135" s="18"/>
      <c r="BB135" s="22"/>
      <c r="BC135" s="22"/>
      <c r="BD135" s="22"/>
      <c r="BE135" s="22"/>
      <c r="BF135" s="22"/>
      <c r="BG135" s="18"/>
      <c r="BH135" s="18"/>
      <c r="BI135" s="3"/>
      <c r="BJ135" s="25"/>
      <c r="BK135" s="24"/>
      <c r="BL135" s="271"/>
      <c r="BM135" s="18"/>
      <c r="BN135" s="3"/>
      <c r="BO135" s="18"/>
      <c r="BP135" s="3" t="s">
        <v>651</v>
      </c>
      <c r="BQ135" s="21" t="s">
        <v>253</v>
      </c>
      <c r="BR135" s="2"/>
      <c r="BS135" s="2"/>
      <c r="BT135" s="2"/>
      <c r="BU135" s="2"/>
      <c r="BV135" s="20"/>
      <c r="BW135" s="19"/>
      <c r="BX135" s="189">
        <f t="shared" ref="BX135:BX141" si="348">BJ135*AI135</f>
        <v>0</v>
      </c>
      <c r="BY135" s="22"/>
      <c r="BZ135" s="22"/>
      <c r="CA135" s="22"/>
      <c r="CB135" s="22"/>
      <c r="CC135" s="22"/>
      <c r="CD135" s="22"/>
      <c r="CE135" s="22" t="str">
        <f t="shared" si="269"/>
        <v>No OBL Yet</v>
      </c>
      <c r="CF135" s="22"/>
      <c r="CG135" s="22"/>
      <c r="CH135" s="182"/>
      <c r="CI135" s="182"/>
      <c r="CJ135" s="182"/>
      <c r="CK135" s="2" t="str">
        <f t="shared" si="346"/>
        <v>No CERTS Yet</v>
      </c>
      <c r="CL135" s="48"/>
      <c r="CM135" s="22"/>
      <c r="CN135" s="55"/>
      <c r="CO135" s="55"/>
      <c r="CP135" s="55" t="str">
        <f>IF(CO135&lt;&gt;0,"Docs in Buyer's Bank",IF(CN135&lt;&gt;0,"Docs in Transit to Buyer's Bank",IF(CM135&lt;&gt;0,"Docs in Our Bank",IF(CL135="TT PAYMENT","Not Applicable",""))))</f>
        <v/>
      </c>
      <c r="CQ135" s="190">
        <f t="shared" si="336"/>
        <v>-17710</v>
      </c>
      <c r="CR135" s="54"/>
      <c r="CS135" s="2"/>
      <c r="CT135" s="2"/>
      <c r="CU135" s="14" t="str">
        <f>IF(CS135="","",BJ135-CT135)</f>
        <v/>
      </c>
      <c r="CV135" s="191" t="str">
        <f>IF(CS135="","",CU135/BJ135)</f>
        <v/>
      </c>
      <c r="CW135" s="14" t="str">
        <f>IF(CS135="","",AZ135+CQ135)</f>
        <v/>
      </c>
      <c r="CX135" s="14" t="str">
        <f>IF(CS135="","",BX135*2%)</f>
        <v/>
      </c>
      <c r="CY135" s="15" t="str">
        <f>IF(CS135="","",AI135/B135)</f>
        <v/>
      </c>
      <c r="CZ135" s="2"/>
      <c r="DA135" s="41" t="str">
        <f>IF(CS135="","",B135-CZ135)</f>
        <v/>
      </c>
      <c r="DB135" s="2"/>
      <c r="DC135" s="192" t="str">
        <f>IF(CS135="","",IF(CS135="","",DB135-C135))</f>
        <v/>
      </c>
      <c r="DD135" s="40"/>
      <c r="DE135" s="16" t="str">
        <f>IF(CS135="","",10%-DD135)</f>
        <v/>
      </c>
      <c r="DF135" s="2" t="str">
        <f>IF(CS135="","",CU135*AI135)</f>
        <v/>
      </c>
      <c r="DG135" s="14" t="str">
        <f>IF(CS135="","",IF(DA135&gt;2,2*DA135*CT135*CY135,DA135*CT135*CY135))</f>
        <v/>
      </c>
      <c r="DH135" s="2" t="str">
        <f>IF(CS135="","",IF(DA135&gt;2,2*(DA135-2*CT135*CY135),0))</f>
        <v/>
      </c>
      <c r="DI135" s="192" t="str">
        <f>IF(CS135="","",IF(DC135&gt;0,DC135*0.5*CT135,0))</f>
        <v/>
      </c>
      <c r="DJ135" s="2" t="str">
        <f>IF(CS135="","",IF(DE135&lt;0,DE135*CT135*AI135*10%,0))</f>
        <v/>
      </c>
      <c r="DK135" s="15" t="str">
        <f>IF(CS135="","",SUM(DF135:DJ135))</f>
        <v/>
      </c>
      <c r="DL135" s="2"/>
      <c r="DM135" s="2"/>
      <c r="DN135" s="15" t="str">
        <f>IF(CS135="","",SUM(DK135:DL135))</f>
        <v/>
      </c>
      <c r="DO135" s="14" t="str">
        <f>IF(CS135="","",BJ135*AI135-DN135)</f>
        <v/>
      </c>
      <c r="DP135" s="14" t="str">
        <f>IF(CS135="","",AZ135+CQ135)</f>
        <v/>
      </c>
      <c r="DQ135" s="15" t="str">
        <f>IF(CS135="","",IF((DP135-DO135)&gt;0,DP135-DO135,""))</f>
        <v/>
      </c>
      <c r="DR135" s="15" t="str">
        <f>IF(CS135="","",IF((DO135-DP135)&gt;0,(DO135-DP135),""))</f>
        <v/>
      </c>
      <c r="DS135" s="2" t="str">
        <f>IF(CS135="","",IF(DQ135="",H135,"VALENCY"))</f>
        <v/>
      </c>
      <c r="DT135" s="2" t="str">
        <f>IF(DN135="","",IF(DN135&gt;0,"CN", "DN"))</f>
        <v/>
      </c>
      <c r="DU135" s="2"/>
      <c r="DV135" s="2"/>
      <c r="DW135" s="2"/>
      <c r="DX135" s="2"/>
      <c r="DY135" s="2" t="s">
        <v>230</v>
      </c>
      <c r="DZ135" s="2"/>
      <c r="EA135" s="2" t="str">
        <f>IF(CS135="","",
   MIN(0,(IF(DA135&gt;2,2,1)*DA135*CT135*CY135))
)</f>
        <v/>
      </c>
      <c r="EB135" s="2"/>
      <c r="EC135" s="2"/>
      <c r="ED135" s="2"/>
      <c r="EE135" s="3"/>
      <c r="EF135" s="7"/>
      <c r="EG135" s="3"/>
      <c r="EH135" s="3"/>
      <c r="EI135" s="3"/>
      <c r="EJ135" s="189"/>
      <c r="EK135" s="4"/>
      <c r="EL135" s="9"/>
      <c r="EM135" s="9"/>
      <c r="EN135" s="189">
        <f t="shared" ref="EN135:EN141" si="349">EK135*EJ135</f>
        <v>0</v>
      </c>
      <c r="EO135" s="9"/>
      <c r="EP135" s="8"/>
      <c r="EQ135" s="4"/>
      <c r="ER135" s="4"/>
      <c r="ES135" s="7"/>
      <c r="ET135" s="7"/>
      <c r="EU135" s="6"/>
      <c r="EV135" s="2" t="str">
        <f t="shared" si="347"/>
        <v>Yet to load</v>
      </c>
      <c r="EW135" s="189"/>
      <c r="EX135" s="189" t="e">
        <f>EW135/BJ135</f>
        <v>#DIV/0!</v>
      </c>
      <c r="EY135" s="189" t="s">
        <v>233</v>
      </c>
      <c r="EZ135" s="24"/>
      <c r="FA135" s="2"/>
      <c r="FB135" s="24"/>
      <c r="FC135" s="193"/>
      <c r="FD135" s="189">
        <f>FC135*BJ135</f>
        <v>0</v>
      </c>
      <c r="FE135" s="52"/>
      <c r="FF135" s="52"/>
      <c r="FG135" s="49"/>
      <c r="FH135" s="49"/>
      <c r="FI135" s="49"/>
      <c r="FJ135" s="49"/>
      <c r="FK135" s="49"/>
      <c r="FL135" s="49">
        <f>IFERROR(EZ135-BY135,"")</f>
        <v>0</v>
      </c>
      <c r="FM135" s="180">
        <f>IFERROR(BM135-FB135,"")</f>
        <v>0</v>
      </c>
      <c r="FN135" s="49"/>
      <c r="FO135" s="49"/>
      <c r="FP135" s="49"/>
      <c r="FQ135" s="49"/>
      <c r="FR135" s="49"/>
      <c r="FS135" s="34">
        <f t="shared" si="337"/>
        <v>0</v>
      </c>
      <c r="FT135" s="34">
        <f t="shared" si="338"/>
        <v>0</v>
      </c>
      <c r="FU135" s="3"/>
      <c r="FV135" s="3"/>
      <c r="FW135" s="3"/>
      <c r="FX135" s="3"/>
      <c r="FY135" s="3"/>
      <c r="FZ135" s="3"/>
      <c r="GA135" s="3"/>
      <c r="GB135" s="4"/>
      <c r="GC135" s="3"/>
      <c r="GD135" s="182"/>
      <c r="GE135" s="3"/>
      <c r="GF135" s="3"/>
      <c r="GG135" s="3"/>
      <c r="GH135" s="3"/>
      <c r="GI135" s="3"/>
      <c r="GJ135" s="3"/>
      <c r="GK135" s="3"/>
      <c r="GL135" s="3"/>
      <c r="GM135" s="3"/>
      <c r="GN135" s="3"/>
    </row>
    <row r="136" spans="1:196" s="1" customFormat="1" ht="68.099999999999994">
      <c r="A136" s="2" t="str">
        <f t="shared" si="339"/>
        <v>Sailed, OBL &amp; Certs Pending</v>
      </c>
      <c r="B136" s="282">
        <v>47</v>
      </c>
      <c r="C136" s="282">
        <v>210</v>
      </c>
      <c r="D136" s="182" t="s">
        <v>208</v>
      </c>
      <c r="E136" s="2" t="str">
        <f t="shared" si="340"/>
        <v>LONG POSITION</v>
      </c>
      <c r="F136" s="271" t="str">
        <f t="shared" si="302"/>
        <v>TBA 16</v>
      </c>
      <c r="G136" s="271"/>
      <c r="H136" s="2" t="str">
        <f t="shared" si="297"/>
        <v>VALENCY AGRO UNSOLD</v>
      </c>
      <c r="I136" s="3" t="s">
        <v>291</v>
      </c>
      <c r="J136" s="2" t="s">
        <v>210</v>
      </c>
      <c r="K136" s="2" t="str">
        <f t="shared" si="341"/>
        <v>TUTICORIN, INDIA</v>
      </c>
      <c r="L136" s="2">
        <f t="shared" si="334"/>
        <v>270340532</v>
      </c>
      <c r="M136" s="2">
        <f t="shared" si="333"/>
        <v>107.425</v>
      </c>
      <c r="N136" s="22">
        <f t="shared" si="342"/>
        <v>46167</v>
      </c>
      <c r="O136" s="22">
        <f t="shared" si="332"/>
        <v>46199</v>
      </c>
      <c r="P136" s="22" t="str">
        <f t="shared" si="343"/>
        <v>Draft Rcvd</v>
      </c>
      <c r="Q136" s="2"/>
      <c r="R136" s="2" t="str">
        <f t="shared" si="344"/>
        <v>No CERTS Yet</v>
      </c>
      <c r="S136" s="2" t="str">
        <f>CP136</f>
        <v/>
      </c>
      <c r="T136" s="2" t="s">
        <v>824</v>
      </c>
      <c r="U136" s="3" t="s">
        <v>825</v>
      </c>
      <c r="V136" s="272"/>
      <c r="W136" s="3" t="s">
        <v>825</v>
      </c>
      <c r="X136" s="24"/>
      <c r="Y136" s="273"/>
      <c r="Z136" s="24"/>
      <c r="AA136" s="182" t="s">
        <v>826</v>
      </c>
      <c r="AB136" s="182" t="s">
        <v>665</v>
      </c>
      <c r="AC136" s="182" t="s">
        <v>622</v>
      </c>
      <c r="AD136" s="181">
        <v>46173</v>
      </c>
      <c r="AE136" s="30">
        <v>0.1</v>
      </c>
      <c r="AF136" s="277">
        <v>100</v>
      </c>
      <c r="AG136" s="4">
        <f t="shared" si="345"/>
        <v>90</v>
      </c>
      <c r="AH136" s="3" t="s">
        <v>215</v>
      </c>
      <c r="AI136" s="4"/>
      <c r="AJ136" s="4">
        <f t="shared" si="335"/>
        <v>0</v>
      </c>
      <c r="AK136" s="3" t="s">
        <v>249</v>
      </c>
      <c r="AL136" s="3" t="s">
        <v>238</v>
      </c>
      <c r="AM136" s="30">
        <v>0</v>
      </c>
      <c r="AN136" s="183">
        <v>1</v>
      </c>
      <c r="AO136" s="183">
        <v>0</v>
      </c>
      <c r="AP136" s="28" t="s">
        <v>218</v>
      </c>
      <c r="AQ136" s="18"/>
      <c r="AR136" s="18"/>
      <c r="AS136" s="27"/>
      <c r="AT136" s="3" t="s">
        <v>220</v>
      </c>
      <c r="AU136" s="3" t="s">
        <v>220</v>
      </c>
      <c r="AV136" s="3" t="s">
        <v>220</v>
      </c>
      <c r="AW136" s="9"/>
      <c r="AX136" s="3"/>
      <c r="AY136" s="47"/>
      <c r="AZ136" s="278">
        <f t="shared" si="299"/>
        <v>0</v>
      </c>
      <c r="BA136" s="18" t="s">
        <v>494</v>
      </c>
      <c r="BB136" s="22">
        <v>46139</v>
      </c>
      <c r="BC136" s="22"/>
      <c r="BD136" s="22"/>
      <c r="BE136" s="22"/>
      <c r="BF136" s="22"/>
      <c r="BG136" s="18"/>
      <c r="BH136" s="18"/>
      <c r="BI136" s="3">
        <v>270340532</v>
      </c>
      <c r="BJ136" s="25">
        <v>107.425</v>
      </c>
      <c r="BK136" s="189" t="s">
        <v>222</v>
      </c>
      <c r="BL136" s="497">
        <v>4</v>
      </c>
      <c r="BM136" s="18">
        <v>46167</v>
      </c>
      <c r="BN136" s="4"/>
      <c r="BO136" s="18">
        <v>46199</v>
      </c>
      <c r="BP136" s="3" t="s">
        <v>298</v>
      </c>
      <c r="BQ136" s="21" t="s">
        <v>346</v>
      </c>
      <c r="BR136" s="2" t="s">
        <v>416</v>
      </c>
      <c r="BS136" s="2"/>
      <c r="BT136" t="s">
        <v>827</v>
      </c>
      <c r="BU136" s="2"/>
      <c r="BV136" s="20"/>
      <c r="BW136" s="19"/>
      <c r="BX136" s="189">
        <f t="shared" si="348"/>
        <v>0</v>
      </c>
      <c r="BY136" s="22">
        <v>46150</v>
      </c>
      <c r="BZ136" s="22"/>
      <c r="CA136" s="22"/>
      <c r="CB136" s="22"/>
      <c r="CC136" s="22"/>
      <c r="CD136" s="22"/>
      <c r="CE136" s="22" t="str">
        <f t="shared" si="269"/>
        <v>Draft Rcvd</v>
      </c>
      <c r="CF136" s="22"/>
      <c r="CG136" s="22"/>
      <c r="CH136" s="182"/>
      <c r="CI136" s="182"/>
      <c r="CJ136" s="182"/>
      <c r="CK136" s="2" t="str">
        <f t="shared" si="346"/>
        <v>No CERTS Yet</v>
      </c>
      <c r="CL136" s="48"/>
      <c r="CM136" s="22"/>
      <c r="CN136" s="55"/>
      <c r="CO136" s="55"/>
      <c r="CP136" s="55" t="str">
        <f>IF(CO136&lt;&gt;0,"Docs in Buyer's Bank",IF(CN136&lt;&gt;0,"Docs in Transit to Buyer's Bank",IF(CM136&lt;&gt;0,"Docs in Our Bank",IF(CL136="TT PAYMENT","Not Applicable",""))))</f>
        <v/>
      </c>
      <c r="CQ136" s="190">
        <f t="shared" si="336"/>
        <v>0</v>
      </c>
      <c r="CR136" s="54"/>
      <c r="CS136" s="2"/>
      <c r="CT136" s="2"/>
      <c r="CU136" s="14" t="str">
        <f>IF(CS136="","",BJ136-CT136)</f>
        <v/>
      </c>
      <c r="CV136" s="191" t="str">
        <f>IF(CS136="","",CU136/BJ136)</f>
        <v/>
      </c>
      <c r="CW136" s="14" t="str">
        <f>IF(CS136="","",AZ136+CQ136)</f>
        <v/>
      </c>
      <c r="CX136" s="14" t="str">
        <f>IF(CS136="","",BX136*2%)</f>
        <v/>
      </c>
      <c r="CY136" s="15" t="str">
        <f>IF(CS136="","",AI136/B136)</f>
        <v/>
      </c>
      <c r="CZ136" s="2"/>
      <c r="DA136" s="41" t="str">
        <f>IF(CS136="","",B136-CZ136)</f>
        <v/>
      </c>
      <c r="DB136" s="2"/>
      <c r="DC136" s="192" t="str">
        <f>IF(CS136="","",IF(CS136="","",DB136-C136))</f>
        <v/>
      </c>
      <c r="DD136" s="40"/>
      <c r="DE136" s="16" t="str">
        <f>IF(CS136="","",10%-DD136)</f>
        <v/>
      </c>
      <c r="DF136" s="2" t="str">
        <f>IF(CS136="","",CU136*AI136)</f>
        <v/>
      </c>
      <c r="DG136" s="14" t="str">
        <f>IF(CS136="","",IF(DA136&gt;2,2*DA136*CT136*CY136,DA136*CT136*CY136))</f>
        <v/>
      </c>
      <c r="DH136" s="2" t="str">
        <f>IF(CS136="","",IF(DA136&gt;2,2*(DA136-2*CT136*CY136),0))</f>
        <v/>
      </c>
      <c r="DI136" s="192" t="str">
        <f>IF(CS136="","",IF(DC136&gt;0,DC136*0.5*CT136,0))</f>
        <v/>
      </c>
      <c r="DJ136" s="2" t="str">
        <f>IF(CS136="","",IF(DE136&lt;0,DE136*CT136*AI136*1%,0))</f>
        <v/>
      </c>
      <c r="DK136" s="15" t="str">
        <f>IF(CS136="","",SUM(DF136:DJ136))</f>
        <v/>
      </c>
      <c r="DL136" s="2"/>
      <c r="DM136" s="2"/>
      <c r="DN136" s="15" t="str">
        <f>IF(CS136="","",SUM(DK136:DL136))</f>
        <v/>
      </c>
      <c r="DO136" s="14" t="str">
        <f>IF(CS136="","",BJ136*AI136-DN136)</f>
        <v/>
      </c>
      <c r="DP136" s="14" t="str">
        <f>IF(CS136="","",AZ136+CQ136)</f>
        <v/>
      </c>
      <c r="DQ136" s="15" t="str">
        <f>IF(CS136="","",IF((DP136-DO136)&gt;0,DP136-DO136,""))</f>
        <v/>
      </c>
      <c r="DR136" s="15" t="str">
        <f>IF(CS136="","",IF((DO136-DP136)&gt;0,(DO136-DP136),""))</f>
        <v/>
      </c>
      <c r="DS136" s="2" t="str">
        <f>IF(CS136="","",IF(DQ136="",H136,"VALENCY"))</f>
        <v/>
      </c>
      <c r="DT136" s="2" t="str">
        <f>IF(DN136="","",IF(DN136&gt;0,"CN", "DN"))</f>
        <v/>
      </c>
      <c r="DU136" s="2"/>
      <c r="DV136" s="2"/>
      <c r="DW136" s="2"/>
      <c r="DX136" s="2"/>
      <c r="DY136" s="2" t="s">
        <v>230</v>
      </c>
      <c r="DZ136" s="2"/>
      <c r="EA136" s="2" t="str">
        <f>IF(CS136="","",
   MIN(0,(IF(DA136&gt;2,2,1)*DA136*CT136*CY136))
)</f>
        <v/>
      </c>
      <c r="EB136" s="2"/>
      <c r="EC136" s="2"/>
      <c r="ED136" s="2"/>
      <c r="EE136" s="3"/>
      <c r="EF136" s="7"/>
      <c r="EG136" s="3"/>
      <c r="EH136" s="3" t="s">
        <v>302</v>
      </c>
      <c r="EI136" s="3"/>
      <c r="EJ136" s="189"/>
      <c r="EK136" s="4"/>
      <c r="EL136" s="9"/>
      <c r="EM136" s="9"/>
      <c r="EN136" s="189">
        <f t="shared" si="349"/>
        <v>0</v>
      </c>
      <c r="EO136" s="9"/>
      <c r="EP136" s="8"/>
      <c r="EQ136" s="4"/>
      <c r="ER136" s="4"/>
      <c r="ES136" s="7"/>
      <c r="ET136" s="7"/>
      <c r="EU136" s="6"/>
      <c r="EV136" s="2" t="str">
        <f t="shared" si="347"/>
        <v>Yet to load</v>
      </c>
      <c r="EW136" s="189"/>
      <c r="EX136" s="189">
        <f>EW136/BJ136</f>
        <v>0</v>
      </c>
      <c r="EY136" s="189" t="s">
        <v>233</v>
      </c>
      <c r="EZ136" s="24"/>
      <c r="FA136" s="2"/>
      <c r="FB136" s="24"/>
      <c r="FC136" s="193"/>
      <c r="FD136" s="189">
        <f>FC136*BJ136</f>
        <v>0</v>
      </c>
      <c r="FE136" s="52"/>
      <c r="FF136" s="52"/>
      <c r="FG136" s="49"/>
      <c r="FH136" s="49"/>
      <c r="FI136" s="49"/>
      <c r="FJ136" s="49"/>
      <c r="FK136" s="49"/>
      <c r="FL136" s="49">
        <f>IFERROR(EZ136-BY136,"")</f>
        <v>-46150</v>
      </c>
      <c r="FM136" s="180">
        <f>IFERROR(BM136-FB136,"")</f>
        <v>46167</v>
      </c>
      <c r="FN136" s="49"/>
      <c r="FO136" s="49"/>
      <c r="FP136" s="49"/>
      <c r="FQ136" s="49"/>
      <c r="FR136" s="49"/>
      <c r="FS136" s="34">
        <f t="shared" si="337"/>
        <v>0</v>
      </c>
      <c r="FT136" s="34" t="str">
        <f t="shared" si="338"/>
        <v>TBA 16</v>
      </c>
      <c r="FU136" s="3"/>
      <c r="FV136" s="3"/>
      <c r="FW136" s="3"/>
      <c r="FX136" s="3"/>
      <c r="FY136" s="3"/>
      <c r="FZ136" s="3"/>
      <c r="GA136" s="3"/>
      <c r="GB136" s="4"/>
      <c r="GC136" s="3"/>
      <c r="GD136" s="182"/>
      <c r="GE136" s="3"/>
      <c r="GF136" s="3"/>
      <c r="GG136" s="3"/>
      <c r="GH136" s="3"/>
      <c r="GI136" s="3"/>
      <c r="GJ136" s="3"/>
      <c r="GK136" s="3"/>
      <c r="GL136" s="3"/>
      <c r="GM136" s="3"/>
      <c r="GN136" s="3"/>
    </row>
    <row r="137" spans="1:196" s="1" customFormat="1" ht="68.099999999999994">
      <c r="A137" s="2" t="str">
        <f t="shared" si="339"/>
        <v>SI Sent, Shipment Awaited</v>
      </c>
      <c r="B137" s="282">
        <v>51</v>
      </c>
      <c r="C137" s="282">
        <v>190</v>
      </c>
      <c r="D137" s="182" t="s">
        <v>208</v>
      </c>
      <c r="E137" s="2" t="str">
        <f t="shared" si="340"/>
        <v>SHORT POSITION</v>
      </c>
      <c r="F137" s="271">
        <f t="shared" si="302"/>
        <v>32016380</v>
      </c>
      <c r="G137" s="271"/>
      <c r="H137" s="2" t="str">
        <f t="shared" si="297"/>
        <v>COMPANY LIMITED LIABILITY DIEU DAI THANH</v>
      </c>
      <c r="I137" s="3" t="s">
        <v>644</v>
      </c>
      <c r="J137" s="2" t="s">
        <v>347</v>
      </c>
      <c r="K137" s="2" t="str">
        <f t="shared" si="341"/>
        <v>HCMC, VIETNAM</v>
      </c>
      <c r="L137" s="2" t="str">
        <f t="shared" si="334"/>
        <v/>
      </c>
      <c r="M137" s="2" t="str">
        <f t="shared" si="333"/>
        <v/>
      </c>
      <c r="N137" s="22" t="str">
        <f t="shared" si="342"/>
        <v/>
      </c>
      <c r="O137" s="22" t="str">
        <f t="shared" si="332"/>
        <v/>
      </c>
      <c r="P137" s="22" t="str">
        <f t="shared" si="343"/>
        <v>No OBL Yet</v>
      </c>
      <c r="Q137" s="2"/>
      <c r="R137" s="2" t="str">
        <f t="shared" si="344"/>
        <v>No CERTS Yet</v>
      </c>
      <c r="S137" s="2" t="str">
        <f>CP137</f>
        <v/>
      </c>
      <c r="T137" s="3" t="s">
        <v>828</v>
      </c>
      <c r="U137" s="3" t="s">
        <v>784</v>
      </c>
      <c r="V137" s="272"/>
      <c r="W137" s="3"/>
      <c r="X137" s="24">
        <v>46154</v>
      </c>
      <c r="Y137" s="273">
        <v>20010299</v>
      </c>
      <c r="Z137" s="24">
        <v>46154</v>
      </c>
      <c r="AA137" s="182">
        <v>32016380</v>
      </c>
      <c r="AB137" s="182" t="s">
        <v>779</v>
      </c>
      <c r="AC137" s="182" t="s">
        <v>816</v>
      </c>
      <c r="AD137" s="181">
        <v>46203</v>
      </c>
      <c r="AE137" s="30">
        <v>0.1</v>
      </c>
      <c r="AF137" s="277">
        <v>400</v>
      </c>
      <c r="AG137" s="4">
        <f t="shared" si="345"/>
        <v>360</v>
      </c>
      <c r="AH137" s="3" t="s">
        <v>215</v>
      </c>
      <c r="AI137" s="4">
        <v>1595</v>
      </c>
      <c r="AJ137" s="4">
        <f t="shared" si="335"/>
        <v>638000</v>
      </c>
      <c r="AK137" s="3" t="s">
        <v>216</v>
      </c>
      <c r="AL137" s="3" t="s">
        <v>404</v>
      </c>
      <c r="AM137" s="183">
        <v>0.1</v>
      </c>
      <c r="AN137" s="183">
        <v>0.88</v>
      </c>
      <c r="AO137" s="183">
        <v>0.02</v>
      </c>
      <c r="AP137" s="28" t="s">
        <v>218</v>
      </c>
      <c r="AQ137" s="3" t="s">
        <v>405</v>
      </c>
      <c r="AR137" s="18" t="s">
        <v>781</v>
      </c>
      <c r="AS137" s="27">
        <v>5</v>
      </c>
      <c r="AT137" s="3" t="s">
        <v>220</v>
      </c>
      <c r="AU137" s="3" t="s">
        <v>220</v>
      </c>
      <c r="AV137" s="3" t="s">
        <v>220</v>
      </c>
      <c r="AW137" s="9"/>
      <c r="AX137" s="3"/>
      <c r="AY137" s="47">
        <v>46160</v>
      </c>
      <c r="AZ137" s="278">
        <f t="shared" si="299"/>
        <v>63800</v>
      </c>
      <c r="BA137" s="18">
        <v>46160</v>
      </c>
      <c r="BB137" s="22">
        <v>46154</v>
      </c>
      <c r="BC137" s="22"/>
      <c r="BD137" s="22"/>
      <c r="BE137" s="22"/>
      <c r="BF137" s="22"/>
      <c r="BG137" s="18"/>
      <c r="BH137" s="18"/>
      <c r="BI137" s="3"/>
      <c r="BJ137" s="25"/>
      <c r="BK137" s="189" t="s">
        <v>222</v>
      </c>
      <c r="BL137" s="497"/>
      <c r="BM137" s="18"/>
      <c r="BN137" s="4"/>
      <c r="BO137" s="18"/>
      <c r="BP137" s="3" t="s">
        <v>651</v>
      </c>
      <c r="BQ137" s="21" t="s">
        <v>409</v>
      </c>
      <c r="BR137" s="2"/>
      <c r="BS137" s="2"/>
      <c r="BT137" s="2"/>
      <c r="BU137" s="2"/>
      <c r="BV137" s="20"/>
      <c r="BW137" s="19"/>
      <c r="BX137" s="189">
        <f t="shared" si="348"/>
        <v>0</v>
      </c>
      <c r="BY137" s="22"/>
      <c r="BZ137" s="22"/>
      <c r="CA137" s="22"/>
      <c r="CB137" s="22"/>
      <c r="CC137" s="22"/>
      <c r="CD137" s="22"/>
      <c r="CE137" s="22" t="str">
        <f t="shared" si="269"/>
        <v>No OBL Yet</v>
      </c>
      <c r="CF137" s="22"/>
      <c r="CG137" s="22"/>
      <c r="CH137" s="182"/>
      <c r="CI137" s="182"/>
      <c r="CJ137" s="182"/>
      <c r="CK137" s="2" t="str">
        <f t="shared" si="346"/>
        <v>No CERTS Yet</v>
      </c>
      <c r="CL137" s="48"/>
      <c r="CM137" s="22"/>
      <c r="CN137" s="55"/>
      <c r="CO137" s="55"/>
      <c r="CP137" s="55" t="str">
        <f>IF(CO137&lt;&gt;0,"Docs in Buyer's Bank",IF(CN137&lt;&gt;0,"Docs in Transit to Buyer's Bank",IF(CM137&lt;&gt;0,"Docs in Our Bank",IF(CL137="TT PAYMENT","Not Applicable",""))))</f>
        <v/>
      </c>
      <c r="CQ137" s="190">
        <f t="shared" si="336"/>
        <v>-63800</v>
      </c>
      <c r="CR137" s="54"/>
      <c r="CS137" s="2"/>
      <c r="CT137" s="2"/>
      <c r="CU137" s="14" t="str">
        <f>IF(CS137="","",BJ137-CT137)</f>
        <v/>
      </c>
      <c r="CV137" s="191" t="str">
        <f>IF(CS137="","",CU137/BJ137)</f>
        <v/>
      </c>
      <c r="CW137" s="14" t="str">
        <f>IF(CS137="","",AZ137+CQ137)</f>
        <v/>
      </c>
      <c r="CX137" s="14" t="str">
        <f>IF(CS137="","",BX137*2%)</f>
        <v/>
      </c>
      <c r="CY137" s="15" t="str">
        <f>IF(CS137="","",AI137/B137)</f>
        <v/>
      </c>
      <c r="CZ137" s="2"/>
      <c r="DA137" s="41" t="str">
        <f>IF(CS137="","",B137-CZ137)</f>
        <v/>
      </c>
      <c r="DB137" s="2"/>
      <c r="DC137" s="192" t="str">
        <f>IF(CS137="","",IF(CS137="","",DB137-C137))</f>
        <v/>
      </c>
      <c r="DD137" s="40"/>
      <c r="DE137" s="16" t="str">
        <f>IF(CS137="","",10%-DD137)</f>
        <v/>
      </c>
      <c r="DF137" s="2" t="str">
        <f>IF(CS137="","",CU137*AI137)</f>
        <v/>
      </c>
      <c r="DG137" s="14" t="str">
        <f>IF(CS137="","",IF(DA137&gt;2,2*DA137*CT137*CY137,DA137*CT137*CY137))</f>
        <v/>
      </c>
      <c r="DH137" s="2" t="str">
        <f>IF(CS137="","",IF(DA137&gt;2,2*(DA137-2*CT137*CY137),0))</f>
        <v/>
      </c>
      <c r="DI137" s="192" t="str">
        <f>IF(CS137="","",IF(DC137&gt;0,DC137*0.5*CT137,0))</f>
        <v/>
      </c>
      <c r="DJ137" s="2" t="str">
        <f>IF(CS137="","",IF(DE137&lt;0,DE137*CT137*AI137*10%,0))</f>
        <v/>
      </c>
      <c r="DK137" s="15" t="str">
        <f>IF(CS137="","",SUM(DF137:DJ137))</f>
        <v/>
      </c>
      <c r="DL137" s="2"/>
      <c r="DM137" s="2"/>
      <c r="DN137" s="15" t="str">
        <f>IF(CS137="","",SUM(DK137:DL137))</f>
        <v/>
      </c>
      <c r="DO137" s="14" t="str">
        <f>IF(CS137="","",BJ137*AI137-DN137)</f>
        <v/>
      </c>
      <c r="DP137" s="14" t="str">
        <f>IF(CS137="","",AZ137+CQ137)</f>
        <v/>
      </c>
      <c r="DQ137" s="15" t="str">
        <f>IF(CS137="","",IF((DP137-DO137)&gt;0,DP137-DO137,""))</f>
        <v/>
      </c>
      <c r="DR137" s="15" t="str">
        <f>IF(CS137="","",IF((DO137-DP137)&gt;0,(DO137-DP137),""))</f>
        <v/>
      </c>
      <c r="DS137" s="2" t="str">
        <f>IF(CS137="","",IF(DQ137="",H137,"VALENCY"))</f>
        <v/>
      </c>
      <c r="DT137" s="2" t="str">
        <f>IF(DN137="","",IF(DN137&gt;0,"CN", "DN"))</f>
        <v/>
      </c>
      <c r="DU137" s="2"/>
      <c r="DV137" s="2"/>
      <c r="DW137" s="2"/>
      <c r="DX137" s="2"/>
      <c r="DY137" s="2" t="s">
        <v>230</v>
      </c>
      <c r="DZ137" s="2"/>
      <c r="EA137" s="2" t="str">
        <f>IF(CS137="","",
   MIN(0,(IF(DA137&gt;2,2,1)*DA137*CT137*CY137))
)</f>
        <v/>
      </c>
      <c r="EB137" s="2"/>
      <c r="EC137" s="2"/>
      <c r="ED137" s="2"/>
      <c r="EE137" s="3"/>
      <c r="EF137" s="7"/>
      <c r="EG137" s="3"/>
      <c r="EH137" s="3"/>
      <c r="EI137" s="3"/>
      <c r="EJ137" s="189"/>
      <c r="EK137" s="4"/>
      <c r="EL137" s="9"/>
      <c r="EM137" s="9"/>
      <c r="EN137" s="189">
        <f t="shared" si="349"/>
        <v>0</v>
      </c>
      <c r="EO137" s="9"/>
      <c r="EP137" s="8"/>
      <c r="EQ137" s="4"/>
      <c r="ER137" s="4"/>
      <c r="ES137" s="7"/>
      <c r="ET137" s="7"/>
      <c r="EU137" s="6"/>
      <c r="EV137" s="2" t="str">
        <f t="shared" si="347"/>
        <v>Yet to load</v>
      </c>
      <c r="EW137" s="189"/>
      <c r="EX137" s="189" t="e">
        <f>EW137/BJ137</f>
        <v>#DIV/0!</v>
      </c>
      <c r="EY137" s="189" t="s">
        <v>233</v>
      </c>
      <c r="EZ137" s="24"/>
      <c r="FA137" s="2"/>
      <c r="FB137" s="24"/>
      <c r="FC137" s="193"/>
      <c r="FD137" s="189">
        <f>FC137*BJ137</f>
        <v>0</v>
      </c>
      <c r="FE137" s="52"/>
      <c r="FF137" s="52"/>
      <c r="FG137" s="49"/>
      <c r="FH137" s="49"/>
      <c r="FI137" s="49"/>
      <c r="FJ137" s="49"/>
      <c r="FK137" s="49"/>
      <c r="FL137" s="49">
        <f>IFERROR(EZ137-BY137,"")</f>
        <v>0</v>
      </c>
      <c r="FM137" s="180">
        <f>IFERROR(BM137-FB137,"")</f>
        <v>0</v>
      </c>
      <c r="FN137" s="49"/>
      <c r="FO137" s="49"/>
      <c r="FP137" s="49"/>
      <c r="FQ137" s="49"/>
      <c r="FR137" s="49"/>
      <c r="FS137" s="34">
        <f t="shared" si="337"/>
        <v>20010299</v>
      </c>
      <c r="FT137" s="34">
        <f t="shared" si="338"/>
        <v>32016380</v>
      </c>
      <c r="FU137" s="3"/>
      <c r="FV137" s="3"/>
      <c r="FW137" s="3"/>
      <c r="FX137" s="3"/>
      <c r="FY137" s="3"/>
      <c r="FZ137" s="3"/>
      <c r="GA137" s="3"/>
      <c r="GB137" s="4"/>
      <c r="GC137" s="3"/>
      <c r="GD137" s="182"/>
      <c r="GE137" s="3"/>
      <c r="GF137" s="3"/>
      <c r="GG137" s="3"/>
      <c r="GH137" s="3"/>
      <c r="GI137" s="3"/>
      <c r="GJ137" s="3"/>
      <c r="GK137" s="3"/>
      <c r="GL137" s="3"/>
      <c r="GM137" s="3"/>
      <c r="GN137" s="3"/>
    </row>
    <row r="138" spans="1:196" s="1" customFormat="1" ht="33.950000000000003">
      <c r="A138" s="2" t="str">
        <f t="shared" si="339"/>
        <v>SI Sent, Shipment Awaited</v>
      </c>
      <c r="B138" s="282">
        <v>47</v>
      </c>
      <c r="C138" s="282">
        <v>200</v>
      </c>
      <c r="D138" s="182" t="s">
        <v>208</v>
      </c>
      <c r="E138" s="2" t="str">
        <f t="shared" si="340"/>
        <v>SHORT POSITION</v>
      </c>
      <c r="F138" s="271">
        <f t="shared" si="302"/>
        <v>32016412</v>
      </c>
      <c r="G138" s="271"/>
      <c r="H138" s="2" t="str">
        <f t="shared" si="297"/>
        <v>TERRA NUTS GROUP JOINT STOCK COMPANY</v>
      </c>
      <c r="I138" s="3" t="s">
        <v>259</v>
      </c>
      <c r="J138" s="2" t="s">
        <v>347</v>
      </c>
      <c r="K138" s="2" t="str">
        <f t="shared" si="341"/>
        <v>HCMC, VIETNAM</v>
      </c>
      <c r="L138" s="2" t="str">
        <f t="shared" si="334"/>
        <v/>
      </c>
      <c r="M138" s="2" t="str">
        <f t="shared" si="333"/>
        <v/>
      </c>
      <c r="N138" s="22" t="str">
        <f t="shared" si="342"/>
        <v/>
      </c>
      <c r="O138" s="22" t="str">
        <f t="shared" si="332"/>
        <v/>
      </c>
      <c r="P138" s="22" t="str">
        <f t="shared" si="343"/>
        <v>No OBL Yet</v>
      </c>
      <c r="Q138" s="2"/>
      <c r="R138" s="2" t="str">
        <f t="shared" si="344"/>
        <v>No CERTS Yet</v>
      </c>
      <c r="S138" s="2"/>
      <c r="T138" s="2" t="s">
        <v>787</v>
      </c>
      <c r="U138" s="3" t="s">
        <v>829</v>
      </c>
      <c r="V138" s="272"/>
      <c r="W138" s="3" t="s">
        <v>830</v>
      </c>
      <c r="X138" s="24">
        <v>46154</v>
      </c>
      <c r="Y138" s="273">
        <v>20010301</v>
      </c>
      <c r="Z138" s="24">
        <v>46161</v>
      </c>
      <c r="AA138" s="182">
        <v>32016412</v>
      </c>
      <c r="AB138" s="182" t="s">
        <v>577</v>
      </c>
      <c r="AC138" s="182" t="s">
        <v>797</v>
      </c>
      <c r="AD138" s="181">
        <v>46203</v>
      </c>
      <c r="AE138" s="30">
        <v>0.1</v>
      </c>
      <c r="AF138" s="277">
        <v>500</v>
      </c>
      <c r="AG138" s="4">
        <f t="shared" si="345"/>
        <v>450</v>
      </c>
      <c r="AH138" s="3" t="s">
        <v>215</v>
      </c>
      <c r="AI138" s="4">
        <v>1470</v>
      </c>
      <c r="AJ138" s="4">
        <f t="shared" si="335"/>
        <v>735000</v>
      </c>
      <c r="AK138" s="3" t="s">
        <v>249</v>
      </c>
      <c r="AL138" s="3" t="s">
        <v>780</v>
      </c>
      <c r="AM138" s="30">
        <v>0.1</v>
      </c>
      <c r="AN138" s="183">
        <v>0.88</v>
      </c>
      <c r="AO138" s="183">
        <v>0.02</v>
      </c>
      <c r="AP138" s="28" t="s">
        <v>218</v>
      </c>
      <c r="AQ138" s="3" t="s">
        <v>354</v>
      </c>
      <c r="AR138" s="18" t="s">
        <v>251</v>
      </c>
      <c r="AS138" s="27"/>
      <c r="AT138" s="3" t="s">
        <v>220</v>
      </c>
      <c r="AU138" s="3" t="s">
        <v>220</v>
      </c>
      <c r="AV138" s="3" t="s">
        <v>220</v>
      </c>
      <c r="AW138" s="9"/>
      <c r="AX138" s="3"/>
      <c r="AY138" s="47">
        <v>46160</v>
      </c>
      <c r="AZ138" s="278">
        <f t="shared" si="299"/>
        <v>73500</v>
      </c>
      <c r="BA138" s="18">
        <v>46168</v>
      </c>
      <c r="BB138" s="22">
        <v>46167</v>
      </c>
      <c r="BC138" s="22"/>
      <c r="BD138" s="22"/>
      <c r="BE138" s="22"/>
      <c r="BF138" s="22"/>
      <c r="BG138" s="18"/>
      <c r="BH138" s="18"/>
      <c r="BI138" s="3"/>
      <c r="BJ138" s="25"/>
      <c r="BK138" s="24"/>
      <c r="BL138" s="271"/>
      <c r="BM138" s="18"/>
      <c r="BN138" s="21" t="s">
        <v>798</v>
      </c>
      <c r="BO138" s="18"/>
      <c r="BP138" s="3" t="s">
        <v>259</v>
      </c>
      <c r="BQ138" s="21" t="s">
        <v>409</v>
      </c>
      <c r="BR138" s="2"/>
      <c r="BS138" s="20"/>
      <c r="BT138" s="19"/>
      <c r="BU138" s="189"/>
      <c r="BV138" s="22"/>
      <c r="BW138" s="22"/>
      <c r="BX138" s="189">
        <f t="shared" si="348"/>
        <v>0</v>
      </c>
      <c r="BY138" s="22"/>
      <c r="BZ138" s="22"/>
      <c r="CA138" s="22"/>
      <c r="CB138" s="22"/>
      <c r="CC138" s="22"/>
      <c r="CD138" s="22"/>
      <c r="CE138" s="22" t="str">
        <f t="shared" ref="CE138:CE164" si="350">IF(J138="VIETNAM",
IF(CG138&lt;&gt;"","OBL in Vietnam Office",
IF(CF138&lt;&gt;"","OBL in Transit from Vietnam Office",
IF(CD138&lt;&gt;0,"OBL In Destination - "&amp;J138,
IF(CC138&lt;&gt;0,"OBL in Transit to Destination - "&amp;J138,
IF(CB138&lt;&gt;0,"OBL in SIG Office",
IF(CA138&lt;&gt;0,"OBL in Transit from Origin to SIG",
IF(BZ138&lt;&gt;0,"OBL in Origin - "&amp;I138,
IF(BY138&lt;&gt;0,"Draft Rcvd","No OBL Yet")))))))),
IF(CO138&lt;&gt;0,"OBL In Destination - "&amp;J138,
IF(CM138&lt;&gt;0,"OBL in Transit with Nego Docs - "&amp;J138,
IF(CB138&lt;&gt;0,"OBL in SIG Office",
IF(CA138&lt;&gt;0,"OBL in Transit from Origin to SIG",
IF(BZ138&lt;&gt;0,"OBL in Origin - "&amp;I138,
IF(BY138&lt;&gt;0,"Draft Rcvd","No OBL Yet")))))))</f>
        <v>No OBL Yet</v>
      </c>
      <c r="CF138" s="182"/>
      <c r="CG138" s="182"/>
      <c r="CH138" s="2"/>
      <c r="CI138" s="48"/>
      <c r="CJ138" s="22"/>
      <c r="CK138" s="2" t="str">
        <f t="shared" si="346"/>
        <v>No CERTS Yet</v>
      </c>
      <c r="CL138" s="55"/>
      <c r="CM138" s="55"/>
      <c r="CN138" s="190"/>
      <c r="CO138" s="54"/>
      <c r="CP138" s="2"/>
      <c r="CQ138" s="190">
        <f t="shared" si="336"/>
        <v>-73500</v>
      </c>
      <c r="CR138" s="14"/>
      <c r="CS138" s="191"/>
      <c r="CT138" s="14"/>
      <c r="CU138" s="14"/>
      <c r="CV138" s="15"/>
      <c r="CW138" s="2"/>
      <c r="CX138" s="41"/>
      <c r="CY138" s="2"/>
      <c r="CZ138" s="192"/>
      <c r="DA138" s="40"/>
      <c r="DB138" s="16"/>
      <c r="DC138" s="2"/>
      <c r="DD138" s="14"/>
      <c r="DE138" s="2"/>
      <c r="DF138" s="192"/>
      <c r="DG138" s="2"/>
      <c r="DH138" s="15"/>
      <c r="DI138" s="2"/>
      <c r="DJ138" s="2"/>
      <c r="DK138" s="15"/>
      <c r="DL138" s="14"/>
      <c r="DM138" s="14"/>
      <c r="DN138" s="15"/>
      <c r="DO138" s="15"/>
      <c r="DP138" s="2"/>
      <c r="DQ138" s="2"/>
      <c r="DR138" s="2"/>
      <c r="DS138" s="2"/>
      <c r="DT138" s="2"/>
      <c r="DU138" s="2"/>
      <c r="DV138" s="2"/>
      <c r="DW138" s="2"/>
      <c r="DX138" s="2"/>
      <c r="DY138" s="2" t="s">
        <v>230</v>
      </c>
      <c r="DZ138" s="2"/>
      <c r="EA138" s="2"/>
      <c r="EB138" s="3"/>
      <c r="EC138" s="7"/>
      <c r="ED138" s="3"/>
      <c r="EE138" s="3"/>
      <c r="EF138" s="3"/>
      <c r="EG138" s="189"/>
      <c r="EH138" s="3" t="s">
        <v>266</v>
      </c>
      <c r="EI138" s="9"/>
      <c r="EJ138" s="9"/>
      <c r="EK138" s="189"/>
      <c r="EL138" s="9"/>
      <c r="EM138" s="8"/>
      <c r="EN138" s="189">
        <f t="shared" si="349"/>
        <v>0</v>
      </c>
      <c r="EO138" s="7"/>
      <c r="EP138" s="7"/>
      <c r="EQ138" s="6"/>
      <c r="ER138" s="6"/>
      <c r="ES138" s="2"/>
      <c r="ET138" s="189"/>
      <c r="EU138" s="189"/>
      <c r="EV138" s="2" t="str">
        <f t="shared" si="347"/>
        <v>Yet to load</v>
      </c>
      <c r="EW138" s="24"/>
      <c r="EX138" s="2"/>
      <c r="EY138" s="24"/>
      <c r="EZ138" s="193"/>
      <c r="FA138" s="189"/>
      <c r="FB138" s="52"/>
      <c r="FC138" s="52"/>
      <c r="FD138" s="49"/>
      <c r="FE138" s="49"/>
      <c r="FF138" s="180"/>
      <c r="FG138" s="49"/>
      <c r="FH138" s="49"/>
      <c r="FI138" s="49"/>
      <c r="FJ138" s="49"/>
      <c r="FK138" s="49"/>
      <c r="FL138" s="49"/>
      <c r="FM138" s="49"/>
      <c r="FN138" s="49"/>
      <c r="FO138" s="49"/>
      <c r="FP138" s="34"/>
      <c r="FQ138" s="34"/>
      <c r="FR138" s="3"/>
      <c r="FS138" s="34">
        <f t="shared" si="337"/>
        <v>20010301</v>
      </c>
      <c r="FT138" s="34">
        <f t="shared" si="338"/>
        <v>32016412</v>
      </c>
      <c r="FU138" s="3"/>
      <c r="FV138" s="3"/>
      <c r="FW138" s="3"/>
      <c r="FX138" s="3"/>
      <c r="FY138" s="4"/>
      <c r="FZ138" s="3"/>
      <c r="GA138" s="182"/>
      <c r="GB138" s="3"/>
      <c r="GC138" s="3"/>
      <c r="GD138" s="3"/>
      <c r="GE138" s="3"/>
      <c r="GF138" s="3"/>
      <c r="GG138" s="3"/>
      <c r="GH138" s="3"/>
      <c r="GI138" s="3"/>
      <c r="GJ138" s="3"/>
      <c r="GK138" s="3"/>
    </row>
    <row r="139" spans="1:196" s="1" customFormat="1" ht="33.950000000000003">
      <c r="A139" s="2" t="str">
        <f t="shared" si="339"/>
        <v>SI Sent, Shipment Awaited</v>
      </c>
      <c r="B139" s="282">
        <v>46</v>
      </c>
      <c r="C139" s="282">
        <v>200</v>
      </c>
      <c r="D139" s="182" t="s">
        <v>208</v>
      </c>
      <c r="E139" s="2" t="str">
        <f t="shared" si="340"/>
        <v>SHORT POSITION</v>
      </c>
      <c r="F139" s="271">
        <f t="shared" si="302"/>
        <v>32016411</v>
      </c>
      <c r="G139" s="271"/>
      <c r="H139" s="2" t="str">
        <f t="shared" si="297"/>
        <v>TERRA NUTS GROUP JOINT STOCK COMPANY</v>
      </c>
      <c r="I139" s="3" t="s">
        <v>259</v>
      </c>
      <c r="J139" s="2" t="s">
        <v>347</v>
      </c>
      <c r="K139" s="2" t="str">
        <f t="shared" si="341"/>
        <v>HCMC, VIETNAM</v>
      </c>
      <c r="L139" s="2" t="str">
        <f t="shared" si="334"/>
        <v/>
      </c>
      <c r="M139" s="2" t="str">
        <f t="shared" si="333"/>
        <v/>
      </c>
      <c r="N139" s="22" t="str">
        <f t="shared" si="342"/>
        <v/>
      </c>
      <c r="O139" s="22" t="str">
        <f t="shared" si="332"/>
        <v/>
      </c>
      <c r="P139" s="22" t="str">
        <f t="shared" si="343"/>
        <v>No OBL Yet</v>
      </c>
      <c r="Q139" s="2"/>
      <c r="R139" s="2" t="str">
        <f t="shared" si="344"/>
        <v>No CERTS Yet</v>
      </c>
      <c r="S139" s="2"/>
      <c r="T139" s="2"/>
      <c r="U139" s="3" t="s">
        <v>778</v>
      </c>
      <c r="V139" s="272"/>
      <c r="W139" s="3"/>
      <c r="X139" s="24">
        <v>46154</v>
      </c>
      <c r="Y139" s="273">
        <v>20010300</v>
      </c>
      <c r="Z139" s="24">
        <v>46154</v>
      </c>
      <c r="AA139" s="182">
        <v>32016411</v>
      </c>
      <c r="AB139" s="182" t="s">
        <v>577</v>
      </c>
      <c r="AC139" s="182" t="s">
        <v>797</v>
      </c>
      <c r="AD139" s="181">
        <v>46203</v>
      </c>
      <c r="AE139" s="30">
        <v>0.1</v>
      </c>
      <c r="AF139" s="277">
        <v>1000</v>
      </c>
      <c r="AG139" s="4">
        <f t="shared" si="345"/>
        <v>900</v>
      </c>
      <c r="AH139" s="3" t="s">
        <v>215</v>
      </c>
      <c r="AI139" s="4">
        <v>1435</v>
      </c>
      <c r="AJ139" s="4">
        <f t="shared" si="335"/>
        <v>1435000</v>
      </c>
      <c r="AK139" s="3" t="s">
        <v>249</v>
      </c>
      <c r="AL139" s="3" t="s">
        <v>780</v>
      </c>
      <c r="AM139" s="30">
        <v>0.1</v>
      </c>
      <c r="AN139" s="183">
        <v>0.88</v>
      </c>
      <c r="AO139" s="183">
        <v>0.02</v>
      </c>
      <c r="AP139" s="28" t="s">
        <v>218</v>
      </c>
      <c r="AQ139" s="3" t="s">
        <v>354</v>
      </c>
      <c r="AR139" s="18" t="s">
        <v>251</v>
      </c>
      <c r="AS139" s="27"/>
      <c r="AT139" s="3" t="s">
        <v>220</v>
      </c>
      <c r="AU139" s="3" t="s">
        <v>220</v>
      </c>
      <c r="AV139" s="3" t="s">
        <v>220</v>
      </c>
      <c r="AW139" s="9"/>
      <c r="AX139" s="3"/>
      <c r="AY139" s="47">
        <v>46160</v>
      </c>
      <c r="AZ139" s="278">
        <f t="shared" si="299"/>
        <v>143500</v>
      </c>
      <c r="BA139" s="18">
        <v>46170</v>
      </c>
      <c r="BB139" s="22">
        <v>46167</v>
      </c>
      <c r="BC139" s="22"/>
      <c r="BD139" s="22"/>
      <c r="BE139" s="22"/>
      <c r="BF139" s="22"/>
      <c r="BG139" s="18"/>
      <c r="BH139" s="18"/>
      <c r="BI139" s="3"/>
      <c r="BJ139" s="25"/>
      <c r="BK139" s="24"/>
      <c r="BL139" s="271"/>
      <c r="BM139" s="18"/>
      <c r="BN139" s="21" t="s">
        <v>798</v>
      </c>
      <c r="BO139" s="18"/>
      <c r="BP139" s="3" t="s">
        <v>259</v>
      </c>
      <c r="BQ139" s="21" t="s">
        <v>409</v>
      </c>
      <c r="BR139" s="2"/>
      <c r="BS139" s="20"/>
      <c r="BT139" s="19"/>
      <c r="BU139" s="189"/>
      <c r="BV139" s="22"/>
      <c r="BW139" s="22"/>
      <c r="BX139" s="189">
        <f t="shared" si="348"/>
        <v>0</v>
      </c>
      <c r="BY139" s="22"/>
      <c r="BZ139" s="22"/>
      <c r="CA139" s="22"/>
      <c r="CB139" s="22"/>
      <c r="CC139" s="22"/>
      <c r="CD139" s="22"/>
      <c r="CE139" s="22" t="str">
        <f t="shared" si="350"/>
        <v>No OBL Yet</v>
      </c>
      <c r="CF139" s="182"/>
      <c r="CG139" s="182"/>
      <c r="CH139" s="2"/>
      <c r="CI139" s="48"/>
      <c r="CJ139" s="22"/>
      <c r="CK139" s="2" t="str">
        <f t="shared" si="346"/>
        <v>No CERTS Yet</v>
      </c>
      <c r="CL139" s="55"/>
      <c r="CM139" s="55"/>
      <c r="CN139" s="190"/>
      <c r="CO139" s="54"/>
      <c r="CP139" s="2"/>
      <c r="CQ139" s="190">
        <f t="shared" si="336"/>
        <v>-143500</v>
      </c>
      <c r="CR139" s="14"/>
      <c r="CS139" s="191"/>
      <c r="CT139" s="14"/>
      <c r="CU139" s="14"/>
      <c r="CV139" s="15"/>
      <c r="CW139" s="2"/>
      <c r="CX139" s="41"/>
      <c r="CY139" s="2"/>
      <c r="CZ139" s="192"/>
      <c r="DA139" s="40"/>
      <c r="DB139" s="16"/>
      <c r="DC139" s="2"/>
      <c r="DD139" s="14"/>
      <c r="DE139" s="2"/>
      <c r="DF139" s="192"/>
      <c r="DG139" s="2"/>
      <c r="DH139" s="15"/>
      <c r="DI139" s="2"/>
      <c r="DJ139" s="2"/>
      <c r="DK139" s="15"/>
      <c r="DL139" s="14"/>
      <c r="DM139" s="14"/>
      <c r="DN139" s="15"/>
      <c r="DO139" s="15"/>
      <c r="DP139" s="2"/>
      <c r="DQ139" s="2"/>
      <c r="DR139" s="2"/>
      <c r="DS139" s="2"/>
      <c r="DT139" s="2"/>
      <c r="DU139" s="2"/>
      <c r="DV139" s="2"/>
      <c r="DW139" s="2"/>
      <c r="DX139" s="2"/>
      <c r="DY139" s="2" t="s">
        <v>230</v>
      </c>
      <c r="DZ139" s="2"/>
      <c r="EA139" s="2"/>
      <c r="EB139" s="3"/>
      <c r="EC139" s="7"/>
      <c r="ED139" s="3"/>
      <c r="EE139" s="3"/>
      <c r="EF139" s="3"/>
      <c r="EG139" s="189"/>
      <c r="EH139" s="3" t="s">
        <v>266</v>
      </c>
      <c r="EI139" s="9"/>
      <c r="EJ139" s="9"/>
      <c r="EK139" s="189"/>
      <c r="EL139" s="9"/>
      <c r="EM139" s="8"/>
      <c r="EN139" s="189">
        <f t="shared" si="349"/>
        <v>0</v>
      </c>
      <c r="EO139" s="7"/>
      <c r="EP139" s="7"/>
      <c r="EQ139" s="6"/>
      <c r="ER139" s="6"/>
      <c r="ES139" s="2"/>
      <c r="ET139" s="189"/>
      <c r="EU139" s="189"/>
      <c r="EV139" s="2" t="str">
        <f t="shared" si="347"/>
        <v>Yet to load</v>
      </c>
      <c r="EW139" s="24"/>
      <c r="EX139" s="2"/>
      <c r="EY139" s="24"/>
      <c r="EZ139" s="193"/>
      <c r="FA139" s="189"/>
      <c r="FB139" s="52"/>
      <c r="FC139" s="52"/>
      <c r="FD139" s="49"/>
      <c r="FE139" s="49"/>
      <c r="FF139" s="180"/>
      <c r="FG139" s="49"/>
      <c r="FH139" s="180">
        <f>IF(AZ139&lt;&gt;0,AZ139-Z139,"")</f>
        <v>97346</v>
      </c>
      <c r="FI139" s="49">
        <f>IF(BA139&lt;&gt;0,BA139-Z139,"")</f>
        <v>16</v>
      </c>
      <c r="FJ139" s="503" t="str">
        <f ca="1">IF(AND(ISNUMBER(AY139),AZ139=""),TODAY()-AY139,"")</f>
        <v/>
      </c>
      <c r="FK139" s="49"/>
      <c r="FL139" s="49">
        <f>IFERROR(EZ139-BY139,"")</f>
        <v>0</v>
      </c>
      <c r="FM139" s="180">
        <f>IFERROR(BM139-FB139,"")</f>
        <v>0</v>
      </c>
      <c r="FN139" s="49"/>
      <c r="FO139" s="49"/>
      <c r="FP139" s="49"/>
      <c r="FQ139" s="49"/>
      <c r="FR139" s="49"/>
      <c r="FS139" s="34">
        <f t="shared" si="337"/>
        <v>20010300</v>
      </c>
      <c r="FT139" s="34">
        <f t="shared" si="338"/>
        <v>32016411</v>
      </c>
      <c r="FU139" s="3"/>
      <c r="FV139" s="3"/>
      <c r="FW139" s="3"/>
      <c r="FX139" s="3"/>
      <c r="FY139" s="3"/>
      <c r="FZ139" s="3"/>
      <c r="GA139" s="3"/>
      <c r="GB139" s="4"/>
      <c r="GC139" s="3"/>
      <c r="GD139" s="182"/>
      <c r="GE139" s="3"/>
      <c r="GF139" s="3"/>
      <c r="GG139" s="3"/>
      <c r="GH139" s="3"/>
      <c r="GI139" s="3"/>
      <c r="GJ139" s="3"/>
      <c r="GK139" s="3"/>
      <c r="GL139" s="3"/>
      <c r="GM139" s="3"/>
      <c r="GN139" s="3"/>
    </row>
    <row r="140" spans="1:196" s="1" customFormat="1" ht="102">
      <c r="A140" s="2" t="str">
        <f t="shared" si="339"/>
        <v>Stuffed, Yet to Sail</v>
      </c>
      <c r="B140" s="282">
        <v>51</v>
      </c>
      <c r="C140" s="282">
        <v>190</v>
      </c>
      <c r="D140" s="182" t="s">
        <v>208</v>
      </c>
      <c r="E140" s="2" t="str">
        <f t="shared" si="340"/>
        <v>CLOSE POSITION</v>
      </c>
      <c r="F140" s="271">
        <f t="shared" si="302"/>
        <v>32016404</v>
      </c>
      <c r="G140" s="271"/>
      <c r="H140" s="2" t="str">
        <f t="shared" si="297"/>
        <v>BACH HY ONE MEMBER COMPANY LTD</v>
      </c>
      <c r="I140" s="3" t="s">
        <v>644</v>
      </c>
      <c r="J140" s="2" t="s">
        <v>347</v>
      </c>
      <c r="K140" s="2" t="str">
        <f t="shared" si="341"/>
        <v>HCMC, VIETNAM</v>
      </c>
      <c r="L140" s="2" t="str">
        <f t="shared" si="334"/>
        <v>MEDUCN102743</v>
      </c>
      <c r="M140" s="2">
        <f t="shared" si="333"/>
        <v>47.906999999999996</v>
      </c>
      <c r="N140" s="22" t="str">
        <f t="shared" si="342"/>
        <v/>
      </c>
      <c r="O140" s="22" t="str">
        <f t="shared" si="332"/>
        <v/>
      </c>
      <c r="P140" s="22" t="str">
        <f t="shared" si="343"/>
        <v>No OBL Yet</v>
      </c>
      <c r="Q140" s="2"/>
      <c r="R140" s="2" t="str">
        <f t="shared" si="344"/>
        <v>No CERTS Yet</v>
      </c>
      <c r="S140" s="2" t="str">
        <f t="shared" ref="S140:S157" si="351">CP140</f>
        <v/>
      </c>
      <c r="T140" s="2" t="s">
        <v>831</v>
      </c>
      <c r="U140" s="3" t="s">
        <v>832</v>
      </c>
      <c r="V140" s="272"/>
      <c r="W140" s="3" t="s">
        <v>833</v>
      </c>
      <c r="X140" s="24">
        <v>46157</v>
      </c>
      <c r="Y140" s="273">
        <v>20010343</v>
      </c>
      <c r="Z140" s="24">
        <v>46157</v>
      </c>
      <c r="AA140" s="182">
        <v>32016404</v>
      </c>
      <c r="AB140" s="182" t="s">
        <v>834</v>
      </c>
      <c r="AC140" s="182" t="s">
        <v>816</v>
      </c>
      <c r="AD140" s="181">
        <v>46203</v>
      </c>
      <c r="AE140" s="30">
        <v>0.1</v>
      </c>
      <c r="AF140" s="277">
        <v>150</v>
      </c>
      <c r="AG140" s="4">
        <f t="shared" si="345"/>
        <v>135</v>
      </c>
      <c r="AH140" s="3" t="s">
        <v>215</v>
      </c>
      <c r="AI140" s="4">
        <v>1620</v>
      </c>
      <c r="AJ140" s="4">
        <f t="shared" si="335"/>
        <v>243000</v>
      </c>
      <c r="AK140" s="3" t="s">
        <v>249</v>
      </c>
      <c r="AL140" s="3" t="s">
        <v>404</v>
      </c>
      <c r="AM140" s="183">
        <v>0.1</v>
      </c>
      <c r="AN140" s="183">
        <v>0.88</v>
      </c>
      <c r="AO140" s="183">
        <v>0.02</v>
      </c>
      <c r="AP140" s="28" t="s">
        <v>218</v>
      </c>
      <c r="AQ140" s="3" t="s">
        <v>835</v>
      </c>
      <c r="AR140" s="18"/>
      <c r="AS140" s="27"/>
      <c r="AT140" s="3" t="s">
        <v>220</v>
      </c>
      <c r="AU140" s="3" t="s">
        <v>220</v>
      </c>
      <c r="AV140" s="3" t="s">
        <v>220</v>
      </c>
      <c r="AW140" s="9"/>
      <c r="AX140" s="3"/>
      <c r="AY140" s="47">
        <v>46162</v>
      </c>
      <c r="AZ140" s="278">
        <f t="shared" si="299"/>
        <v>24300</v>
      </c>
      <c r="BA140" s="18">
        <v>46162</v>
      </c>
      <c r="BB140" s="22">
        <v>46155</v>
      </c>
      <c r="BC140" s="22"/>
      <c r="BD140" s="22"/>
      <c r="BE140" s="22"/>
      <c r="BF140" s="22"/>
      <c r="BG140" s="18"/>
      <c r="BH140" s="18"/>
      <c r="BI140" s="3" t="s">
        <v>836</v>
      </c>
      <c r="BJ140" s="25">
        <v>47.906999999999996</v>
      </c>
      <c r="BK140" s="189" t="s">
        <v>222</v>
      </c>
      <c r="BL140" s="497">
        <v>2</v>
      </c>
      <c r="BM140" s="18"/>
      <c r="BN140" s="4"/>
      <c r="BO140" s="18"/>
      <c r="BP140" s="3" t="s">
        <v>651</v>
      </c>
      <c r="BQ140" s="21" t="s">
        <v>409</v>
      </c>
      <c r="BR140" s="2"/>
      <c r="BS140" s="2"/>
      <c r="BT140" s="2"/>
      <c r="BU140" s="2"/>
      <c r="BV140" s="20"/>
      <c r="BW140" s="19"/>
      <c r="BX140" s="189">
        <f t="shared" si="348"/>
        <v>77609.34</v>
      </c>
      <c r="BY140" s="22"/>
      <c r="BZ140" s="22"/>
      <c r="CA140" s="22"/>
      <c r="CB140" s="22"/>
      <c r="CC140" s="22"/>
      <c r="CD140" s="22"/>
      <c r="CE140" s="22" t="str">
        <f t="shared" si="350"/>
        <v>No OBL Yet</v>
      </c>
      <c r="CF140" s="22"/>
      <c r="CG140" s="22"/>
      <c r="CH140" s="182"/>
      <c r="CI140" s="182"/>
      <c r="CJ140" s="182"/>
      <c r="CK140" s="2" t="str">
        <f t="shared" si="346"/>
        <v>No CERTS Yet</v>
      </c>
      <c r="CL140" s="48"/>
      <c r="CM140" s="22"/>
      <c r="CN140" s="55"/>
      <c r="CO140" s="55"/>
      <c r="CP140" s="55" t="str">
        <f>IF(CO140&lt;&gt;0,"Docs in Buyer's Bank",IF(CN140&lt;&gt;0,"Docs in Transit to Buyer's Bank",IF(CM140&lt;&gt;0,"Docs in Our Bank",IF(CL140="TT PAYMENT","Not Applicable",""))))</f>
        <v/>
      </c>
      <c r="CQ140" s="190">
        <f t="shared" si="336"/>
        <v>43996.219199999992</v>
      </c>
      <c r="CR140" s="54"/>
      <c r="CS140" s="2"/>
      <c r="CT140" s="2"/>
      <c r="CU140" s="14" t="str">
        <f>IF(CS140="","",BJ140-CT140)</f>
        <v/>
      </c>
      <c r="CV140" s="191" t="str">
        <f>IF(CS140="","",CU140/BJ140)</f>
        <v/>
      </c>
      <c r="CW140" s="14" t="str">
        <f>IF(CS140="","",AZ140+CQ140)</f>
        <v/>
      </c>
      <c r="CX140" s="14" t="str">
        <f>IF(CS140="","",BX140*2%)</f>
        <v/>
      </c>
      <c r="CY140" s="15" t="str">
        <f>IF(CS140="","",AI140/B140)</f>
        <v/>
      </c>
      <c r="CZ140" s="2"/>
      <c r="DA140" s="41" t="str">
        <f>IF(CS140="","",B140-CZ140)</f>
        <v/>
      </c>
      <c r="DB140" s="2"/>
      <c r="DC140" s="192" t="str">
        <f>IF(CS140="","",IF(CS140="","",DB140-C140))</f>
        <v/>
      </c>
      <c r="DD140" s="40"/>
      <c r="DE140" s="16" t="str">
        <f>IF(CS140="","",10%-DD140)</f>
        <v/>
      </c>
      <c r="DF140" s="2" t="str">
        <f>IF(CS140="","",CU140*AI140)</f>
        <v/>
      </c>
      <c r="DG140" s="14" t="str">
        <f>IF(CS140="","",IF(DA140&gt;2,2*DA140*CT140*CY140,DA140*CT140*CY140))</f>
        <v/>
      </c>
      <c r="DH140" s="2" t="str">
        <f>IF(CS140="","",IF(DA140&gt;2,2*(DA140-2*CT140*CY140),0))</f>
        <v/>
      </c>
      <c r="DI140" s="192" t="str">
        <f>IF(CS140="","",IF(DC140&gt;0,DC140*0.5*CT140,0))</f>
        <v/>
      </c>
      <c r="DJ140" s="2" t="str">
        <f>IF(CS140="","",IF(DE140&lt;0,DE140*CT140*AI140*10%,0))</f>
        <v/>
      </c>
      <c r="DK140" s="15" t="str">
        <f>IF(CS140="","",SUM(DF140:DJ140))</f>
        <v/>
      </c>
      <c r="DL140" s="2"/>
      <c r="DM140" s="2"/>
      <c r="DN140" s="15" t="str">
        <f>IF(CS140="","",SUM(DK140:DL140))</f>
        <v/>
      </c>
      <c r="DO140" s="14" t="str">
        <f>IF(CS140="","",BJ140*AI140-DN140)</f>
        <v/>
      </c>
      <c r="DP140" s="14" t="str">
        <f>IF(CS140="","",AZ140+CQ140)</f>
        <v/>
      </c>
      <c r="DQ140" s="15" t="str">
        <f>IF(CS140="","",IF((DP140-DO140)&gt;0,DP140-DO140,""))</f>
        <v/>
      </c>
      <c r="DR140" s="15" t="str">
        <f>IF(CS140="","",IF((DO140-DP140)&gt;0,(DO140-DP140),""))</f>
        <v/>
      </c>
      <c r="DS140" s="2" t="str">
        <f>IF(CS140="","",IF(DQ140="",H140,"VALENCY"))</f>
        <v/>
      </c>
      <c r="DT140" s="2" t="str">
        <f>IF(DN140="","",IF(DN140&gt;0,"CN", "DN"))</f>
        <v/>
      </c>
      <c r="DU140" s="2"/>
      <c r="DV140" s="2"/>
      <c r="DW140" s="2"/>
      <c r="DX140" s="2"/>
      <c r="DY140" s="2" t="s">
        <v>230</v>
      </c>
      <c r="DZ140" s="2"/>
      <c r="EA140" s="2" t="str">
        <f>IF(CS140="","",
   MIN(0,(IF(DA140&gt;2,2,1)*DA140*CT140*CY140))
)</f>
        <v/>
      </c>
      <c r="EB140" s="2"/>
      <c r="EC140" s="2"/>
      <c r="ED140" s="2"/>
      <c r="EE140" s="3"/>
      <c r="EF140" s="7"/>
      <c r="EG140" s="3"/>
      <c r="EH140" s="3" t="s">
        <v>837</v>
      </c>
      <c r="EI140" s="3"/>
      <c r="EJ140" s="189">
        <f>100.316+50</f>
        <v>150.316</v>
      </c>
      <c r="EK140" s="4">
        <v>1530</v>
      </c>
      <c r="EL140" s="9"/>
      <c r="EM140" s="9"/>
      <c r="EN140" s="189">
        <f t="shared" si="349"/>
        <v>229983.48</v>
      </c>
      <c r="EO140" s="9"/>
      <c r="EP140" s="8"/>
      <c r="EQ140" s="4"/>
      <c r="ER140" s="4">
        <f>76741+76741+40545</f>
        <v>194027</v>
      </c>
      <c r="ES140" s="7"/>
      <c r="ET140" s="7"/>
      <c r="EU140" s="6"/>
      <c r="EV140" s="2" t="str">
        <f t="shared" si="347"/>
        <v>Yet to load</v>
      </c>
      <c r="EW140" s="189"/>
      <c r="EX140" s="189">
        <f>EW140/BJ140</f>
        <v>0</v>
      </c>
      <c r="EY140" s="189" t="s">
        <v>233</v>
      </c>
      <c r="EZ140" s="24"/>
      <c r="FA140" s="2"/>
      <c r="FB140" s="24"/>
      <c r="FC140" s="193"/>
      <c r="FD140" s="189">
        <f>FC140*BJ140</f>
        <v>0</v>
      </c>
      <c r="FE140" s="52"/>
      <c r="FF140" s="52"/>
      <c r="FG140" s="49"/>
      <c r="FH140" s="49"/>
      <c r="FI140" s="49"/>
      <c r="FJ140" s="49"/>
      <c r="FK140" s="49"/>
      <c r="FL140" s="49"/>
      <c r="FM140" s="49"/>
      <c r="FN140" s="49"/>
      <c r="FO140" s="49"/>
      <c r="FP140" s="34"/>
      <c r="FQ140" s="34"/>
      <c r="FR140" s="3"/>
      <c r="FS140" s="34">
        <f t="shared" si="337"/>
        <v>20010343</v>
      </c>
      <c r="FT140" s="34">
        <f t="shared" si="338"/>
        <v>32016404</v>
      </c>
      <c r="FU140" s="3"/>
      <c r="FV140" s="3"/>
      <c r="FW140" s="3"/>
      <c r="FX140" s="3"/>
      <c r="FY140" s="4"/>
      <c r="FZ140" s="3"/>
      <c r="GA140" s="182"/>
      <c r="GB140" s="3"/>
      <c r="GC140" s="3"/>
      <c r="GD140" s="3"/>
      <c r="GE140" s="3"/>
      <c r="GF140" s="3"/>
      <c r="GG140" s="3"/>
      <c r="GH140" s="3"/>
      <c r="GI140" s="3"/>
      <c r="GJ140" s="3"/>
      <c r="GK140" s="3"/>
    </row>
    <row r="141" spans="1:196" s="1" customFormat="1" ht="33.950000000000003">
      <c r="A141" s="2" t="str">
        <f t="shared" si="339"/>
        <v>SI Sent, Shipment Awaited</v>
      </c>
      <c r="B141" s="282">
        <v>52</v>
      </c>
      <c r="C141" s="282">
        <v>220</v>
      </c>
      <c r="D141" s="182" t="s">
        <v>208</v>
      </c>
      <c r="E141" s="2" t="str">
        <f t="shared" si="340"/>
        <v>ENTRY PENDING</v>
      </c>
      <c r="F141" s="271" t="str">
        <f t="shared" si="302"/>
        <v>RCN/2026/1003</v>
      </c>
      <c r="G141" s="271"/>
      <c r="H141" s="2" t="str">
        <f t="shared" si="297"/>
        <v>INTERSNACK CASHEW COMPANY PTE LTD</v>
      </c>
      <c r="I141" s="3" t="s">
        <v>754</v>
      </c>
      <c r="J141" s="2" t="s">
        <v>347</v>
      </c>
      <c r="K141" s="2" t="str">
        <f t="shared" si="341"/>
        <v>SPI-TC, TERMINAL, HCMC, VIETNAM</v>
      </c>
      <c r="L141" s="2" t="str">
        <f t="shared" si="334"/>
        <v/>
      </c>
      <c r="M141" s="2" t="str">
        <f t="shared" si="333"/>
        <v/>
      </c>
      <c r="N141" s="22" t="str">
        <f t="shared" si="342"/>
        <v/>
      </c>
      <c r="O141" s="22" t="str">
        <f t="shared" si="332"/>
        <v/>
      </c>
      <c r="P141" s="22" t="str">
        <f t="shared" si="343"/>
        <v>No OBL Yet</v>
      </c>
      <c r="Q141" s="2"/>
      <c r="R141" s="2" t="str">
        <f t="shared" si="344"/>
        <v>No CERTS Yet</v>
      </c>
      <c r="S141" s="2" t="str">
        <f t="shared" si="351"/>
        <v/>
      </c>
      <c r="T141" s="2" t="str">
        <f>IFERROR(_xlfn.XLOOKUP(F141,
'[2]Data 2026'!$H$12:$H$111,
'[2]Data 2026'!$CL$12:$CL$111),"")</f>
        <v/>
      </c>
      <c r="U141" s="3" t="s">
        <v>838</v>
      </c>
      <c r="V141" s="272"/>
      <c r="W141" s="3" t="s">
        <v>839</v>
      </c>
      <c r="X141" s="24"/>
      <c r="Y141" s="273"/>
      <c r="Z141" s="24"/>
      <c r="AA141" s="182" t="s">
        <v>840</v>
      </c>
      <c r="AB141" s="182" t="s">
        <v>841</v>
      </c>
      <c r="AC141" s="181" t="s">
        <v>842</v>
      </c>
      <c r="AD141" s="181">
        <v>46218</v>
      </c>
      <c r="AE141" s="30">
        <v>0.05</v>
      </c>
      <c r="AF141" s="277">
        <v>500</v>
      </c>
      <c r="AG141" s="4">
        <f t="shared" si="345"/>
        <v>475</v>
      </c>
      <c r="AH141" s="3" t="s">
        <v>215</v>
      </c>
      <c r="AI141" s="4">
        <v>1690</v>
      </c>
      <c r="AJ141" s="4">
        <f t="shared" si="335"/>
        <v>845000</v>
      </c>
      <c r="AK141" s="3" t="s">
        <v>249</v>
      </c>
      <c r="AL141" s="3" t="s">
        <v>238</v>
      </c>
      <c r="AM141" s="357">
        <v>0.1</v>
      </c>
      <c r="AN141" s="357">
        <v>0.88</v>
      </c>
      <c r="AO141" s="357">
        <v>0.02</v>
      </c>
      <c r="AP141" s="28" t="s">
        <v>218</v>
      </c>
      <c r="AQ141" s="3" t="s">
        <v>843</v>
      </c>
      <c r="AR141" s="18" t="s">
        <v>251</v>
      </c>
      <c r="AS141" s="359"/>
      <c r="AT141" s="3" t="s">
        <v>220</v>
      </c>
      <c r="AU141" s="3" t="s">
        <v>220</v>
      </c>
      <c r="AV141" s="3" t="s">
        <v>220</v>
      </c>
      <c r="AW141" s="9"/>
      <c r="AX141" s="3"/>
      <c r="AY141" s="47"/>
      <c r="AZ141" s="278">
        <f t="shared" si="299"/>
        <v>84500</v>
      </c>
      <c r="BA141" s="18">
        <v>46168</v>
      </c>
      <c r="BB141" s="22">
        <v>46163</v>
      </c>
      <c r="BC141" s="22"/>
      <c r="BD141" s="22"/>
      <c r="BE141" s="22"/>
      <c r="BF141" s="22"/>
      <c r="BG141" s="18"/>
      <c r="BH141" s="18"/>
      <c r="BI141" s="18"/>
      <c r="BJ141" s="25"/>
      <c r="BK141" s="189"/>
      <c r="BL141" s="497"/>
      <c r="BM141" s="18"/>
      <c r="BN141" s="4"/>
      <c r="BO141" s="18"/>
      <c r="BP141" s="3" t="s">
        <v>754</v>
      </c>
      <c r="BQ141" s="21" t="s">
        <v>844</v>
      </c>
      <c r="BR141" s="2"/>
      <c r="BS141" s="2"/>
      <c r="BT141" s="2"/>
      <c r="BU141" s="2"/>
      <c r="BV141" s="20"/>
      <c r="BW141" s="19"/>
      <c r="BX141" s="189">
        <f t="shared" si="348"/>
        <v>0</v>
      </c>
      <c r="BY141" s="22"/>
      <c r="BZ141" s="22"/>
      <c r="CA141" s="22"/>
      <c r="CB141" s="22"/>
      <c r="CC141" s="22"/>
      <c r="CD141" s="22"/>
      <c r="CE141" s="22" t="str">
        <f t="shared" si="350"/>
        <v>No OBL Yet</v>
      </c>
      <c r="CF141" s="22"/>
      <c r="CG141" s="22"/>
      <c r="CH141" s="182"/>
      <c r="CI141" s="182"/>
      <c r="CJ141" s="182"/>
      <c r="CK141" s="2" t="str">
        <f t="shared" si="346"/>
        <v>No CERTS Yet</v>
      </c>
      <c r="CL141" s="48"/>
      <c r="CM141" s="22"/>
      <c r="CN141" s="55"/>
      <c r="CO141" s="55"/>
      <c r="CP141" s="55" t="str">
        <f>IF(CO141&lt;&gt;0,"Docs in Buyer's Bank",IF(CN141&lt;&gt;0,"Docs in Transit to Buyer's Bank",IF(CM141&lt;&gt;0,"Docs in Our Bank",IF(CL141="TT PAYMENT","Not Applicable",""))))</f>
        <v/>
      </c>
      <c r="CQ141" s="190">
        <f t="shared" si="336"/>
        <v>-84500</v>
      </c>
      <c r="CR141" s="54"/>
      <c r="CS141" s="2"/>
      <c r="CT141" s="2"/>
      <c r="CU141" s="14" t="str">
        <f>IF(CS141="","",BJ141-CT141)</f>
        <v/>
      </c>
      <c r="CV141" s="191" t="str">
        <f>IF(CS141="","",CU141/BJ141)</f>
        <v/>
      </c>
      <c r="CW141" s="14" t="str">
        <f>IF(CS141="","",AZ141+CQ141)</f>
        <v/>
      </c>
      <c r="CX141" s="14" t="str">
        <f>IF(CS141="","",BX141*2%)</f>
        <v/>
      </c>
      <c r="CY141" s="15" t="str">
        <f>IF(CS141="","",AI141/B141)</f>
        <v/>
      </c>
      <c r="CZ141" s="2"/>
      <c r="DA141" s="41" t="str">
        <f>IF(CS141="","",B141-CZ141)</f>
        <v/>
      </c>
      <c r="DB141" s="2"/>
      <c r="DC141" s="192" t="str">
        <f>IF(CS141="","",IF(CS141="","",DB141-C141))</f>
        <v/>
      </c>
      <c r="DD141" s="40"/>
      <c r="DE141" s="16" t="str">
        <f>IF(CS141="","",10%-DD141)</f>
        <v/>
      </c>
      <c r="DF141" s="2" t="str">
        <f>IF(CS141="","",CU141*AI141)</f>
        <v/>
      </c>
      <c r="DG141" s="14" t="str">
        <f>IF(CS141="","",IF(DA141&gt;2,2*DA141*CT141*CY141,DA141*CT141*CY141))</f>
        <v/>
      </c>
      <c r="DH141" s="2" t="str">
        <f>IF(CS141="","",IF(DA141&gt;2,2*(DA141-2*CT141*CY141),0))</f>
        <v/>
      </c>
      <c r="DI141" s="192" t="str">
        <f>IF(CS141="","",IF(DC141&gt;0,DC141*0.5*CT141,0))</f>
        <v/>
      </c>
      <c r="DJ141" s="2" t="str">
        <f>IF(CS141="","",IF(DE141&lt;0,DE141*CT141*AI141*1%,0))</f>
        <v/>
      </c>
      <c r="DK141" s="15" t="str">
        <f>IF(CS141="","",SUM(DF141:DJ141))</f>
        <v/>
      </c>
      <c r="DL141" s="2"/>
      <c r="DM141" s="2"/>
      <c r="DN141" s="15" t="str">
        <f>IF(CS141="","",SUM(DK141:DL141))</f>
        <v/>
      </c>
      <c r="DO141" s="14" t="str">
        <f>IF(CS141="","",BJ141*AI141-DN141)</f>
        <v/>
      </c>
      <c r="DP141" s="14" t="str">
        <f>IF(CS141="","",AZ141+CQ141)</f>
        <v/>
      </c>
      <c r="DQ141" s="15" t="str">
        <f>IF(CS141="","",IF((DP141-DO141)&gt;0,DP141-DO141,""))</f>
        <v/>
      </c>
      <c r="DR141" s="15" t="str">
        <f>IF(CS141="","",IF((DO141-DP141)&gt;0,(DO141-DP141),""))</f>
        <v/>
      </c>
      <c r="DS141" s="2" t="str">
        <f>IF(CS141="","",IF(DQ141="",H141,"VALENCY"))</f>
        <v/>
      </c>
      <c r="DT141" s="2" t="str">
        <f>IF(DN141="","",IF(DN141&gt;0,"CN", "DN"))</f>
        <v/>
      </c>
      <c r="DU141" s="2"/>
      <c r="DV141" s="2"/>
      <c r="DW141" s="2"/>
      <c r="DX141" s="2"/>
      <c r="DY141" s="2" t="s">
        <v>230</v>
      </c>
      <c r="DZ141" s="2"/>
      <c r="EA141" s="2" t="str">
        <f>IF(CS141="","",
   MIN(0,(IF(DA141&gt;2,2,1)*DA141*CT141*CY141))
)</f>
        <v/>
      </c>
      <c r="EB141" s="2"/>
      <c r="EC141" s="2"/>
      <c r="ED141" s="2"/>
      <c r="EE141" s="3"/>
      <c r="EF141" s="7"/>
      <c r="EG141" s="3"/>
      <c r="EH141" s="3" t="s">
        <v>759</v>
      </c>
      <c r="EI141" s="3"/>
      <c r="EJ141" s="189"/>
      <c r="EK141" s="4"/>
      <c r="EL141" s="9"/>
      <c r="EM141" s="9"/>
      <c r="EN141" s="189">
        <f t="shared" si="349"/>
        <v>0</v>
      </c>
      <c r="EO141" s="9"/>
      <c r="EP141" s="8"/>
      <c r="EQ141" s="4"/>
      <c r="ER141" s="4"/>
      <c r="ES141" s="7"/>
      <c r="ET141" s="7"/>
      <c r="EU141" s="6"/>
      <c r="EV141" s="2" t="str">
        <f t="shared" si="347"/>
        <v>Yet to load</v>
      </c>
      <c r="EW141" s="189"/>
      <c r="EX141" s="189" t="e">
        <f>EW141/BJ141</f>
        <v>#DIV/0!</v>
      </c>
      <c r="EY141" s="24"/>
      <c r="EZ141" s="24"/>
      <c r="FA141" s="2"/>
      <c r="FB141" s="24"/>
      <c r="FC141" s="193"/>
      <c r="FD141" s="189">
        <f>FC141*BJ141</f>
        <v>0</v>
      </c>
      <c r="FE141" s="52"/>
      <c r="FF141" s="52"/>
      <c r="FG141" s="49"/>
      <c r="FH141" s="49"/>
      <c r="FI141" s="49"/>
      <c r="FJ141" s="49"/>
      <c r="FK141" s="49"/>
      <c r="FL141" s="49"/>
      <c r="FM141" s="49"/>
      <c r="FN141" s="49"/>
      <c r="FO141" s="49"/>
      <c r="FP141" s="34"/>
      <c r="FQ141" s="34"/>
      <c r="FR141" s="3"/>
      <c r="FS141" s="34">
        <f t="shared" si="337"/>
        <v>0</v>
      </c>
      <c r="FT141" s="34" t="str">
        <f t="shared" si="338"/>
        <v>RCN/2026/1003</v>
      </c>
      <c r="FU141" s="3"/>
      <c r="FV141" s="3"/>
      <c r="FW141" s="3"/>
      <c r="FX141" s="3"/>
      <c r="FY141" s="4"/>
      <c r="FZ141" s="3"/>
      <c r="GA141" s="182"/>
      <c r="GB141" s="3"/>
      <c r="GC141" s="3"/>
      <c r="GD141" s="3"/>
      <c r="GE141" s="3"/>
      <c r="GF141" s="3"/>
      <c r="GG141" s="3"/>
      <c r="GH141" s="3"/>
      <c r="GI141" s="3"/>
      <c r="GJ141" s="3"/>
      <c r="GK141" s="3"/>
    </row>
    <row r="142" spans="1:196" s="1" customFormat="1" ht="68.099999999999994">
      <c r="A142" s="2" t="str">
        <f t="shared" si="339"/>
        <v>SI Sent, Shipment Awaited</v>
      </c>
      <c r="B142" s="282">
        <v>44</v>
      </c>
      <c r="C142" s="282">
        <v>200</v>
      </c>
      <c r="D142" s="182" t="s">
        <v>208</v>
      </c>
      <c r="E142" s="2" t="str">
        <f t="shared" si="340"/>
        <v>SHORT POSITION</v>
      </c>
      <c r="F142" s="271">
        <f t="shared" si="302"/>
        <v>32016407</v>
      </c>
      <c r="G142" s="271"/>
      <c r="H142" s="2" t="str">
        <f t="shared" si="297"/>
        <v>PHUOC THINH TRADING</v>
      </c>
      <c r="I142" s="3" t="s">
        <v>259</v>
      </c>
      <c r="J142" s="2" t="s">
        <v>347</v>
      </c>
      <c r="K142" s="2" t="str">
        <f t="shared" si="341"/>
        <v>HCMC, VIETNAM</v>
      </c>
      <c r="L142" s="2" t="str">
        <f t="shared" si="334"/>
        <v/>
      </c>
      <c r="M142" s="2" t="str">
        <f t="shared" si="333"/>
        <v/>
      </c>
      <c r="N142" s="22" t="str">
        <f t="shared" si="342"/>
        <v/>
      </c>
      <c r="O142" s="22" t="str">
        <f t="shared" si="332"/>
        <v/>
      </c>
      <c r="P142" s="22" t="str">
        <f t="shared" si="343"/>
        <v>No OBL Yet</v>
      </c>
      <c r="Q142" s="2"/>
      <c r="R142" s="2" t="str">
        <f t="shared" si="344"/>
        <v>No CERTS Yet</v>
      </c>
      <c r="S142" s="2">
        <f t="shared" si="351"/>
        <v>0</v>
      </c>
      <c r="T142" s="2"/>
      <c r="U142" s="3" t="s">
        <v>829</v>
      </c>
      <c r="V142" s="272"/>
      <c r="W142" s="3"/>
      <c r="X142" s="24">
        <v>46160</v>
      </c>
      <c r="Y142" s="273">
        <v>20010356</v>
      </c>
      <c r="Z142" s="24">
        <v>46160</v>
      </c>
      <c r="AA142" s="182">
        <v>32016407</v>
      </c>
      <c r="AB142" s="182" t="s">
        <v>845</v>
      </c>
      <c r="AC142" s="182" t="s">
        <v>846</v>
      </c>
      <c r="AD142" s="181">
        <v>46218</v>
      </c>
      <c r="AE142" s="30">
        <v>0.1</v>
      </c>
      <c r="AF142" s="277">
        <v>500</v>
      </c>
      <c r="AG142" s="4">
        <f t="shared" si="345"/>
        <v>450</v>
      </c>
      <c r="AH142" s="3" t="s">
        <v>215</v>
      </c>
      <c r="AI142" s="4">
        <v>1370</v>
      </c>
      <c r="AJ142" s="4">
        <f t="shared" si="335"/>
        <v>685000</v>
      </c>
      <c r="AK142" s="3" t="s">
        <v>249</v>
      </c>
      <c r="AL142" s="3" t="s">
        <v>780</v>
      </c>
      <c r="AM142" s="30">
        <v>0.1</v>
      </c>
      <c r="AN142" s="183">
        <v>0.88</v>
      </c>
      <c r="AO142" s="183">
        <v>0.02</v>
      </c>
      <c r="AP142" s="28" t="s">
        <v>218</v>
      </c>
      <c r="AQ142" s="3" t="s">
        <v>354</v>
      </c>
      <c r="AR142" s="18" t="s">
        <v>781</v>
      </c>
      <c r="AS142" s="359">
        <v>5</v>
      </c>
      <c r="AT142" s="3" t="s">
        <v>220</v>
      </c>
      <c r="AU142" s="3" t="s">
        <v>220</v>
      </c>
      <c r="AV142" s="3" t="s">
        <v>220</v>
      </c>
      <c r="AW142" s="9"/>
      <c r="AX142" s="3"/>
      <c r="AY142" s="47">
        <v>46166</v>
      </c>
      <c r="AZ142" s="278">
        <f t="shared" si="299"/>
        <v>68500</v>
      </c>
      <c r="BA142" s="18">
        <v>46168</v>
      </c>
      <c r="BB142" s="22">
        <v>46167</v>
      </c>
      <c r="BC142" s="22"/>
      <c r="BD142" s="22"/>
      <c r="BE142" s="22"/>
      <c r="BF142" s="22"/>
      <c r="BG142" s="18"/>
      <c r="BH142" s="18"/>
      <c r="BI142" s="3"/>
      <c r="BJ142" s="25"/>
      <c r="BK142" s="18"/>
      <c r="BL142" s="271"/>
      <c r="BM142" s="18"/>
      <c r="BN142" s="2"/>
      <c r="BO142" s="18"/>
      <c r="BP142" s="20" t="s">
        <v>259</v>
      </c>
      <c r="BQ142" s="21" t="s">
        <v>409</v>
      </c>
      <c r="BR142" s="189"/>
      <c r="BS142" s="22"/>
      <c r="BT142" s="22"/>
      <c r="BU142" s="189">
        <f>BI142*AF142</f>
        <v>0</v>
      </c>
      <c r="BV142" s="22"/>
      <c r="BW142" s="22"/>
      <c r="BX142" s="22"/>
      <c r="BY142" s="22"/>
      <c r="BZ142" s="22"/>
      <c r="CA142" s="22"/>
      <c r="CB142" s="22"/>
      <c r="CC142" s="182"/>
      <c r="CD142" s="182"/>
      <c r="CE142" s="22" t="str">
        <f t="shared" si="350"/>
        <v>No OBL Yet</v>
      </c>
      <c r="CF142" s="48"/>
      <c r="CG142" s="22"/>
      <c r="CH142" s="2"/>
      <c r="CI142" s="55"/>
      <c r="CJ142" s="55"/>
      <c r="CK142" s="2" t="str">
        <f t="shared" si="346"/>
        <v>No CERTS Yet</v>
      </c>
      <c r="CL142" s="54"/>
      <c r="CM142" s="2"/>
      <c r="CN142" s="55"/>
      <c r="CO142" s="14"/>
      <c r="CP142" s="191"/>
      <c r="CQ142" s="190">
        <f t="shared" si="336"/>
        <v>-68500</v>
      </c>
      <c r="CR142" s="14"/>
      <c r="CS142" s="15"/>
      <c r="CT142" s="2"/>
      <c r="CU142" s="41"/>
      <c r="CV142" s="2"/>
      <c r="CW142" s="192"/>
      <c r="CX142" s="40"/>
      <c r="CY142" s="16"/>
      <c r="CZ142" s="2"/>
      <c r="DA142" s="14"/>
      <c r="DB142" s="2"/>
      <c r="DC142" s="192"/>
      <c r="DD142" s="2"/>
      <c r="DE142" s="15"/>
      <c r="DF142" s="2"/>
      <c r="DG142" s="2"/>
      <c r="DH142" s="15"/>
      <c r="DI142" s="14"/>
      <c r="DJ142" s="14"/>
      <c r="DK142" s="15"/>
      <c r="DL142" s="15"/>
      <c r="DM142" s="2"/>
      <c r="DN142" s="2"/>
      <c r="DO142" s="2"/>
      <c r="DP142" s="2"/>
      <c r="DQ142" s="2"/>
      <c r="DR142" s="2"/>
      <c r="DS142" s="2"/>
      <c r="DT142" s="2"/>
      <c r="DU142" s="2"/>
      <c r="DV142" s="182"/>
      <c r="DW142" s="2"/>
      <c r="DX142" s="2"/>
      <c r="DY142" s="2" t="s">
        <v>230</v>
      </c>
      <c r="DZ142" s="2"/>
      <c r="EA142" s="3"/>
      <c r="EB142" s="3"/>
      <c r="EC142" s="3"/>
      <c r="ED142" s="189"/>
      <c r="EE142" s="4"/>
      <c r="EF142" s="9"/>
      <c r="EG142" s="9"/>
      <c r="EH142" s="3" t="s">
        <v>266</v>
      </c>
      <c r="EI142" s="9"/>
      <c r="EJ142" s="8"/>
      <c r="EK142" s="189"/>
      <c r="EL142" s="7"/>
      <c r="EM142" s="7"/>
      <c r="EN142" s="6"/>
      <c r="EO142" s="2"/>
      <c r="EP142" s="189"/>
      <c r="EQ142" s="189"/>
      <c r="ER142" s="189"/>
      <c r="ES142" s="2"/>
      <c r="ET142" s="24"/>
      <c r="EU142" s="2"/>
      <c r="EV142" s="2" t="str">
        <f t="shared" si="347"/>
        <v>Yet to load</v>
      </c>
      <c r="EW142" s="193"/>
      <c r="EX142" s="189"/>
      <c r="EY142" s="24"/>
      <c r="EZ142" s="52"/>
      <c r="FA142" s="49"/>
      <c r="FB142" s="49"/>
      <c r="FC142" s="180"/>
      <c r="FD142" s="49"/>
      <c r="FE142" s="49"/>
      <c r="FF142" s="49"/>
      <c r="FG142" s="49"/>
      <c r="FH142" s="49"/>
      <c r="FI142" s="49"/>
      <c r="FJ142" s="49"/>
      <c r="FK142" s="49"/>
      <c r="FL142" s="49">
        <f>IFERROR(EZ142-BY142,"")</f>
        <v>0</v>
      </c>
      <c r="FM142" s="180">
        <f>IFERROR(BM142-FB142,"")</f>
        <v>0</v>
      </c>
      <c r="FN142" s="49"/>
      <c r="FO142" s="49"/>
      <c r="FP142" s="49"/>
      <c r="FQ142" s="49"/>
      <c r="FR142" s="49"/>
      <c r="FS142" s="34">
        <f t="shared" si="337"/>
        <v>20010356</v>
      </c>
      <c r="FT142" s="34">
        <f t="shared" si="338"/>
        <v>32016407</v>
      </c>
      <c r="FU142" s="3"/>
      <c r="FV142" s="3"/>
      <c r="FW142" s="3"/>
      <c r="FX142" s="3"/>
      <c r="FY142" s="3"/>
      <c r="FZ142" s="3"/>
      <c r="GA142" s="3"/>
      <c r="GB142" s="4"/>
      <c r="GC142" s="3"/>
      <c r="GD142" s="182"/>
      <c r="GE142" s="3"/>
      <c r="GF142" s="3"/>
      <c r="GG142" s="3"/>
      <c r="GH142" s="3"/>
      <c r="GI142" s="3"/>
      <c r="GJ142" s="3"/>
      <c r="GK142" s="3"/>
      <c r="GL142" s="3"/>
      <c r="GM142" s="3"/>
      <c r="GN142" s="3"/>
    </row>
    <row r="143" spans="1:196" s="1" customFormat="1" ht="68.099999999999994">
      <c r="A143" s="2" t="str">
        <f t="shared" si="339"/>
        <v>SI Sent, Shipment Awaited</v>
      </c>
      <c r="B143" s="282">
        <v>45</v>
      </c>
      <c r="C143" s="282">
        <v>200</v>
      </c>
      <c r="D143" s="182" t="s">
        <v>208</v>
      </c>
      <c r="E143" s="2" t="str">
        <f t="shared" si="340"/>
        <v>SHORT POSITION</v>
      </c>
      <c r="F143" s="271">
        <f t="shared" si="302"/>
        <v>32016417</v>
      </c>
      <c r="G143" s="271"/>
      <c r="H143" s="2" t="str">
        <f t="shared" si="297"/>
        <v>HOANG SON I JOINT STOCK COMPANY</v>
      </c>
      <c r="I143" s="3" t="s">
        <v>259</v>
      </c>
      <c r="J143" s="2" t="s">
        <v>347</v>
      </c>
      <c r="K143" s="2" t="str">
        <f t="shared" si="341"/>
        <v>HCMC, VIETNAM</v>
      </c>
      <c r="L143" s="2" t="str">
        <f t="shared" si="334"/>
        <v/>
      </c>
      <c r="M143" s="2" t="str">
        <f t="shared" si="333"/>
        <v/>
      </c>
      <c r="N143" s="22" t="str">
        <f t="shared" si="342"/>
        <v/>
      </c>
      <c r="O143" s="22" t="str">
        <f t="shared" si="332"/>
        <v/>
      </c>
      <c r="P143" s="22" t="str">
        <f t="shared" si="343"/>
        <v>No OBL Yet</v>
      </c>
      <c r="Q143" s="2"/>
      <c r="R143" s="2" t="str">
        <f t="shared" si="344"/>
        <v>No CERTS Yet</v>
      </c>
      <c r="S143" s="2">
        <f t="shared" si="351"/>
        <v>0</v>
      </c>
      <c r="T143" s="2"/>
      <c r="U143" s="3" t="s">
        <v>788</v>
      </c>
      <c r="V143" s="272"/>
      <c r="W143" s="3"/>
      <c r="X143" s="24">
        <v>46160</v>
      </c>
      <c r="Y143" s="273">
        <v>20010369</v>
      </c>
      <c r="Z143" s="24">
        <v>46160</v>
      </c>
      <c r="AA143" s="182">
        <v>32016417</v>
      </c>
      <c r="AB143" s="182" t="s">
        <v>815</v>
      </c>
      <c r="AC143" s="182" t="s">
        <v>847</v>
      </c>
      <c r="AD143" s="181">
        <v>46233</v>
      </c>
      <c r="AE143" s="30">
        <v>0.1</v>
      </c>
      <c r="AF143" s="277">
        <v>1000</v>
      </c>
      <c r="AG143" s="4">
        <f t="shared" si="345"/>
        <v>900</v>
      </c>
      <c r="AH143" s="3" t="s">
        <v>215</v>
      </c>
      <c r="AI143" s="4">
        <v>1420</v>
      </c>
      <c r="AJ143" s="4">
        <f t="shared" si="335"/>
        <v>1420000</v>
      </c>
      <c r="AK143" s="3" t="s">
        <v>249</v>
      </c>
      <c r="AL143" s="3" t="s">
        <v>780</v>
      </c>
      <c r="AM143" s="30">
        <v>0.1</v>
      </c>
      <c r="AN143" s="183">
        <v>0.88</v>
      </c>
      <c r="AO143" s="183">
        <v>0.02</v>
      </c>
      <c r="AP143" s="28" t="s">
        <v>218</v>
      </c>
      <c r="AQ143" s="18" t="s">
        <v>354</v>
      </c>
      <c r="AR143" s="18" t="s">
        <v>781</v>
      </c>
      <c r="AS143" s="359">
        <v>5</v>
      </c>
      <c r="AT143" s="3" t="s">
        <v>220</v>
      </c>
      <c r="AU143" s="3" t="s">
        <v>220</v>
      </c>
      <c r="AV143" s="3" t="s">
        <v>220</v>
      </c>
      <c r="AW143" s="9"/>
      <c r="AX143" s="3"/>
      <c r="AY143" s="47">
        <v>46167</v>
      </c>
      <c r="AZ143" s="278">
        <f t="shared" si="299"/>
        <v>142000</v>
      </c>
      <c r="BA143" s="18">
        <v>46164</v>
      </c>
      <c r="BB143" s="22">
        <v>46167</v>
      </c>
      <c r="BC143" s="22"/>
      <c r="BD143" s="22"/>
      <c r="BE143" s="22"/>
      <c r="BF143" s="22"/>
      <c r="BG143" s="18"/>
      <c r="BH143" s="18"/>
      <c r="BI143" s="3"/>
      <c r="BJ143" s="25"/>
      <c r="BK143" s="18"/>
      <c r="BL143" s="271"/>
      <c r="BM143" s="18"/>
      <c r="BN143" s="2"/>
      <c r="BO143" s="18"/>
      <c r="BP143" s="20" t="s">
        <v>259</v>
      </c>
      <c r="BQ143" s="21" t="s">
        <v>409</v>
      </c>
      <c r="BR143" s="189"/>
      <c r="BS143" s="22"/>
      <c r="BT143" s="22"/>
      <c r="BU143" s="189">
        <f>BI143*AF143</f>
        <v>0</v>
      </c>
      <c r="BV143" s="22"/>
      <c r="BW143" s="22"/>
      <c r="BX143" s="22"/>
      <c r="BY143" s="22"/>
      <c r="BZ143" s="22"/>
      <c r="CA143" s="22"/>
      <c r="CB143" s="22"/>
      <c r="CC143" s="182"/>
      <c r="CD143" s="182"/>
      <c r="CE143" s="22" t="str">
        <f t="shared" si="350"/>
        <v>No OBL Yet</v>
      </c>
      <c r="CF143" s="48"/>
      <c r="CG143" s="22"/>
      <c r="CH143" s="2"/>
      <c r="CI143" s="55"/>
      <c r="CJ143" s="55"/>
      <c r="CK143" s="2" t="str">
        <f t="shared" si="346"/>
        <v>No CERTS Yet</v>
      </c>
      <c r="CL143" s="54"/>
      <c r="CM143" s="2"/>
      <c r="CN143" s="182"/>
      <c r="CO143" s="14"/>
      <c r="CP143" s="191"/>
      <c r="CQ143" s="190">
        <f t="shared" si="336"/>
        <v>-142000</v>
      </c>
      <c r="CR143" s="14"/>
      <c r="CS143" s="15"/>
      <c r="CT143" s="2"/>
      <c r="CU143" s="41"/>
      <c r="CV143" s="2"/>
      <c r="CW143" s="192"/>
      <c r="CX143" s="40"/>
      <c r="CY143" s="16"/>
      <c r="CZ143" s="2"/>
      <c r="DA143" s="14"/>
      <c r="DB143" s="2"/>
      <c r="DC143" s="192"/>
      <c r="DD143" s="2"/>
      <c r="DE143" s="15"/>
      <c r="DF143" s="2"/>
      <c r="DG143" s="2"/>
      <c r="DH143" s="15"/>
      <c r="DI143" s="14"/>
      <c r="DJ143" s="14"/>
      <c r="DK143" s="15"/>
      <c r="DL143" s="15"/>
      <c r="DM143" s="2"/>
      <c r="DN143" s="2"/>
      <c r="DO143" s="2"/>
      <c r="DP143" s="2"/>
      <c r="DQ143" s="2"/>
      <c r="DR143" s="2"/>
      <c r="DS143" s="2"/>
      <c r="DT143" s="2"/>
      <c r="DU143" s="2"/>
      <c r="DV143" s="182"/>
      <c r="DW143" s="2"/>
      <c r="DX143" s="2"/>
      <c r="DY143" s="2" t="s">
        <v>230</v>
      </c>
      <c r="DZ143" s="2"/>
      <c r="EA143" s="3"/>
      <c r="EB143" s="3"/>
      <c r="EC143" s="3"/>
      <c r="ED143" s="189"/>
      <c r="EE143" s="4"/>
      <c r="EF143" s="9"/>
      <c r="EG143" s="9"/>
      <c r="EH143" s="3" t="s">
        <v>266</v>
      </c>
      <c r="EI143" s="9"/>
      <c r="EJ143" s="8"/>
      <c r="EK143" s="189"/>
      <c r="EL143" s="7"/>
      <c r="EM143" s="7"/>
      <c r="EN143" s="6"/>
      <c r="EO143" s="2"/>
      <c r="EP143" s="189"/>
      <c r="EQ143" s="189"/>
      <c r="ER143" s="189"/>
      <c r="ES143" s="2"/>
      <c r="ET143" s="24"/>
      <c r="EU143" s="2"/>
      <c r="EV143" s="2" t="str">
        <f t="shared" si="347"/>
        <v>Yet to load</v>
      </c>
      <c r="EW143" s="193"/>
      <c r="EX143" s="189"/>
      <c r="EY143" s="24"/>
      <c r="EZ143" s="52"/>
      <c r="FA143" s="49"/>
      <c r="FB143" s="49"/>
      <c r="FC143" s="180"/>
      <c r="FD143" s="49"/>
      <c r="FE143" s="49"/>
      <c r="FF143" s="49"/>
      <c r="FG143" s="49"/>
      <c r="FH143" s="49"/>
      <c r="FI143" s="49"/>
      <c r="FJ143" s="49"/>
      <c r="FK143" s="49"/>
      <c r="FL143" s="49">
        <f>IFERROR(EZ143-BY143,"")</f>
        <v>0</v>
      </c>
      <c r="FM143" s="180">
        <f>IFERROR(BM143-FB143,"")</f>
        <v>0</v>
      </c>
      <c r="FN143" s="49"/>
      <c r="FO143" s="49"/>
      <c r="FP143" s="49"/>
      <c r="FQ143" s="49"/>
      <c r="FR143" s="49"/>
      <c r="FS143" s="34">
        <f t="shared" si="337"/>
        <v>20010369</v>
      </c>
      <c r="FT143" s="34">
        <f t="shared" si="338"/>
        <v>32016417</v>
      </c>
      <c r="FU143" s="3"/>
      <c r="FV143" s="3"/>
      <c r="FW143" s="3"/>
      <c r="FX143" s="3"/>
      <c r="FY143" s="3"/>
      <c r="FZ143" s="3"/>
      <c r="GA143" s="3"/>
      <c r="GB143" s="4"/>
      <c r="GC143" s="3"/>
      <c r="GD143" s="182"/>
      <c r="GE143" s="3"/>
      <c r="GF143" s="3"/>
      <c r="GG143" s="3"/>
      <c r="GH143" s="3"/>
      <c r="GI143" s="3"/>
      <c r="GJ143" s="3"/>
      <c r="GK143" s="3"/>
      <c r="GL143" s="3"/>
      <c r="GM143" s="3"/>
      <c r="GN143" s="3"/>
    </row>
    <row r="144" spans="1:196" s="1" customFormat="1" ht="33.950000000000003">
      <c r="A144" s="2" t="str">
        <f t="shared" si="339"/>
        <v>SI Sent, Shipment Awaited</v>
      </c>
      <c r="B144" s="282">
        <v>45</v>
      </c>
      <c r="C144" s="282">
        <v>200</v>
      </c>
      <c r="D144" s="182" t="s">
        <v>208</v>
      </c>
      <c r="E144" s="2" t="str">
        <f t="shared" si="340"/>
        <v>SHORT POSITION</v>
      </c>
      <c r="F144" s="271">
        <f t="shared" si="302"/>
        <v>32016426</v>
      </c>
      <c r="G144" s="271"/>
      <c r="H144" s="2" t="str">
        <f t="shared" si="297"/>
        <v>HOANG SON I JOINT STOCK COMPANY</v>
      </c>
      <c r="I144" s="3" t="s">
        <v>259</v>
      </c>
      <c r="J144" s="2" t="s">
        <v>347</v>
      </c>
      <c r="K144" s="2" t="str">
        <f t="shared" si="341"/>
        <v>CAT LAI PORT, HCMC, VIETNAM</v>
      </c>
      <c r="L144" s="2" t="str">
        <f t="shared" si="334"/>
        <v/>
      </c>
      <c r="M144" s="2" t="str">
        <f t="shared" si="333"/>
        <v/>
      </c>
      <c r="N144" s="22" t="str">
        <f t="shared" si="342"/>
        <v/>
      </c>
      <c r="O144" s="22" t="str">
        <f t="shared" si="332"/>
        <v/>
      </c>
      <c r="P144" s="22" t="str">
        <f t="shared" si="343"/>
        <v>No OBL Yet</v>
      </c>
      <c r="Q144" s="2"/>
      <c r="R144" s="2" t="str">
        <f t="shared" si="344"/>
        <v>No CERTS Yet</v>
      </c>
      <c r="S144" s="2">
        <f t="shared" si="351"/>
        <v>0</v>
      </c>
      <c r="T144" s="2"/>
      <c r="U144" s="3" t="s">
        <v>778</v>
      </c>
      <c r="V144" s="272"/>
      <c r="W144" s="3"/>
      <c r="X144" s="24">
        <v>46163</v>
      </c>
      <c r="Y144" s="273">
        <v>20010383</v>
      </c>
      <c r="Z144" s="24">
        <v>46163</v>
      </c>
      <c r="AA144" s="182">
        <v>32016426</v>
      </c>
      <c r="AB144" s="182" t="s">
        <v>815</v>
      </c>
      <c r="AC144" s="182" t="s">
        <v>847</v>
      </c>
      <c r="AD144" s="181">
        <v>46233</v>
      </c>
      <c r="AE144" s="30">
        <v>0.1</v>
      </c>
      <c r="AF144" s="277">
        <v>2000</v>
      </c>
      <c r="AG144" s="4">
        <f t="shared" si="345"/>
        <v>1800</v>
      </c>
      <c r="AH144" s="3" t="s">
        <v>215</v>
      </c>
      <c r="AI144" s="4">
        <v>1410</v>
      </c>
      <c r="AJ144" s="4">
        <f t="shared" si="335"/>
        <v>2820000</v>
      </c>
      <c r="AK144" s="3" t="s">
        <v>249</v>
      </c>
      <c r="AL144" s="3" t="s">
        <v>780</v>
      </c>
      <c r="AM144" s="30">
        <v>0.1</v>
      </c>
      <c r="AN144" s="183">
        <v>0.88</v>
      </c>
      <c r="AO144" s="183">
        <v>0.02</v>
      </c>
      <c r="AP144" s="28" t="s">
        <v>218</v>
      </c>
      <c r="AQ144" s="18" t="s">
        <v>354</v>
      </c>
      <c r="AR144" s="18" t="s">
        <v>848</v>
      </c>
      <c r="AS144" s="359">
        <v>5</v>
      </c>
      <c r="AT144" s="3" t="s">
        <v>220</v>
      </c>
      <c r="AU144" s="3" t="s">
        <v>220</v>
      </c>
      <c r="AV144" s="3" t="s">
        <v>220</v>
      </c>
      <c r="AW144" s="9"/>
      <c r="AX144" s="3"/>
      <c r="AY144" s="47">
        <v>46170</v>
      </c>
      <c r="AZ144" s="278">
        <f t="shared" si="299"/>
        <v>282000</v>
      </c>
      <c r="BA144" s="18">
        <v>46170</v>
      </c>
      <c r="BB144" s="22">
        <v>46167</v>
      </c>
      <c r="BC144" s="22"/>
      <c r="BD144" s="22"/>
      <c r="BE144" s="22"/>
      <c r="BF144" s="22"/>
      <c r="BG144" s="18"/>
      <c r="BH144" s="18"/>
      <c r="BI144" s="3"/>
      <c r="BJ144" s="25"/>
      <c r="BK144" s="18"/>
      <c r="BL144" s="271"/>
      <c r="BM144" s="18"/>
      <c r="BN144" s="2"/>
      <c r="BO144" s="18"/>
      <c r="BP144" s="20" t="s">
        <v>259</v>
      </c>
      <c r="BQ144" s="21" t="s">
        <v>786</v>
      </c>
      <c r="BR144" s="189"/>
      <c r="BS144" s="22"/>
      <c r="BT144" s="22"/>
      <c r="BU144" s="189">
        <f>BI144*AF144</f>
        <v>0</v>
      </c>
      <c r="BV144" s="22"/>
      <c r="BW144" s="22"/>
      <c r="BX144" s="22"/>
      <c r="BY144" s="22"/>
      <c r="BZ144" s="22"/>
      <c r="CA144" s="22"/>
      <c r="CB144" s="22"/>
      <c r="CC144" s="182"/>
      <c r="CD144" s="182"/>
      <c r="CE144" s="22" t="str">
        <f t="shared" si="350"/>
        <v>No OBL Yet</v>
      </c>
      <c r="CF144" s="48"/>
      <c r="CG144" s="22"/>
      <c r="CH144" s="2"/>
      <c r="CI144" s="55"/>
      <c r="CJ144" s="55"/>
      <c r="CK144" s="2" t="str">
        <f t="shared" si="346"/>
        <v>No CERTS Yet</v>
      </c>
      <c r="CL144" s="54"/>
      <c r="CM144" s="2"/>
      <c r="CN144" s="55"/>
      <c r="CO144" s="14"/>
      <c r="CP144" s="191"/>
      <c r="CQ144" s="190">
        <f t="shared" si="336"/>
        <v>-282000</v>
      </c>
      <c r="CR144" s="14"/>
      <c r="CS144" s="15"/>
      <c r="CT144" s="2"/>
      <c r="CU144" s="41"/>
      <c r="CV144" s="2"/>
      <c r="CW144" s="192"/>
      <c r="CX144" s="40"/>
      <c r="CY144" s="16"/>
      <c r="CZ144" s="2"/>
      <c r="DA144" s="14"/>
      <c r="DB144" s="2"/>
      <c r="DC144" s="192"/>
      <c r="DD144" s="2"/>
      <c r="DE144" s="15"/>
      <c r="DF144" s="2"/>
      <c r="DG144" s="2"/>
      <c r="DH144" s="15"/>
      <c r="DI144" s="14"/>
      <c r="DJ144" s="14"/>
      <c r="DK144" s="15"/>
      <c r="DL144" s="15"/>
      <c r="DM144" s="2"/>
      <c r="DN144" s="2"/>
      <c r="DO144" s="2"/>
      <c r="DP144" s="2"/>
      <c r="DQ144" s="2"/>
      <c r="DR144" s="2"/>
      <c r="DS144" s="2"/>
      <c r="DT144" s="2"/>
      <c r="DU144" s="2"/>
      <c r="DV144" s="182"/>
      <c r="DW144" s="2"/>
      <c r="DX144" s="2"/>
      <c r="DY144" s="2" t="s">
        <v>230</v>
      </c>
      <c r="DZ144" s="2"/>
      <c r="EA144" s="3"/>
      <c r="EB144" s="3"/>
      <c r="EC144" s="3"/>
      <c r="ED144" s="189"/>
      <c r="EE144" s="4"/>
      <c r="EF144" s="9"/>
      <c r="EG144" s="9"/>
      <c r="EH144" s="3" t="s">
        <v>266</v>
      </c>
      <c r="EI144" s="9"/>
      <c r="EJ144" s="8"/>
      <c r="EK144" s="189"/>
      <c r="EL144" s="7"/>
      <c r="EM144" s="7"/>
      <c r="EN144" s="6"/>
      <c r="EO144" s="2"/>
      <c r="EP144" s="189"/>
      <c r="EQ144" s="189"/>
      <c r="ER144" s="189"/>
      <c r="ES144" s="2"/>
      <c r="ET144" s="24"/>
      <c r="EU144" s="2"/>
      <c r="EV144" s="2" t="str">
        <f t="shared" si="347"/>
        <v>Yet to load</v>
      </c>
      <c r="EW144" s="193"/>
      <c r="EX144" s="189"/>
      <c r="EY144" s="24"/>
      <c r="EZ144" s="52"/>
      <c r="FA144" s="49"/>
      <c r="FB144" s="49"/>
      <c r="FC144" s="180"/>
      <c r="FD144" s="49"/>
      <c r="FE144" s="49"/>
      <c r="FF144" s="49"/>
      <c r="FG144" s="49"/>
      <c r="FH144" s="49"/>
      <c r="FI144" s="49"/>
      <c r="FJ144" s="49"/>
      <c r="FK144" s="49"/>
      <c r="FL144" s="49">
        <f>IFERROR(EZ144-BY144,"")</f>
        <v>0</v>
      </c>
      <c r="FM144" s="180">
        <f>IFERROR(BM144-FB144,"")</f>
        <v>0</v>
      </c>
      <c r="FN144" s="49"/>
      <c r="FO144" s="49"/>
      <c r="FP144" s="49"/>
      <c r="FQ144" s="49"/>
      <c r="FR144" s="49"/>
      <c r="FS144" s="34">
        <f t="shared" si="337"/>
        <v>20010383</v>
      </c>
      <c r="FT144" s="34">
        <f t="shared" si="338"/>
        <v>32016426</v>
      </c>
      <c r="FU144" s="3"/>
      <c r="FV144" s="3"/>
      <c r="FW144" s="3"/>
      <c r="FX144" s="3"/>
      <c r="FY144" s="3"/>
      <c r="FZ144" s="3"/>
      <c r="GA144" s="3"/>
      <c r="GB144" s="4"/>
      <c r="GC144" s="3"/>
      <c r="GD144" s="182"/>
      <c r="GE144" s="3"/>
      <c r="GF144" s="3"/>
      <c r="GG144" s="3"/>
      <c r="GH144" s="3"/>
      <c r="GI144" s="3"/>
      <c r="GJ144" s="3"/>
      <c r="GK144" s="3"/>
      <c r="GL144" s="3"/>
      <c r="GM144" s="3"/>
      <c r="GN144" s="3"/>
    </row>
    <row r="145" spans="1:196" s="1" customFormat="1" ht="68.099999999999994">
      <c r="A145" s="2" t="str">
        <f t="shared" si="339"/>
        <v>SI Sent, Shipment Awaited</v>
      </c>
      <c r="B145" s="282">
        <v>44</v>
      </c>
      <c r="C145" s="282">
        <v>200</v>
      </c>
      <c r="D145" s="182" t="s">
        <v>208</v>
      </c>
      <c r="E145" s="2" t="str">
        <f t="shared" si="340"/>
        <v>SHORT POSITION</v>
      </c>
      <c r="F145" s="271">
        <f t="shared" si="302"/>
        <v>32016427</v>
      </c>
      <c r="G145" s="271"/>
      <c r="H145" s="2" t="str">
        <f t="shared" si="297"/>
        <v>HOANG SON I JOINT STOCK COMPANY</v>
      </c>
      <c r="I145" s="3" t="s">
        <v>259</v>
      </c>
      <c r="J145" s="2" t="s">
        <v>347</v>
      </c>
      <c r="K145" s="2" t="str">
        <f t="shared" si="341"/>
        <v>HCMC, VIETNAM</v>
      </c>
      <c r="L145" s="2" t="str">
        <f t="shared" si="334"/>
        <v/>
      </c>
      <c r="M145" s="2" t="str">
        <f t="shared" si="333"/>
        <v/>
      </c>
      <c r="N145" s="22" t="str">
        <f t="shared" si="342"/>
        <v/>
      </c>
      <c r="O145" s="22" t="str">
        <f t="shared" si="332"/>
        <v/>
      </c>
      <c r="P145" s="22" t="str">
        <f t="shared" si="343"/>
        <v>No OBL Yet</v>
      </c>
      <c r="Q145" s="2"/>
      <c r="R145" s="2" t="str">
        <f t="shared" si="344"/>
        <v>No CERTS Yet</v>
      </c>
      <c r="S145" s="2">
        <f t="shared" si="351"/>
        <v>0</v>
      </c>
      <c r="T145" s="2"/>
      <c r="U145" s="3" t="s">
        <v>778</v>
      </c>
      <c r="V145" s="272"/>
      <c r="W145" s="3"/>
      <c r="X145" s="24">
        <v>46163</v>
      </c>
      <c r="Y145" s="273">
        <v>20010384</v>
      </c>
      <c r="Z145" s="24">
        <v>46163</v>
      </c>
      <c r="AA145" s="182">
        <v>32016427</v>
      </c>
      <c r="AB145" s="182" t="s">
        <v>815</v>
      </c>
      <c r="AC145" s="182" t="s">
        <v>847</v>
      </c>
      <c r="AD145" s="181">
        <v>46233</v>
      </c>
      <c r="AE145" s="30">
        <v>0.1</v>
      </c>
      <c r="AF145" s="277">
        <v>1000</v>
      </c>
      <c r="AG145" s="4">
        <f t="shared" si="345"/>
        <v>900</v>
      </c>
      <c r="AH145" s="3" t="s">
        <v>215</v>
      </c>
      <c r="AI145" s="4">
        <v>1380</v>
      </c>
      <c r="AJ145" s="4">
        <f t="shared" si="335"/>
        <v>1380000</v>
      </c>
      <c r="AK145" s="3" t="s">
        <v>249</v>
      </c>
      <c r="AL145" s="3" t="s">
        <v>780</v>
      </c>
      <c r="AM145" s="30">
        <v>0.1</v>
      </c>
      <c r="AN145" s="183">
        <v>0.88</v>
      </c>
      <c r="AO145" s="183">
        <v>0.02</v>
      </c>
      <c r="AP145" s="28" t="s">
        <v>218</v>
      </c>
      <c r="AQ145" s="18" t="s">
        <v>354</v>
      </c>
      <c r="AR145" s="18" t="s">
        <v>781</v>
      </c>
      <c r="AS145" s="359">
        <v>5</v>
      </c>
      <c r="AT145" s="3" t="s">
        <v>220</v>
      </c>
      <c r="AU145" s="3" t="s">
        <v>220</v>
      </c>
      <c r="AV145" s="3" t="s">
        <v>220</v>
      </c>
      <c r="AW145" s="9"/>
      <c r="AX145" s="3"/>
      <c r="AY145" s="47">
        <v>46170</v>
      </c>
      <c r="AZ145" s="278">
        <f t="shared" si="299"/>
        <v>138000</v>
      </c>
      <c r="BA145" s="18">
        <v>46170</v>
      </c>
      <c r="BB145" s="22">
        <v>46167</v>
      </c>
      <c r="BC145" s="22"/>
      <c r="BD145" s="22"/>
      <c r="BE145" s="22"/>
      <c r="BF145" s="22"/>
      <c r="BG145" s="18"/>
      <c r="BH145" s="18"/>
      <c r="BI145" s="3"/>
      <c r="BJ145" s="25"/>
      <c r="BK145" s="18"/>
      <c r="BL145" s="271"/>
      <c r="BM145" s="18"/>
      <c r="BN145" s="2"/>
      <c r="BO145" s="18"/>
      <c r="BP145" s="20" t="s">
        <v>259</v>
      </c>
      <c r="BQ145" s="21" t="s">
        <v>409</v>
      </c>
      <c r="BR145" s="189"/>
      <c r="BS145" s="22"/>
      <c r="BT145" s="22"/>
      <c r="BU145" s="189">
        <f>BI145*AF145</f>
        <v>0</v>
      </c>
      <c r="BV145" s="22"/>
      <c r="BW145" s="22"/>
      <c r="BX145" s="22"/>
      <c r="BY145" s="22"/>
      <c r="BZ145" s="22"/>
      <c r="CA145" s="22"/>
      <c r="CB145" s="22"/>
      <c r="CC145" s="182"/>
      <c r="CD145" s="182"/>
      <c r="CE145" s="22" t="str">
        <f t="shared" si="350"/>
        <v>No OBL Yet</v>
      </c>
      <c r="CF145" s="48"/>
      <c r="CG145" s="22"/>
      <c r="CH145" s="2"/>
      <c r="CI145" s="55"/>
      <c r="CJ145" s="55"/>
      <c r="CK145" s="2" t="str">
        <f t="shared" si="346"/>
        <v>No CERTS Yet</v>
      </c>
      <c r="CL145" s="54"/>
      <c r="CM145" s="2"/>
      <c r="CN145" s="55"/>
      <c r="CO145" s="14"/>
      <c r="CP145" s="191"/>
      <c r="CQ145" s="190">
        <f t="shared" si="336"/>
        <v>-138000</v>
      </c>
      <c r="CR145" s="14"/>
      <c r="CS145" s="15"/>
      <c r="CT145" s="2"/>
      <c r="CU145" s="41"/>
      <c r="CV145" s="2"/>
      <c r="CW145" s="192"/>
      <c r="CX145" s="40"/>
      <c r="CY145" s="16"/>
      <c r="CZ145" s="2"/>
      <c r="DA145" s="14"/>
      <c r="DB145" s="2"/>
      <c r="DC145" s="192"/>
      <c r="DD145" s="2"/>
      <c r="DE145" s="15"/>
      <c r="DF145" s="2"/>
      <c r="DG145" s="2"/>
      <c r="DH145" s="15"/>
      <c r="DI145" s="14"/>
      <c r="DJ145" s="14"/>
      <c r="DK145" s="15"/>
      <c r="DL145" s="15"/>
      <c r="DM145" s="2"/>
      <c r="DN145" s="2"/>
      <c r="DO145" s="2"/>
      <c r="DP145" s="2"/>
      <c r="DQ145" s="2"/>
      <c r="DR145" s="2"/>
      <c r="DS145" s="2"/>
      <c r="DT145" s="2"/>
      <c r="DU145" s="2"/>
      <c r="DV145" s="182"/>
      <c r="DW145" s="2"/>
      <c r="DX145" s="2"/>
      <c r="DY145" s="2" t="s">
        <v>230</v>
      </c>
      <c r="DZ145" s="2"/>
      <c r="EA145" s="3"/>
      <c r="EB145" s="3"/>
      <c r="EC145" s="3"/>
      <c r="ED145" s="189"/>
      <c r="EE145" s="4"/>
      <c r="EF145" s="9"/>
      <c r="EG145" s="9"/>
      <c r="EH145" s="3" t="s">
        <v>266</v>
      </c>
      <c r="EI145" s="9"/>
      <c r="EJ145" s="8"/>
      <c r="EK145" s="189"/>
      <c r="EL145" s="7"/>
      <c r="EM145" s="7"/>
      <c r="EN145" s="6"/>
      <c r="EO145" s="2"/>
      <c r="EP145" s="189"/>
      <c r="EQ145" s="189"/>
      <c r="ER145" s="189"/>
      <c r="ES145" s="2"/>
      <c r="ET145" s="24"/>
      <c r="EU145" s="2"/>
      <c r="EV145" s="2" t="str">
        <f t="shared" si="347"/>
        <v>Yet to load</v>
      </c>
      <c r="EW145" s="193"/>
      <c r="EX145" s="189"/>
      <c r="EY145" s="24"/>
      <c r="EZ145" s="52"/>
      <c r="FA145" s="49"/>
      <c r="FB145" s="49"/>
      <c r="FC145" s="180"/>
      <c r="FD145" s="49"/>
      <c r="FE145" s="49"/>
      <c r="FF145" s="49"/>
      <c r="FG145" s="49"/>
      <c r="FH145" s="49"/>
      <c r="FI145" s="49"/>
      <c r="FJ145" s="49"/>
      <c r="FK145" s="49"/>
      <c r="FL145" s="49">
        <f>IFERROR(EZ145-BY145,"")</f>
        <v>0</v>
      </c>
      <c r="FM145" s="180">
        <f>IFERROR(BM145-FB145,"")</f>
        <v>0</v>
      </c>
      <c r="FN145" s="49"/>
      <c r="FO145" s="49"/>
      <c r="FP145" s="49"/>
      <c r="FQ145" s="49"/>
      <c r="FR145" s="49"/>
      <c r="FS145" s="34">
        <f t="shared" si="337"/>
        <v>20010384</v>
      </c>
      <c r="FT145" s="34">
        <f t="shared" si="338"/>
        <v>32016427</v>
      </c>
      <c r="FU145" s="3"/>
      <c r="FV145" s="3"/>
      <c r="FW145" s="3"/>
      <c r="FX145" s="3"/>
      <c r="FY145" s="3"/>
      <c r="FZ145" s="3"/>
      <c r="GA145" s="3"/>
      <c r="GB145" s="4"/>
      <c r="GC145" s="3"/>
      <c r="GD145" s="182"/>
      <c r="GE145" s="3"/>
      <c r="GF145" s="3"/>
      <c r="GG145" s="3"/>
      <c r="GH145" s="3"/>
      <c r="GI145" s="3"/>
      <c r="GJ145" s="3"/>
      <c r="GK145" s="3"/>
      <c r="GL145" s="3"/>
      <c r="GM145" s="3"/>
      <c r="GN145" s="3"/>
    </row>
    <row r="146" spans="1:196" s="1" customFormat="1" ht="33.950000000000003">
      <c r="A146" s="2" t="str">
        <f t="shared" si="339"/>
        <v>SI Sent, Shipment Awaited</v>
      </c>
      <c r="B146" s="282">
        <v>53</v>
      </c>
      <c r="C146" s="282">
        <v>215</v>
      </c>
      <c r="D146" s="182" t="s">
        <v>208</v>
      </c>
      <c r="E146" s="2" t="str">
        <f t="shared" si="340"/>
        <v>SHORT POSITION</v>
      </c>
      <c r="F146" s="271">
        <f t="shared" si="302"/>
        <v>32016320</v>
      </c>
      <c r="G146" s="271"/>
      <c r="H146" s="2" t="str">
        <f t="shared" si="297"/>
        <v>MAHALASA EXPORTS</v>
      </c>
      <c r="I146" s="3" t="s">
        <v>754</v>
      </c>
      <c r="J146" s="2" t="s">
        <v>210</v>
      </c>
      <c r="K146" s="2" t="str">
        <f t="shared" si="341"/>
        <v>MANGALORE, INDIA</v>
      </c>
      <c r="L146" s="2" t="str">
        <f t="shared" si="334"/>
        <v/>
      </c>
      <c r="M146" s="2" t="str">
        <f t="shared" si="333"/>
        <v/>
      </c>
      <c r="N146" s="22" t="str">
        <f t="shared" si="342"/>
        <v/>
      </c>
      <c r="O146" s="22" t="str">
        <f t="shared" si="332"/>
        <v/>
      </c>
      <c r="P146" s="22" t="str">
        <f t="shared" si="343"/>
        <v>No OBL Yet</v>
      </c>
      <c r="Q146" s="2"/>
      <c r="R146" s="2" t="str">
        <f t="shared" si="344"/>
        <v>No CERTS Yet</v>
      </c>
      <c r="S146" s="2" t="str">
        <f t="shared" si="351"/>
        <v/>
      </c>
      <c r="T146" s="2" t="str">
        <f>IFERROR(_xlfn.XLOOKUP(F146,
'[2]Data 2026'!$H$12:$H$111,
'[2]Data 2026'!$CL$12:$CL$111),"")</f>
        <v/>
      </c>
      <c r="U146" s="3"/>
      <c r="V146" s="272"/>
      <c r="W146" s="3"/>
      <c r="X146" s="24">
        <v>46134</v>
      </c>
      <c r="Y146" s="273">
        <v>20010161</v>
      </c>
      <c r="Z146" s="24">
        <v>46134</v>
      </c>
      <c r="AA146" s="182">
        <v>32016320</v>
      </c>
      <c r="AB146" s="182" t="s">
        <v>359</v>
      </c>
      <c r="AC146" s="181" t="s">
        <v>849</v>
      </c>
      <c r="AD146" s="181">
        <v>46234</v>
      </c>
      <c r="AE146" s="30">
        <v>0.1</v>
      </c>
      <c r="AF146" s="277">
        <v>100</v>
      </c>
      <c r="AG146" s="4">
        <f t="shared" si="345"/>
        <v>90</v>
      </c>
      <c r="AH146" s="3" t="s">
        <v>215</v>
      </c>
      <c r="AI146" s="4">
        <v>1790</v>
      </c>
      <c r="AJ146" s="4">
        <f t="shared" si="335"/>
        <v>179000</v>
      </c>
      <c r="AK146" s="3" t="s">
        <v>249</v>
      </c>
      <c r="AL146" s="3" t="s">
        <v>238</v>
      </c>
      <c r="AM146" s="183">
        <v>0</v>
      </c>
      <c r="AN146" s="183">
        <v>1</v>
      </c>
      <c r="AO146" s="183">
        <v>0</v>
      </c>
      <c r="AP146" s="28" t="s">
        <v>218</v>
      </c>
      <c r="AQ146" s="3" t="s">
        <v>239</v>
      </c>
      <c r="AR146" s="18" t="s">
        <v>850</v>
      </c>
      <c r="AS146" s="27">
        <v>5</v>
      </c>
      <c r="AT146" s="3" t="s">
        <v>220</v>
      </c>
      <c r="AU146" s="3" t="s">
        <v>220</v>
      </c>
      <c r="AV146" s="3" t="s">
        <v>220</v>
      </c>
      <c r="AW146" s="9"/>
      <c r="AX146" s="3"/>
      <c r="AY146" s="47"/>
      <c r="AZ146" s="278">
        <f t="shared" si="299"/>
        <v>0</v>
      </c>
      <c r="BA146" s="18">
        <v>46134</v>
      </c>
      <c r="BB146" s="22">
        <v>46158</v>
      </c>
      <c r="BC146" s="22"/>
      <c r="BD146" s="22"/>
      <c r="BE146" s="22"/>
      <c r="BF146" s="22"/>
      <c r="BG146" s="18"/>
      <c r="BH146" s="18"/>
      <c r="BI146" s="3"/>
      <c r="BJ146" s="25"/>
      <c r="BK146" s="189"/>
      <c r="BL146" s="497"/>
      <c r="BM146" s="18"/>
      <c r="BN146" s="4"/>
      <c r="BO146" s="18"/>
      <c r="BP146" s="3" t="s">
        <v>754</v>
      </c>
      <c r="BQ146" s="21" t="s">
        <v>265</v>
      </c>
      <c r="BR146" s="2"/>
      <c r="BS146" s="2"/>
      <c r="BT146" s="2"/>
      <c r="BU146" s="2"/>
      <c r="BV146" s="20"/>
      <c r="BW146" s="19"/>
      <c r="BX146" s="189">
        <f t="shared" ref="BX146:BX157" si="352">BJ146*AI146</f>
        <v>0</v>
      </c>
      <c r="BY146" s="22"/>
      <c r="BZ146" s="22"/>
      <c r="CA146" s="2"/>
      <c r="CB146" s="22"/>
      <c r="CC146" s="22"/>
      <c r="CD146" s="22"/>
      <c r="CE146" s="22" t="str">
        <f t="shared" si="350"/>
        <v>No OBL Yet</v>
      </c>
      <c r="CF146" s="22"/>
      <c r="CG146" s="22"/>
      <c r="CH146" s="182"/>
      <c r="CI146" s="182"/>
      <c r="CJ146" s="182"/>
      <c r="CK146" s="2" t="str">
        <f t="shared" si="346"/>
        <v>No CERTS Yet</v>
      </c>
      <c r="CL146" s="48"/>
      <c r="CM146" s="22"/>
      <c r="CN146" s="55"/>
      <c r="CO146" s="55"/>
      <c r="CP146" s="55" t="str">
        <f>IF(CO146&lt;&gt;0,"Docs in Buyer's Nego Bank",IF(CN146&lt;&gt;0,"Docs in Transit to Buyer's Nego Bank",IF(CM146&lt;&gt;0,"Docs in Our Nego Bank",IF(CL146="TT PAYMENT","Not Applicable",""))))</f>
        <v/>
      </c>
      <c r="CQ146" s="190">
        <f t="shared" si="336"/>
        <v>0</v>
      </c>
      <c r="CR146" s="54"/>
      <c r="CS146" s="2"/>
      <c r="CT146" s="2"/>
      <c r="CU146" s="14" t="str">
        <f t="shared" ref="CU146:CU157" si="353">IF(CS146="","",BJ146-CT146)</f>
        <v/>
      </c>
      <c r="CV146" s="191" t="str">
        <f t="shared" ref="CV146:CV157" si="354">IF(CS146="","",CU146/BJ146)</f>
        <v/>
      </c>
      <c r="CW146" s="14" t="str">
        <f t="shared" ref="CW146:CW157" si="355">IF(CS146="","",AZ146+CQ146)</f>
        <v/>
      </c>
      <c r="CX146" s="14" t="str">
        <f t="shared" ref="CX146:CX157" si="356">IF(CS146="","",BX146*2%)</f>
        <v/>
      </c>
      <c r="CY146" s="15" t="str">
        <f t="shared" ref="CY146:CY157" si="357">IF(CS146="","",AI146/B146)</f>
        <v/>
      </c>
      <c r="CZ146" s="2"/>
      <c r="DA146" s="41" t="str">
        <f t="shared" ref="DA146:DA157" si="358">IF(CS146="","",B146-CZ146)</f>
        <v/>
      </c>
      <c r="DB146" s="2"/>
      <c r="DC146" s="192" t="str">
        <f t="shared" ref="DC146:DC157" si="359">IF(CS146="","",IF(CS146="","",DB146-C146))</f>
        <v/>
      </c>
      <c r="DD146" s="40"/>
      <c r="DE146" s="16" t="str">
        <f t="shared" ref="DE146:DE157" si="360">IF(CS146="","",10%-DD146)</f>
        <v/>
      </c>
      <c r="DF146" s="2" t="str">
        <f t="shared" ref="DF146:DF157" si="361">IF(CS146="","",CU146*AI146)</f>
        <v/>
      </c>
      <c r="DG146" s="14" t="str">
        <f t="shared" ref="DG146:DG157" si="362">IF(CS146="","",IF(DA146&gt;2,2*DA146*CT146*CY146,DA146*CT146*CY146))</f>
        <v/>
      </c>
      <c r="DH146" s="2" t="str">
        <f t="shared" ref="DH146:DH157" si="363">IF(CS146="","",IF(DA146&gt;2,2*(DA146-2*CT146*CY146),0))</f>
        <v/>
      </c>
      <c r="DI146" s="192" t="str">
        <f t="shared" ref="DI146:DI157" si="364">IF(CS146="","",IF(DC146&gt;0,DC146*0.5*CT146,0))</f>
        <v/>
      </c>
      <c r="DJ146" s="2" t="str">
        <f t="shared" ref="DJ146:DJ157" si="365">IF(CS146="","",IF(DE146&lt;0,DE146*CT146*AI146*1%,0))</f>
        <v/>
      </c>
      <c r="DK146" s="15" t="str">
        <f t="shared" ref="DK146:DK157" si="366">IF(CS146="","",SUM(DF146:DJ146))</f>
        <v/>
      </c>
      <c r="DL146" s="2"/>
      <c r="DM146" s="2"/>
      <c r="DN146" s="15" t="str">
        <f t="shared" ref="DN146:DN157" si="367">IF(CS146="","",SUM(DK146:DL146))</f>
        <v/>
      </c>
      <c r="DO146" s="14" t="str">
        <f t="shared" ref="DO146:DO157" si="368">IF(CS146="","",BJ146*AI146-DN146)</f>
        <v/>
      </c>
      <c r="DP146" s="14" t="str">
        <f t="shared" ref="DP146:DP157" si="369">IF(CS146="","",AZ146+CQ146)</f>
        <v/>
      </c>
      <c r="DQ146" s="15" t="str">
        <f t="shared" ref="DQ146:DQ157" si="370">IF(CS146="","",IF((DP146-DO146)&gt;0,DP146-DO146,""))</f>
        <v/>
      </c>
      <c r="DR146" s="15" t="str">
        <f t="shared" ref="DR146:DR157" si="371">IF(CS146="","",IF((DO146-DP146)&gt;0,(DO146-DP146),""))</f>
        <v/>
      </c>
      <c r="DS146" s="2" t="str">
        <f t="shared" ref="DS146:DS157" si="372">IF(CS146="","",IF(DQ146="",H146,"VALENCY"))</f>
        <v/>
      </c>
      <c r="DT146" s="2" t="str">
        <f t="shared" ref="DT146:DT157" si="373">IF(DN146="","",IF(DN146&gt;0,"CN", "DN"))</f>
        <v/>
      </c>
      <c r="DU146" s="2"/>
      <c r="DV146" s="2"/>
      <c r="DW146" s="2"/>
      <c r="DX146" s="2"/>
      <c r="DY146" s="2" t="s">
        <v>230</v>
      </c>
      <c r="DZ146" s="2"/>
      <c r="EA146" s="2" t="str">
        <f t="shared" ref="EA146:EA157" si="374">IF(CS146="","",
   MIN(0,(IF(DA146&gt;2,2,1)*DA146*CT146*CY146))
)</f>
        <v/>
      </c>
      <c r="EB146" s="2"/>
      <c r="EC146" s="2"/>
      <c r="ED146" s="2"/>
      <c r="EE146" s="3"/>
      <c r="EF146" s="7"/>
      <c r="EG146" s="3"/>
      <c r="EH146" s="3" t="s">
        <v>759</v>
      </c>
      <c r="EI146" s="3"/>
      <c r="EJ146" s="189"/>
      <c r="EK146" s="4"/>
      <c r="EL146" s="4"/>
      <c r="EM146" s="9"/>
      <c r="EN146" s="189">
        <f t="shared" ref="EN146:EN157" si="375">EK146*EJ146</f>
        <v>0</v>
      </c>
      <c r="EO146" s="9"/>
      <c r="EP146" s="8"/>
      <c r="EQ146" s="4"/>
      <c r="ER146" s="4"/>
      <c r="ES146" s="7"/>
      <c r="ET146" s="7"/>
      <c r="EU146" s="6"/>
      <c r="EV146" s="2" t="str">
        <f t="shared" si="347"/>
        <v>Yet to load</v>
      </c>
      <c r="EW146" s="189"/>
      <c r="EX146" s="189" t="e">
        <f t="shared" ref="EX146:EX157" si="376">EW146/BJ146</f>
        <v>#DIV/0!</v>
      </c>
      <c r="EY146" s="189" t="s">
        <v>233</v>
      </c>
      <c r="EZ146" s="24"/>
      <c r="FA146" s="2"/>
      <c r="FB146" s="24"/>
      <c r="FC146" s="193"/>
      <c r="FD146" s="189">
        <f t="shared" ref="FD146:FD157" si="377">FC146*BJ146</f>
        <v>0</v>
      </c>
      <c r="FE146" s="52"/>
      <c r="FF146" s="52"/>
      <c r="FG146" s="49"/>
      <c r="FH146" s="49"/>
      <c r="FI146" s="49"/>
      <c r="FJ146" s="49"/>
      <c r="FK146" s="49"/>
      <c r="FL146" s="49">
        <f>IFERROR(EZ146-BY146,"")</f>
        <v>0</v>
      </c>
      <c r="FM146" s="180">
        <f>IFERROR(BM146-FB146,"")</f>
        <v>0</v>
      </c>
      <c r="FN146" s="49"/>
      <c r="FO146" s="49"/>
      <c r="FP146" s="49"/>
      <c r="FQ146" s="49"/>
      <c r="FR146" s="49"/>
      <c r="FS146" s="34">
        <f t="shared" si="337"/>
        <v>20010161</v>
      </c>
      <c r="FT146" s="34">
        <f t="shared" si="338"/>
        <v>32016320</v>
      </c>
      <c r="FU146" s="3"/>
      <c r="FV146" s="3"/>
      <c r="FW146" s="3"/>
      <c r="FX146" s="3"/>
      <c r="FY146" s="3"/>
      <c r="FZ146" s="3"/>
      <c r="GA146" s="3"/>
      <c r="GB146" s="4"/>
      <c r="GC146" s="3"/>
      <c r="GD146" s="182"/>
      <c r="GE146" s="3"/>
      <c r="GF146" s="3"/>
      <c r="GG146" s="3"/>
      <c r="GH146" s="3"/>
      <c r="GI146" s="3"/>
      <c r="GJ146" s="3"/>
      <c r="GK146" s="3"/>
      <c r="GL146" s="3"/>
      <c r="GM146" s="3"/>
      <c r="GN146" s="3"/>
    </row>
    <row r="147" spans="1:196" s="1" customFormat="1" ht="33.950000000000003">
      <c r="A147" s="2" t="str">
        <f t="shared" si="339"/>
        <v>SI Sent, Shipment Awaited</v>
      </c>
      <c r="B147" s="282">
        <v>53</v>
      </c>
      <c r="C147" s="282">
        <v>215</v>
      </c>
      <c r="D147" s="182" t="s">
        <v>208</v>
      </c>
      <c r="E147" s="2" t="str">
        <f t="shared" si="340"/>
        <v>SHORT POSITION</v>
      </c>
      <c r="F147" s="271">
        <f t="shared" si="302"/>
        <v>32016321</v>
      </c>
      <c r="G147" s="271"/>
      <c r="H147" s="2" t="str">
        <f t="shared" si="297"/>
        <v>SREE DEVI CASHEW INDUSTRIES</v>
      </c>
      <c r="I147" s="3" t="s">
        <v>754</v>
      </c>
      <c r="J147" s="2" t="s">
        <v>210</v>
      </c>
      <c r="K147" s="2" t="str">
        <f t="shared" si="341"/>
        <v>MANGALORE, INDIA</v>
      </c>
      <c r="L147" s="2" t="str">
        <f t="shared" si="334"/>
        <v/>
      </c>
      <c r="M147" s="2" t="str">
        <f t="shared" si="333"/>
        <v/>
      </c>
      <c r="N147" s="22" t="str">
        <f t="shared" si="342"/>
        <v/>
      </c>
      <c r="O147" s="22" t="str">
        <f t="shared" si="332"/>
        <v/>
      </c>
      <c r="P147" s="22" t="str">
        <f t="shared" si="343"/>
        <v>No OBL Yet</v>
      </c>
      <c r="Q147" s="2"/>
      <c r="R147" s="2" t="str">
        <f t="shared" si="344"/>
        <v>No CERTS Yet</v>
      </c>
      <c r="S147" s="2" t="str">
        <f t="shared" si="351"/>
        <v/>
      </c>
      <c r="T147" s="2" t="str">
        <f>IFERROR(_xlfn.XLOOKUP(F147,
'[2]Data 2026'!$H$12:$H$111,
'[2]Data 2026'!$CL$12:$CL$111),"")</f>
        <v/>
      </c>
      <c r="U147" s="3"/>
      <c r="V147" s="272"/>
      <c r="W147" s="3"/>
      <c r="X147" s="24">
        <v>46134</v>
      </c>
      <c r="Y147" s="273">
        <v>20010162</v>
      </c>
      <c r="Z147" s="24">
        <v>46134</v>
      </c>
      <c r="AA147" s="182">
        <v>32016321</v>
      </c>
      <c r="AB147" s="182" t="s">
        <v>424</v>
      </c>
      <c r="AC147" s="181" t="s">
        <v>849</v>
      </c>
      <c r="AD147" s="181">
        <v>46234</v>
      </c>
      <c r="AE147" s="30">
        <v>0.1</v>
      </c>
      <c r="AF147" s="277">
        <v>100</v>
      </c>
      <c r="AG147" s="4">
        <f t="shared" si="345"/>
        <v>90</v>
      </c>
      <c r="AH147" s="3" t="s">
        <v>215</v>
      </c>
      <c r="AI147" s="4">
        <v>1790</v>
      </c>
      <c r="AJ147" s="4">
        <f t="shared" si="335"/>
        <v>179000</v>
      </c>
      <c r="AK147" s="3" t="s">
        <v>249</v>
      </c>
      <c r="AL147" s="3" t="s">
        <v>238</v>
      </c>
      <c r="AM147" s="183">
        <v>0</v>
      </c>
      <c r="AN147" s="183">
        <v>1</v>
      </c>
      <c r="AO147" s="183">
        <v>0</v>
      </c>
      <c r="AP147" s="28" t="s">
        <v>218</v>
      </c>
      <c r="AQ147" s="3" t="s">
        <v>239</v>
      </c>
      <c r="AR147" s="18" t="s">
        <v>850</v>
      </c>
      <c r="AS147" s="27">
        <v>5</v>
      </c>
      <c r="AT147" s="3" t="s">
        <v>220</v>
      </c>
      <c r="AU147" s="3" t="s">
        <v>220</v>
      </c>
      <c r="AV147" s="3" t="s">
        <v>220</v>
      </c>
      <c r="AW147" s="9"/>
      <c r="AX147" s="3"/>
      <c r="AY147" s="47"/>
      <c r="AZ147" s="278">
        <f t="shared" si="299"/>
        <v>0</v>
      </c>
      <c r="BA147" s="18">
        <v>46134</v>
      </c>
      <c r="BB147" s="22">
        <v>46158</v>
      </c>
      <c r="BC147" s="22"/>
      <c r="BD147" s="22"/>
      <c r="BE147" s="22"/>
      <c r="BF147" s="22"/>
      <c r="BG147" s="18"/>
      <c r="BH147" s="18"/>
      <c r="BI147" s="3"/>
      <c r="BJ147" s="25"/>
      <c r="BK147" s="189"/>
      <c r="BL147" s="497"/>
      <c r="BM147" s="18"/>
      <c r="BN147" s="4"/>
      <c r="BO147" s="18"/>
      <c r="BP147" s="3" t="s">
        <v>754</v>
      </c>
      <c r="BQ147" s="21" t="s">
        <v>265</v>
      </c>
      <c r="BR147" s="2"/>
      <c r="BS147" s="2"/>
      <c r="BT147" s="2"/>
      <c r="BU147" s="2"/>
      <c r="BV147" s="20"/>
      <c r="BW147" s="19"/>
      <c r="BX147" s="189">
        <f t="shared" si="352"/>
        <v>0</v>
      </c>
      <c r="BY147" s="22"/>
      <c r="BZ147" s="22"/>
      <c r="CA147" s="2"/>
      <c r="CB147" s="22"/>
      <c r="CC147" s="22"/>
      <c r="CD147" s="22"/>
      <c r="CE147" s="22" t="str">
        <f t="shared" si="350"/>
        <v>No OBL Yet</v>
      </c>
      <c r="CF147" s="22"/>
      <c r="CG147" s="22"/>
      <c r="CH147" s="182"/>
      <c r="CI147" s="182"/>
      <c r="CJ147" s="182"/>
      <c r="CK147" s="2" t="str">
        <f t="shared" si="346"/>
        <v>No CERTS Yet</v>
      </c>
      <c r="CL147" s="48"/>
      <c r="CM147" s="22"/>
      <c r="CN147" s="55"/>
      <c r="CO147" s="55"/>
      <c r="CP147" s="55" t="str">
        <f>IF(CO147&lt;&gt;0,"Docs in Buyer's Nego Bank",IF(CN147&lt;&gt;0,"Docs in Transit to Buyer's Nego Bank",IF(CM147&lt;&gt;0,"Docs in Our Nego Bank",IF(CL147="TT PAYMENT","Not Applicable",""))))</f>
        <v/>
      </c>
      <c r="CQ147" s="190">
        <f t="shared" si="336"/>
        <v>0</v>
      </c>
      <c r="CR147" s="54"/>
      <c r="CS147" s="2"/>
      <c r="CT147" s="2"/>
      <c r="CU147" s="14" t="str">
        <f t="shared" si="353"/>
        <v/>
      </c>
      <c r="CV147" s="191" t="str">
        <f t="shared" si="354"/>
        <v/>
      </c>
      <c r="CW147" s="14" t="str">
        <f t="shared" si="355"/>
        <v/>
      </c>
      <c r="CX147" s="14" t="str">
        <f t="shared" si="356"/>
        <v/>
      </c>
      <c r="CY147" s="15" t="str">
        <f t="shared" si="357"/>
        <v/>
      </c>
      <c r="CZ147" s="2"/>
      <c r="DA147" s="41" t="str">
        <f t="shared" si="358"/>
        <v/>
      </c>
      <c r="DB147" s="2"/>
      <c r="DC147" s="192" t="str">
        <f t="shared" si="359"/>
        <v/>
      </c>
      <c r="DD147" s="40"/>
      <c r="DE147" s="16" t="str">
        <f t="shared" si="360"/>
        <v/>
      </c>
      <c r="DF147" s="2" t="str">
        <f t="shared" si="361"/>
        <v/>
      </c>
      <c r="DG147" s="14" t="str">
        <f t="shared" si="362"/>
        <v/>
      </c>
      <c r="DH147" s="2" t="str">
        <f t="shared" si="363"/>
        <v/>
      </c>
      <c r="DI147" s="192" t="str">
        <f t="shared" si="364"/>
        <v/>
      </c>
      <c r="DJ147" s="2" t="str">
        <f t="shared" si="365"/>
        <v/>
      </c>
      <c r="DK147" s="15" t="str">
        <f t="shared" si="366"/>
        <v/>
      </c>
      <c r="DL147" s="2"/>
      <c r="DM147" s="2"/>
      <c r="DN147" s="15" t="str">
        <f t="shared" si="367"/>
        <v/>
      </c>
      <c r="DO147" s="14" t="str">
        <f t="shared" si="368"/>
        <v/>
      </c>
      <c r="DP147" s="14" t="str">
        <f t="shared" si="369"/>
        <v/>
      </c>
      <c r="DQ147" s="15" t="str">
        <f t="shared" si="370"/>
        <v/>
      </c>
      <c r="DR147" s="15" t="str">
        <f t="shared" si="371"/>
        <v/>
      </c>
      <c r="DS147" s="2" t="str">
        <f t="shared" si="372"/>
        <v/>
      </c>
      <c r="DT147" s="2" t="str">
        <f t="shared" si="373"/>
        <v/>
      </c>
      <c r="DU147" s="2"/>
      <c r="DV147" s="2"/>
      <c r="DW147" s="2"/>
      <c r="DX147" s="2"/>
      <c r="DY147" s="2" t="s">
        <v>230</v>
      </c>
      <c r="DZ147" s="2"/>
      <c r="EA147" s="2" t="str">
        <f t="shared" si="374"/>
        <v/>
      </c>
      <c r="EB147" s="2"/>
      <c r="EC147" s="2"/>
      <c r="ED147" s="2"/>
      <c r="EE147" s="3"/>
      <c r="EF147" s="7"/>
      <c r="EG147" s="3"/>
      <c r="EH147" s="3" t="s">
        <v>759</v>
      </c>
      <c r="EI147" s="3"/>
      <c r="EJ147" s="189"/>
      <c r="EK147" s="4"/>
      <c r="EL147" s="4"/>
      <c r="EM147" s="9"/>
      <c r="EN147" s="189">
        <f t="shared" si="375"/>
        <v>0</v>
      </c>
      <c r="EO147" s="9"/>
      <c r="EP147" s="8"/>
      <c r="EQ147" s="4"/>
      <c r="ER147" s="4"/>
      <c r="ES147" s="7"/>
      <c r="ET147" s="7"/>
      <c r="EU147" s="6"/>
      <c r="EV147" s="2" t="str">
        <f t="shared" si="347"/>
        <v>Yet to load</v>
      </c>
      <c r="EW147" s="189"/>
      <c r="EX147" s="189" t="e">
        <f t="shared" si="376"/>
        <v>#DIV/0!</v>
      </c>
      <c r="EY147" s="189" t="s">
        <v>233</v>
      </c>
      <c r="EZ147" s="24"/>
      <c r="FA147" s="2"/>
      <c r="FB147" s="24"/>
      <c r="FC147" s="193"/>
      <c r="FD147" s="189">
        <f t="shared" si="377"/>
        <v>0</v>
      </c>
      <c r="FE147" s="52"/>
      <c r="FF147" s="52"/>
      <c r="FG147" s="49"/>
      <c r="FH147" s="49"/>
      <c r="FI147" s="49"/>
      <c r="FJ147" s="49"/>
      <c r="FK147" s="49"/>
      <c r="FL147" s="49"/>
      <c r="FM147" s="49"/>
      <c r="FN147" s="49"/>
      <c r="FO147" s="49"/>
      <c r="FP147" s="34"/>
      <c r="FQ147" s="34"/>
      <c r="FR147" s="3"/>
      <c r="FS147" s="3">
        <f t="shared" si="337"/>
        <v>20010162</v>
      </c>
      <c r="FT147" s="3"/>
      <c r="FU147" s="3"/>
      <c r="FV147" s="3"/>
      <c r="FW147" s="3"/>
      <c r="FX147" s="3"/>
      <c r="FY147" s="4"/>
      <c r="FZ147" s="3"/>
      <c r="GA147" s="182"/>
      <c r="GB147" s="3"/>
      <c r="GC147" s="3"/>
      <c r="GD147" s="3"/>
      <c r="GE147" s="3"/>
      <c r="GF147" s="3"/>
      <c r="GG147" s="3"/>
      <c r="GH147" s="3"/>
      <c r="GI147" s="3"/>
      <c r="GJ147" s="3"/>
      <c r="GK147" s="3"/>
    </row>
    <row r="148" spans="1:196" s="1" customFormat="1" ht="33.950000000000003">
      <c r="A148" s="2" t="str">
        <f t="shared" si="339"/>
        <v>SI Sent, Shipment Awaited</v>
      </c>
      <c r="B148" s="282">
        <v>53</v>
      </c>
      <c r="C148" s="282">
        <v>215</v>
      </c>
      <c r="D148" s="182" t="s">
        <v>208</v>
      </c>
      <c r="E148" s="2" t="str">
        <f t="shared" si="340"/>
        <v>SHORT POSITION</v>
      </c>
      <c r="F148" s="271">
        <f t="shared" si="302"/>
        <v>32016322</v>
      </c>
      <c r="G148" s="271"/>
      <c r="H148" s="2" t="str">
        <f t="shared" si="297"/>
        <v>SRI VIJAYALAXMI CASHEW INDUSTRIES</v>
      </c>
      <c r="I148" s="3" t="s">
        <v>754</v>
      </c>
      <c r="J148" s="2" t="s">
        <v>210</v>
      </c>
      <c r="K148" s="2" t="str">
        <f t="shared" si="341"/>
        <v>MANGALORE, INDIA</v>
      </c>
      <c r="L148" s="2" t="str">
        <f t="shared" si="334"/>
        <v/>
      </c>
      <c r="M148" s="2" t="str">
        <f t="shared" si="333"/>
        <v/>
      </c>
      <c r="N148" s="22" t="str">
        <f t="shared" si="342"/>
        <v/>
      </c>
      <c r="O148" s="22" t="str">
        <f t="shared" si="332"/>
        <v/>
      </c>
      <c r="P148" s="22" t="str">
        <f t="shared" si="343"/>
        <v>No OBL Yet</v>
      </c>
      <c r="Q148" s="2"/>
      <c r="R148" s="2" t="str">
        <f t="shared" si="344"/>
        <v>No CERTS Yet</v>
      </c>
      <c r="S148" s="2" t="str">
        <f t="shared" si="351"/>
        <v/>
      </c>
      <c r="T148" s="2" t="str">
        <f>IFERROR(_xlfn.XLOOKUP(F148,
'[2]Data 2026'!$H$12:$H$111,
'[2]Data 2026'!$CL$12:$CL$111),"")</f>
        <v/>
      </c>
      <c r="U148" s="3"/>
      <c r="V148" s="272"/>
      <c r="W148" s="3"/>
      <c r="X148" s="24">
        <v>46134</v>
      </c>
      <c r="Y148" s="273">
        <v>20010164</v>
      </c>
      <c r="Z148" s="24">
        <v>46134</v>
      </c>
      <c r="AA148" s="182">
        <v>32016322</v>
      </c>
      <c r="AB148" s="182" t="s">
        <v>452</v>
      </c>
      <c r="AC148" s="181" t="s">
        <v>849</v>
      </c>
      <c r="AD148" s="181">
        <v>46234</v>
      </c>
      <c r="AE148" s="30">
        <v>0.1</v>
      </c>
      <c r="AF148" s="277">
        <v>100</v>
      </c>
      <c r="AG148" s="4">
        <f t="shared" si="345"/>
        <v>90</v>
      </c>
      <c r="AH148" s="3" t="s">
        <v>215</v>
      </c>
      <c r="AI148" s="4">
        <v>1785</v>
      </c>
      <c r="AJ148" s="4">
        <f t="shared" si="335"/>
        <v>178500</v>
      </c>
      <c r="AK148" s="3" t="s">
        <v>249</v>
      </c>
      <c r="AL148" s="3" t="s">
        <v>238</v>
      </c>
      <c r="AM148" s="183">
        <v>0</v>
      </c>
      <c r="AN148" s="183">
        <v>1</v>
      </c>
      <c r="AO148" s="183">
        <v>0</v>
      </c>
      <c r="AP148" s="28" t="s">
        <v>218</v>
      </c>
      <c r="AQ148" s="3" t="s">
        <v>239</v>
      </c>
      <c r="AR148" s="18" t="s">
        <v>251</v>
      </c>
      <c r="AS148" s="27"/>
      <c r="AT148" s="3" t="s">
        <v>220</v>
      </c>
      <c r="AU148" s="3" t="s">
        <v>220</v>
      </c>
      <c r="AV148" s="3" t="s">
        <v>220</v>
      </c>
      <c r="AW148" s="9"/>
      <c r="AX148" s="3"/>
      <c r="AY148" s="47"/>
      <c r="AZ148" s="278">
        <f t="shared" si="299"/>
        <v>0</v>
      </c>
      <c r="BA148" s="18">
        <v>46135</v>
      </c>
      <c r="BB148" s="22">
        <v>46158</v>
      </c>
      <c r="BC148" s="22"/>
      <c r="BD148" s="22"/>
      <c r="BE148" s="22"/>
      <c r="BF148" s="22"/>
      <c r="BG148" s="18"/>
      <c r="BH148" s="18"/>
      <c r="BI148" s="3"/>
      <c r="BJ148" s="25"/>
      <c r="BK148" s="189"/>
      <c r="BL148" s="497"/>
      <c r="BM148" s="18"/>
      <c r="BN148" s="4"/>
      <c r="BO148" s="18"/>
      <c r="BP148" s="3" t="s">
        <v>754</v>
      </c>
      <c r="BQ148" s="21" t="s">
        <v>265</v>
      </c>
      <c r="BR148" s="2"/>
      <c r="BS148" s="2"/>
      <c r="BT148" s="2"/>
      <c r="BU148" s="2"/>
      <c r="BV148" s="20"/>
      <c r="BW148" s="19"/>
      <c r="BX148" s="189">
        <f t="shared" si="352"/>
        <v>0</v>
      </c>
      <c r="BY148" s="22"/>
      <c r="BZ148" s="22"/>
      <c r="CA148" s="2"/>
      <c r="CB148" s="22"/>
      <c r="CC148" s="22"/>
      <c r="CD148" s="22"/>
      <c r="CE148" s="22" t="str">
        <f t="shared" si="350"/>
        <v>No OBL Yet</v>
      </c>
      <c r="CF148" s="22"/>
      <c r="CG148" s="22"/>
      <c r="CH148" s="182"/>
      <c r="CI148" s="182"/>
      <c r="CJ148" s="182"/>
      <c r="CK148" s="2" t="str">
        <f t="shared" si="346"/>
        <v>No CERTS Yet</v>
      </c>
      <c r="CL148" s="48"/>
      <c r="CM148" s="22"/>
      <c r="CN148" s="55"/>
      <c r="CO148" s="55"/>
      <c r="CP148" s="55" t="str">
        <f>IF(CO148&lt;&gt;0,"Docs in Buyer's Nego Bank",IF(CN148&lt;&gt;0,"Docs in Transit to Buyer's Nego Bank",IF(CM148&lt;&gt;0,"Docs in Our Nego Bank",IF(CL148="TT PAYMENT","Not Applicable",""))))</f>
        <v/>
      </c>
      <c r="CQ148" s="190">
        <f t="shared" si="336"/>
        <v>0</v>
      </c>
      <c r="CR148" s="54"/>
      <c r="CS148" s="2"/>
      <c r="CT148" s="2"/>
      <c r="CU148" s="14" t="str">
        <f t="shared" si="353"/>
        <v/>
      </c>
      <c r="CV148" s="191" t="str">
        <f t="shared" si="354"/>
        <v/>
      </c>
      <c r="CW148" s="14" t="str">
        <f t="shared" si="355"/>
        <v/>
      </c>
      <c r="CX148" s="14" t="str">
        <f t="shared" si="356"/>
        <v/>
      </c>
      <c r="CY148" s="15" t="str">
        <f t="shared" si="357"/>
        <v/>
      </c>
      <c r="CZ148" s="2"/>
      <c r="DA148" s="41" t="str">
        <f t="shared" si="358"/>
        <v/>
      </c>
      <c r="DB148" s="2"/>
      <c r="DC148" s="192" t="str">
        <f t="shared" si="359"/>
        <v/>
      </c>
      <c r="DD148" s="40"/>
      <c r="DE148" s="16" t="str">
        <f t="shared" si="360"/>
        <v/>
      </c>
      <c r="DF148" s="2" t="str">
        <f t="shared" si="361"/>
        <v/>
      </c>
      <c r="DG148" s="14" t="str">
        <f t="shared" si="362"/>
        <v/>
      </c>
      <c r="DH148" s="2" t="str">
        <f t="shared" si="363"/>
        <v/>
      </c>
      <c r="DI148" s="192" t="str">
        <f t="shared" si="364"/>
        <v/>
      </c>
      <c r="DJ148" s="2" t="str">
        <f t="shared" si="365"/>
        <v/>
      </c>
      <c r="DK148" s="15" t="str">
        <f t="shared" si="366"/>
        <v/>
      </c>
      <c r="DL148" s="2"/>
      <c r="DM148" s="2"/>
      <c r="DN148" s="15" t="str">
        <f t="shared" si="367"/>
        <v/>
      </c>
      <c r="DO148" s="14" t="str">
        <f t="shared" si="368"/>
        <v/>
      </c>
      <c r="DP148" s="14" t="str">
        <f t="shared" si="369"/>
        <v/>
      </c>
      <c r="DQ148" s="15" t="str">
        <f t="shared" si="370"/>
        <v/>
      </c>
      <c r="DR148" s="15" t="str">
        <f t="shared" si="371"/>
        <v/>
      </c>
      <c r="DS148" s="2" t="str">
        <f t="shared" si="372"/>
        <v/>
      </c>
      <c r="DT148" s="2" t="str">
        <f t="shared" si="373"/>
        <v/>
      </c>
      <c r="DU148" s="2"/>
      <c r="DV148" s="2"/>
      <c r="DW148" s="2"/>
      <c r="DX148" s="2"/>
      <c r="DY148" s="2" t="s">
        <v>230</v>
      </c>
      <c r="DZ148" s="2"/>
      <c r="EA148" s="2" t="str">
        <f t="shared" si="374"/>
        <v/>
      </c>
      <c r="EB148" s="2"/>
      <c r="EC148" s="2"/>
      <c r="ED148" s="2"/>
      <c r="EE148" s="3"/>
      <c r="EF148" s="7"/>
      <c r="EG148" s="3"/>
      <c r="EH148" s="3" t="s">
        <v>759</v>
      </c>
      <c r="EI148" s="3"/>
      <c r="EJ148" s="189"/>
      <c r="EK148" s="4"/>
      <c r="EL148" s="4"/>
      <c r="EM148" s="9"/>
      <c r="EN148" s="189">
        <f t="shared" si="375"/>
        <v>0</v>
      </c>
      <c r="EO148" s="9"/>
      <c r="EP148" s="8"/>
      <c r="EQ148" s="4"/>
      <c r="ER148" s="4"/>
      <c r="ES148" s="7"/>
      <c r="ET148" s="7"/>
      <c r="EU148" s="6"/>
      <c r="EV148" s="2" t="str">
        <f t="shared" si="347"/>
        <v>Yet to load</v>
      </c>
      <c r="EW148" s="189"/>
      <c r="EX148" s="189" t="e">
        <f t="shared" si="376"/>
        <v>#DIV/0!</v>
      </c>
      <c r="EY148" s="189" t="s">
        <v>233</v>
      </c>
      <c r="EZ148" s="24"/>
      <c r="FA148" s="2"/>
      <c r="FB148" s="24"/>
      <c r="FC148" s="193"/>
      <c r="FD148" s="189">
        <f t="shared" si="377"/>
        <v>0</v>
      </c>
      <c r="FE148" s="52"/>
      <c r="FF148" s="52"/>
      <c r="FG148" s="49"/>
      <c r="FH148" s="49"/>
      <c r="FI148" s="49"/>
      <c r="FJ148" s="49"/>
      <c r="FK148" s="49"/>
      <c r="FL148" s="49">
        <f t="shared" ref="FL148:FL153" si="378">IFERROR(EZ148-BY148,"")</f>
        <v>0</v>
      </c>
      <c r="FM148" s="180">
        <f t="shared" ref="FM148:FM153" si="379">IFERROR(BM148-FB148,"")</f>
        <v>0</v>
      </c>
      <c r="FN148" s="49"/>
      <c r="FO148" s="49"/>
      <c r="FP148" s="49"/>
      <c r="FQ148" s="49"/>
      <c r="FR148" s="49"/>
      <c r="FS148" s="34">
        <f t="shared" si="337"/>
        <v>20010164</v>
      </c>
      <c r="FT148" s="34">
        <f t="shared" ref="FT148:FT165" si="380">AA148</f>
        <v>32016322</v>
      </c>
      <c r="FU148" s="3"/>
      <c r="FV148" s="3"/>
      <c r="FW148" s="3"/>
      <c r="FX148" s="3"/>
      <c r="FY148" s="3"/>
      <c r="FZ148" s="3"/>
      <c r="GA148" s="3"/>
      <c r="GB148" s="4"/>
      <c r="GC148" s="3"/>
      <c r="GD148" s="182"/>
      <c r="GE148" s="3"/>
      <c r="GF148" s="3"/>
      <c r="GG148" s="3"/>
      <c r="GH148" s="3"/>
      <c r="GI148" s="3"/>
      <c r="GJ148" s="3"/>
      <c r="GK148" s="3"/>
      <c r="GL148" s="3"/>
      <c r="GM148" s="3"/>
      <c r="GN148" s="3"/>
    </row>
    <row r="149" spans="1:196" s="1" customFormat="1" ht="33.950000000000003">
      <c r="A149" s="2" t="str">
        <f t="shared" si="339"/>
        <v>SI Sent, Shipment Awaited</v>
      </c>
      <c r="B149" s="282">
        <v>53</v>
      </c>
      <c r="C149" s="282">
        <v>220</v>
      </c>
      <c r="D149" s="182" t="s">
        <v>208</v>
      </c>
      <c r="E149" s="2" t="str">
        <f t="shared" si="340"/>
        <v>SHORT POSITION</v>
      </c>
      <c r="F149" s="271">
        <f t="shared" si="302"/>
        <v>32016328</v>
      </c>
      <c r="G149" s="271"/>
      <c r="H149" s="2" t="str">
        <f t="shared" ref="H149:H180" si="381">AB149</f>
        <v>ST. GREGORIOUS CASHEW</v>
      </c>
      <c r="I149" s="3" t="s">
        <v>754</v>
      </c>
      <c r="J149" s="2" t="s">
        <v>210</v>
      </c>
      <c r="K149" s="2" t="str">
        <f t="shared" si="341"/>
        <v>TUTICORIN, INDIA</v>
      </c>
      <c r="L149" s="2" t="str">
        <f t="shared" si="334"/>
        <v/>
      </c>
      <c r="M149" s="2" t="str">
        <f t="shared" si="333"/>
        <v/>
      </c>
      <c r="N149" s="22" t="str">
        <f t="shared" si="342"/>
        <v/>
      </c>
      <c r="O149" s="22" t="str">
        <f t="shared" si="332"/>
        <v/>
      </c>
      <c r="P149" s="22" t="str">
        <f t="shared" si="343"/>
        <v>No OBL Yet</v>
      </c>
      <c r="Q149" s="2"/>
      <c r="R149" s="2" t="str">
        <f t="shared" si="344"/>
        <v>No CERTS Yet</v>
      </c>
      <c r="S149" s="2" t="str">
        <f t="shared" si="351"/>
        <v/>
      </c>
      <c r="T149" s="2" t="str">
        <f>IFERROR(_xlfn.XLOOKUP(F149,
'[2]Data 2026'!$H$12:$H$111,
'[2]Data 2026'!$CL$12:$CL$111),"")</f>
        <v/>
      </c>
      <c r="U149" s="3"/>
      <c r="V149" s="272"/>
      <c r="W149" s="3"/>
      <c r="X149" s="24">
        <v>46134</v>
      </c>
      <c r="Y149" s="273">
        <v>20010168</v>
      </c>
      <c r="Z149" s="24">
        <v>46135</v>
      </c>
      <c r="AA149" s="182">
        <v>32016328</v>
      </c>
      <c r="AB149" s="182" t="s">
        <v>455</v>
      </c>
      <c r="AC149" s="181" t="s">
        <v>849</v>
      </c>
      <c r="AD149" s="181">
        <v>46234</v>
      </c>
      <c r="AE149" s="30">
        <v>0.1</v>
      </c>
      <c r="AF149" s="277">
        <v>300</v>
      </c>
      <c r="AG149" s="4">
        <f t="shared" si="345"/>
        <v>270</v>
      </c>
      <c r="AH149" s="3" t="s">
        <v>215</v>
      </c>
      <c r="AI149" s="4">
        <v>1785</v>
      </c>
      <c r="AJ149" s="4">
        <f t="shared" si="335"/>
        <v>535500</v>
      </c>
      <c r="AK149" s="3" t="s">
        <v>249</v>
      </c>
      <c r="AL149" s="3" t="s">
        <v>238</v>
      </c>
      <c r="AM149" s="183">
        <v>0</v>
      </c>
      <c r="AN149" s="183">
        <v>1</v>
      </c>
      <c r="AO149" s="183">
        <v>0</v>
      </c>
      <c r="AP149" s="28" t="s">
        <v>218</v>
      </c>
      <c r="AQ149" s="3" t="s">
        <v>239</v>
      </c>
      <c r="AR149" s="18" t="s">
        <v>251</v>
      </c>
      <c r="AS149" s="27"/>
      <c r="AT149" s="3" t="s">
        <v>220</v>
      </c>
      <c r="AU149" s="3" t="s">
        <v>220</v>
      </c>
      <c r="AV149" s="3" t="s">
        <v>220</v>
      </c>
      <c r="AW149" s="9"/>
      <c r="AX149" s="3"/>
      <c r="AY149" s="24">
        <v>46135</v>
      </c>
      <c r="AZ149" s="278">
        <f t="shared" ref="AZ149:AZ173" si="382">AF149*AI149*AM149</f>
        <v>0</v>
      </c>
      <c r="BA149" s="24">
        <v>46135</v>
      </c>
      <c r="BB149" s="22">
        <v>46158</v>
      </c>
      <c r="BC149" s="22"/>
      <c r="BD149" s="22"/>
      <c r="BE149" s="22"/>
      <c r="BF149" s="22"/>
      <c r="BG149" s="18"/>
      <c r="BH149" s="18"/>
      <c r="BI149" s="18"/>
      <c r="BJ149" s="25"/>
      <c r="BK149" s="189"/>
      <c r="BL149" s="497"/>
      <c r="BM149" s="18"/>
      <c r="BN149" s="4"/>
      <c r="BO149" s="18"/>
      <c r="BP149" s="3" t="s">
        <v>754</v>
      </c>
      <c r="BQ149" s="21" t="s">
        <v>346</v>
      </c>
      <c r="BR149" s="2"/>
      <c r="BS149" s="2"/>
      <c r="BT149" s="2"/>
      <c r="BU149" s="2"/>
      <c r="BV149" s="20"/>
      <c r="BW149" s="19"/>
      <c r="BX149" s="189">
        <f t="shared" si="352"/>
        <v>0</v>
      </c>
      <c r="BY149" s="22"/>
      <c r="BZ149" s="22"/>
      <c r="CA149" s="22"/>
      <c r="CB149" s="22"/>
      <c r="CC149" s="22"/>
      <c r="CD149" s="22"/>
      <c r="CE149" s="22" t="str">
        <f t="shared" si="350"/>
        <v>No OBL Yet</v>
      </c>
      <c r="CF149" s="22"/>
      <c r="CG149" s="22"/>
      <c r="CH149" s="182"/>
      <c r="CI149" s="182"/>
      <c r="CJ149" s="182"/>
      <c r="CK149" s="2" t="str">
        <f t="shared" si="346"/>
        <v>No CERTS Yet</v>
      </c>
      <c r="CL149" s="48"/>
      <c r="CM149" s="22"/>
      <c r="CN149" s="55"/>
      <c r="CO149" s="55"/>
      <c r="CP149" s="55" t="str">
        <f t="shared" ref="CP149:CP157" si="383">IF(CO149&lt;&gt;0,"Docs in Buyer's Bank",IF(CN149&lt;&gt;0,"Docs in Transit to Buyer's Bank",IF(CM149&lt;&gt;0,"Docs in Our Bank",IF(CL149="TT PAYMENT","Not Applicable",""))))</f>
        <v/>
      </c>
      <c r="CQ149" s="190">
        <f t="shared" si="336"/>
        <v>0</v>
      </c>
      <c r="CR149" s="54"/>
      <c r="CS149" s="2"/>
      <c r="CT149" s="2"/>
      <c r="CU149" s="14" t="str">
        <f t="shared" si="353"/>
        <v/>
      </c>
      <c r="CV149" s="191" t="str">
        <f t="shared" si="354"/>
        <v/>
      </c>
      <c r="CW149" s="14" t="str">
        <f t="shared" si="355"/>
        <v/>
      </c>
      <c r="CX149" s="14" t="str">
        <f t="shared" si="356"/>
        <v/>
      </c>
      <c r="CY149" s="15" t="str">
        <f t="shared" si="357"/>
        <v/>
      </c>
      <c r="CZ149" s="2"/>
      <c r="DA149" s="41" t="str">
        <f t="shared" si="358"/>
        <v/>
      </c>
      <c r="DB149" s="2"/>
      <c r="DC149" s="192" t="str">
        <f t="shared" si="359"/>
        <v/>
      </c>
      <c r="DD149" s="40"/>
      <c r="DE149" s="16" t="str">
        <f t="shared" si="360"/>
        <v/>
      </c>
      <c r="DF149" s="2" t="str">
        <f t="shared" si="361"/>
        <v/>
      </c>
      <c r="DG149" s="14" t="str">
        <f t="shared" si="362"/>
        <v/>
      </c>
      <c r="DH149" s="2" t="str">
        <f t="shared" si="363"/>
        <v/>
      </c>
      <c r="DI149" s="192" t="str">
        <f t="shared" si="364"/>
        <v/>
      </c>
      <c r="DJ149" s="2" t="str">
        <f t="shared" si="365"/>
        <v/>
      </c>
      <c r="DK149" s="15" t="str">
        <f t="shared" si="366"/>
        <v/>
      </c>
      <c r="DL149" s="2"/>
      <c r="DM149" s="2"/>
      <c r="DN149" s="15" t="str">
        <f t="shared" si="367"/>
        <v/>
      </c>
      <c r="DO149" s="14" t="str">
        <f t="shared" si="368"/>
        <v/>
      </c>
      <c r="DP149" s="14" t="str">
        <f t="shared" si="369"/>
        <v/>
      </c>
      <c r="DQ149" s="15" t="str">
        <f t="shared" si="370"/>
        <v/>
      </c>
      <c r="DR149" s="15" t="str">
        <f t="shared" si="371"/>
        <v/>
      </c>
      <c r="DS149" s="2" t="str">
        <f t="shared" si="372"/>
        <v/>
      </c>
      <c r="DT149" s="2" t="str">
        <f t="shared" si="373"/>
        <v/>
      </c>
      <c r="DU149" s="2"/>
      <c r="DV149" s="2"/>
      <c r="DW149" s="2"/>
      <c r="DX149" s="2"/>
      <c r="DY149" s="2" t="s">
        <v>230</v>
      </c>
      <c r="DZ149" s="2"/>
      <c r="EA149" s="2" t="str">
        <f t="shared" si="374"/>
        <v/>
      </c>
      <c r="EB149" s="2"/>
      <c r="EC149" s="2"/>
      <c r="ED149" s="2"/>
      <c r="EE149" s="3"/>
      <c r="EF149" s="7"/>
      <c r="EG149" s="3"/>
      <c r="EH149" s="3" t="s">
        <v>759</v>
      </c>
      <c r="EI149" s="3"/>
      <c r="EJ149" s="189"/>
      <c r="EK149" s="4"/>
      <c r="EL149" s="9"/>
      <c r="EM149" s="9"/>
      <c r="EN149" s="189">
        <f t="shared" si="375"/>
        <v>0</v>
      </c>
      <c r="EO149" s="9"/>
      <c r="EP149" s="8"/>
      <c r="EQ149" s="4"/>
      <c r="ER149" s="4"/>
      <c r="ES149" s="7"/>
      <c r="ET149" s="7"/>
      <c r="EU149" s="6"/>
      <c r="EV149" s="2" t="str">
        <f t="shared" si="347"/>
        <v>Yet to load</v>
      </c>
      <c r="EW149" s="189"/>
      <c r="EX149" s="189" t="e">
        <f t="shared" si="376"/>
        <v>#DIV/0!</v>
      </c>
      <c r="EY149" s="189" t="s">
        <v>233</v>
      </c>
      <c r="EZ149" s="24"/>
      <c r="FA149" s="2"/>
      <c r="FB149" s="24"/>
      <c r="FC149" s="193"/>
      <c r="FD149" s="189">
        <f t="shared" si="377"/>
        <v>0</v>
      </c>
      <c r="FE149" s="52"/>
      <c r="FF149" s="52"/>
      <c r="FG149" s="49"/>
      <c r="FH149" s="49"/>
      <c r="FI149" s="49"/>
      <c r="FJ149" s="49"/>
      <c r="FK149" s="49"/>
      <c r="FL149" s="49">
        <f t="shared" si="378"/>
        <v>0</v>
      </c>
      <c r="FM149" s="180">
        <f t="shared" si="379"/>
        <v>0</v>
      </c>
      <c r="FN149" s="49"/>
      <c r="FO149" s="49"/>
      <c r="FP149" s="49"/>
      <c r="FQ149" s="49"/>
      <c r="FR149" s="49"/>
      <c r="FS149" s="34">
        <f t="shared" si="337"/>
        <v>20010168</v>
      </c>
      <c r="FT149" s="34">
        <f t="shared" si="380"/>
        <v>32016328</v>
      </c>
      <c r="FU149" s="3"/>
      <c r="FV149" s="3"/>
      <c r="FW149" s="3"/>
      <c r="FX149" s="3"/>
      <c r="FY149" s="3"/>
      <c r="FZ149" s="3"/>
      <c r="GA149" s="3"/>
      <c r="GB149" s="4"/>
      <c r="GC149" s="3"/>
      <c r="GD149" s="182"/>
      <c r="GE149" s="3"/>
      <c r="GF149" s="3"/>
      <c r="GG149" s="3"/>
      <c r="GH149" s="3"/>
      <c r="GI149" s="3"/>
      <c r="GJ149" s="3"/>
      <c r="GK149" s="3"/>
      <c r="GL149" s="3"/>
      <c r="GM149" s="3"/>
      <c r="GN149" s="3"/>
    </row>
    <row r="150" spans="1:196" s="1" customFormat="1" ht="33.950000000000003">
      <c r="A150" s="2" t="str">
        <f t="shared" si="339"/>
        <v>SI Sent, Shipment Awaited</v>
      </c>
      <c r="B150" s="282">
        <v>53</v>
      </c>
      <c r="C150" s="282">
        <v>220</v>
      </c>
      <c r="D150" s="182" t="s">
        <v>208</v>
      </c>
      <c r="E150" s="2" t="str">
        <f t="shared" si="340"/>
        <v>SHORT POSITION</v>
      </c>
      <c r="F150" s="271">
        <f t="shared" ref="F150:F181" si="384">AA150</f>
        <v>32016333</v>
      </c>
      <c r="G150" s="271"/>
      <c r="H150" s="2" t="str">
        <f t="shared" si="381"/>
        <v>ST.MARY CASHEW FACTORY</v>
      </c>
      <c r="I150" s="3" t="s">
        <v>754</v>
      </c>
      <c r="J150" s="2" t="s">
        <v>210</v>
      </c>
      <c r="K150" s="2" t="str">
        <f t="shared" si="341"/>
        <v>TUTICORIN, INDIA</v>
      </c>
      <c r="L150" s="2" t="str">
        <f t="shared" si="334"/>
        <v/>
      </c>
      <c r="M150" s="2" t="str">
        <f t="shared" si="333"/>
        <v/>
      </c>
      <c r="N150" s="22" t="str">
        <f t="shared" si="342"/>
        <v/>
      </c>
      <c r="O150" s="22" t="str">
        <f t="shared" si="332"/>
        <v/>
      </c>
      <c r="P150" s="22" t="str">
        <f t="shared" si="343"/>
        <v>No OBL Yet</v>
      </c>
      <c r="Q150" s="2"/>
      <c r="R150" s="2" t="str">
        <f t="shared" si="344"/>
        <v>No CERTS Yet</v>
      </c>
      <c r="S150" s="2" t="str">
        <f t="shared" si="351"/>
        <v/>
      </c>
      <c r="T150" s="2" t="str">
        <f>IFERROR(_xlfn.XLOOKUP(F150,
'[2]Data 2026'!$H$12:$H$111,
'[2]Data 2026'!$CL$12:$CL$111),"")</f>
        <v/>
      </c>
      <c r="U150" s="3"/>
      <c r="V150" s="272"/>
      <c r="W150" s="3"/>
      <c r="X150" s="24">
        <v>46134</v>
      </c>
      <c r="Y150" s="273">
        <v>20010173</v>
      </c>
      <c r="Z150" s="24">
        <v>46136</v>
      </c>
      <c r="AA150" s="182">
        <v>32016333</v>
      </c>
      <c r="AB150" s="182" t="s">
        <v>851</v>
      </c>
      <c r="AC150" s="181" t="s">
        <v>849</v>
      </c>
      <c r="AD150" s="181">
        <v>46234</v>
      </c>
      <c r="AE150" s="30">
        <v>0.1</v>
      </c>
      <c r="AF150" s="277">
        <v>200</v>
      </c>
      <c r="AG150" s="4">
        <f t="shared" si="345"/>
        <v>180</v>
      </c>
      <c r="AH150" s="3" t="s">
        <v>215</v>
      </c>
      <c r="AI150" s="4">
        <v>1785</v>
      </c>
      <c r="AJ150" s="4">
        <f t="shared" si="335"/>
        <v>357000</v>
      </c>
      <c r="AK150" s="3" t="s">
        <v>249</v>
      </c>
      <c r="AL150" s="3" t="s">
        <v>238</v>
      </c>
      <c r="AM150" s="183">
        <v>0</v>
      </c>
      <c r="AN150" s="183">
        <v>1</v>
      </c>
      <c r="AO150" s="183">
        <v>0</v>
      </c>
      <c r="AP150" s="28" t="s">
        <v>218</v>
      </c>
      <c r="AQ150" s="3" t="s">
        <v>239</v>
      </c>
      <c r="AR150" s="18" t="s">
        <v>251</v>
      </c>
      <c r="AS150" s="27"/>
      <c r="AT150" s="3" t="s">
        <v>220</v>
      </c>
      <c r="AU150" s="3" t="s">
        <v>220</v>
      </c>
      <c r="AV150" s="3" t="s">
        <v>220</v>
      </c>
      <c r="AW150" s="9"/>
      <c r="AX150" s="3"/>
      <c r="AY150" s="47">
        <v>46136</v>
      </c>
      <c r="AZ150" s="278">
        <f t="shared" si="382"/>
        <v>0</v>
      </c>
      <c r="BA150" s="47">
        <v>46136</v>
      </c>
      <c r="BB150" s="22">
        <v>46158</v>
      </c>
      <c r="BC150" s="22"/>
      <c r="BD150" s="22"/>
      <c r="BE150" s="22"/>
      <c r="BF150" s="22"/>
      <c r="BG150" s="18"/>
      <c r="BH150" s="18"/>
      <c r="BI150" s="18"/>
      <c r="BJ150" s="25"/>
      <c r="BK150" s="189"/>
      <c r="BL150" s="497"/>
      <c r="BM150" s="18"/>
      <c r="BN150" s="4"/>
      <c r="BO150" s="18"/>
      <c r="BP150" s="3" t="s">
        <v>754</v>
      </c>
      <c r="BQ150" s="21" t="s">
        <v>346</v>
      </c>
      <c r="BR150" s="2"/>
      <c r="BS150" s="2"/>
      <c r="BT150" s="2"/>
      <c r="BU150" s="2"/>
      <c r="BV150" s="20"/>
      <c r="BW150" s="19"/>
      <c r="BX150" s="189">
        <f t="shared" si="352"/>
        <v>0</v>
      </c>
      <c r="BY150" s="22"/>
      <c r="BZ150" s="22"/>
      <c r="CA150" s="22"/>
      <c r="CB150" s="22"/>
      <c r="CC150" s="22"/>
      <c r="CD150" s="22"/>
      <c r="CE150" s="22" t="str">
        <f t="shared" si="350"/>
        <v>No OBL Yet</v>
      </c>
      <c r="CF150" s="22"/>
      <c r="CG150" s="22"/>
      <c r="CH150" s="182"/>
      <c r="CI150" s="182"/>
      <c r="CJ150" s="182"/>
      <c r="CK150" s="2" t="str">
        <f t="shared" si="346"/>
        <v>No CERTS Yet</v>
      </c>
      <c r="CL150" s="48"/>
      <c r="CM150" s="22"/>
      <c r="CN150" s="55"/>
      <c r="CO150" s="55"/>
      <c r="CP150" s="55" t="str">
        <f t="shared" si="383"/>
        <v/>
      </c>
      <c r="CQ150" s="190">
        <f t="shared" si="336"/>
        <v>0</v>
      </c>
      <c r="CR150" s="54"/>
      <c r="CS150" s="2"/>
      <c r="CT150" s="2"/>
      <c r="CU150" s="14" t="str">
        <f t="shared" si="353"/>
        <v/>
      </c>
      <c r="CV150" s="191" t="str">
        <f t="shared" si="354"/>
        <v/>
      </c>
      <c r="CW150" s="14" t="str">
        <f t="shared" si="355"/>
        <v/>
      </c>
      <c r="CX150" s="14" t="str">
        <f t="shared" si="356"/>
        <v/>
      </c>
      <c r="CY150" s="15" t="str">
        <f t="shared" si="357"/>
        <v/>
      </c>
      <c r="CZ150" s="2"/>
      <c r="DA150" s="41" t="str">
        <f t="shared" si="358"/>
        <v/>
      </c>
      <c r="DB150" s="2"/>
      <c r="DC150" s="192" t="str">
        <f t="shared" si="359"/>
        <v/>
      </c>
      <c r="DD150" s="40"/>
      <c r="DE150" s="16" t="str">
        <f t="shared" si="360"/>
        <v/>
      </c>
      <c r="DF150" s="2" t="str">
        <f t="shared" si="361"/>
        <v/>
      </c>
      <c r="DG150" s="14" t="str">
        <f t="shared" si="362"/>
        <v/>
      </c>
      <c r="DH150" s="2" t="str">
        <f t="shared" si="363"/>
        <v/>
      </c>
      <c r="DI150" s="192" t="str">
        <f t="shared" si="364"/>
        <v/>
      </c>
      <c r="DJ150" s="2" t="str">
        <f t="shared" si="365"/>
        <v/>
      </c>
      <c r="DK150" s="15" t="str">
        <f t="shared" si="366"/>
        <v/>
      </c>
      <c r="DL150" s="2"/>
      <c r="DM150" s="2"/>
      <c r="DN150" s="15" t="str">
        <f t="shared" si="367"/>
        <v/>
      </c>
      <c r="DO150" s="14" t="str">
        <f t="shared" si="368"/>
        <v/>
      </c>
      <c r="DP150" s="14" t="str">
        <f t="shared" si="369"/>
        <v/>
      </c>
      <c r="DQ150" s="15" t="str">
        <f t="shared" si="370"/>
        <v/>
      </c>
      <c r="DR150" s="15" t="str">
        <f t="shared" si="371"/>
        <v/>
      </c>
      <c r="DS150" s="2" t="str">
        <f t="shared" si="372"/>
        <v/>
      </c>
      <c r="DT150" s="2" t="str">
        <f t="shared" si="373"/>
        <v/>
      </c>
      <c r="DU150" s="2"/>
      <c r="DV150" s="2"/>
      <c r="DW150" s="2"/>
      <c r="DX150" s="2"/>
      <c r="DY150" s="2" t="s">
        <v>230</v>
      </c>
      <c r="DZ150" s="2"/>
      <c r="EA150" s="2" t="str">
        <f t="shared" si="374"/>
        <v/>
      </c>
      <c r="EB150" s="2"/>
      <c r="EC150" s="2"/>
      <c r="ED150" s="2"/>
      <c r="EE150" s="3"/>
      <c r="EF150" s="7"/>
      <c r="EG150" s="3"/>
      <c r="EH150" s="3" t="s">
        <v>759</v>
      </c>
      <c r="EI150" s="3"/>
      <c r="EJ150" s="189"/>
      <c r="EK150" s="4"/>
      <c r="EL150" s="9"/>
      <c r="EM150" s="9"/>
      <c r="EN150" s="189">
        <f t="shared" si="375"/>
        <v>0</v>
      </c>
      <c r="EO150" s="9"/>
      <c r="EP150" s="8"/>
      <c r="EQ150" s="4"/>
      <c r="ER150" s="4"/>
      <c r="ES150" s="7"/>
      <c r="ET150" s="7"/>
      <c r="EU150" s="6"/>
      <c r="EV150" s="2" t="str">
        <f t="shared" si="347"/>
        <v>Yet to load</v>
      </c>
      <c r="EW150" s="189"/>
      <c r="EX150" s="189" t="e">
        <f t="shared" si="376"/>
        <v>#DIV/0!</v>
      </c>
      <c r="EY150" s="189" t="s">
        <v>233</v>
      </c>
      <c r="EZ150" s="24"/>
      <c r="FA150" s="2"/>
      <c r="FB150" s="24"/>
      <c r="FC150" s="193"/>
      <c r="FD150" s="189">
        <f t="shared" si="377"/>
        <v>0</v>
      </c>
      <c r="FE150" s="52"/>
      <c r="FF150" s="52"/>
      <c r="FG150" s="49"/>
      <c r="FH150" s="49"/>
      <c r="FI150" s="49"/>
      <c r="FJ150" s="49"/>
      <c r="FK150" s="49"/>
      <c r="FL150" s="49">
        <f t="shared" si="378"/>
        <v>0</v>
      </c>
      <c r="FM150" s="180">
        <f t="shared" si="379"/>
        <v>0</v>
      </c>
      <c r="FN150" s="49"/>
      <c r="FO150" s="49"/>
      <c r="FP150" s="49"/>
      <c r="FQ150" s="49"/>
      <c r="FR150" s="49"/>
      <c r="FS150" s="34">
        <f t="shared" si="337"/>
        <v>20010173</v>
      </c>
      <c r="FT150" s="34">
        <f t="shared" si="380"/>
        <v>32016333</v>
      </c>
      <c r="FU150" s="3"/>
      <c r="FV150" s="3"/>
      <c r="FW150" s="3"/>
      <c r="FX150" s="3"/>
      <c r="FY150" s="3"/>
      <c r="FZ150" s="3"/>
      <c r="GA150" s="3"/>
      <c r="GB150" s="4"/>
      <c r="GC150" s="3"/>
      <c r="GD150" s="182"/>
      <c r="GE150" s="3"/>
      <c r="GF150" s="3"/>
      <c r="GG150" s="3"/>
      <c r="GH150" s="3"/>
      <c r="GI150" s="3"/>
      <c r="GJ150" s="3"/>
      <c r="GK150" s="3"/>
      <c r="GL150" s="3"/>
      <c r="GM150" s="3"/>
      <c r="GN150" s="3"/>
    </row>
    <row r="151" spans="1:196" s="1" customFormat="1" ht="33.950000000000003">
      <c r="A151" s="2" t="str">
        <f t="shared" si="339"/>
        <v>SI Sent, Shipment Awaited</v>
      </c>
      <c r="B151" s="282">
        <v>53</v>
      </c>
      <c r="C151" s="282">
        <v>220</v>
      </c>
      <c r="D151" s="182" t="s">
        <v>208</v>
      </c>
      <c r="E151" s="2" t="str">
        <f t="shared" si="340"/>
        <v>SHORT POSITION</v>
      </c>
      <c r="F151" s="271">
        <f t="shared" si="384"/>
        <v>32016338</v>
      </c>
      <c r="G151" s="271"/>
      <c r="H151" s="2" t="str">
        <f t="shared" si="381"/>
        <v>ST. GREGORIOUS CASHEW</v>
      </c>
      <c r="I151" s="3" t="s">
        <v>754</v>
      </c>
      <c r="J151" s="2" t="s">
        <v>210</v>
      </c>
      <c r="K151" s="2" t="str">
        <f t="shared" si="341"/>
        <v>TUTICORIN, INDIA</v>
      </c>
      <c r="L151" s="2" t="str">
        <f t="shared" si="334"/>
        <v/>
      </c>
      <c r="M151" s="2" t="str">
        <f t="shared" si="333"/>
        <v/>
      </c>
      <c r="N151" s="22" t="str">
        <f t="shared" si="342"/>
        <v/>
      </c>
      <c r="O151" s="22" t="str">
        <f t="shared" si="332"/>
        <v/>
      </c>
      <c r="P151" s="22" t="str">
        <f t="shared" si="343"/>
        <v>No OBL Yet</v>
      </c>
      <c r="Q151" s="2"/>
      <c r="R151" s="2" t="str">
        <f t="shared" si="344"/>
        <v>No CERTS Yet</v>
      </c>
      <c r="S151" s="2" t="str">
        <f t="shared" si="351"/>
        <v/>
      </c>
      <c r="T151" s="2" t="str">
        <f>IFERROR(_xlfn.XLOOKUP(F151,
'[2]Data 2026'!$H$12:$H$111,
'[2]Data 2026'!$CL$12:$CL$111),"")</f>
        <v/>
      </c>
      <c r="U151" s="3" t="s">
        <v>852</v>
      </c>
      <c r="V151" s="272"/>
      <c r="W151" s="3"/>
      <c r="X151" s="24">
        <v>46140</v>
      </c>
      <c r="Y151" s="273">
        <v>20010193</v>
      </c>
      <c r="Z151" s="24">
        <v>46140</v>
      </c>
      <c r="AA151" s="182">
        <v>32016338</v>
      </c>
      <c r="AB151" s="182" t="s">
        <v>455</v>
      </c>
      <c r="AC151" s="181" t="s">
        <v>849</v>
      </c>
      <c r="AD151" s="181">
        <v>46234</v>
      </c>
      <c r="AE151" s="30">
        <v>0.1</v>
      </c>
      <c r="AF151" s="277">
        <v>300</v>
      </c>
      <c r="AG151" s="4">
        <f t="shared" si="345"/>
        <v>270</v>
      </c>
      <c r="AH151" s="3" t="s">
        <v>215</v>
      </c>
      <c r="AI151" s="4">
        <v>1785</v>
      </c>
      <c r="AJ151" s="4">
        <f t="shared" si="335"/>
        <v>535500</v>
      </c>
      <c r="AK151" s="3" t="s">
        <v>249</v>
      </c>
      <c r="AL151" s="3" t="s">
        <v>238</v>
      </c>
      <c r="AM151" s="183">
        <v>0</v>
      </c>
      <c r="AN151" s="183">
        <v>1</v>
      </c>
      <c r="AO151" s="183">
        <v>0</v>
      </c>
      <c r="AP151" s="28" t="s">
        <v>218</v>
      </c>
      <c r="AQ151" s="3" t="s">
        <v>239</v>
      </c>
      <c r="AR151" s="18" t="s">
        <v>251</v>
      </c>
      <c r="AS151" s="27"/>
      <c r="AT151" s="3" t="s">
        <v>220</v>
      </c>
      <c r="AU151" s="3" t="s">
        <v>220</v>
      </c>
      <c r="AV151" s="3" t="s">
        <v>220</v>
      </c>
      <c r="AW151" s="9"/>
      <c r="AX151" s="3"/>
      <c r="AY151" s="47">
        <v>46140</v>
      </c>
      <c r="AZ151" s="278">
        <f t="shared" si="382"/>
        <v>0</v>
      </c>
      <c r="BA151" s="47">
        <v>46140</v>
      </c>
      <c r="BB151" s="22">
        <v>46158</v>
      </c>
      <c r="BC151" s="22"/>
      <c r="BD151" s="22"/>
      <c r="BE151" s="22"/>
      <c r="BF151" s="22"/>
      <c r="BG151" s="18"/>
      <c r="BH151" s="18"/>
      <c r="BI151" s="18"/>
      <c r="BJ151" s="25"/>
      <c r="BK151" s="189"/>
      <c r="BL151" s="497"/>
      <c r="BM151" s="18"/>
      <c r="BN151" s="4"/>
      <c r="BO151" s="18"/>
      <c r="BP151" s="3" t="s">
        <v>754</v>
      </c>
      <c r="BQ151" s="21" t="s">
        <v>346</v>
      </c>
      <c r="BR151" s="2"/>
      <c r="BS151" s="2"/>
      <c r="BT151" s="2"/>
      <c r="BU151" s="2"/>
      <c r="BV151" s="20"/>
      <c r="BW151" s="19"/>
      <c r="BX151" s="189">
        <f t="shared" si="352"/>
        <v>0</v>
      </c>
      <c r="BY151" s="22"/>
      <c r="BZ151" s="22"/>
      <c r="CA151" s="22"/>
      <c r="CB151" s="22"/>
      <c r="CC151" s="22"/>
      <c r="CD151" s="22"/>
      <c r="CE151" s="22" t="str">
        <f t="shared" si="350"/>
        <v>No OBL Yet</v>
      </c>
      <c r="CF151" s="22"/>
      <c r="CG151" s="22"/>
      <c r="CH151" s="182"/>
      <c r="CI151" s="182"/>
      <c r="CJ151" s="182"/>
      <c r="CK151" s="2" t="str">
        <f t="shared" si="346"/>
        <v>No CERTS Yet</v>
      </c>
      <c r="CL151" s="48"/>
      <c r="CM151" s="22"/>
      <c r="CN151" s="55"/>
      <c r="CO151" s="55"/>
      <c r="CP151" s="55" t="str">
        <f t="shared" si="383"/>
        <v/>
      </c>
      <c r="CQ151" s="190">
        <f t="shared" si="336"/>
        <v>0</v>
      </c>
      <c r="CR151" s="54"/>
      <c r="CS151" s="2"/>
      <c r="CT151" s="2"/>
      <c r="CU151" s="14" t="str">
        <f t="shared" si="353"/>
        <v/>
      </c>
      <c r="CV151" s="191" t="str">
        <f t="shared" si="354"/>
        <v/>
      </c>
      <c r="CW151" s="14" t="str">
        <f t="shared" si="355"/>
        <v/>
      </c>
      <c r="CX151" s="14" t="str">
        <f t="shared" si="356"/>
        <v/>
      </c>
      <c r="CY151" s="15" t="str">
        <f t="shared" si="357"/>
        <v/>
      </c>
      <c r="CZ151" s="2"/>
      <c r="DA151" s="41" t="str">
        <f t="shared" si="358"/>
        <v/>
      </c>
      <c r="DB151" s="2"/>
      <c r="DC151" s="192" t="str">
        <f t="shared" si="359"/>
        <v/>
      </c>
      <c r="DD151" s="40"/>
      <c r="DE151" s="16" t="str">
        <f t="shared" si="360"/>
        <v/>
      </c>
      <c r="DF151" s="2" t="str">
        <f t="shared" si="361"/>
        <v/>
      </c>
      <c r="DG151" s="14" t="str">
        <f t="shared" si="362"/>
        <v/>
      </c>
      <c r="DH151" s="2" t="str">
        <f t="shared" si="363"/>
        <v/>
      </c>
      <c r="DI151" s="192" t="str">
        <f t="shared" si="364"/>
        <v/>
      </c>
      <c r="DJ151" s="2" t="str">
        <f t="shared" si="365"/>
        <v/>
      </c>
      <c r="DK151" s="15" t="str">
        <f t="shared" si="366"/>
        <v/>
      </c>
      <c r="DL151" s="2"/>
      <c r="DM151" s="2"/>
      <c r="DN151" s="15" t="str">
        <f t="shared" si="367"/>
        <v/>
      </c>
      <c r="DO151" s="14" t="str">
        <f t="shared" si="368"/>
        <v/>
      </c>
      <c r="DP151" s="14" t="str">
        <f t="shared" si="369"/>
        <v/>
      </c>
      <c r="DQ151" s="15" t="str">
        <f t="shared" si="370"/>
        <v/>
      </c>
      <c r="DR151" s="15" t="str">
        <f t="shared" si="371"/>
        <v/>
      </c>
      <c r="DS151" s="2" t="str">
        <f t="shared" si="372"/>
        <v/>
      </c>
      <c r="DT151" s="2" t="str">
        <f t="shared" si="373"/>
        <v/>
      </c>
      <c r="DU151" s="2"/>
      <c r="DV151" s="2"/>
      <c r="DW151" s="2"/>
      <c r="DX151" s="2"/>
      <c r="DY151" s="2" t="s">
        <v>230</v>
      </c>
      <c r="DZ151" s="2"/>
      <c r="EA151" s="2" t="str">
        <f t="shared" si="374"/>
        <v/>
      </c>
      <c r="EB151" s="2"/>
      <c r="EC151" s="2"/>
      <c r="ED151" s="2"/>
      <c r="EE151" s="3"/>
      <c r="EF151" s="7"/>
      <c r="EG151" s="3"/>
      <c r="EH151" s="3" t="s">
        <v>759</v>
      </c>
      <c r="EI151" s="3"/>
      <c r="EJ151" s="189"/>
      <c r="EK151" s="4"/>
      <c r="EL151" s="9"/>
      <c r="EM151" s="9"/>
      <c r="EN151" s="189">
        <f t="shared" si="375"/>
        <v>0</v>
      </c>
      <c r="EO151" s="9"/>
      <c r="EP151" s="8"/>
      <c r="EQ151" s="4"/>
      <c r="ER151" s="4"/>
      <c r="ES151" s="7"/>
      <c r="ET151" s="7"/>
      <c r="EU151" s="6"/>
      <c r="EV151" s="2" t="str">
        <f t="shared" si="347"/>
        <v>Yet to load</v>
      </c>
      <c r="EW151" s="189"/>
      <c r="EX151" s="189" t="e">
        <f t="shared" si="376"/>
        <v>#DIV/0!</v>
      </c>
      <c r="EY151" s="189" t="s">
        <v>233</v>
      </c>
      <c r="EZ151" s="24"/>
      <c r="FA151" s="2"/>
      <c r="FB151" s="24"/>
      <c r="FC151" s="193"/>
      <c r="FD151" s="189">
        <f t="shared" si="377"/>
        <v>0</v>
      </c>
      <c r="FE151" s="52"/>
      <c r="FF151" s="52"/>
      <c r="FG151" s="49"/>
      <c r="FH151" s="49"/>
      <c r="FI151" s="49"/>
      <c r="FJ151" s="49"/>
      <c r="FK151" s="49"/>
      <c r="FL151" s="49">
        <f t="shared" si="378"/>
        <v>0</v>
      </c>
      <c r="FM151" s="180">
        <f t="shared" si="379"/>
        <v>0</v>
      </c>
      <c r="FN151" s="49"/>
      <c r="FO151" s="49"/>
      <c r="FP151" s="49"/>
      <c r="FQ151" s="49"/>
      <c r="FR151" s="49"/>
      <c r="FS151" s="34">
        <f t="shared" si="337"/>
        <v>20010193</v>
      </c>
      <c r="FT151" s="34">
        <f t="shared" si="380"/>
        <v>32016338</v>
      </c>
      <c r="FU151" s="3"/>
      <c r="FV151" s="3"/>
      <c r="FW151" s="3"/>
      <c r="FX151" s="3"/>
      <c r="FY151" s="3"/>
      <c r="FZ151" s="3"/>
      <c r="GA151" s="3"/>
      <c r="GB151" s="4"/>
      <c r="GC151" s="3"/>
      <c r="GD151" s="182"/>
      <c r="GE151" s="3"/>
      <c r="GF151" s="3"/>
      <c r="GG151" s="3"/>
      <c r="GH151" s="3"/>
      <c r="GI151" s="3"/>
      <c r="GJ151" s="3"/>
      <c r="GK151" s="3"/>
      <c r="GL151" s="3"/>
      <c r="GM151" s="3"/>
      <c r="GN151" s="3"/>
    </row>
    <row r="152" spans="1:196" s="1" customFormat="1" ht="33.950000000000003">
      <c r="A152" s="2" t="str">
        <f t="shared" si="339"/>
        <v>SI Sent, Shipment Awaited</v>
      </c>
      <c r="B152" s="282">
        <v>53</v>
      </c>
      <c r="C152" s="282">
        <v>220</v>
      </c>
      <c r="D152" s="182" t="s">
        <v>208</v>
      </c>
      <c r="E152" s="2" t="str">
        <f t="shared" si="340"/>
        <v>SHORT POSITION</v>
      </c>
      <c r="F152" s="271">
        <f t="shared" si="384"/>
        <v>32016343</v>
      </c>
      <c r="G152" s="271"/>
      <c r="H152" s="2" t="str">
        <f t="shared" si="381"/>
        <v>ST.MARY CASHEW FACTORY</v>
      </c>
      <c r="I152" s="3" t="s">
        <v>754</v>
      </c>
      <c r="J152" s="2" t="s">
        <v>210</v>
      </c>
      <c r="K152" s="2" t="str">
        <f t="shared" si="341"/>
        <v>TUTICORIN, INDIA</v>
      </c>
      <c r="L152" s="2" t="str">
        <f t="shared" si="334"/>
        <v/>
      </c>
      <c r="M152" s="2" t="str">
        <f t="shared" si="333"/>
        <v/>
      </c>
      <c r="N152" s="22" t="str">
        <f t="shared" si="342"/>
        <v/>
      </c>
      <c r="O152" s="22" t="str">
        <f t="shared" si="332"/>
        <v/>
      </c>
      <c r="P152" s="22" t="str">
        <f t="shared" si="343"/>
        <v>No OBL Yet</v>
      </c>
      <c r="Q152" s="2"/>
      <c r="R152" s="2" t="str">
        <f t="shared" si="344"/>
        <v>No CERTS Yet</v>
      </c>
      <c r="S152" s="2" t="str">
        <f t="shared" si="351"/>
        <v/>
      </c>
      <c r="T152" s="2" t="str">
        <f>IFERROR(_xlfn.XLOOKUP(F152,
'[2]Data 2026'!$H$12:$H$111,
'[2]Data 2026'!$CL$12:$CL$111),"")</f>
        <v/>
      </c>
      <c r="U152" s="3"/>
      <c r="V152" s="272"/>
      <c r="W152" s="3"/>
      <c r="X152" s="24">
        <v>46141</v>
      </c>
      <c r="Y152" s="273">
        <v>20010198</v>
      </c>
      <c r="Z152" s="24">
        <v>46141</v>
      </c>
      <c r="AA152" s="182">
        <v>32016343</v>
      </c>
      <c r="AB152" s="182" t="s">
        <v>851</v>
      </c>
      <c r="AC152" s="181" t="s">
        <v>849</v>
      </c>
      <c r="AD152" s="181">
        <v>46234</v>
      </c>
      <c r="AE152" s="30">
        <v>0.1</v>
      </c>
      <c r="AF152" s="277">
        <v>200</v>
      </c>
      <c r="AG152" s="4">
        <f t="shared" si="345"/>
        <v>180</v>
      </c>
      <c r="AH152" s="3" t="s">
        <v>215</v>
      </c>
      <c r="AI152" s="4">
        <v>1785</v>
      </c>
      <c r="AJ152" s="4">
        <f t="shared" si="335"/>
        <v>357000</v>
      </c>
      <c r="AK152" s="3" t="s">
        <v>249</v>
      </c>
      <c r="AL152" s="3" t="s">
        <v>238</v>
      </c>
      <c r="AM152" s="183">
        <v>0</v>
      </c>
      <c r="AN152" s="183">
        <v>1</v>
      </c>
      <c r="AO152" s="183">
        <v>0</v>
      </c>
      <c r="AP152" s="28" t="s">
        <v>218</v>
      </c>
      <c r="AQ152" s="3" t="s">
        <v>239</v>
      </c>
      <c r="AR152" s="18" t="s">
        <v>251</v>
      </c>
      <c r="AS152" s="27"/>
      <c r="AT152" s="3" t="s">
        <v>220</v>
      </c>
      <c r="AU152" s="3" t="s">
        <v>220</v>
      </c>
      <c r="AV152" s="3" t="s">
        <v>220</v>
      </c>
      <c r="AW152" s="9"/>
      <c r="AX152" s="3"/>
      <c r="AY152" s="47">
        <v>46141</v>
      </c>
      <c r="AZ152" s="278">
        <f t="shared" si="382"/>
        <v>0</v>
      </c>
      <c r="BA152" s="47">
        <v>46141</v>
      </c>
      <c r="BB152" s="22">
        <v>46158</v>
      </c>
      <c r="BC152" s="22"/>
      <c r="BD152" s="22"/>
      <c r="BE152" s="22"/>
      <c r="BF152" s="22"/>
      <c r="BG152" s="18"/>
      <c r="BH152" s="18"/>
      <c r="BI152" s="18"/>
      <c r="BJ152" s="25"/>
      <c r="BK152" s="189"/>
      <c r="BL152" s="497"/>
      <c r="BM152" s="18"/>
      <c r="BN152" s="4"/>
      <c r="BO152" s="18"/>
      <c r="BP152" s="3" t="s">
        <v>754</v>
      </c>
      <c r="BQ152" s="21" t="s">
        <v>346</v>
      </c>
      <c r="BR152" s="2"/>
      <c r="BS152" s="2"/>
      <c r="BT152" s="2"/>
      <c r="BU152" s="2"/>
      <c r="BV152" s="20"/>
      <c r="BW152" s="19"/>
      <c r="BX152" s="189">
        <f t="shared" si="352"/>
        <v>0</v>
      </c>
      <c r="BY152" s="22"/>
      <c r="BZ152" s="22"/>
      <c r="CA152" s="22"/>
      <c r="CB152" s="22"/>
      <c r="CC152" s="22"/>
      <c r="CD152" s="22"/>
      <c r="CE152" s="22" t="str">
        <f t="shared" si="350"/>
        <v>No OBL Yet</v>
      </c>
      <c r="CF152" s="22"/>
      <c r="CG152" s="22"/>
      <c r="CH152" s="182"/>
      <c r="CI152" s="182"/>
      <c r="CJ152" s="182"/>
      <c r="CK152" s="2" t="str">
        <f t="shared" si="346"/>
        <v>No CERTS Yet</v>
      </c>
      <c r="CL152" s="48"/>
      <c r="CM152" s="22"/>
      <c r="CN152" s="55"/>
      <c r="CO152" s="55"/>
      <c r="CP152" s="55" t="str">
        <f t="shared" si="383"/>
        <v/>
      </c>
      <c r="CQ152" s="190">
        <f t="shared" si="336"/>
        <v>0</v>
      </c>
      <c r="CR152" s="54"/>
      <c r="CS152" s="2"/>
      <c r="CT152" s="2"/>
      <c r="CU152" s="14" t="str">
        <f t="shared" si="353"/>
        <v/>
      </c>
      <c r="CV152" s="191" t="str">
        <f t="shared" si="354"/>
        <v/>
      </c>
      <c r="CW152" s="14" t="str">
        <f t="shared" si="355"/>
        <v/>
      </c>
      <c r="CX152" s="14" t="str">
        <f t="shared" si="356"/>
        <v/>
      </c>
      <c r="CY152" s="15" t="str">
        <f t="shared" si="357"/>
        <v/>
      </c>
      <c r="CZ152" s="2"/>
      <c r="DA152" s="41" t="str">
        <f t="shared" si="358"/>
        <v/>
      </c>
      <c r="DB152" s="2"/>
      <c r="DC152" s="192" t="str">
        <f t="shared" si="359"/>
        <v/>
      </c>
      <c r="DD152" s="40"/>
      <c r="DE152" s="16" t="str">
        <f t="shared" si="360"/>
        <v/>
      </c>
      <c r="DF152" s="2" t="str">
        <f t="shared" si="361"/>
        <v/>
      </c>
      <c r="DG152" s="14" t="str">
        <f t="shared" si="362"/>
        <v/>
      </c>
      <c r="DH152" s="2" t="str">
        <f t="shared" si="363"/>
        <v/>
      </c>
      <c r="DI152" s="192" t="str">
        <f t="shared" si="364"/>
        <v/>
      </c>
      <c r="DJ152" s="2" t="str">
        <f t="shared" si="365"/>
        <v/>
      </c>
      <c r="DK152" s="15" t="str">
        <f t="shared" si="366"/>
        <v/>
      </c>
      <c r="DL152" s="2"/>
      <c r="DM152" s="2"/>
      <c r="DN152" s="15" t="str">
        <f t="shared" si="367"/>
        <v/>
      </c>
      <c r="DO152" s="14" t="str">
        <f t="shared" si="368"/>
        <v/>
      </c>
      <c r="DP152" s="14" t="str">
        <f t="shared" si="369"/>
        <v/>
      </c>
      <c r="DQ152" s="15" t="str">
        <f t="shared" si="370"/>
        <v/>
      </c>
      <c r="DR152" s="15" t="str">
        <f t="shared" si="371"/>
        <v/>
      </c>
      <c r="DS152" s="2" t="str">
        <f t="shared" si="372"/>
        <v/>
      </c>
      <c r="DT152" s="2" t="str">
        <f t="shared" si="373"/>
        <v/>
      </c>
      <c r="DU152" s="2"/>
      <c r="DV152" s="2"/>
      <c r="DW152" s="2"/>
      <c r="DX152" s="2"/>
      <c r="DY152" s="2" t="s">
        <v>230</v>
      </c>
      <c r="DZ152" s="2"/>
      <c r="EA152" s="2" t="str">
        <f t="shared" si="374"/>
        <v/>
      </c>
      <c r="EB152" s="2"/>
      <c r="EC152" s="2"/>
      <c r="ED152" s="2"/>
      <c r="EE152" s="3"/>
      <c r="EF152" s="7"/>
      <c r="EG152" s="3"/>
      <c r="EH152" s="3" t="s">
        <v>759</v>
      </c>
      <c r="EI152" s="3"/>
      <c r="EJ152" s="189"/>
      <c r="EK152" s="4"/>
      <c r="EL152" s="9"/>
      <c r="EM152" s="9"/>
      <c r="EN152" s="189">
        <f t="shared" si="375"/>
        <v>0</v>
      </c>
      <c r="EO152" s="9"/>
      <c r="EP152" s="8"/>
      <c r="EQ152" s="4"/>
      <c r="ER152" s="4"/>
      <c r="ES152" s="7"/>
      <c r="ET152" s="7"/>
      <c r="EU152" s="6"/>
      <c r="EV152" s="2" t="str">
        <f t="shared" si="347"/>
        <v>Yet to load</v>
      </c>
      <c r="EW152" s="189"/>
      <c r="EX152" s="189" t="e">
        <f t="shared" si="376"/>
        <v>#DIV/0!</v>
      </c>
      <c r="EY152" s="189" t="s">
        <v>233</v>
      </c>
      <c r="EZ152" s="24"/>
      <c r="FA152" s="2"/>
      <c r="FB152" s="24"/>
      <c r="FC152" s="193"/>
      <c r="FD152" s="189">
        <f t="shared" si="377"/>
        <v>0</v>
      </c>
      <c r="FE152" s="52"/>
      <c r="FF152" s="52"/>
      <c r="FG152" s="49"/>
      <c r="FH152" s="49"/>
      <c r="FI152" s="49"/>
      <c r="FJ152" s="49"/>
      <c r="FK152" s="49"/>
      <c r="FL152" s="49">
        <f t="shared" si="378"/>
        <v>0</v>
      </c>
      <c r="FM152" s="180">
        <f t="shared" si="379"/>
        <v>0</v>
      </c>
      <c r="FN152" s="49"/>
      <c r="FO152" s="49"/>
      <c r="FP152" s="49"/>
      <c r="FQ152" s="49"/>
      <c r="FR152" s="49"/>
      <c r="FS152" s="34">
        <f t="shared" si="337"/>
        <v>20010198</v>
      </c>
      <c r="FT152" s="34">
        <f t="shared" si="380"/>
        <v>32016343</v>
      </c>
      <c r="FU152" s="3"/>
      <c r="FV152" s="3"/>
      <c r="FW152" s="3"/>
      <c r="FX152" s="3"/>
      <c r="FY152" s="3"/>
      <c r="FZ152" s="3"/>
      <c r="GA152" s="3"/>
      <c r="GB152" s="4"/>
      <c r="GC152" s="3"/>
      <c r="GD152" s="182"/>
      <c r="GE152" s="3"/>
      <c r="GF152" s="3"/>
      <c r="GG152" s="3"/>
      <c r="GH152" s="3"/>
      <c r="GI152" s="3"/>
      <c r="GJ152" s="3"/>
      <c r="GK152" s="3"/>
      <c r="GL152" s="3"/>
      <c r="GM152" s="3"/>
      <c r="GN152" s="3"/>
    </row>
    <row r="153" spans="1:196" s="1" customFormat="1" ht="33.950000000000003">
      <c r="A153" s="2" t="str">
        <f t="shared" si="339"/>
        <v>SI Sent, Shipment Awaited</v>
      </c>
      <c r="B153" s="282">
        <v>53</v>
      </c>
      <c r="C153" s="282">
        <v>215</v>
      </c>
      <c r="D153" s="182" t="s">
        <v>208</v>
      </c>
      <c r="E153" s="2" t="str">
        <f t="shared" si="340"/>
        <v>SHORT POSITION</v>
      </c>
      <c r="F153" s="271">
        <f t="shared" si="384"/>
        <v>32016367</v>
      </c>
      <c r="G153" s="271"/>
      <c r="H153" s="2" t="str">
        <f t="shared" si="381"/>
        <v>SHREE KRISHNAANUGRAHA AGRO PRIVATE LIMITED</v>
      </c>
      <c r="I153" s="3" t="s">
        <v>754</v>
      </c>
      <c r="J153" s="2" t="s">
        <v>210</v>
      </c>
      <c r="K153" s="2" t="str">
        <f t="shared" si="341"/>
        <v>MANGALORE, INDIA</v>
      </c>
      <c r="L153" s="2" t="str">
        <f t="shared" si="334"/>
        <v/>
      </c>
      <c r="M153" s="2" t="str">
        <f t="shared" si="333"/>
        <v/>
      </c>
      <c r="N153" s="22" t="str">
        <f t="shared" si="342"/>
        <v/>
      </c>
      <c r="O153" s="22" t="str">
        <f t="shared" si="332"/>
        <v/>
      </c>
      <c r="P153" s="22" t="str">
        <f t="shared" si="343"/>
        <v>No OBL Yet</v>
      </c>
      <c r="Q153" s="2"/>
      <c r="R153" s="2" t="str">
        <f t="shared" si="344"/>
        <v>No CERTS Yet</v>
      </c>
      <c r="S153" s="2" t="str">
        <f t="shared" si="351"/>
        <v/>
      </c>
      <c r="T153" s="2" t="str">
        <f>IFERROR(_xlfn.XLOOKUP(F153,
'[2]Data 2026'!$H$12:$H$111,
'[2]Data 2026'!$CL$12:$CL$111),"")</f>
        <v/>
      </c>
      <c r="U153" s="3" t="s">
        <v>853</v>
      </c>
      <c r="V153" s="272"/>
      <c r="W153" s="3" t="s">
        <v>853</v>
      </c>
      <c r="X153" s="24">
        <v>46153</v>
      </c>
      <c r="Y153" s="273">
        <v>20010291</v>
      </c>
      <c r="Z153" s="24">
        <v>46153</v>
      </c>
      <c r="AA153" s="182">
        <v>32016367</v>
      </c>
      <c r="AB153" s="182" t="s">
        <v>854</v>
      </c>
      <c r="AC153" s="181" t="s">
        <v>849</v>
      </c>
      <c r="AD153" s="181">
        <v>46234</v>
      </c>
      <c r="AE153" s="30">
        <v>0.1</v>
      </c>
      <c r="AF153" s="277">
        <v>300</v>
      </c>
      <c r="AG153" s="4">
        <f t="shared" si="345"/>
        <v>270</v>
      </c>
      <c r="AH153" s="3" t="s">
        <v>215</v>
      </c>
      <c r="AI153" s="4">
        <v>1720</v>
      </c>
      <c r="AJ153" s="4">
        <f t="shared" si="335"/>
        <v>516000</v>
      </c>
      <c r="AK153" s="3" t="s">
        <v>249</v>
      </c>
      <c r="AL153" s="3" t="s">
        <v>238</v>
      </c>
      <c r="AM153" s="183">
        <v>0.1</v>
      </c>
      <c r="AN153" s="183">
        <v>0.9</v>
      </c>
      <c r="AO153" s="183">
        <v>0</v>
      </c>
      <c r="AP153" s="28" t="s">
        <v>218</v>
      </c>
      <c r="AQ153" s="3" t="s">
        <v>239</v>
      </c>
      <c r="AR153" s="18" t="s">
        <v>850</v>
      </c>
      <c r="AS153" s="27">
        <v>5</v>
      </c>
      <c r="AT153" s="3" t="s">
        <v>220</v>
      </c>
      <c r="AU153" s="3" t="s">
        <v>220</v>
      </c>
      <c r="AV153" s="3" t="s">
        <v>220</v>
      </c>
      <c r="AW153" s="9"/>
      <c r="AX153" s="3"/>
      <c r="AY153" s="47">
        <v>46161</v>
      </c>
      <c r="AZ153" s="278">
        <f t="shared" si="382"/>
        <v>51600</v>
      </c>
      <c r="BA153" s="18"/>
      <c r="BB153" s="22">
        <v>46163</v>
      </c>
      <c r="BC153" s="22"/>
      <c r="BD153" s="22"/>
      <c r="BE153" s="22"/>
      <c r="BF153" s="22"/>
      <c r="BG153" s="18"/>
      <c r="BH153" s="18"/>
      <c r="BI153" s="18"/>
      <c r="BJ153" s="25"/>
      <c r="BK153" s="336"/>
      <c r="BL153" s="501"/>
      <c r="BM153" s="18"/>
      <c r="BN153" s="338"/>
      <c r="BO153" s="18"/>
      <c r="BP153" s="3" t="s">
        <v>754</v>
      </c>
      <c r="BQ153" s="21" t="s">
        <v>265</v>
      </c>
      <c r="BR153" s="2"/>
      <c r="BS153" s="2"/>
      <c r="BT153" s="2"/>
      <c r="BU153" s="2"/>
      <c r="BV153" s="20"/>
      <c r="BW153" s="19"/>
      <c r="BX153" s="189">
        <f t="shared" si="352"/>
        <v>0</v>
      </c>
      <c r="BY153" s="22"/>
      <c r="BZ153" s="22"/>
      <c r="CA153" s="22"/>
      <c r="CB153" s="22"/>
      <c r="CC153" s="22"/>
      <c r="CD153" s="22"/>
      <c r="CE153" s="22" t="str">
        <f t="shared" si="350"/>
        <v>No OBL Yet</v>
      </c>
      <c r="CF153" s="22"/>
      <c r="CG153" s="22"/>
      <c r="CH153" s="182"/>
      <c r="CI153" s="182"/>
      <c r="CJ153" s="182"/>
      <c r="CK153" s="2" t="str">
        <f t="shared" si="346"/>
        <v>No CERTS Yet</v>
      </c>
      <c r="CL153" s="48"/>
      <c r="CM153" s="22"/>
      <c r="CN153" s="55"/>
      <c r="CO153" s="55"/>
      <c r="CP153" s="55" t="str">
        <f t="shared" si="383"/>
        <v/>
      </c>
      <c r="CQ153" s="190">
        <f t="shared" si="336"/>
        <v>-51600</v>
      </c>
      <c r="CR153" s="54"/>
      <c r="CS153" s="2"/>
      <c r="CT153" s="2"/>
      <c r="CU153" s="14" t="str">
        <f t="shared" si="353"/>
        <v/>
      </c>
      <c r="CV153" s="191" t="str">
        <f t="shared" si="354"/>
        <v/>
      </c>
      <c r="CW153" s="14" t="str">
        <f t="shared" si="355"/>
        <v/>
      </c>
      <c r="CX153" s="14" t="str">
        <f t="shared" si="356"/>
        <v/>
      </c>
      <c r="CY153" s="15" t="str">
        <f t="shared" si="357"/>
        <v/>
      </c>
      <c r="CZ153" s="2"/>
      <c r="DA153" s="41" t="str">
        <f t="shared" si="358"/>
        <v/>
      </c>
      <c r="DB153" s="2"/>
      <c r="DC153" s="192" t="str">
        <f t="shared" si="359"/>
        <v/>
      </c>
      <c r="DD153" s="40"/>
      <c r="DE153" s="16" t="str">
        <f t="shared" si="360"/>
        <v/>
      </c>
      <c r="DF153" s="2" t="str">
        <f t="shared" si="361"/>
        <v/>
      </c>
      <c r="DG153" s="14" t="str">
        <f t="shared" si="362"/>
        <v/>
      </c>
      <c r="DH153" s="2" t="str">
        <f t="shared" si="363"/>
        <v/>
      </c>
      <c r="DI153" s="192" t="str">
        <f t="shared" si="364"/>
        <v/>
      </c>
      <c r="DJ153" s="2" t="str">
        <f t="shared" si="365"/>
        <v/>
      </c>
      <c r="DK153" s="15" t="str">
        <f t="shared" si="366"/>
        <v/>
      </c>
      <c r="DL153" s="2"/>
      <c r="DM153" s="2"/>
      <c r="DN153" s="15" t="str">
        <f t="shared" si="367"/>
        <v/>
      </c>
      <c r="DO153" s="14" t="str">
        <f t="shared" si="368"/>
        <v/>
      </c>
      <c r="DP153" s="14" t="str">
        <f t="shared" si="369"/>
        <v/>
      </c>
      <c r="DQ153" s="15" t="str">
        <f t="shared" si="370"/>
        <v/>
      </c>
      <c r="DR153" s="15" t="str">
        <f t="shared" si="371"/>
        <v/>
      </c>
      <c r="DS153" s="2" t="str">
        <f t="shared" si="372"/>
        <v/>
      </c>
      <c r="DT153" s="2" t="str">
        <f t="shared" si="373"/>
        <v/>
      </c>
      <c r="DU153" s="2"/>
      <c r="DV153" s="2"/>
      <c r="DW153" s="2"/>
      <c r="DX153" s="2"/>
      <c r="DY153" s="2" t="s">
        <v>230</v>
      </c>
      <c r="DZ153" s="2"/>
      <c r="EA153" s="2" t="str">
        <f t="shared" si="374"/>
        <v/>
      </c>
      <c r="EB153" s="2"/>
      <c r="EC153" s="2"/>
      <c r="ED153" s="2"/>
      <c r="EE153" s="3"/>
      <c r="EF153" s="7"/>
      <c r="EG153" s="3"/>
      <c r="EH153" s="3" t="s">
        <v>759</v>
      </c>
      <c r="EI153" s="3"/>
      <c r="EJ153" s="189"/>
      <c r="EK153" s="4"/>
      <c r="EL153" s="9"/>
      <c r="EM153" s="9"/>
      <c r="EN153" s="189">
        <f t="shared" si="375"/>
        <v>0</v>
      </c>
      <c r="EO153" s="9"/>
      <c r="EP153" s="8"/>
      <c r="EQ153" s="4"/>
      <c r="ER153" s="4"/>
      <c r="ES153" s="7"/>
      <c r="ET153" s="7"/>
      <c r="EU153" s="6"/>
      <c r="EV153" s="2" t="str">
        <f t="shared" si="347"/>
        <v>Yet to load</v>
      </c>
      <c r="EW153" s="189"/>
      <c r="EX153" s="189" t="e">
        <f t="shared" si="376"/>
        <v>#DIV/0!</v>
      </c>
      <c r="EY153" s="24"/>
      <c r="EZ153" s="24"/>
      <c r="FA153" s="2"/>
      <c r="FB153" s="24"/>
      <c r="FC153" s="193"/>
      <c r="FD153" s="189">
        <f t="shared" si="377"/>
        <v>0</v>
      </c>
      <c r="FE153" s="52"/>
      <c r="FF153" s="52"/>
      <c r="FG153" s="49"/>
      <c r="FH153" s="49"/>
      <c r="FI153" s="49"/>
      <c r="FJ153" s="49"/>
      <c r="FK153" s="49"/>
      <c r="FL153" s="49">
        <f t="shared" si="378"/>
        <v>0</v>
      </c>
      <c r="FM153" s="180">
        <f t="shared" si="379"/>
        <v>0</v>
      </c>
      <c r="FN153" s="49"/>
      <c r="FO153" s="49"/>
      <c r="FP153" s="49"/>
      <c r="FQ153" s="49"/>
      <c r="FR153" s="49"/>
      <c r="FS153" s="34">
        <f t="shared" si="337"/>
        <v>20010291</v>
      </c>
      <c r="FT153" s="34">
        <f t="shared" si="380"/>
        <v>32016367</v>
      </c>
      <c r="FU153" s="3"/>
      <c r="FV153" s="3"/>
      <c r="FW153" s="3"/>
      <c r="FX153" s="3"/>
      <c r="FY153" s="3"/>
      <c r="FZ153" s="3"/>
      <c r="GA153" s="3"/>
      <c r="GB153" s="4"/>
      <c r="GC153" s="3"/>
      <c r="GD153" s="182"/>
      <c r="GE153" s="3"/>
      <c r="GF153" s="3"/>
      <c r="GG153" s="3"/>
      <c r="GH153" s="3"/>
      <c r="GI153" s="3"/>
      <c r="GJ153" s="3"/>
      <c r="GK153" s="3"/>
      <c r="GL153" s="3"/>
      <c r="GM153" s="3"/>
      <c r="GN153" s="3"/>
    </row>
    <row r="154" spans="1:196" s="1" customFormat="1" ht="33.950000000000003">
      <c r="A154" s="2" t="str">
        <f t="shared" si="339"/>
        <v>SI Sent, Shipment Awaited</v>
      </c>
      <c r="B154" s="282">
        <v>53</v>
      </c>
      <c r="C154" s="282">
        <v>215</v>
      </c>
      <c r="D154" s="182" t="s">
        <v>208</v>
      </c>
      <c r="E154" s="2" t="str">
        <f t="shared" si="340"/>
        <v>SHORT POSITION</v>
      </c>
      <c r="F154" s="271">
        <f t="shared" si="384"/>
        <v>32016368</v>
      </c>
      <c r="G154" s="271"/>
      <c r="H154" s="2" t="str">
        <f t="shared" si="381"/>
        <v>SHREE KRISHNAKRUPA CASHEWS PVT LTD</v>
      </c>
      <c r="I154" s="3" t="s">
        <v>754</v>
      </c>
      <c r="J154" s="2" t="s">
        <v>210</v>
      </c>
      <c r="K154" s="2" t="str">
        <f t="shared" si="341"/>
        <v>MANGALORE, INDIA</v>
      </c>
      <c r="L154" s="2" t="str">
        <f t="shared" si="334"/>
        <v/>
      </c>
      <c r="M154" s="2" t="str">
        <f t="shared" si="333"/>
        <v/>
      </c>
      <c r="N154" s="22" t="str">
        <f t="shared" si="342"/>
        <v/>
      </c>
      <c r="O154" s="22" t="str">
        <f t="shared" si="332"/>
        <v/>
      </c>
      <c r="P154" s="22" t="str">
        <f t="shared" si="343"/>
        <v>No OBL Yet</v>
      </c>
      <c r="Q154" s="2"/>
      <c r="R154" s="2" t="str">
        <f t="shared" si="344"/>
        <v>No CERTS Yet</v>
      </c>
      <c r="S154" s="2" t="str">
        <f t="shared" si="351"/>
        <v/>
      </c>
      <c r="T154" s="2" t="str">
        <f>IFERROR(_xlfn.XLOOKUP(F154,
'[2]Data 2026'!$H$12:$H$111,
'[2]Data 2026'!$CL$12:$CL$111),"")</f>
        <v/>
      </c>
      <c r="U154" s="3" t="s">
        <v>855</v>
      </c>
      <c r="V154" s="272"/>
      <c r="W154" s="3" t="s">
        <v>855</v>
      </c>
      <c r="X154" s="24">
        <v>46153</v>
      </c>
      <c r="Y154" s="273">
        <v>20010292</v>
      </c>
      <c r="Z154" s="24">
        <v>46153</v>
      </c>
      <c r="AA154" s="182">
        <v>32016368</v>
      </c>
      <c r="AB154" s="182" t="s">
        <v>421</v>
      </c>
      <c r="AC154" s="181" t="s">
        <v>849</v>
      </c>
      <c r="AD154" s="181">
        <v>46234</v>
      </c>
      <c r="AE154" s="30">
        <v>0.1</v>
      </c>
      <c r="AF154" s="277">
        <v>100</v>
      </c>
      <c r="AG154" s="4">
        <f t="shared" si="345"/>
        <v>90</v>
      </c>
      <c r="AH154" s="3" t="s">
        <v>215</v>
      </c>
      <c r="AI154" s="4">
        <v>1720</v>
      </c>
      <c r="AJ154" s="4">
        <f t="shared" si="335"/>
        <v>172000</v>
      </c>
      <c r="AK154" s="3" t="s">
        <v>249</v>
      </c>
      <c r="AL154" s="3" t="s">
        <v>238</v>
      </c>
      <c r="AM154" s="183">
        <v>0.1</v>
      </c>
      <c r="AN154" s="183">
        <v>0.9</v>
      </c>
      <c r="AO154" s="183">
        <v>0</v>
      </c>
      <c r="AP154" s="28" t="s">
        <v>218</v>
      </c>
      <c r="AQ154" s="3" t="s">
        <v>239</v>
      </c>
      <c r="AR154" s="18" t="s">
        <v>850</v>
      </c>
      <c r="AS154" s="27">
        <v>5</v>
      </c>
      <c r="AT154" s="3" t="s">
        <v>220</v>
      </c>
      <c r="AU154" s="3" t="s">
        <v>220</v>
      </c>
      <c r="AV154" s="3" t="s">
        <v>220</v>
      </c>
      <c r="AW154" s="9"/>
      <c r="AX154" s="3"/>
      <c r="AY154" s="47">
        <v>46160</v>
      </c>
      <c r="AZ154" s="278">
        <f t="shared" si="382"/>
        <v>17200</v>
      </c>
      <c r="BA154" s="18"/>
      <c r="BB154" s="22">
        <v>46163</v>
      </c>
      <c r="BC154" s="22"/>
      <c r="BD154" s="22"/>
      <c r="BE154" s="22"/>
      <c r="BF154" s="22"/>
      <c r="BG154" s="18"/>
      <c r="BH154" s="18"/>
      <c r="BI154" s="18"/>
      <c r="BJ154" s="25"/>
      <c r="BK154" s="336"/>
      <c r="BL154" s="501"/>
      <c r="BM154" s="18"/>
      <c r="BN154" s="338"/>
      <c r="BO154" s="18"/>
      <c r="BP154" s="3" t="s">
        <v>754</v>
      </c>
      <c r="BQ154" s="21" t="s">
        <v>265</v>
      </c>
      <c r="BR154" s="2"/>
      <c r="BS154" s="2"/>
      <c r="BT154" s="2"/>
      <c r="BU154" s="2"/>
      <c r="BV154" s="20"/>
      <c r="BW154" s="19"/>
      <c r="BX154" s="189">
        <f t="shared" si="352"/>
        <v>0</v>
      </c>
      <c r="BY154" s="22"/>
      <c r="BZ154" s="22"/>
      <c r="CA154" s="22"/>
      <c r="CB154" s="22"/>
      <c r="CC154" s="22"/>
      <c r="CD154" s="22"/>
      <c r="CE154" s="22" t="str">
        <f t="shared" si="350"/>
        <v>No OBL Yet</v>
      </c>
      <c r="CF154" s="22"/>
      <c r="CG154" s="22"/>
      <c r="CH154" s="182"/>
      <c r="CI154" s="182"/>
      <c r="CJ154" s="182"/>
      <c r="CK154" s="2" t="str">
        <f t="shared" si="346"/>
        <v>No CERTS Yet</v>
      </c>
      <c r="CL154" s="48"/>
      <c r="CM154" s="22"/>
      <c r="CN154" s="55"/>
      <c r="CO154" s="55"/>
      <c r="CP154" s="55" t="str">
        <f t="shared" si="383"/>
        <v/>
      </c>
      <c r="CQ154" s="190">
        <f t="shared" si="336"/>
        <v>-17200</v>
      </c>
      <c r="CR154" s="54"/>
      <c r="CS154" s="2"/>
      <c r="CT154" s="2"/>
      <c r="CU154" s="14" t="str">
        <f t="shared" si="353"/>
        <v/>
      </c>
      <c r="CV154" s="191" t="str">
        <f t="shared" si="354"/>
        <v/>
      </c>
      <c r="CW154" s="14" t="str">
        <f t="shared" si="355"/>
        <v/>
      </c>
      <c r="CX154" s="14" t="str">
        <f t="shared" si="356"/>
        <v/>
      </c>
      <c r="CY154" s="15" t="str">
        <f t="shared" si="357"/>
        <v/>
      </c>
      <c r="CZ154" s="2"/>
      <c r="DA154" s="41" t="str">
        <f t="shared" si="358"/>
        <v/>
      </c>
      <c r="DB154" s="2"/>
      <c r="DC154" s="192" t="str">
        <f t="shared" si="359"/>
        <v/>
      </c>
      <c r="DD154" s="40"/>
      <c r="DE154" s="16" t="str">
        <f t="shared" si="360"/>
        <v/>
      </c>
      <c r="DF154" s="2" t="str">
        <f t="shared" si="361"/>
        <v/>
      </c>
      <c r="DG154" s="14" t="str">
        <f t="shared" si="362"/>
        <v/>
      </c>
      <c r="DH154" s="2" t="str">
        <f t="shared" si="363"/>
        <v/>
      </c>
      <c r="DI154" s="192" t="str">
        <f t="shared" si="364"/>
        <v/>
      </c>
      <c r="DJ154" s="2" t="str">
        <f t="shared" si="365"/>
        <v/>
      </c>
      <c r="DK154" s="15" t="str">
        <f t="shared" si="366"/>
        <v/>
      </c>
      <c r="DL154" s="2"/>
      <c r="DM154" s="2"/>
      <c r="DN154" s="15" t="str">
        <f t="shared" si="367"/>
        <v/>
      </c>
      <c r="DO154" s="14" t="str">
        <f t="shared" si="368"/>
        <v/>
      </c>
      <c r="DP154" s="14" t="str">
        <f t="shared" si="369"/>
        <v/>
      </c>
      <c r="DQ154" s="15" t="str">
        <f t="shared" si="370"/>
        <v/>
      </c>
      <c r="DR154" s="15" t="str">
        <f t="shared" si="371"/>
        <v/>
      </c>
      <c r="DS154" s="2" t="str">
        <f t="shared" si="372"/>
        <v/>
      </c>
      <c r="DT154" s="2" t="str">
        <f t="shared" si="373"/>
        <v/>
      </c>
      <c r="DU154" s="2"/>
      <c r="DV154" s="2"/>
      <c r="DW154" s="2"/>
      <c r="DX154" s="2"/>
      <c r="DY154" s="2" t="s">
        <v>230</v>
      </c>
      <c r="DZ154" s="2"/>
      <c r="EA154" s="2" t="str">
        <f t="shared" si="374"/>
        <v/>
      </c>
      <c r="EB154" s="2"/>
      <c r="EC154" s="2"/>
      <c r="ED154" s="2"/>
      <c r="EE154" s="3"/>
      <c r="EF154" s="7"/>
      <c r="EG154" s="3"/>
      <c r="EH154" s="3" t="s">
        <v>759</v>
      </c>
      <c r="EI154" s="3"/>
      <c r="EJ154" s="189"/>
      <c r="EK154" s="4"/>
      <c r="EL154" s="9"/>
      <c r="EM154" s="9"/>
      <c r="EN154" s="189">
        <f t="shared" si="375"/>
        <v>0</v>
      </c>
      <c r="EO154" s="9"/>
      <c r="EP154" s="8"/>
      <c r="EQ154" s="4"/>
      <c r="ER154" s="4"/>
      <c r="ES154" s="7"/>
      <c r="ET154" s="7"/>
      <c r="EU154" s="6"/>
      <c r="EV154" s="2" t="str">
        <f t="shared" si="347"/>
        <v>Yet to load</v>
      </c>
      <c r="EW154" s="189"/>
      <c r="EX154" s="189" t="e">
        <f t="shared" si="376"/>
        <v>#DIV/0!</v>
      </c>
      <c r="EY154" s="24"/>
      <c r="EZ154" s="24"/>
      <c r="FA154" s="2"/>
      <c r="FB154" s="24"/>
      <c r="FC154" s="193"/>
      <c r="FD154" s="189">
        <f t="shared" si="377"/>
        <v>0</v>
      </c>
      <c r="FE154" s="52"/>
      <c r="FF154" s="52"/>
      <c r="FG154" s="49"/>
      <c r="FH154" s="49"/>
      <c r="FI154" s="49"/>
      <c r="FJ154" s="49"/>
      <c r="FK154" s="49"/>
      <c r="FL154" s="49"/>
      <c r="FM154" s="180"/>
      <c r="FN154" s="49"/>
      <c r="FO154" s="49"/>
      <c r="FP154" s="49"/>
      <c r="FQ154" s="49"/>
      <c r="FR154" s="49"/>
      <c r="FS154" s="34">
        <f t="shared" si="337"/>
        <v>20010292</v>
      </c>
      <c r="FT154" s="34">
        <f t="shared" si="380"/>
        <v>32016368</v>
      </c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4"/>
    </row>
    <row r="155" spans="1:196" s="1" customFormat="1" ht="33.950000000000003">
      <c r="A155" s="2" t="str">
        <f t="shared" si="339"/>
        <v>SI Sent, Shipment Awaited</v>
      </c>
      <c r="B155" s="282">
        <v>53</v>
      </c>
      <c r="C155" s="282">
        <v>215</v>
      </c>
      <c r="D155" s="182" t="s">
        <v>208</v>
      </c>
      <c r="E155" s="2" t="str">
        <f t="shared" si="340"/>
        <v>SHORT POSITION</v>
      </c>
      <c r="F155" s="271">
        <f t="shared" si="384"/>
        <v>32016369</v>
      </c>
      <c r="G155" s="271"/>
      <c r="H155" s="2" t="str">
        <f t="shared" si="381"/>
        <v>MALNAD CASHEWS</v>
      </c>
      <c r="I155" s="3" t="s">
        <v>754</v>
      </c>
      <c r="J155" s="2" t="s">
        <v>210</v>
      </c>
      <c r="K155" s="2" t="str">
        <f t="shared" si="341"/>
        <v>MANGALORE, INDIA</v>
      </c>
      <c r="L155" s="2" t="str">
        <f t="shared" si="334"/>
        <v/>
      </c>
      <c r="M155" s="2" t="str">
        <f t="shared" si="333"/>
        <v/>
      </c>
      <c r="N155" s="22" t="str">
        <f t="shared" si="342"/>
        <v/>
      </c>
      <c r="O155" s="22" t="str">
        <f t="shared" si="332"/>
        <v/>
      </c>
      <c r="P155" s="22" t="str">
        <f t="shared" si="343"/>
        <v>No OBL Yet</v>
      </c>
      <c r="Q155" s="2"/>
      <c r="R155" s="2" t="str">
        <f t="shared" si="344"/>
        <v>No CERTS Yet</v>
      </c>
      <c r="S155" s="2" t="str">
        <f t="shared" si="351"/>
        <v/>
      </c>
      <c r="T155" s="2" t="str">
        <f>IFERROR(_xlfn.XLOOKUP(F155,
'[2]Data 2026'!$H$12:$H$111,
'[2]Data 2026'!$CL$12:$CL$111),"")</f>
        <v/>
      </c>
      <c r="U155" s="3"/>
      <c r="V155" s="272"/>
      <c r="W155" s="3"/>
      <c r="X155" s="24">
        <v>46153</v>
      </c>
      <c r="Y155" s="273">
        <v>20010293</v>
      </c>
      <c r="Z155" s="24">
        <v>46153</v>
      </c>
      <c r="AA155" s="182">
        <v>32016369</v>
      </c>
      <c r="AB155" s="182" t="s">
        <v>365</v>
      </c>
      <c r="AC155" s="181" t="s">
        <v>849</v>
      </c>
      <c r="AD155" s="181">
        <v>46234</v>
      </c>
      <c r="AE155" s="30">
        <v>0.1</v>
      </c>
      <c r="AF155" s="277">
        <v>200</v>
      </c>
      <c r="AG155" s="4">
        <f t="shared" si="345"/>
        <v>180</v>
      </c>
      <c r="AH155" s="3" t="s">
        <v>215</v>
      </c>
      <c r="AI155" s="4">
        <v>1720</v>
      </c>
      <c r="AJ155" s="4">
        <f t="shared" si="335"/>
        <v>344000</v>
      </c>
      <c r="AK155" s="3" t="s">
        <v>249</v>
      </c>
      <c r="AL155" s="3" t="s">
        <v>238</v>
      </c>
      <c r="AM155" s="183">
        <v>0.1</v>
      </c>
      <c r="AN155" s="183">
        <v>0.9</v>
      </c>
      <c r="AO155" s="183">
        <v>0</v>
      </c>
      <c r="AP155" s="28" t="s">
        <v>218</v>
      </c>
      <c r="AQ155" s="3" t="s">
        <v>239</v>
      </c>
      <c r="AR155" s="18" t="s">
        <v>850</v>
      </c>
      <c r="AS155" s="27">
        <v>5</v>
      </c>
      <c r="AT155" s="3" t="s">
        <v>220</v>
      </c>
      <c r="AU155" s="3" t="s">
        <v>220</v>
      </c>
      <c r="AV155" s="3" t="s">
        <v>220</v>
      </c>
      <c r="AW155" s="9"/>
      <c r="AX155" s="3"/>
      <c r="AY155" s="47">
        <v>46160</v>
      </c>
      <c r="AZ155" s="278">
        <f t="shared" si="382"/>
        <v>34400</v>
      </c>
      <c r="BA155" s="18">
        <v>46157</v>
      </c>
      <c r="BB155" s="22">
        <v>46163</v>
      </c>
      <c r="BC155" s="22"/>
      <c r="BD155" s="22"/>
      <c r="BE155" s="22"/>
      <c r="BF155" s="22"/>
      <c r="BG155" s="18"/>
      <c r="BH155" s="18"/>
      <c r="BI155" s="18"/>
      <c r="BJ155" s="25"/>
      <c r="BK155" s="336"/>
      <c r="BL155" s="501"/>
      <c r="BM155" s="18"/>
      <c r="BN155" s="338"/>
      <c r="BO155" s="18"/>
      <c r="BP155" s="3" t="s">
        <v>754</v>
      </c>
      <c r="BQ155" s="21" t="s">
        <v>265</v>
      </c>
      <c r="BR155" s="2"/>
      <c r="BS155" s="2"/>
      <c r="BT155" s="2"/>
      <c r="BU155" s="2"/>
      <c r="BV155" s="20"/>
      <c r="BW155" s="19"/>
      <c r="BX155" s="189">
        <f t="shared" si="352"/>
        <v>0</v>
      </c>
      <c r="BY155" s="22"/>
      <c r="BZ155" s="22"/>
      <c r="CA155" s="22"/>
      <c r="CB155" s="22"/>
      <c r="CC155" s="22"/>
      <c r="CD155" s="22"/>
      <c r="CE155" s="22" t="str">
        <f t="shared" si="350"/>
        <v>No OBL Yet</v>
      </c>
      <c r="CF155" s="22"/>
      <c r="CG155" s="22"/>
      <c r="CH155" s="182"/>
      <c r="CI155" s="182"/>
      <c r="CJ155" s="182"/>
      <c r="CK155" s="2" t="str">
        <f t="shared" si="346"/>
        <v>No CERTS Yet</v>
      </c>
      <c r="CL155" s="48"/>
      <c r="CM155" s="22"/>
      <c r="CN155" s="55"/>
      <c r="CO155" s="55"/>
      <c r="CP155" s="55" t="str">
        <f t="shared" si="383"/>
        <v/>
      </c>
      <c r="CQ155" s="190">
        <f t="shared" si="336"/>
        <v>-34400</v>
      </c>
      <c r="CR155" s="54"/>
      <c r="CS155" s="2"/>
      <c r="CT155" s="2"/>
      <c r="CU155" s="14" t="str">
        <f t="shared" si="353"/>
        <v/>
      </c>
      <c r="CV155" s="191" t="str">
        <f t="shared" si="354"/>
        <v/>
      </c>
      <c r="CW155" s="14" t="str">
        <f t="shared" si="355"/>
        <v/>
      </c>
      <c r="CX155" s="14" t="str">
        <f t="shared" si="356"/>
        <v/>
      </c>
      <c r="CY155" s="15" t="str">
        <f t="shared" si="357"/>
        <v/>
      </c>
      <c r="CZ155" s="2"/>
      <c r="DA155" s="41" t="str">
        <f t="shared" si="358"/>
        <v/>
      </c>
      <c r="DB155" s="2"/>
      <c r="DC155" s="192" t="str">
        <f t="shared" si="359"/>
        <v/>
      </c>
      <c r="DD155" s="40"/>
      <c r="DE155" s="16" t="str">
        <f t="shared" si="360"/>
        <v/>
      </c>
      <c r="DF155" s="2" t="str">
        <f t="shared" si="361"/>
        <v/>
      </c>
      <c r="DG155" s="14" t="str">
        <f t="shared" si="362"/>
        <v/>
      </c>
      <c r="DH155" s="2" t="str">
        <f t="shared" si="363"/>
        <v/>
      </c>
      <c r="DI155" s="192" t="str">
        <f t="shared" si="364"/>
        <v/>
      </c>
      <c r="DJ155" s="2" t="str">
        <f t="shared" si="365"/>
        <v/>
      </c>
      <c r="DK155" s="15" t="str">
        <f t="shared" si="366"/>
        <v/>
      </c>
      <c r="DL155" s="2"/>
      <c r="DM155" s="2"/>
      <c r="DN155" s="15" t="str">
        <f t="shared" si="367"/>
        <v/>
      </c>
      <c r="DO155" s="14" t="str">
        <f t="shared" si="368"/>
        <v/>
      </c>
      <c r="DP155" s="14" t="str">
        <f t="shared" si="369"/>
        <v/>
      </c>
      <c r="DQ155" s="15" t="str">
        <f t="shared" si="370"/>
        <v/>
      </c>
      <c r="DR155" s="15" t="str">
        <f t="shared" si="371"/>
        <v/>
      </c>
      <c r="DS155" s="2" t="str">
        <f t="shared" si="372"/>
        <v/>
      </c>
      <c r="DT155" s="2" t="str">
        <f t="shared" si="373"/>
        <v/>
      </c>
      <c r="DU155" s="2"/>
      <c r="DV155" s="2"/>
      <c r="DW155" s="2"/>
      <c r="DX155" s="2"/>
      <c r="DY155" s="2" t="s">
        <v>230</v>
      </c>
      <c r="DZ155" s="2"/>
      <c r="EA155" s="2" t="str">
        <f t="shared" si="374"/>
        <v/>
      </c>
      <c r="EB155" s="2"/>
      <c r="EC155" s="2"/>
      <c r="ED155" s="2"/>
      <c r="EE155" s="3"/>
      <c r="EF155" s="7"/>
      <c r="EG155" s="3"/>
      <c r="EH155" s="3" t="s">
        <v>759</v>
      </c>
      <c r="EI155" s="3"/>
      <c r="EJ155" s="189"/>
      <c r="EK155" s="4"/>
      <c r="EL155" s="9"/>
      <c r="EM155" s="9"/>
      <c r="EN155" s="189">
        <f t="shared" si="375"/>
        <v>0</v>
      </c>
      <c r="EO155" s="9"/>
      <c r="EP155" s="8"/>
      <c r="EQ155" s="4"/>
      <c r="ER155" s="4"/>
      <c r="ES155" s="7"/>
      <c r="ET155" s="7"/>
      <c r="EU155" s="6"/>
      <c r="EV155" s="2" t="str">
        <f t="shared" si="347"/>
        <v>Yet to load</v>
      </c>
      <c r="EW155" s="189"/>
      <c r="EX155" s="189" t="e">
        <f t="shared" si="376"/>
        <v>#DIV/0!</v>
      </c>
      <c r="EY155" s="24"/>
      <c r="EZ155" s="24"/>
      <c r="FA155" s="2"/>
      <c r="FB155" s="24"/>
      <c r="FC155" s="193"/>
      <c r="FD155" s="189">
        <f t="shared" si="377"/>
        <v>0</v>
      </c>
      <c r="FE155" s="52"/>
      <c r="FF155" s="52"/>
      <c r="FG155" s="49"/>
      <c r="FH155" s="49"/>
      <c r="FI155" s="49"/>
      <c r="FJ155" s="49"/>
      <c r="FK155" s="49"/>
      <c r="FL155" s="49"/>
      <c r="FM155" s="180"/>
      <c r="FN155" s="49"/>
      <c r="FO155" s="49"/>
      <c r="FP155" s="49"/>
      <c r="FQ155" s="49"/>
      <c r="FR155" s="49"/>
      <c r="FS155" s="34">
        <f t="shared" si="337"/>
        <v>20010293</v>
      </c>
      <c r="FT155" s="34">
        <f t="shared" si="380"/>
        <v>32016369</v>
      </c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4"/>
    </row>
    <row r="156" spans="1:196" s="1" customFormat="1" ht="33.950000000000003">
      <c r="A156" s="2" t="str">
        <f t="shared" si="339"/>
        <v>SI Sent, Shipment Awaited</v>
      </c>
      <c r="B156" s="282">
        <v>53</v>
      </c>
      <c r="C156" s="282">
        <v>215</v>
      </c>
      <c r="D156" s="182" t="s">
        <v>208</v>
      </c>
      <c r="E156" s="2" t="str">
        <f t="shared" si="340"/>
        <v>SHORT POSITION</v>
      </c>
      <c r="F156" s="271">
        <f t="shared" si="384"/>
        <v>32016370</v>
      </c>
      <c r="G156" s="271"/>
      <c r="H156" s="2" t="str">
        <f t="shared" si="381"/>
        <v>FAVOURITE CASHEWS</v>
      </c>
      <c r="I156" s="3" t="s">
        <v>754</v>
      </c>
      <c r="J156" s="2" t="s">
        <v>210</v>
      </c>
      <c r="K156" s="2" t="str">
        <f t="shared" si="341"/>
        <v>MANGALORE, INDIA</v>
      </c>
      <c r="L156" s="2" t="str">
        <f t="shared" si="334"/>
        <v/>
      </c>
      <c r="M156" s="2" t="str">
        <f t="shared" si="333"/>
        <v/>
      </c>
      <c r="N156" s="22" t="str">
        <f t="shared" si="342"/>
        <v/>
      </c>
      <c r="O156" s="22" t="str">
        <f t="shared" si="332"/>
        <v/>
      </c>
      <c r="P156" s="22" t="str">
        <f t="shared" si="343"/>
        <v>No OBL Yet</v>
      </c>
      <c r="Q156" s="2"/>
      <c r="R156" s="2" t="str">
        <f t="shared" si="344"/>
        <v>No CERTS Yet</v>
      </c>
      <c r="S156" s="2" t="str">
        <f t="shared" si="351"/>
        <v/>
      </c>
      <c r="T156" s="2" t="str">
        <f>IFERROR(_xlfn.XLOOKUP(F156,
'[2]Data 2026'!$H$12:$H$111,
'[2]Data 2026'!$CL$12:$CL$111),"")</f>
        <v/>
      </c>
      <c r="U156" s="3" t="s">
        <v>856</v>
      </c>
      <c r="V156" s="272"/>
      <c r="W156" s="3"/>
      <c r="X156" s="24">
        <v>46153</v>
      </c>
      <c r="Y156" s="273">
        <v>20010294</v>
      </c>
      <c r="Z156" s="24">
        <v>46153</v>
      </c>
      <c r="AA156" s="182">
        <v>32016370</v>
      </c>
      <c r="AB156" s="182" t="s">
        <v>268</v>
      </c>
      <c r="AC156" s="181" t="s">
        <v>849</v>
      </c>
      <c r="AD156" s="181">
        <v>46234</v>
      </c>
      <c r="AE156" s="30">
        <v>0.1</v>
      </c>
      <c r="AF156" s="277">
        <v>200</v>
      </c>
      <c r="AG156" s="4">
        <f t="shared" si="345"/>
        <v>180</v>
      </c>
      <c r="AH156" s="3" t="s">
        <v>215</v>
      </c>
      <c r="AI156" s="4">
        <v>1720</v>
      </c>
      <c r="AJ156" s="4">
        <f t="shared" si="335"/>
        <v>344000</v>
      </c>
      <c r="AK156" s="3" t="s">
        <v>249</v>
      </c>
      <c r="AL156" s="3" t="s">
        <v>238</v>
      </c>
      <c r="AM156" s="183">
        <v>0.1</v>
      </c>
      <c r="AN156" s="183">
        <v>0.9</v>
      </c>
      <c r="AO156" s="183">
        <v>0</v>
      </c>
      <c r="AP156" s="28" t="s">
        <v>218</v>
      </c>
      <c r="AQ156" s="3" t="s">
        <v>239</v>
      </c>
      <c r="AR156" s="18" t="s">
        <v>850</v>
      </c>
      <c r="AS156" s="27">
        <v>5</v>
      </c>
      <c r="AT156" s="3" t="s">
        <v>220</v>
      </c>
      <c r="AU156" s="3" t="s">
        <v>220</v>
      </c>
      <c r="AV156" s="3" t="s">
        <v>220</v>
      </c>
      <c r="AW156" s="9"/>
      <c r="AX156" s="3"/>
      <c r="AY156" s="47">
        <v>46160</v>
      </c>
      <c r="AZ156" s="278">
        <f t="shared" si="382"/>
        <v>34400</v>
      </c>
      <c r="BA156" s="18">
        <v>46163</v>
      </c>
      <c r="BB156" s="22">
        <v>46163</v>
      </c>
      <c r="BC156" s="22"/>
      <c r="BD156" s="22"/>
      <c r="BE156" s="22"/>
      <c r="BF156" s="22"/>
      <c r="BG156" s="18"/>
      <c r="BH156" s="18"/>
      <c r="BI156" s="18"/>
      <c r="BJ156" s="25"/>
      <c r="BK156" s="336"/>
      <c r="BL156" s="501"/>
      <c r="BM156" s="18"/>
      <c r="BN156" s="338"/>
      <c r="BO156" s="18"/>
      <c r="BP156" s="3" t="s">
        <v>754</v>
      </c>
      <c r="BQ156" s="21" t="s">
        <v>265</v>
      </c>
      <c r="BR156" s="2"/>
      <c r="BS156" s="2"/>
      <c r="BT156" s="2"/>
      <c r="BU156" s="2"/>
      <c r="BV156" s="20"/>
      <c r="BW156" s="19"/>
      <c r="BX156" s="189">
        <f t="shared" si="352"/>
        <v>0</v>
      </c>
      <c r="BY156" s="22"/>
      <c r="BZ156" s="22"/>
      <c r="CA156" s="22"/>
      <c r="CB156" s="22"/>
      <c r="CC156" s="22"/>
      <c r="CD156" s="22"/>
      <c r="CE156" s="22" t="str">
        <f t="shared" si="350"/>
        <v>No OBL Yet</v>
      </c>
      <c r="CF156" s="22"/>
      <c r="CG156" s="22"/>
      <c r="CH156" s="182"/>
      <c r="CI156" s="182"/>
      <c r="CJ156" s="182"/>
      <c r="CK156" s="2" t="str">
        <f t="shared" si="346"/>
        <v>No CERTS Yet</v>
      </c>
      <c r="CL156" s="48"/>
      <c r="CM156" s="22"/>
      <c r="CN156" s="55"/>
      <c r="CO156" s="55"/>
      <c r="CP156" s="55" t="str">
        <f t="shared" si="383"/>
        <v/>
      </c>
      <c r="CQ156" s="190">
        <f t="shared" si="336"/>
        <v>-34400</v>
      </c>
      <c r="CR156" s="54"/>
      <c r="CS156" s="2"/>
      <c r="CT156" s="2"/>
      <c r="CU156" s="14" t="str">
        <f t="shared" si="353"/>
        <v/>
      </c>
      <c r="CV156" s="191" t="str">
        <f t="shared" si="354"/>
        <v/>
      </c>
      <c r="CW156" s="14" t="str">
        <f t="shared" si="355"/>
        <v/>
      </c>
      <c r="CX156" s="14" t="str">
        <f t="shared" si="356"/>
        <v/>
      </c>
      <c r="CY156" s="15" t="str">
        <f t="shared" si="357"/>
        <v/>
      </c>
      <c r="CZ156" s="2"/>
      <c r="DA156" s="41" t="str">
        <f t="shared" si="358"/>
        <v/>
      </c>
      <c r="DB156" s="2"/>
      <c r="DC156" s="192" t="str">
        <f t="shared" si="359"/>
        <v/>
      </c>
      <c r="DD156" s="40"/>
      <c r="DE156" s="16" t="str">
        <f t="shared" si="360"/>
        <v/>
      </c>
      <c r="DF156" s="2" t="str">
        <f t="shared" si="361"/>
        <v/>
      </c>
      <c r="DG156" s="14" t="str">
        <f t="shared" si="362"/>
        <v/>
      </c>
      <c r="DH156" s="2" t="str">
        <f t="shared" si="363"/>
        <v/>
      </c>
      <c r="DI156" s="192" t="str">
        <f t="shared" si="364"/>
        <v/>
      </c>
      <c r="DJ156" s="2" t="str">
        <f t="shared" si="365"/>
        <v/>
      </c>
      <c r="DK156" s="15" t="str">
        <f t="shared" si="366"/>
        <v/>
      </c>
      <c r="DL156" s="2"/>
      <c r="DM156" s="2"/>
      <c r="DN156" s="15" t="str">
        <f t="shared" si="367"/>
        <v/>
      </c>
      <c r="DO156" s="14" t="str">
        <f t="shared" si="368"/>
        <v/>
      </c>
      <c r="DP156" s="14" t="str">
        <f t="shared" si="369"/>
        <v/>
      </c>
      <c r="DQ156" s="15" t="str">
        <f t="shared" si="370"/>
        <v/>
      </c>
      <c r="DR156" s="15" t="str">
        <f t="shared" si="371"/>
        <v/>
      </c>
      <c r="DS156" s="2" t="str">
        <f t="shared" si="372"/>
        <v/>
      </c>
      <c r="DT156" s="2" t="str">
        <f t="shared" si="373"/>
        <v/>
      </c>
      <c r="DU156" s="2"/>
      <c r="DV156" s="2"/>
      <c r="DW156" s="2"/>
      <c r="DX156" s="2"/>
      <c r="DY156" s="2" t="s">
        <v>230</v>
      </c>
      <c r="DZ156" s="2"/>
      <c r="EA156" s="2" t="str">
        <f t="shared" si="374"/>
        <v/>
      </c>
      <c r="EB156" s="2"/>
      <c r="EC156" s="2"/>
      <c r="ED156" s="2"/>
      <c r="EE156" s="3"/>
      <c r="EF156" s="7"/>
      <c r="EG156" s="3"/>
      <c r="EH156" s="3" t="s">
        <v>759</v>
      </c>
      <c r="EI156" s="3"/>
      <c r="EJ156" s="189"/>
      <c r="EK156" s="4"/>
      <c r="EL156" s="9"/>
      <c r="EM156" s="9"/>
      <c r="EN156" s="189">
        <f t="shared" si="375"/>
        <v>0</v>
      </c>
      <c r="EO156" s="9"/>
      <c r="EP156" s="8"/>
      <c r="EQ156" s="4"/>
      <c r="ER156" s="4"/>
      <c r="ES156" s="7"/>
      <c r="ET156" s="7"/>
      <c r="EU156" s="6"/>
      <c r="EV156" s="2" t="str">
        <f t="shared" si="347"/>
        <v>Yet to load</v>
      </c>
      <c r="EW156" s="189"/>
      <c r="EX156" s="189" t="e">
        <f t="shared" si="376"/>
        <v>#DIV/0!</v>
      </c>
      <c r="EY156" s="24"/>
      <c r="EZ156" s="24"/>
      <c r="FA156" s="2"/>
      <c r="FB156" s="24"/>
      <c r="FC156" s="193"/>
      <c r="FD156" s="189">
        <f t="shared" si="377"/>
        <v>0</v>
      </c>
      <c r="FE156" s="52"/>
      <c r="FF156" s="52"/>
      <c r="FG156" s="49"/>
      <c r="FH156" s="49"/>
      <c r="FI156" s="49"/>
      <c r="FJ156" s="49"/>
      <c r="FK156" s="49"/>
      <c r="FL156" s="49"/>
      <c r="FM156" s="180"/>
      <c r="FN156" s="49"/>
      <c r="FO156" s="49"/>
      <c r="FP156" s="49"/>
      <c r="FQ156" s="49"/>
      <c r="FR156" s="49"/>
      <c r="FS156" s="34">
        <f t="shared" si="337"/>
        <v>20010294</v>
      </c>
      <c r="FT156" s="34">
        <f t="shared" si="380"/>
        <v>32016370</v>
      </c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4"/>
    </row>
    <row r="157" spans="1:196" s="1" customFormat="1" ht="33.950000000000003">
      <c r="A157" s="2" t="str">
        <f t="shared" si="339"/>
        <v>SI Sent, Shipment Awaited</v>
      </c>
      <c r="B157" s="282">
        <v>53</v>
      </c>
      <c r="C157" s="282">
        <v>215</v>
      </c>
      <c r="D157" s="182" t="s">
        <v>208</v>
      </c>
      <c r="E157" s="2" t="str">
        <f t="shared" si="340"/>
        <v>SHORT POSITION</v>
      </c>
      <c r="F157" s="271">
        <f t="shared" si="384"/>
        <v>32016371</v>
      </c>
      <c r="G157" s="271"/>
      <c r="H157" s="2" t="str">
        <f t="shared" si="381"/>
        <v>SIDDHI VINAYAKA CASHEW INDUSTRIES</v>
      </c>
      <c r="I157" s="3" t="s">
        <v>754</v>
      </c>
      <c r="J157" s="2" t="s">
        <v>210</v>
      </c>
      <c r="K157" s="2" t="str">
        <f t="shared" si="341"/>
        <v>MANGALORE, INDIA</v>
      </c>
      <c r="L157" s="2" t="str">
        <f t="shared" si="334"/>
        <v/>
      </c>
      <c r="M157" s="2" t="str">
        <f t="shared" si="333"/>
        <v/>
      </c>
      <c r="N157" s="22" t="str">
        <f t="shared" si="342"/>
        <v/>
      </c>
      <c r="O157" s="22" t="str">
        <f t="shared" si="332"/>
        <v/>
      </c>
      <c r="P157" s="22" t="str">
        <f t="shared" si="343"/>
        <v>No OBL Yet</v>
      </c>
      <c r="Q157" s="2"/>
      <c r="R157" s="2" t="str">
        <f t="shared" si="344"/>
        <v>No CERTS Yet</v>
      </c>
      <c r="S157" s="2" t="str">
        <f t="shared" si="351"/>
        <v/>
      </c>
      <c r="T157" s="2" t="str">
        <f>IFERROR(_xlfn.XLOOKUP(F157,
'[2]Data 2026'!$H$12:$H$111,
'[2]Data 2026'!$CL$12:$CL$111),"")</f>
        <v/>
      </c>
      <c r="U157" s="3" t="s">
        <v>788</v>
      </c>
      <c r="V157" s="272"/>
      <c r="W157" s="3"/>
      <c r="X157" s="24">
        <v>46153</v>
      </c>
      <c r="Y157" s="273">
        <v>20010295</v>
      </c>
      <c r="Z157" s="24">
        <v>46153</v>
      </c>
      <c r="AA157" s="182">
        <v>32016371</v>
      </c>
      <c r="AB157" s="182" t="s">
        <v>857</v>
      </c>
      <c r="AC157" s="181" t="s">
        <v>849</v>
      </c>
      <c r="AD157" s="181">
        <v>46234</v>
      </c>
      <c r="AE157" s="30">
        <v>0.1</v>
      </c>
      <c r="AF157" s="277">
        <v>200</v>
      </c>
      <c r="AG157" s="4">
        <f t="shared" si="345"/>
        <v>180</v>
      </c>
      <c r="AH157" s="3" t="s">
        <v>215</v>
      </c>
      <c r="AI157" s="4">
        <v>1720</v>
      </c>
      <c r="AJ157" s="4">
        <f t="shared" si="335"/>
        <v>344000</v>
      </c>
      <c r="AK157" s="3" t="s">
        <v>249</v>
      </c>
      <c r="AL157" s="3" t="s">
        <v>238</v>
      </c>
      <c r="AM157" s="183">
        <v>0.1</v>
      </c>
      <c r="AN157" s="183">
        <v>0.9</v>
      </c>
      <c r="AO157" s="183">
        <v>0</v>
      </c>
      <c r="AP157" s="28" t="s">
        <v>218</v>
      </c>
      <c r="AQ157" s="3" t="s">
        <v>239</v>
      </c>
      <c r="AR157" s="18" t="s">
        <v>850</v>
      </c>
      <c r="AS157" s="27">
        <v>5</v>
      </c>
      <c r="AT157" s="3" t="s">
        <v>220</v>
      </c>
      <c r="AU157" s="3" t="s">
        <v>220</v>
      </c>
      <c r="AV157" s="3" t="s">
        <v>220</v>
      </c>
      <c r="AW157" s="9"/>
      <c r="AX157" s="3"/>
      <c r="AY157" s="47">
        <v>46160</v>
      </c>
      <c r="AZ157" s="278">
        <f t="shared" si="382"/>
        <v>34400</v>
      </c>
      <c r="BA157" s="18">
        <v>46164</v>
      </c>
      <c r="BB157" s="22">
        <v>46163</v>
      </c>
      <c r="BC157" s="22"/>
      <c r="BD157" s="22"/>
      <c r="BE157" s="22"/>
      <c r="BF157" s="22"/>
      <c r="BG157" s="18"/>
      <c r="BH157" s="18"/>
      <c r="BI157" s="18"/>
      <c r="BJ157" s="25"/>
      <c r="BK157" s="336"/>
      <c r="BL157" s="501"/>
      <c r="BM157" s="18"/>
      <c r="BN157" s="338"/>
      <c r="BO157" s="18"/>
      <c r="BP157" s="3" t="s">
        <v>754</v>
      </c>
      <c r="BQ157" s="21" t="s">
        <v>265</v>
      </c>
      <c r="BR157" s="2"/>
      <c r="BS157" s="2"/>
      <c r="BT157" s="2"/>
      <c r="BU157" s="2"/>
      <c r="BV157" s="20"/>
      <c r="BW157" s="19"/>
      <c r="BX157" s="189">
        <f t="shared" si="352"/>
        <v>0</v>
      </c>
      <c r="BY157" s="22"/>
      <c r="BZ157" s="22"/>
      <c r="CA157" s="22"/>
      <c r="CB157" s="22"/>
      <c r="CC157" s="22"/>
      <c r="CD157" s="22"/>
      <c r="CE157" s="22" t="str">
        <f t="shared" si="350"/>
        <v>No OBL Yet</v>
      </c>
      <c r="CF157" s="22"/>
      <c r="CG157" s="22"/>
      <c r="CH157" s="182"/>
      <c r="CI157" s="182"/>
      <c r="CJ157" s="182"/>
      <c r="CK157" s="2" t="str">
        <f t="shared" si="346"/>
        <v>No CERTS Yet</v>
      </c>
      <c r="CL157" s="48"/>
      <c r="CM157" s="22"/>
      <c r="CN157" s="645"/>
      <c r="CO157" s="55"/>
      <c r="CP157" s="55" t="str">
        <f t="shared" si="383"/>
        <v/>
      </c>
      <c r="CQ157" s="190">
        <f t="shared" si="336"/>
        <v>-34400</v>
      </c>
      <c r="CR157" s="54"/>
      <c r="CS157" s="2"/>
      <c r="CT157" s="2"/>
      <c r="CU157" s="14" t="str">
        <f t="shared" si="353"/>
        <v/>
      </c>
      <c r="CV157" s="191" t="str">
        <f t="shared" si="354"/>
        <v/>
      </c>
      <c r="CW157" s="14" t="str">
        <f t="shared" si="355"/>
        <v/>
      </c>
      <c r="CX157" s="14" t="str">
        <f t="shared" si="356"/>
        <v/>
      </c>
      <c r="CY157" s="15" t="str">
        <f t="shared" si="357"/>
        <v/>
      </c>
      <c r="CZ157" s="2"/>
      <c r="DA157" s="41" t="str">
        <f t="shared" si="358"/>
        <v/>
      </c>
      <c r="DB157" s="2"/>
      <c r="DC157" s="192" t="str">
        <f t="shared" si="359"/>
        <v/>
      </c>
      <c r="DD157" s="40"/>
      <c r="DE157" s="16" t="str">
        <f t="shared" si="360"/>
        <v/>
      </c>
      <c r="DF157" s="2" t="str">
        <f t="shared" si="361"/>
        <v/>
      </c>
      <c r="DG157" s="14" t="str">
        <f t="shared" si="362"/>
        <v/>
      </c>
      <c r="DH157" s="2" t="str">
        <f t="shared" si="363"/>
        <v/>
      </c>
      <c r="DI157" s="192" t="str">
        <f t="shared" si="364"/>
        <v/>
      </c>
      <c r="DJ157" s="2" t="str">
        <f t="shared" si="365"/>
        <v/>
      </c>
      <c r="DK157" s="15" t="str">
        <f t="shared" si="366"/>
        <v/>
      </c>
      <c r="DL157" s="2"/>
      <c r="DM157" s="2"/>
      <c r="DN157" s="15" t="str">
        <f t="shared" si="367"/>
        <v/>
      </c>
      <c r="DO157" s="14" t="str">
        <f t="shared" si="368"/>
        <v/>
      </c>
      <c r="DP157" s="14" t="str">
        <f t="shared" si="369"/>
        <v/>
      </c>
      <c r="DQ157" s="15" t="str">
        <f t="shared" si="370"/>
        <v/>
      </c>
      <c r="DR157" s="15" t="str">
        <f t="shared" si="371"/>
        <v/>
      </c>
      <c r="DS157" s="2" t="str">
        <f t="shared" si="372"/>
        <v/>
      </c>
      <c r="DT157" s="2" t="str">
        <f t="shared" si="373"/>
        <v/>
      </c>
      <c r="DU157" s="2"/>
      <c r="DV157" s="418"/>
      <c r="DW157" s="2"/>
      <c r="DX157" s="2"/>
      <c r="DY157" s="2" t="s">
        <v>230</v>
      </c>
      <c r="DZ157" s="2"/>
      <c r="EA157" s="2" t="str">
        <f t="shared" si="374"/>
        <v/>
      </c>
      <c r="EB157" s="2"/>
      <c r="EC157" s="2"/>
      <c r="ED157" s="2"/>
      <c r="EE157" s="3"/>
      <c r="EF157" s="7"/>
      <c r="EG157" s="3"/>
      <c r="EH157" s="3" t="s">
        <v>759</v>
      </c>
      <c r="EI157" s="3"/>
      <c r="EJ157" s="189"/>
      <c r="EK157" s="4"/>
      <c r="EL157" s="9"/>
      <c r="EM157" s="9"/>
      <c r="EN157" s="189">
        <f t="shared" si="375"/>
        <v>0</v>
      </c>
      <c r="EO157" s="9"/>
      <c r="EP157" s="8"/>
      <c r="EQ157" s="4"/>
      <c r="ER157" s="4"/>
      <c r="ES157" s="7"/>
      <c r="ET157" s="7"/>
      <c r="EU157" s="6"/>
      <c r="EV157" s="2" t="str">
        <f t="shared" si="347"/>
        <v>Yet to load</v>
      </c>
      <c r="EW157" s="189"/>
      <c r="EX157" s="189" t="e">
        <f t="shared" si="376"/>
        <v>#DIV/0!</v>
      </c>
      <c r="EY157" s="24"/>
      <c r="EZ157" s="24"/>
      <c r="FA157" s="2"/>
      <c r="FB157" s="24"/>
      <c r="FC157" s="193"/>
      <c r="FD157" s="189">
        <f t="shared" si="377"/>
        <v>0</v>
      </c>
      <c r="FE157" s="52"/>
      <c r="FF157" s="52"/>
      <c r="FG157" s="49"/>
      <c r="FH157" s="49"/>
      <c r="FI157" s="49"/>
      <c r="FJ157" s="49"/>
      <c r="FK157" s="49"/>
      <c r="FL157" s="49"/>
      <c r="FM157" s="34"/>
      <c r="FN157" s="34"/>
      <c r="FO157" s="3"/>
      <c r="FP157" s="3"/>
      <c r="FQ157" s="3"/>
      <c r="FR157" s="3"/>
      <c r="FS157" s="34">
        <f t="shared" si="337"/>
        <v>20010295</v>
      </c>
      <c r="FT157" s="34">
        <f t="shared" si="380"/>
        <v>32016371</v>
      </c>
      <c r="FU157" s="3"/>
      <c r="FV157" s="4"/>
      <c r="FW157" s="3"/>
      <c r="FX157" s="182"/>
      <c r="FY157" s="3"/>
      <c r="FZ157" s="3"/>
      <c r="GA157" s="3"/>
      <c r="GB157" s="3"/>
      <c r="GC157" s="3"/>
      <c r="GD157" s="3"/>
      <c r="GE157" s="3"/>
      <c r="GF157" s="3"/>
      <c r="GG157" s="3"/>
      <c r="GH157" s="3"/>
    </row>
    <row r="158" spans="1:196" s="1" customFormat="1" ht="33.950000000000003">
      <c r="A158" s="2" t="str">
        <f t="shared" si="339"/>
        <v>SI Sent, Shipment Awaited</v>
      </c>
      <c r="B158" s="282">
        <v>53</v>
      </c>
      <c r="C158" s="282">
        <v>220</v>
      </c>
      <c r="D158" s="182" t="s">
        <v>208</v>
      </c>
      <c r="E158" s="2" t="str">
        <f t="shared" si="340"/>
        <v>SHORT POSITION</v>
      </c>
      <c r="F158" s="271">
        <f t="shared" si="384"/>
        <v>32016372</v>
      </c>
      <c r="G158" s="271"/>
      <c r="H158" s="2" t="str">
        <f t="shared" si="381"/>
        <v>ST.MARY CASHEW FACTORY</v>
      </c>
      <c r="I158" s="3" t="s">
        <v>754</v>
      </c>
      <c r="J158" s="2" t="s">
        <v>210</v>
      </c>
      <c r="K158" s="2" t="str">
        <f t="shared" si="341"/>
        <v>TUTICORIN, INDIA</v>
      </c>
      <c r="L158" s="2" t="str">
        <f t="shared" si="334"/>
        <v/>
      </c>
      <c r="M158" s="2" t="str">
        <f t="shared" si="333"/>
        <v/>
      </c>
      <c r="N158" s="22" t="str">
        <f t="shared" si="342"/>
        <v/>
      </c>
      <c r="O158" s="22" t="str">
        <f t="shared" si="332"/>
        <v/>
      </c>
      <c r="P158" s="22" t="str">
        <f t="shared" si="343"/>
        <v>No OBL Yet</v>
      </c>
      <c r="Q158" s="2"/>
      <c r="R158" s="2" t="str">
        <f t="shared" si="344"/>
        <v>No CERTS Yet</v>
      </c>
      <c r="S158" s="2"/>
      <c r="T158" s="2" t="str">
        <f>IFERROR(_xlfn.XLOOKUP(F158,
'[2]Data 2026'!$H$12:$H$111,
'[2]Data 2026'!$CL$12:$CL$111),"")</f>
        <v/>
      </c>
      <c r="U158" s="3"/>
      <c r="V158" s="272"/>
      <c r="W158" s="3"/>
      <c r="X158" s="24">
        <v>46154</v>
      </c>
      <c r="Y158" s="273">
        <v>20010296</v>
      </c>
      <c r="Z158" s="24">
        <v>46154</v>
      </c>
      <c r="AA158" s="182">
        <v>32016372</v>
      </c>
      <c r="AB158" s="182" t="s">
        <v>851</v>
      </c>
      <c r="AC158" s="181" t="s">
        <v>849</v>
      </c>
      <c r="AD158" s="181">
        <v>46234</v>
      </c>
      <c r="AE158" s="30">
        <v>0.1</v>
      </c>
      <c r="AF158" s="277">
        <v>200</v>
      </c>
      <c r="AG158" s="4">
        <f t="shared" si="345"/>
        <v>180</v>
      </c>
      <c r="AH158" s="3" t="s">
        <v>215</v>
      </c>
      <c r="AI158" s="4">
        <v>1700</v>
      </c>
      <c r="AJ158" s="4">
        <f t="shared" si="335"/>
        <v>340000</v>
      </c>
      <c r="AK158" s="3" t="s">
        <v>249</v>
      </c>
      <c r="AL158" s="3" t="s">
        <v>238</v>
      </c>
      <c r="AM158" s="183">
        <v>0</v>
      </c>
      <c r="AN158" s="183">
        <v>1</v>
      </c>
      <c r="AO158" s="183">
        <v>0</v>
      </c>
      <c r="AP158" s="28" t="s">
        <v>218</v>
      </c>
      <c r="AQ158" s="3" t="s">
        <v>239</v>
      </c>
      <c r="AR158" s="18" t="s">
        <v>251</v>
      </c>
      <c r="AS158" s="27"/>
      <c r="AT158" s="3" t="s">
        <v>220</v>
      </c>
      <c r="AU158" s="3" t="s">
        <v>220</v>
      </c>
      <c r="AV158" s="3" t="s">
        <v>220</v>
      </c>
      <c r="AW158" s="9"/>
      <c r="AX158" s="3"/>
      <c r="AY158" s="47"/>
      <c r="AZ158" s="278">
        <f t="shared" si="382"/>
        <v>0</v>
      </c>
      <c r="BA158" s="18"/>
      <c r="BB158" s="22">
        <v>46163</v>
      </c>
      <c r="BC158" s="22"/>
      <c r="BD158" s="22"/>
      <c r="BE158" s="22"/>
      <c r="BF158" s="22"/>
      <c r="BG158" s="18"/>
      <c r="BH158" s="18"/>
      <c r="BI158" s="18"/>
      <c r="BJ158" s="25"/>
      <c r="BK158" s="24"/>
      <c r="BL158" s="271"/>
      <c r="BM158" s="18"/>
      <c r="BN158" s="21"/>
      <c r="BO158" s="18"/>
      <c r="BP158" s="3" t="s">
        <v>754</v>
      </c>
      <c r="BQ158" s="21" t="s">
        <v>346</v>
      </c>
      <c r="BR158" s="2"/>
      <c r="BS158" s="20"/>
      <c r="BT158" s="19"/>
      <c r="BU158" s="189">
        <f>BI158*AF158</f>
        <v>0</v>
      </c>
      <c r="BV158" s="22"/>
      <c r="BW158" s="22"/>
      <c r="BX158" s="22"/>
      <c r="BY158" s="22"/>
      <c r="BZ158" s="22"/>
      <c r="CA158" s="22"/>
      <c r="CB158" s="22"/>
      <c r="CC158" s="22"/>
      <c r="CD158" s="22"/>
      <c r="CE158" s="22" t="str">
        <f t="shared" si="350"/>
        <v>No OBL Yet</v>
      </c>
      <c r="CF158" s="182"/>
      <c r="CG158" s="182"/>
      <c r="CH158" s="2"/>
      <c r="CI158" s="48"/>
      <c r="CJ158" s="22"/>
      <c r="CK158" s="2" t="str">
        <f t="shared" si="346"/>
        <v>No CERTS Yet</v>
      </c>
      <c r="CL158" s="55"/>
      <c r="CM158" s="55"/>
      <c r="CN158" s="190"/>
      <c r="CO158" s="54"/>
      <c r="CP158" s="2"/>
      <c r="CQ158" s="2"/>
      <c r="CR158" s="14"/>
      <c r="CS158" s="191"/>
      <c r="CT158" s="14"/>
      <c r="CU158" s="14"/>
      <c r="CV158" s="15"/>
      <c r="CW158" s="2"/>
      <c r="CX158" s="41"/>
      <c r="CY158" s="2"/>
      <c r="CZ158" s="192"/>
      <c r="DA158" s="40"/>
      <c r="DB158" s="16"/>
      <c r="DC158" s="2"/>
      <c r="DD158" s="14"/>
      <c r="DE158" s="2"/>
      <c r="DF158" s="192"/>
      <c r="DG158" s="2"/>
      <c r="DH158" s="15"/>
      <c r="DI158" s="2"/>
      <c r="DJ158" s="2"/>
      <c r="DK158" s="15"/>
      <c r="DL158" s="14"/>
      <c r="DM158" s="14"/>
      <c r="DN158" s="15"/>
      <c r="DO158" s="15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3"/>
      <c r="EC158" s="7"/>
      <c r="ED158" s="3"/>
      <c r="EE158" s="3"/>
      <c r="EF158" s="3"/>
      <c r="EG158" s="189"/>
      <c r="EH158" s="3" t="s">
        <v>759</v>
      </c>
      <c r="EI158" s="9"/>
      <c r="EJ158" s="9"/>
      <c r="EK158" s="189"/>
      <c r="EL158" s="9"/>
      <c r="EM158" s="8"/>
      <c r="EN158" s="4"/>
      <c r="EO158" s="7"/>
      <c r="EP158" s="7"/>
      <c r="EQ158" s="6"/>
      <c r="ER158" s="6"/>
      <c r="ES158" s="2"/>
      <c r="ET158" s="189"/>
      <c r="EU158" s="189"/>
      <c r="EV158" s="2" t="str">
        <f t="shared" si="347"/>
        <v>Yet to load</v>
      </c>
      <c r="EW158" s="24"/>
      <c r="EX158" s="2"/>
      <c r="EY158" s="24"/>
      <c r="EZ158" s="193"/>
      <c r="FA158" s="189"/>
      <c r="FB158" s="52"/>
      <c r="FC158" s="52"/>
      <c r="FD158" s="49"/>
      <c r="FE158" s="49"/>
      <c r="FF158" s="180"/>
      <c r="FG158" s="49"/>
      <c r="FH158" s="49"/>
      <c r="FI158" s="49"/>
      <c r="FJ158" s="49"/>
      <c r="FK158" s="49"/>
      <c r="FL158" s="49">
        <f>IFERROR(EZ158-BY158,"")</f>
        <v>0</v>
      </c>
      <c r="FM158" s="180">
        <f>IFERROR(BM158-FB158,"")</f>
        <v>0</v>
      </c>
      <c r="FN158" s="49"/>
      <c r="FO158" s="49"/>
      <c r="FP158" s="49"/>
      <c r="FQ158" s="49"/>
      <c r="FR158" s="49"/>
      <c r="FS158" s="34">
        <f t="shared" si="337"/>
        <v>20010296</v>
      </c>
      <c r="FT158" s="34">
        <f t="shared" si="380"/>
        <v>32016372</v>
      </c>
      <c r="FU158" s="3"/>
      <c r="FV158" s="3"/>
      <c r="FW158" s="3"/>
      <c r="FX158" s="3"/>
      <c r="FY158" s="3"/>
      <c r="FZ158" s="3"/>
      <c r="GA158" s="3"/>
      <c r="GB158" s="4"/>
      <c r="GC158" s="3"/>
      <c r="GD158" s="182"/>
      <c r="GE158" s="3"/>
      <c r="GF158" s="3"/>
      <c r="GG158" s="3"/>
      <c r="GH158" s="3"/>
      <c r="GI158" s="3"/>
      <c r="GJ158" s="3"/>
      <c r="GK158" s="3"/>
      <c r="GL158" s="3"/>
      <c r="GM158" s="3"/>
      <c r="GN158" s="3"/>
    </row>
    <row r="159" spans="1:196" s="1" customFormat="1" ht="33.950000000000003">
      <c r="A159" s="2" t="str">
        <f t="shared" si="339"/>
        <v>SI Sent, Shipment Awaited</v>
      </c>
      <c r="B159" s="282">
        <v>53</v>
      </c>
      <c r="C159" s="282">
        <v>220</v>
      </c>
      <c r="D159" s="182" t="s">
        <v>208</v>
      </c>
      <c r="E159" s="2" t="str">
        <f t="shared" si="340"/>
        <v>SHORT POSITION</v>
      </c>
      <c r="F159" s="271">
        <f t="shared" si="384"/>
        <v>32016373</v>
      </c>
      <c r="G159" s="271"/>
      <c r="H159" s="2" t="str">
        <f t="shared" si="381"/>
        <v>ST. GREGORIOUS CASHEW</v>
      </c>
      <c r="I159" s="3" t="s">
        <v>754</v>
      </c>
      <c r="J159" s="2" t="s">
        <v>210</v>
      </c>
      <c r="K159" s="2" t="str">
        <f t="shared" si="341"/>
        <v>TUTICORIN, INDIA</v>
      </c>
      <c r="L159" s="2" t="str">
        <f t="shared" si="334"/>
        <v/>
      </c>
      <c r="M159" s="2" t="str">
        <f t="shared" si="333"/>
        <v/>
      </c>
      <c r="N159" s="22" t="str">
        <f t="shared" si="342"/>
        <v/>
      </c>
      <c r="O159" s="22" t="str">
        <f t="shared" ref="O159:O179" si="385">IF(BO159&lt;&gt;0,BO159,"")</f>
        <v/>
      </c>
      <c r="P159" s="22" t="str">
        <f t="shared" si="343"/>
        <v>No OBL Yet</v>
      </c>
      <c r="Q159" s="2"/>
      <c r="R159" s="2" t="str">
        <f t="shared" si="344"/>
        <v>No CERTS Yet</v>
      </c>
      <c r="S159" s="2" t="str">
        <f t="shared" ref="S159:S173" si="386">CP159</f>
        <v/>
      </c>
      <c r="T159" s="2" t="str">
        <f>IFERROR(_xlfn.XLOOKUP(F159,
'[2]Data 2026'!$H$12:$H$111,
'[2]Data 2026'!$CL$12:$CL$111),"")</f>
        <v/>
      </c>
      <c r="U159" s="3"/>
      <c r="V159" s="272"/>
      <c r="W159" s="3"/>
      <c r="X159" s="24">
        <v>46154</v>
      </c>
      <c r="Y159" s="273">
        <v>20010297</v>
      </c>
      <c r="Z159" s="24">
        <v>46154</v>
      </c>
      <c r="AA159" s="182">
        <v>32016373</v>
      </c>
      <c r="AB159" s="182" t="s">
        <v>455</v>
      </c>
      <c r="AC159" s="181" t="s">
        <v>849</v>
      </c>
      <c r="AD159" s="181">
        <v>46234</v>
      </c>
      <c r="AE159" s="30">
        <v>0.1</v>
      </c>
      <c r="AF159" s="277">
        <v>300</v>
      </c>
      <c r="AG159" s="4">
        <f t="shared" si="345"/>
        <v>270</v>
      </c>
      <c r="AH159" s="3" t="s">
        <v>215</v>
      </c>
      <c r="AI159" s="4">
        <v>1700</v>
      </c>
      <c r="AJ159" s="4">
        <f t="shared" si="335"/>
        <v>510000</v>
      </c>
      <c r="AK159" s="3" t="s">
        <v>249</v>
      </c>
      <c r="AL159" s="3" t="s">
        <v>238</v>
      </c>
      <c r="AM159" s="183">
        <v>0</v>
      </c>
      <c r="AN159" s="183">
        <v>1</v>
      </c>
      <c r="AO159" s="183">
        <v>0</v>
      </c>
      <c r="AP159" s="28" t="s">
        <v>218</v>
      </c>
      <c r="AQ159" s="3" t="s">
        <v>239</v>
      </c>
      <c r="AR159" s="18" t="s">
        <v>251</v>
      </c>
      <c r="AS159" s="27"/>
      <c r="AT159" s="3" t="s">
        <v>220</v>
      </c>
      <c r="AU159" s="3" t="s">
        <v>220</v>
      </c>
      <c r="AV159" s="3" t="s">
        <v>220</v>
      </c>
      <c r="AW159" s="9"/>
      <c r="AX159" s="3"/>
      <c r="AY159" s="47"/>
      <c r="AZ159" s="278">
        <f t="shared" si="382"/>
        <v>0</v>
      </c>
      <c r="BA159" s="18" t="s">
        <v>220</v>
      </c>
      <c r="BB159" s="22">
        <v>46163</v>
      </c>
      <c r="BC159" s="22"/>
      <c r="BD159" s="22"/>
      <c r="BE159" s="22"/>
      <c r="BF159" s="22"/>
      <c r="BG159" s="18"/>
      <c r="BH159" s="18"/>
      <c r="BI159" s="18"/>
      <c r="BJ159" s="25"/>
      <c r="BK159" s="189"/>
      <c r="BL159" s="497"/>
      <c r="BM159" s="18"/>
      <c r="BN159" s="4"/>
      <c r="BO159" s="18"/>
      <c r="BP159" s="3" t="s">
        <v>754</v>
      </c>
      <c r="BQ159" s="21" t="s">
        <v>346</v>
      </c>
      <c r="BR159" s="2"/>
      <c r="BS159" s="2"/>
      <c r="BT159" s="2"/>
      <c r="BU159" s="2"/>
      <c r="BV159" s="20"/>
      <c r="BW159" s="19"/>
      <c r="BX159" s="189">
        <f>BJ159*AI159</f>
        <v>0</v>
      </c>
      <c r="BY159" s="22"/>
      <c r="BZ159" s="22"/>
      <c r="CA159" s="22"/>
      <c r="CB159" s="22"/>
      <c r="CC159" s="22"/>
      <c r="CD159" s="22"/>
      <c r="CE159" s="22" t="str">
        <f t="shared" si="350"/>
        <v>No OBL Yet</v>
      </c>
      <c r="CF159" s="22"/>
      <c r="CG159" s="22"/>
      <c r="CH159" s="182"/>
      <c r="CI159" s="182"/>
      <c r="CJ159" s="182"/>
      <c r="CK159" s="2" t="str">
        <f t="shared" si="346"/>
        <v>No CERTS Yet</v>
      </c>
      <c r="CL159" s="48"/>
      <c r="CM159" s="22"/>
      <c r="CN159" s="55"/>
      <c r="CO159" s="55"/>
      <c r="CP159" s="55" t="str">
        <f>IF(CO159&lt;&gt;0,"Docs in Buyer's Bank",IF(CN159&lt;&gt;0,"Docs in Transit to Buyer's Bank",IF(CM159&lt;&gt;0,"Docs in Our Bank",IF(CL159="TT PAYMENT","Not Applicable",""))))</f>
        <v/>
      </c>
      <c r="CQ159" s="190">
        <f t="shared" ref="CQ159:CQ173" si="387">(AN159*AI159*BJ159)-AZ159</f>
        <v>0</v>
      </c>
      <c r="CR159" s="54"/>
      <c r="CS159" s="2"/>
      <c r="CT159" s="2"/>
      <c r="CU159" s="14" t="str">
        <f>IF(CS159="","",BJ159-CT159)</f>
        <v/>
      </c>
      <c r="CV159" s="191" t="str">
        <f>IF(CS159="","",CU159/BJ159)</f>
        <v/>
      </c>
      <c r="CW159" s="14" t="str">
        <f>IF(CS159="","",AZ159+CQ159)</f>
        <v/>
      </c>
      <c r="CX159" s="14" t="str">
        <f>IF(CS159="","",BX159*2%)</f>
        <v/>
      </c>
      <c r="CY159" s="15" t="str">
        <f>IF(CS159="","",AI159/B159)</f>
        <v/>
      </c>
      <c r="CZ159" s="2"/>
      <c r="DA159" s="41" t="str">
        <f>IF(CS159="","",B159-CZ159)</f>
        <v/>
      </c>
      <c r="DB159" s="2"/>
      <c r="DC159" s="192" t="str">
        <f>IF(CS159="","",IF(CS159="","",DB159-C159))</f>
        <v/>
      </c>
      <c r="DD159" s="40"/>
      <c r="DE159" s="16" t="str">
        <f>IF(CS159="","",10%-DD159)</f>
        <v/>
      </c>
      <c r="DF159" s="2" t="str">
        <f>IF(CS159="","",CU159*AI159)</f>
        <v/>
      </c>
      <c r="DG159" s="14" t="str">
        <f>IF(CS159="","",IF(DA159&gt;2,2*DA159*CT159*CY159,DA159*CT159*CY159))</f>
        <v/>
      </c>
      <c r="DH159" s="2" t="str">
        <f>IF(CS159="","",IF(DA159&gt;2,2*(DA159-2*CT159*CY159),0))</f>
        <v/>
      </c>
      <c r="DI159" s="192" t="str">
        <f>IF(CS159="","",IF(DC159&gt;0,DC159*0.5*CT159,0))</f>
        <v/>
      </c>
      <c r="DJ159" s="2" t="str">
        <f>IF(CS159="","",IF(DE159&lt;0,DE159*CT159*AI159*1%,0))</f>
        <v/>
      </c>
      <c r="DK159" s="15" t="str">
        <f>IF(CS159="","",SUM(DF159:DJ159))</f>
        <v/>
      </c>
      <c r="DL159" s="2"/>
      <c r="DM159" s="2"/>
      <c r="DN159" s="15" t="str">
        <f>IF(CS159="","",SUM(DK159:DL159))</f>
        <v/>
      </c>
      <c r="DO159" s="14" t="str">
        <f>IF(CS159="","",BJ159*AI159-DN159)</f>
        <v/>
      </c>
      <c r="DP159" s="14" t="str">
        <f>IF(CS159="","",AZ159+CQ159)</f>
        <v/>
      </c>
      <c r="DQ159" s="15" t="str">
        <f>IF(CS159="","",IF((DP159-DO159)&gt;0,DP159-DO159,""))</f>
        <v/>
      </c>
      <c r="DR159" s="15" t="str">
        <f>IF(CS159="","",IF((DO159-DP159)&gt;0,(DO159-DP159),""))</f>
        <v/>
      </c>
      <c r="DS159" s="2" t="str">
        <f>IF(CS159="","",IF(DQ159="",H159,"VALENCY"))</f>
        <v/>
      </c>
      <c r="DT159" s="2" t="str">
        <f>IF(DN159="","",IF(DN159&gt;0,"CN", "DN"))</f>
        <v/>
      </c>
      <c r="DU159" s="2"/>
      <c r="DV159" s="2"/>
      <c r="DW159" s="2"/>
      <c r="DX159" s="2"/>
      <c r="DY159" s="2" t="s">
        <v>230</v>
      </c>
      <c r="DZ159" s="2"/>
      <c r="EA159" s="2" t="str">
        <f>IF(CS159="","",
   MIN(0,(IF(DA159&gt;2,2,1)*DA159*CT159*CY159))
)</f>
        <v/>
      </c>
      <c r="EB159" s="2"/>
      <c r="EC159" s="2"/>
      <c r="ED159" s="2"/>
      <c r="EE159" s="3"/>
      <c r="EF159" s="7"/>
      <c r="EG159" s="3"/>
      <c r="EH159" s="3" t="s">
        <v>759</v>
      </c>
      <c r="EI159" s="3"/>
      <c r="EJ159" s="189"/>
      <c r="EK159" s="4"/>
      <c r="EL159" s="9"/>
      <c r="EM159" s="9"/>
      <c r="EN159" s="189">
        <f>EK159*EJ159</f>
        <v>0</v>
      </c>
      <c r="EO159" s="9"/>
      <c r="EP159" s="8"/>
      <c r="EQ159" s="4"/>
      <c r="ER159" s="4"/>
      <c r="ES159" s="7"/>
      <c r="ET159" s="7"/>
      <c r="EU159" s="6"/>
      <c r="EV159" s="2" t="str">
        <f t="shared" si="347"/>
        <v>Yet to load</v>
      </c>
      <c r="EW159" s="189"/>
      <c r="EX159" s="189" t="e">
        <f>EW159/BJ159</f>
        <v>#DIV/0!</v>
      </c>
      <c r="EY159" s="24"/>
      <c r="EZ159" s="24"/>
      <c r="FA159" s="2"/>
      <c r="FB159" s="24"/>
      <c r="FC159" s="193"/>
      <c r="FD159" s="189">
        <f>FC159*BJ159</f>
        <v>0</v>
      </c>
      <c r="FE159" s="52"/>
      <c r="FF159" s="52"/>
      <c r="FG159" s="49"/>
      <c r="FH159" s="49"/>
      <c r="FI159" s="49"/>
      <c r="FJ159" s="49"/>
      <c r="FK159" s="49"/>
      <c r="FL159" s="49">
        <f>IFERROR(EZ159-BY159,"")</f>
        <v>0</v>
      </c>
      <c r="FM159" s="180">
        <f>IFERROR(BM159-FB159,"")</f>
        <v>0</v>
      </c>
      <c r="FN159" s="49"/>
      <c r="FO159" s="49"/>
      <c r="FP159" s="49"/>
      <c r="FQ159" s="49"/>
      <c r="FR159" s="49"/>
      <c r="FS159" s="34">
        <f t="shared" si="337"/>
        <v>20010297</v>
      </c>
      <c r="FT159" s="34">
        <f t="shared" si="380"/>
        <v>32016373</v>
      </c>
      <c r="FU159" s="3"/>
      <c r="FV159" s="3"/>
      <c r="FW159" s="3"/>
      <c r="FX159" s="3"/>
      <c r="FY159" s="3"/>
      <c r="FZ159" s="3"/>
      <c r="GA159" s="3"/>
      <c r="GB159" s="4"/>
      <c r="GC159" s="3"/>
      <c r="GD159" s="182"/>
      <c r="GE159" s="3"/>
      <c r="GF159" s="3"/>
      <c r="GG159" s="3"/>
      <c r="GH159" s="3"/>
      <c r="GI159" s="3"/>
      <c r="GJ159" s="3"/>
      <c r="GK159" s="3"/>
      <c r="GL159" s="3"/>
      <c r="GM159" s="3"/>
      <c r="GN159" s="3"/>
    </row>
    <row r="160" spans="1:196" s="1" customFormat="1" ht="33.950000000000003">
      <c r="A160" s="2" t="str">
        <f t="shared" si="339"/>
        <v>SI Sent, Shipment Awaited</v>
      </c>
      <c r="B160" s="282">
        <v>53</v>
      </c>
      <c r="C160" s="282">
        <v>215</v>
      </c>
      <c r="D160" s="182" t="s">
        <v>208</v>
      </c>
      <c r="E160" s="2" t="str">
        <f t="shared" si="340"/>
        <v>SHORT POSITION</v>
      </c>
      <c r="F160" s="271">
        <f t="shared" si="384"/>
        <v>32016393</v>
      </c>
      <c r="G160" s="271"/>
      <c r="H160" s="2" t="str">
        <f t="shared" si="381"/>
        <v>SRI NIVAS INDUSTRIES</v>
      </c>
      <c r="I160" s="3" t="s">
        <v>754</v>
      </c>
      <c r="J160" s="2" t="s">
        <v>210</v>
      </c>
      <c r="K160" s="2" t="str">
        <f t="shared" si="341"/>
        <v>MANGALORE, INDIA</v>
      </c>
      <c r="L160" s="2" t="str">
        <f t="shared" si="334"/>
        <v/>
      </c>
      <c r="M160" s="2" t="str">
        <f t="shared" si="333"/>
        <v/>
      </c>
      <c r="N160" s="22" t="str">
        <f t="shared" si="342"/>
        <v/>
      </c>
      <c r="O160" s="22" t="str">
        <f t="shared" si="385"/>
        <v/>
      </c>
      <c r="P160" s="22" t="str">
        <f t="shared" si="343"/>
        <v>No OBL Yet</v>
      </c>
      <c r="Q160" s="2"/>
      <c r="R160" s="2" t="str">
        <f t="shared" si="344"/>
        <v>No CERTS Yet</v>
      </c>
      <c r="S160" s="2" t="str">
        <f t="shared" si="386"/>
        <v/>
      </c>
      <c r="T160" s="2" t="str">
        <f>IFERROR(_xlfn.XLOOKUP(F160,
'[2]Data 2026'!$H$12:$H$111,
'[2]Data 2026'!$CL$12:$CL$111),"")</f>
        <v/>
      </c>
      <c r="U160" s="3" t="s">
        <v>853</v>
      </c>
      <c r="V160" s="272"/>
      <c r="W160" s="3" t="s">
        <v>853</v>
      </c>
      <c r="X160" s="24">
        <v>46154</v>
      </c>
      <c r="Y160" s="273">
        <v>20010304</v>
      </c>
      <c r="Z160" s="24">
        <v>46154</v>
      </c>
      <c r="AA160" s="182">
        <v>32016393</v>
      </c>
      <c r="AB160" s="182" t="s">
        <v>858</v>
      </c>
      <c r="AC160" s="181" t="s">
        <v>849</v>
      </c>
      <c r="AD160" s="181">
        <v>46234</v>
      </c>
      <c r="AE160" s="30">
        <v>0.1</v>
      </c>
      <c r="AF160" s="277">
        <v>100</v>
      </c>
      <c r="AG160" s="4">
        <f t="shared" si="345"/>
        <v>90</v>
      </c>
      <c r="AH160" s="3" t="s">
        <v>215</v>
      </c>
      <c r="AI160" s="4">
        <v>1720</v>
      </c>
      <c r="AJ160" s="4">
        <f t="shared" si="335"/>
        <v>172000</v>
      </c>
      <c r="AK160" s="3" t="s">
        <v>249</v>
      </c>
      <c r="AL160" s="3" t="s">
        <v>238</v>
      </c>
      <c r="AM160" s="357">
        <v>0.1</v>
      </c>
      <c r="AN160" s="357">
        <v>0.9</v>
      </c>
      <c r="AO160" s="357">
        <v>0</v>
      </c>
      <c r="AP160" s="28" t="s">
        <v>218</v>
      </c>
      <c r="AQ160" s="3" t="s">
        <v>239</v>
      </c>
      <c r="AR160" s="18" t="s">
        <v>859</v>
      </c>
      <c r="AS160" s="359">
        <v>5</v>
      </c>
      <c r="AT160" s="3" t="s">
        <v>220</v>
      </c>
      <c r="AU160" s="3" t="s">
        <v>220</v>
      </c>
      <c r="AV160" s="3" t="s">
        <v>220</v>
      </c>
      <c r="AW160" s="9"/>
      <c r="AX160" s="3"/>
      <c r="AY160" s="47">
        <v>46161</v>
      </c>
      <c r="AZ160" s="278">
        <f t="shared" si="382"/>
        <v>17200</v>
      </c>
      <c r="BA160" s="18"/>
      <c r="BB160" s="22">
        <v>46163</v>
      </c>
      <c r="BC160" s="22"/>
      <c r="BD160" s="22"/>
      <c r="BE160" s="22"/>
      <c r="BF160" s="22"/>
      <c r="BG160" s="18"/>
      <c r="BH160" s="18"/>
      <c r="BI160" s="18"/>
      <c r="BJ160" s="25"/>
      <c r="BK160" s="189"/>
      <c r="BL160" s="497"/>
      <c r="BM160" s="18"/>
      <c r="BN160" s="4"/>
      <c r="BO160" s="18"/>
      <c r="BP160" s="3" t="s">
        <v>754</v>
      </c>
      <c r="BQ160" s="21" t="s">
        <v>265</v>
      </c>
      <c r="BR160" s="2"/>
      <c r="BS160" s="2"/>
      <c r="BT160" s="2"/>
      <c r="BU160" s="2"/>
      <c r="BV160" s="20"/>
      <c r="BW160" s="19"/>
      <c r="BX160" s="189">
        <f>BJ160*AI160</f>
        <v>0</v>
      </c>
      <c r="BY160" s="22"/>
      <c r="BZ160" s="22"/>
      <c r="CA160" s="22"/>
      <c r="CB160" s="22"/>
      <c r="CC160" s="22"/>
      <c r="CD160" s="22"/>
      <c r="CE160" s="22" t="str">
        <f t="shared" si="350"/>
        <v>No OBL Yet</v>
      </c>
      <c r="CF160" s="22"/>
      <c r="CG160" s="22"/>
      <c r="CH160" s="182"/>
      <c r="CI160" s="182"/>
      <c r="CJ160" s="182"/>
      <c r="CK160" s="2" t="str">
        <f t="shared" si="346"/>
        <v>No CERTS Yet</v>
      </c>
      <c r="CL160" s="48"/>
      <c r="CM160" s="22"/>
      <c r="CN160" s="55"/>
      <c r="CO160" s="55"/>
      <c r="CP160" s="55" t="str">
        <f>IF(CO160&lt;&gt;0,"Docs in Buyer's Bank",IF(CN160&lt;&gt;0,"Docs in Transit to Buyer's Bank",IF(CM160&lt;&gt;0,"Docs in Our Bank",IF(CL160="TT PAYMENT","Not Applicable",""))))</f>
        <v/>
      </c>
      <c r="CQ160" s="190">
        <f t="shared" si="387"/>
        <v>-17200</v>
      </c>
      <c r="CR160" s="54"/>
      <c r="CS160" s="2"/>
      <c r="CT160" s="2"/>
      <c r="CU160" s="14" t="str">
        <f>IF(CS160="","",BJ160-CT160)</f>
        <v/>
      </c>
      <c r="CV160" s="191" t="str">
        <f>IF(CS160="","",CU160/BJ160)</f>
        <v/>
      </c>
      <c r="CW160" s="14" t="str">
        <f>IF(CS160="","",AZ160+CQ160)</f>
        <v/>
      </c>
      <c r="CX160" s="14" t="str">
        <f>IF(CS160="","",BX160*2%)</f>
        <v/>
      </c>
      <c r="CY160" s="15" t="str">
        <f>IF(CS160="","",AI160/B160)</f>
        <v/>
      </c>
      <c r="CZ160" s="2"/>
      <c r="DA160" s="41" t="str">
        <f>IF(CS160="","",B160-CZ160)</f>
        <v/>
      </c>
      <c r="DB160" s="2"/>
      <c r="DC160" s="192" t="str">
        <f>IF(CS160="","",IF(CS160="","",DB160-C160))</f>
        <v/>
      </c>
      <c r="DD160" s="40"/>
      <c r="DE160" s="16" t="str">
        <f>IF(CS160="","",10%-DD160)</f>
        <v/>
      </c>
      <c r="DF160" s="2" t="str">
        <f>IF(CS160="","",CU160*AI160)</f>
        <v/>
      </c>
      <c r="DG160" s="14" t="str">
        <f>IF(CS160="","",IF(DA160&gt;2,2*DA160*CT160*CY160,DA160*CT160*CY160))</f>
        <v/>
      </c>
      <c r="DH160" s="2" t="str">
        <f>IF(CS160="","",IF(DA160&gt;2,2*(DA160-2*CT160*CY160),0))</f>
        <v/>
      </c>
      <c r="DI160" s="192" t="str">
        <f>IF(CS160="","",IF(DC160&gt;0,DC160*0.5*CT160,0))</f>
        <v/>
      </c>
      <c r="DJ160" s="2" t="str">
        <f>IF(CS160="","",IF(DE160&lt;0,DE160*CT160*AI160*1%,0))</f>
        <v/>
      </c>
      <c r="DK160" s="15" t="str">
        <f>IF(CS160="","",SUM(DF160:DJ160))</f>
        <v/>
      </c>
      <c r="DL160" s="2"/>
      <c r="DM160" s="2"/>
      <c r="DN160" s="15" t="str">
        <f>IF(CS160="","",SUM(DK160:DL160))</f>
        <v/>
      </c>
      <c r="DO160" s="14" t="str">
        <f>IF(CS160="","",BJ160*AI160-DN160)</f>
        <v/>
      </c>
      <c r="DP160" s="14" t="str">
        <f>IF(CS160="","",AZ160+CQ160)</f>
        <v/>
      </c>
      <c r="DQ160" s="15" t="str">
        <f>IF(CS160="","",IF((DP160-DO160)&gt;0,DP160-DO160,""))</f>
        <v/>
      </c>
      <c r="DR160" s="15" t="str">
        <f>IF(CS160="","",IF((DO160-DP160)&gt;0,(DO160-DP160),""))</f>
        <v/>
      </c>
      <c r="DS160" s="2" t="str">
        <f>IF(CS160="","",IF(DQ160="",H160,"VALENCY"))</f>
        <v/>
      </c>
      <c r="DT160" s="2" t="str">
        <f>IF(DN160="","",IF(DN160&gt;0,"CN", "DN"))</f>
        <v/>
      </c>
      <c r="DU160" s="2"/>
      <c r="DV160" s="418"/>
      <c r="DW160" s="2"/>
      <c r="DX160" s="2"/>
      <c r="DY160" s="2" t="s">
        <v>230</v>
      </c>
      <c r="DZ160" s="2"/>
      <c r="EA160" s="2" t="str">
        <f>IF(CS160="","",
   MIN(0,(IF(DA160&gt;2,2,1)*DA160*CT160*CY160))
)</f>
        <v/>
      </c>
      <c r="EB160" s="2"/>
      <c r="EC160" s="2"/>
      <c r="ED160" s="2"/>
      <c r="EE160" s="3"/>
      <c r="EF160" s="7"/>
      <c r="EG160" s="3"/>
      <c r="EH160" s="3" t="s">
        <v>759</v>
      </c>
      <c r="EI160" s="3"/>
      <c r="EJ160" s="189"/>
      <c r="EK160" s="4"/>
      <c r="EL160" s="9"/>
      <c r="EM160" s="9"/>
      <c r="EN160" s="189">
        <f>EK160*EJ160</f>
        <v>0</v>
      </c>
      <c r="EO160" s="9"/>
      <c r="EP160" s="8"/>
      <c r="EQ160" s="4"/>
      <c r="ER160" s="4"/>
      <c r="ES160" s="7"/>
      <c r="ET160" s="7"/>
      <c r="EU160" s="6"/>
      <c r="EV160" s="2" t="str">
        <f t="shared" si="347"/>
        <v>Yet to load</v>
      </c>
      <c r="EW160" s="189"/>
      <c r="EX160" s="189" t="e">
        <f>EW160/BJ160</f>
        <v>#DIV/0!</v>
      </c>
      <c r="EY160" s="24"/>
      <c r="EZ160" s="24"/>
      <c r="FA160" s="2"/>
      <c r="FB160" s="24"/>
      <c r="FC160" s="193"/>
      <c r="FD160" s="189">
        <f>FC160*BJ160</f>
        <v>0</v>
      </c>
      <c r="FE160" s="52"/>
      <c r="FF160" s="52"/>
      <c r="FG160" s="49"/>
      <c r="FH160" s="49"/>
      <c r="FI160" s="49"/>
      <c r="FJ160" s="49"/>
      <c r="FK160" s="49"/>
      <c r="FL160" s="49"/>
      <c r="FM160" s="34"/>
      <c r="FN160" s="34"/>
      <c r="FO160" s="3"/>
      <c r="FP160" s="3"/>
      <c r="FQ160" s="3"/>
      <c r="FR160" s="3"/>
      <c r="FS160" s="34">
        <f t="shared" si="337"/>
        <v>20010304</v>
      </c>
      <c r="FT160" s="34">
        <f t="shared" si="380"/>
        <v>32016393</v>
      </c>
      <c r="FU160" s="3"/>
      <c r="FV160" s="4"/>
      <c r="FW160" s="3"/>
      <c r="FX160" s="182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</row>
    <row r="161" spans="1:196" s="1" customFormat="1" ht="33.950000000000003">
      <c r="A161" s="2" t="str">
        <f t="shared" si="339"/>
        <v>SI Sent, Shipment Awaited</v>
      </c>
      <c r="B161" s="282">
        <v>53</v>
      </c>
      <c r="C161" s="282">
        <v>215</v>
      </c>
      <c r="D161" s="182" t="s">
        <v>208</v>
      </c>
      <c r="E161" s="2" t="str">
        <f t="shared" si="340"/>
        <v>SHORT POSITION</v>
      </c>
      <c r="F161" s="271">
        <f t="shared" si="384"/>
        <v>32016392</v>
      </c>
      <c r="G161" s="271"/>
      <c r="H161" s="2" t="str">
        <f t="shared" si="381"/>
        <v>SREE DEVI CASHEW INDUSTRIES</v>
      </c>
      <c r="I161" s="3" t="s">
        <v>754</v>
      </c>
      <c r="J161" s="2" t="s">
        <v>210</v>
      </c>
      <c r="K161" s="2" t="str">
        <f t="shared" si="341"/>
        <v>MANGALORE, INDIA</v>
      </c>
      <c r="L161" s="2" t="str">
        <f t="shared" si="334"/>
        <v/>
      </c>
      <c r="M161" s="2" t="str">
        <f t="shared" ref="M161:M177" si="388">IF(BJ161&lt;&gt;0,BJ161,"")</f>
        <v/>
      </c>
      <c r="N161" s="22" t="str">
        <f t="shared" si="342"/>
        <v/>
      </c>
      <c r="O161" s="22" t="str">
        <f t="shared" si="385"/>
        <v/>
      </c>
      <c r="P161" s="22" t="str">
        <f t="shared" si="343"/>
        <v>No OBL Yet</v>
      </c>
      <c r="Q161" s="2"/>
      <c r="R161" s="2" t="str">
        <f t="shared" si="344"/>
        <v>No CERTS Yet</v>
      </c>
      <c r="S161" s="2" t="str">
        <f t="shared" si="386"/>
        <v/>
      </c>
      <c r="T161" s="2" t="str">
        <f>IFERROR(_xlfn.XLOOKUP(F161,
'[2]Data 2026'!$H$12:$H$111,
'[2]Data 2026'!$CL$12:$CL$111),"")</f>
        <v/>
      </c>
      <c r="U161" s="3"/>
      <c r="V161" s="272"/>
      <c r="W161" s="3"/>
      <c r="X161" s="24">
        <v>46154</v>
      </c>
      <c r="Y161" s="273">
        <v>20010320</v>
      </c>
      <c r="Z161" s="24">
        <v>46154</v>
      </c>
      <c r="AA161" s="182">
        <v>32016392</v>
      </c>
      <c r="AB161" s="182" t="s">
        <v>424</v>
      </c>
      <c r="AC161" s="181" t="s">
        <v>849</v>
      </c>
      <c r="AD161" s="181">
        <v>46234</v>
      </c>
      <c r="AE161" s="30">
        <v>0.1</v>
      </c>
      <c r="AF161" s="277">
        <v>100</v>
      </c>
      <c r="AG161" s="4">
        <f t="shared" si="345"/>
        <v>90</v>
      </c>
      <c r="AH161" s="3" t="s">
        <v>215</v>
      </c>
      <c r="AI161" s="4">
        <v>1700</v>
      </c>
      <c r="AJ161" s="4">
        <f t="shared" si="335"/>
        <v>170000</v>
      </c>
      <c r="AK161" s="3" t="s">
        <v>249</v>
      </c>
      <c r="AL161" s="3" t="s">
        <v>238</v>
      </c>
      <c r="AM161" s="183">
        <v>0</v>
      </c>
      <c r="AN161" s="183">
        <v>1</v>
      </c>
      <c r="AO161" s="183">
        <v>0</v>
      </c>
      <c r="AP161" s="28" t="s">
        <v>218</v>
      </c>
      <c r="AQ161" s="3" t="s">
        <v>239</v>
      </c>
      <c r="AR161" s="18" t="s">
        <v>850</v>
      </c>
      <c r="AS161" s="359">
        <v>5</v>
      </c>
      <c r="AT161" s="3" t="s">
        <v>220</v>
      </c>
      <c r="AU161" s="3" t="s">
        <v>220</v>
      </c>
      <c r="AV161" s="3" t="s">
        <v>220</v>
      </c>
      <c r="AW161" s="9"/>
      <c r="AX161" s="3"/>
      <c r="AY161" s="47"/>
      <c r="AZ161" s="278">
        <f t="shared" si="382"/>
        <v>0</v>
      </c>
      <c r="BA161" s="18">
        <v>46154</v>
      </c>
      <c r="BB161" s="22">
        <v>46163</v>
      </c>
      <c r="BC161" s="22"/>
      <c r="BD161" s="22"/>
      <c r="BE161" s="22"/>
      <c r="BF161" s="22"/>
      <c r="BG161" s="18"/>
      <c r="BH161" s="18"/>
      <c r="BI161" s="18"/>
      <c r="BJ161" s="25"/>
      <c r="BK161" s="189"/>
      <c r="BL161" s="497"/>
      <c r="BM161" s="18"/>
      <c r="BN161" s="4"/>
      <c r="BO161" s="18"/>
      <c r="BP161" s="3" t="s">
        <v>754</v>
      </c>
      <c r="BQ161" s="21" t="s">
        <v>265</v>
      </c>
      <c r="BR161" s="2"/>
      <c r="BS161" s="2"/>
      <c r="BT161" s="2"/>
      <c r="BU161" s="2"/>
      <c r="BV161" s="20"/>
      <c r="BW161" s="19"/>
      <c r="BX161" s="189">
        <f>BJ161*AI161</f>
        <v>0</v>
      </c>
      <c r="BY161" s="22"/>
      <c r="BZ161" s="22"/>
      <c r="CA161" s="22"/>
      <c r="CB161" s="22"/>
      <c r="CC161" s="22"/>
      <c r="CD161" s="22"/>
      <c r="CE161" s="22" t="str">
        <f t="shared" si="350"/>
        <v>No OBL Yet</v>
      </c>
      <c r="CF161" s="22"/>
      <c r="CG161" s="22"/>
      <c r="CH161" s="182"/>
      <c r="CI161" s="182"/>
      <c r="CJ161" s="182"/>
      <c r="CK161" s="2" t="str">
        <f t="shared" si="346"/>
        <v>No CERTS Yet</v>
      </c>
      <c r="CL161" s="48"/>
      <c r="CM161" s="22"/>
      <c r="CN161" s="55"/>
      <c r="CO161" s="55"/>
      <c r="CP161" s="55" t="str">
        <f>IF(CO161&lt;&gt;0,"Docs in Buyer's Bank",IF(CN161&lt;&gt;0,"Docs in Transit to Buyer's Bank",IF(CM161&lt;&gt;0,"Docs in Our Bank",IF(CL161="TT PAYMENT","Not Applicable",""))))</f>
        <v/>
      </c>
      <c r="CQ161" s="190">
        <f t="shared" si="387"/>
        <v>0</v>
      </c>
      <c r="CR161" s="54"/>
      <c r="CS161" s="2"/>
      <c r="CT161" s="2"/>
      <c r="CU161" s="14" t="str">
        <f>IF(CS161="","",BJ161-CT161)</f>
        <v/>
      </c>
      <c r="CV161" s="191" t="str">
        <f>IF(CS161="","",CU161/BJ161)</f>
        <v/>
      </c>
      <c r="CW161" s="14" t="str">
        <f>IF(CS161="","",AZ161+CQ161)</f>
        <v/>
      </c>
      <c r="CX161" s="14" t="str">
        <f>IF(CS161="","",BX161*2%)</f>
        <v/>
      </c>
      <c r="CY161" s="15" t="str">
        <f>IF(CS161="","",AI161/B161)</f>
        <v/>
      </c>
      <c r="CZ161" s="2"/>
      <c r="DA161" s="41" t="str">
        <f>IF(CS161="","",B161-CZ161)</f>
        <v/>
      </c>
      <c r="DB161" s="2"/>
      <c r="DC161" s="192" t="str">
        <f>IF(CS161="","",IF(CS161="","",DB161-C161))</f>
        <v/>
      </c>
      <c r="DD161" s="40"/>
      <c r="DE161" s="16" t="str">
        <f>IF(CS161="","",10%-DD161)</f>
        <v/>
      </c>
      <c r="DF161" s="2" t="str">
        <f>IF(CS161="","",CU161*AI161)</f>
        <v/>
      </c>
      <c r="DG161" s="14" t="str">
        <f>IF(CS161="","",IF(DA161&gt;2,2*DA161*CT161*CY161,DA161*CT161*CY161))</f>
        <v/>
      </c>
      <c r="DH161" s="2" t="str">
        <f>IF(CS161="","",IF(DA161&gt;2,2*(DA161-2*CT161*CY161),0))</f>
        <v/>
      </c>
      <c r="DI161" s="192" t="str">
        <f>IF(CS161="","",IF(DC161&gt;0,DC161*0.5*CT161,0))</f>
        <v/>
      </c>
      <c r="DJ161" s="2" t="str">
        <f>IF(CS161="","",IF(DE161&lt;0,DE161*CT161*AI161*1%,0))</f>
        <v/>
      </c>
      <c r="DK161" s="15" t="str">
        <f>IF(CS161="","",SUM(DF161:DJ161))</f>
        <v/>
      </c>
      <c r="DL161" s="2"/>
      <c r="DM161" s="2"/>
      <c r="DN161" s="15" t="str">
        <f>IF(CS161="","",SUM(DK161:DL161))</f>
        <v/>
      </c>
      <c r="DO161" s="14" t="str">
        <f>IF(CS161="","",BJ161*AI161-DN161)</f>
        <v/>
      </c>
      <c r="DP161" s="14" t="str">
        <f>IF(CS161="","",AZ161+CQ161)</f>
        <v/>
      </c>
      <c r="DQ161" s="15" t="str">
        <f>IF(CS161="","",IF((DP161-DO161)&gt;0,DP161-DO161,""))</f>
        <v/>
      </c>
      <c r="DR161" s="15" t="str">
        <f>IF(CS161="","",IF((DO161-DP161)&gt;0,(DO161-DP161),""))</f>
        <v/>
      </c>
      <c r="DS161" s="2" t="str">
        <f>IF(CS161="","",IF(DQ161="",H161,"VALENCY"))</f>
        <v/>
      </c>
      <c r="DT161" s="2" t="str">
        <f>IF(DN161="","",IF(DN161&gt;0,"CN", "DN"))</f>
        <v/>
      </c>
      <c r="DU161" s="2"/>
      <c r="DV161" s="418"/>
      <c r="DW161" s="2"/>
      <c r="DX161" s="2"/>
      <c r="DY161" s="2" t="s">
        <v>230</v>
      </c>
      <c r="DZ161" s="2"/>
      <c r="EA161" s="2" t="str">
        <f>IF(CS161="","",
   MIN(0,(IF(DA161&gt;2,2,1)*DA161*CT161*CY161))
)</f>
        <v/>
      </c>
      <c r="EB161" s="2"/>
      <c r="EC161" s="2"/>
      <c r="ED161" s="2"/>
      <c r="EE161" s="3"/>
      <c r="EF161" s="7"/>
      <c r="EG161" s="3"/>
      <c r="EH161" s="3" t="s">
        <v>759</v>
      </c>
      <c r="EI161" s="3"/>
      <c r="EJ161" s="189"/>
      <c r="EK161" s="4"/>
      <c r="EL161" s="9"/>
      <c r="EM161" s="9"/>
      <c r="EN161" s="189">
        <f>EK161*EJ161</f>
        <v>0</v>
      </c>
      <c r="EO161" s="9"/>
      <c r="EP161" s="8"/>
      <c r="EQ161" s="4"/>
      <c r="ER161" s="4"/>
      <c r="ES161" s="7"/>
      <c r="ET161" s="7"/>
      <c r="EU161" s="6"/>
      <c r="EV161" s="2" t="str">
        <f t="shared" si="347"/>
        <v>Yet to load</v>
      </c>
      <c r="EW161" s="189"/>
      <c r="EX161" s="189" t="e">
        <f>EW161/BJ161</f>
        <v>#DIV/0!</v>
      </c>
      <c r="EY161" s="24"/>
      <c r="EZ161" s="24"/>
      <c r="FA161" s="2"/>
      <c r="FB161" s="24"/>
      <c r="FC161" s="193"/>
      <c r="FD161" s="189">
        <f>FC161*BJ161</f>
        <v>0</v>
      </c>
      <c r="FE161" s="52"/>
      <c r="FF161" s="52"/>
      <c r="FG161" s="49"/>
      <c r="FH161" s="49"/>
      <c r="FI161" s="49"/>
      <c r="FJ161" s="49"/>
      <c r="FK161" s="49"/>
      <c r="FL161" s="49"/>
      <c r="FM161" s="34"/>
      <c r="FN161" s="34"/>
      <c r="FO161" s="3"/>
      <c r="FP161" s="3"/>
      <c r="FQ161" s="3"/>
      <c r="FR161" s="3"/>
      <c r="FS161" s="34">
        <f t="shared" si="337"/>
        <v>20010320</v>
      </c>
      <c r="FT161" s="34">
        <f t="shared" si="380"/>
        <v>32016392</v>
      </c>
      <c r="FU161" s="3"/>
      <c r="FV161" s="4"/>
      <c r="FW161" s="3"/>
      <c r="FX161" s="182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</row>
    <row r="162" spans="1:196" s="1" customFormat="1" ht="33.950000000000003">
      <c r="A162" s="2" t="str">
        <f t="shared" si="339"/>
        <v>SI Sent, Shipment Awaited</v>
      </c>
      <c r="B162" s="282">
        <v>53</v>
      </c>
      <c r="C162" s="282">
        <v>215</v>
      </c>
      <c r="D162" s="182" t="s">
        <v>208</v>
      </c>
      <c r="E162" s="2" t="str">
        <f t="shared" si="340"/>
        <v>SHORT POSITION</v>
      </c>
      <c r="F162" s="271">
        <f t="shared" si="384"/>
        <v>32016391</v>
      </c>
      <c r="G162" s="271"/>
      <c r="H162" s="2" t="str">
        <f t="shared" si="381"/>
        <v>MAHALASA EXPORTS</v>
      </c>
      <c r="I162" s="3" t="s">
        <v>754</v>
      </c>
      <c r="J162" s="2" t="s">
        <v>210</v>
      </c>
      <c r="K162" s="2" t="str">
        <f t="shared" si="341"/>
        <v>MANGALORE, INDIA</v>
      </c>
      <c r="L162" s="2" t="str">
        <f t="shared" si="334"/>
        <v/>
      </c>
      <c r="M162" s="2" t="str">
        <f t="shared" si="388"/>
        <v/>
      </c>
      <c r="N162" s="22" t="str">
        <f t="shared" si="342"/>
        <v/>
      </c>
      <c r="O162" s="22" t="str">
        <f t="shared" si="385"/>
        <v/>
      </c>
      <c r="P162" s="22" t="str">
        <f t="shared" si="343"/>
        <v>No OBL Yet</v>
      </c>
      <c r="Q162" s="2"/>
      <c r="R162" s="2" t="str">
        <f t="shared" si="344"/>
        <v>No CERTS Yet</v>
      </c>
      <c r="S162" s="2" t="str">
        <f t="shared" si="386"/>
        <v/>
      </c>
      <c r="T162" s="2" t="str">
        <f>IFERROR(_xlfn.XLOOKUP(F162,
'[2]Data 2026'!$H$12:$H$111,
'[2]Data 2026'!$CL$12:$CL$111),"")</f>
        <v/>
      </c>
      <c r="U162" s="3"/>
      <c r="V162" s="272"/>
      <c r="W162" s="3"/>
      <c r="X162" s="24">
        <v>46154</v>
      </c>
      <c r="Y162" s="273">
        <v>20010316</v>
      </c>
      <c r="Z162" s="24">
        <v>46154</v>
      </c>
      <c r="AA162" s="182">
        <v>32016391</v>
      </c>
      <c r="AB162" s="182" t="s">
        <v>359</v>
      </c>
      <c r="AC162" s="181" t="s">
        <v>849</v>
      </c>
      <c r="AD162" s="181">
        <v>46234</v>
      </c>
      <c r="AE162" s="30">
        <v>0.1</v>
      </c>
      <c r="AF162" s="277">
        <v>100</v>
      </c>
      <c r="AG162" s="4">
        <f t="shared" si="345"/>
        <v>90</v>
      </c>
      <c r="AH162" s="3" t="s">
        <v>215</v>
      </c>
      <c r="AI162" s="4">
        <v>1700</v>
      </c>
      <c r="AJ162" s="4">
        <f t="shared" si="335"/>
        <v>170000</v>
      </c>
      <c r="AK162" s="3" t="s">
        <v>249</v>
      </c>
      <c r="AL162" s="3" t="s">
        <v>238</v>
      </c>
      <c r="AM162" s="183">
        <v>0</v>
      </c>
      <c r="AN162" s="183">
        <v>1</v>
      </c>
      <c r="AO162" s="183">
        <v>0</v>
      </c>
      <c r="AP162" s="28" t="s">
        <v>218</v>
      </c>
      <c r="AQ162" s="3" t="s">
        <v>239</v>
      </c>
      <c r="AR162" s="18" t="s">
        <v>850</v>
      </c>
      <c r="AS162" s="359">
        <v>5</v>
      </c>
      <c r="AT162" s="3" t="s">
        <v>220</v>
      </c>
      <c r="AU162" s="3" t="s">
        <v>220</v>
      </c>
      <c r="AV162" s="3" t="s">
        <v>220</v>
      </c>
      <c r="AW162" s="9"/>
      <c r="AX162" s="3"/>
      <c r="AY162" s="47"/>
      <c r="AZ162" s="278">
        <f t="shared" si="382"/>
        <v>0</v>
      </c>
      <c r="BA162" s="18">
        <v>46154</v>
      </c>
      <c r="BB162" s="22">
        <v>46163</v>
      </c>
      <c r="BC162" s="22"/>
      <c r="BD162" s="22"/>
      <c r="BE162" s="22"/>
      <c r="BF162" s="22"/>
      <c r="BG162" s="18"/>
      <c r="BH162" s="18"/>
      <c r="BI162" s="18"/>
      <c r="BJ162" s="25"/>
      <c r="BK162" s="189"/>
      <c r="BL162" s="497"/>
      <c r="BM162" s="18"/>
      <c r="BN162" s="4"/>
      <c r="BO162" s="18"/>
      <c r="BP162" s="3" t="s">
        <v>754</v>
      </c>
      <c r="BQ162" s="21" t="s">
        <v>265</v>
      </c>
      <c r="BR162" s="2"/>
      <c r="BS162" s="2"/>
      <c r="BT162" s="2"/>
      <c r="BU162" s="2"/>
      <c r="BV162" s="20"/>
      <c r="BW162" s="19"/>
      <c r="BX162" s="189">
        <f>BJ162*AI162</f>
        <v>0</v>
      </c>
      <c r="BY162" s="22"/>
      <c r="BZ162" s="22"/>
      <c r="CA162" s="22"/>
      <c r="CB162" s="22"/>
      <c r="CC162" s="22"/>
      <c r="CD162" s="22"/>
      <c r="CE162" s="22" t="str">
        <f t="shared" si="350"/>
        <v>No OBL Yet</v>
      </c>
      <c r="CF162" s="22"/>
      <c r="CG162" s="22"/>
      <c r="CH162" s="182"/>
      <c r="CI162" s="182"/>
      <c r="CJ162" s="182"/>
      <c r="CK162" s="2" t="str">
        <f t="shared" si="346"/>
        <v>No CERTS Yet</v>
      </c>
      <c r="CL162" s="48"/>
      <c r="CM162" s="22"/>
      <c r="CN162" s="55"/>
      <c r="CO162" s="55"/>
      <c r="CP162" s="55" t="str">
        <f>IF(CO162&lt;&gt;0,"Docs in Buyer's Bank",IF(CN162&lt;&gt;0,"Docs in Transit to Buyer's Bank",IF(CM162&lt;&gt;0,"Docs in Our Bank",IF(CL162="TT PAYMENT","Not Applicable",""))))</f>
        <v/>
      </c>
      <c r="CQ162" s="190">
        <f t="shared" si="387"/>
        <v>0</v>
      </c>
      <c r="CR162" s="54"/>
      <c r="CS162" s="2"/>
      <c r="CT162" s="2"/>
      <c r="CU162" s="14" t="str">
        <f>IF(CS162="","",BJ162-CT162)</f>
        <v/>
      </c>
      <c r="CV162" s="191" t="str">
        <f>IF(CS162="","",CU162/BJ162)</f>
        <v/>
      </c>
      <c r="CW162" s="14" t="str">
        <f>IF(CS162="","",AZ162+CQ162)</f>
        <v/>
      </c>
      <c r="CX162" s="14" t="str">
        <f>IF(CS162="","",BX162*2%)</f>
        <v/>
      </c>
      <c r="CY162" s="15" t="str">
        <f>IF(CS162="","",AI162/B162)</f>
        <v/>
      </c>
      <c r="CZ162" s="2"/>
      <c r="DA162" s="41" t="str">
        <f>IF(CS162="","",B162-CZ162)</f>
        <v/>
      </c>
      <c r="DB162" s="2"/>
      <c r="DC162" s="192" t="str">
        <f>IF(CS162="","",IF(CS162="","",DB162-C162))</f>
        <v/>
      </c>
      <c r="DD162" s="40"/>
      <c r="DE162" s="16" t="str">
        <f>IF(CS162="","",10%-DD162)</f>
        <v/>
      </c>
      <c r="DF162" s="2" t="str">
        <f>IF(CS162="","",CU162*AI162)</f>
        <v/>
      </c>
      <c r="DG162" s="14" t="str">
        <f>IF(CS162="","",IF(DA162&gt;2,2*DA162*CT162*CY162,DA162*CT162*CY162))</f>
        <v/>
      </c>
      <c r="DH162" s="2" t="str">
        <f>IF(CS162="","",IF(DA162&gt;2,2*(DA162-2*CT162*CY162),0))</f>
        <v/>
      </c>
      <c r="DI162" s="192" t="str">
        <f>IF(CS162="","",IF(DC162&gt;0,DC162*0.5*CT162,0))</f>
        <v/>
      </c>
      <c r="DJ162" s="2" t="str">
        <f>IF(CS162="","",IF(DE162&lt;0,DE162*CT162*AI162*1%,0))</f>
        <v/>
      </c>
      <c r="DK162" s="15" t="str">
        <f>IF(CS162="","",SUM(DF162:DJ162))</f>
        <v/>
      </c>
      <c r="DL162" s="2"/>
      <c r="DM162" s="2"/>
      <c r="DN162" s="15" t="str">
        <f>IF(CS162="","",SUM(DK162:DL162))</f>
        <v/>
      </c>
      <c r="DO162" s="14" t="str">
        <f>IF(CS162="","",BJ162*AI162-DN162)</f>
        <v/>
      </c>
      <c r="DP162" s="14" t="str">
        <f>IF(CS162="","",AZ162+CQ162)</f>
        <v/>
      </c>
      <c r="DQ162" s="15" t="str">
        <f>IF(CS162="","",IF((DP162-DO162)&gt;0,DP162-DO162,""))</f>
        <v/>
      </c>
      <c r="DR162" s="15" t="str">
        <f>IF(CS162="","",IF((DO162-DP162)&gt;0,(DO162-DP162),""))</f>
        <v/>
      </c>
      <c r="DS162" s="2" t="str">
        <f>IF(CS162="","",IF(DQ162="",H162,"VALENCY"))</f>
        <v/>
      </c>
      <c r="DT162" s="2" t="str">
        <f>IF(DN162="","",IF(DN162&gt;0,"CN", "DN"))</f>
        <v/>
      </c>
      <c r="DU162" s="2"/>
      <c r="DV162" s="418"/>
      <c r="DW162" s="2"/>
      <c r="DX162" s="2"/>
      <c r="DY162" s="2" t="s">
        <v>230</v>
      </c>
      <c r="DZ162" s="2"/>
      <c r="EA162" s="2" t="str">
        <f>IF(CS162="","",
   MIN(0,(IF(DA162&gt;2,2,1)*DA162*CT162*CY162))
)</f>
        <v/>
      </c>
      <c r="EB162" s="2"/>
      <c r="EC162" s="2"/>
      <c r="ED162" s="2"/>
      <c r="EE162" s="3"/>
      <c r="EF162" s="7"/>
      <c r="EG162" s="3"/>
      <c r="EH162" s="3" t="s">
        <v>759</v>
      </c>
      <c r="EI162" s="3"/>
      <c r="EJ162" s="189"/>
      <c r="EK162" s="4"/>
      <c r="EL162" s="9"/>
      <c r="EM162" s="9"/>
      <c r="EN162" s="189">
        <f>EK162*EJ162</f>
        <v>0</v>
      </c>
      <c r="EO162" s="9"/>
      <c r="EP162" s="8"/>
      <c r="EQ162" s="4"/>
      <c r="ER162" s="4"/>
      <c r="ES162" s="7"/>
      <c r="ET162" s="7"/>
      <c r="EU162" s="6"/>
      <c r="EV162" s="2" t="str">
        <f t="shared" si="347"/>
        <v>Yet to load</v>
      </c>
      <c r="EW162" s="189"/>
      <c r="EX162" s="189" t="e">
        <f>EW162/BJ162</f>
        <v>#DIV/0!</v>
      </c>
      <c r="EY162" s="24"/>
      <c r="EZ162" s="24"/>
      <c r="FA162" s="2"/>
      <c r="FB162" s="24"/>
      <c r="FC162" s="193"/>
      <c r="FD162" s="189">
        <f>FC162*BJ162</f>
        <v>0</v>
      </c>
      <c r="FE162" s="52"/>
      <c r="FF162" s="52"/>
      <c r="FG162" s="49"/>
      <c r="FH162" s="49"/>
      <c r="FI162" s="49"/>
      <c r="FJ162" s="49"/>
      <c r="FK162" s="49"/>
      <c r="FL162" s="49"/>
      <c r="FM162" s="34"/>
      <c r="FN162" s="34"/>
      <c r="FO162" s="3"/>
      <c r="FP162" s="3"/>
      <c r="FQ162" s="3"/>
      <c r="FR162" s="3"/>
      <c r="FS162" s="34">
        <f t="shared" si="337"/>
        <v>20010316</v>
      </c>
      <c r="FT162" s="34">
        <f t="shared" si="380"/>
        <v>32016391</v>
      </c>
      <c r="FU162" s="3"/>
      <c r="FV162" s="4"/>
      <c r="FW162" s="3"/>
      <c r="FX162" s="182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</row>
    <row r="163" spans="1:196" s="1" customFormat="1" ht="33.950000000000003">
      <c r="A163" s="2" t="str">
        <f t="shared" si="339"/>
        <v>SI Sent, Shipment Awaited</v>
      </c>
      <c r="B163" s="282">
        <v>53</v>
      </c>
      <c r="C163" s="282">
        <v>215</v>
      </c>
      <c r="D163" s="182" t="s">
        <v>208</v>
      </c>
      <c r="E163" s="2" t="str">
        <f t="shared" si="340"/>
        <v>SHORT POSITION</v>
      </c>
      <c r="F163" s="271">
        <f t="shared" si="384"/>
        <v>32016390</v>
      </c>
      <c r="G163" s="271"/>
      <c r="H163" s="2" t="str">
        <f t="shared" si="381"/>
        <v>SRI VIJAYALAXMI CASHEW INDUSTRIES</v>
      </c>
      <c r="I163" s="3" t="s">
        <v>754</v>
      </c>
      <c r="J163" s="2" t="s">
        <v>210</v>
      </c>
      <c r="K163" s="2" t="str">
        <f t="shared" si="341"/>
        <v>MANGALORE, INDIA</v>
      </c>
      <c r="L163" s="2" t="str">
        <f t="shared" ref="L163:L177" si="389">IF(BI163&lt;&gt;0,BI163,"")</f>
        <v/>
      </c>
      <c r="M163" s="2" t="str">
        <f t="shared" si="388"/>
        <v/>
      </c>
      <c r="N163" s="22" t="str">
        <f t="shared" si="342"/>
        <v/>
      </c>
      <c r="O163" s="22" t="str">
        <f t="shared" si="385"/>
        <v/>
      </c>
      <c r="P163" s="22" t="str">
        <f t="shared" si="343"/>
        <v>No OBL Yet</v>
      </c>
      <c r="Q163" s="2"/>
      <c r="R163" s="2" t="str">
        <f t="shared" si="344"/>
        <v>No CERTS Yet</v>
      </c>
      <c r="S163" s="2" t="str">
        <f t="shared" si="386"/>
        <v/>
      </c>
      <c r="T163" s="2" t="str">
        <f>IFERROR(_xlfn.XLOOKUP(F163,
'[2]Data 2026'!$H$12:$H$111,
'[2]Data 2026'!$CL$12:$CL$111),"")</f>
        <v/>
      </c>
      <c r="U163" s="3"/>
      <c r="V163" s="272"/>
      <c r="W163" s="3"/>
      <c r="X163" s="24">
        <v>46154</v>
      </c>
      <c r="Y163" s="273">
        <v>20010314</v>
      </c>
      <c r="Z163" s="24">
        <v>46154</v>
      </c>
      <c r="AA163" s="182">
        <v>32016390</v>
      </c>
      <c r="AB163" s="182" t="s">
        <v>452</v>
      </c>
      <c r="AC163" s="181" t="s">
        <v>849</v>
      </c>
      <c r="AD163" s="181">
        <v>46234</v>
      </c>
      <c r="AE163" s="30">
        <v>0.1</v>
      </c>
      <c r="AF163" s="277">
        <v>100</v>
      </c>
      <c r="AG163" s="4">
        <f t="shared" si="345"/>
        <v>90</v>
      </c>
      <c r="AH163" s="3" t="s">
        <v>215</v>
      </c>
      <c r="AI163" s="4">
        <v>1695</v>
      </c>
      <c r="AJ163" s="4">
        <f t="shared" ref="AJ163:AJ194" si="390">AI163*AF163</f>
        <v>169500</v>
      </c>
      <c r="AK163" s="3" t="s">
        <v>249</v>
      </c>
      <c r="AL163" s="3" t="s">
        <v>238</v>
      </c>
      <c r="AM163" s="183">
        <v>0</v>
      </c>
      <c r="AN163" s="183">
        <v>1</v>
      </c>
      <c r="AO163" s="183">
        <v>0</v>
      </c>
      <c r="AP163" s="28" t="s">
        <v>218</v>
      </c>
      <c r="AQ163" s="3" t="s">
        <v>239</v>
      </c>
      <c r="AR163" s="18" t="s">
        <v>251</v>
      </c>
      <c r="AS163" s="359"/>
      <c r="AT163" s="3" t="s">
        <v>220</v>
      </c>
      <c r="AU163" s="3" t="s">
        <v>220</v>
      </c>
      <c r="AV163" s="3" t="s">
        <v>220</v>
      </c>
      <c r="AW163" s="9"/>
      <c r="AX163" s="3"/>
      <c r="AY163" s="47"/>
      <c r="AZ163" s="278">
        <f t="shared" si="382"/>
        <v>0</v>
      </c>
      <c r="BA163" s="18"/>
      <c r="BB163" s="22">
        <v>46163</v>
      </c>
      <c r="BC163" s="22"/>
      <c r="BD163" s="22"/>
      <c r="BE163" s="22"/>
      <c r="BF163" s="22"/>
      <c r="BG163" s="18"/>
      <c r="BH163" s="18"/>
      <c r="BI163" s="18"/>
      <c r="BJ163" s="25"/>
      <c r="BK163" s="189"/>
      <c r="BL163" s="497"/>
      <c r="BM163" s="18"/>
      <c r="BN163" s="4"/>
      <c r="BO163" s="18"/>
      <c r="BP163" s="3" t="s">
        <v>754</v>
      </c>
      <c r="BQ163" s="21" t="s">
        <v>265</v>
      </c>
      <c r="BR163" s="2"/>
      <c r="BS163" s="2"/>
      <c r="BT163" s="2"/>
      <c r="BU163" s="2"/>
      <c r="BV163" s="20"/>
      <c r="BW163" s="19"/>
      <c r="BX163" s="189">
        <f>BJ163*AI163</f>
        <v>0</v>
      </c>
      <c r="BY163" s="22"/>
      <c r="BZ163" s="22"/>
      <c r="CA163" s="22"/>
      <c r="CB163" s="22"/>
      <c r="CC163" s="22"/>
      <c r="CD163" s="22"/>
      <c r="CE163" s="22" t="str">
        <f t="shared" si="350"/>
        <v>No OBL Yet</v>
      </c>
      <c r="CF163" s="22"/>
      <c r="CG163" s="22"/>
      <c r="CH163" s="182"/>
      <c r="CI163" s="182"/>
      <c r="CJ163" s="182"/>
      <c r="CK163" s="2" t="str">
        <f t="shared" si="346"/>
        <v>No CERTS Yet</v>
      </c>
      <c r="CL163" s="48"/>
      <c r="CM163" s="22"/>
      <c r="CN163" s="55"/>
      <c r="CO163" s="55"/>
      <c r="CP163" s="55" t="str">
        <f>IF(CO163&lt;&gt;0,"Docs in Buyer's Bank",IF(CN163&lt;&gt;0,"Docs in Transit to Buyer's Bank",IF(CM163&lt;&gt;0,"Docs in Our Bank",IF(CL163="TT PAYMENT","Not Applicable",""))))</f>
        <v/>
      </c>
      <c r="CQ163" s="190">
        <f t="shared" si="387"/>
        <v>0</v>
      </c>
      <c r="CR163" s="54"/>
      <c r="CS163" s="2"/>
      <c r="CT163" s="2"/>
      <c r="CU163" s="14" t="str">
        <f>IF(CS163="","",BJ163-CT163)</f>
        <v/>
      </c>
      <c r="CV163" s="191" t="str">
        <f>IF(CS163="","",CU163/BJ163)</f>
        <v/>
      </c>
      <c r="CW163" s="14" t="str">
        <f>IF(CS163="","",AZ163+CQ163)</f>
        <v/>
      </c>
      <c r="CX163" s="14" t="str">
        <f>IF(CS163="","",BX163*2%)</f>
        <v/>
      </c>
      <c r="CY163" s="15" t="str">
        <f>IF(CS163="","",AI163/B163)</f>
        <v/>
      </c>
      <c r="CZ163" s="2"/>
      <c r="DA163" s="41" t="str">
        <f>IF(CS163="","",B163-CZ163)</f>
        <v/>
      </c>
      <c r="DB163" s="2"/>
      <c r="DC163" s="192" t="str">
        <f>IF(CS163="","",IF(CS163="","",DB163-C163))</f>
        <v/>
      </c>
      <c r="DD163" s="40"/>
      <c r="DE163" s="16" t="str">
        <f>IF(CS163="","",10%-DD163)</f>
        <v/>
      </c>
      <c r="DF163" s="2" t="str">
        <f>IF(CS163="","",CU163*AI163)</f>
        <v/>
      </c>
      <c r="DG163" s="14" t="str">
        <f>IF(CS163="","",IF(DA163&gt;2,2*DA163*CT163*CY163,DA163*CT163*CY163))</f>
        <v/>
      </c>
      <c r="DH163" s="2" t="str">
        <f>IF(CS163="","",IF(DA163&gt;2,2*(DA163-2*CT163*CY163),0))</f>
        <v/>
      </c>
      <c r="DI163" s="192" t="str">
        <f>IF(CS163="","",IF(DC163&gt;0,DC163*0.5*CT163,0))</f>
        <v/>
      </c>
      <c r="DJ163" s="2" t="str">
        <f>IF(CS163="","",IF(DE163&lt;0,DE163*CT163*AI163*1%,0))</f>
        <v/>
      </c>
      <c r="DK163" s="15" t="str">
        <f>IF(CS163="","",SUM(DF163:DJ163))</f>
        <v/>
      </c>
      <c r="DL163" s="2"/>
      <c r="DM163" s="2"/>
      <c r="DN163" s="15" t="str">
        <f>IF(CS163="","",SUM(DK163:DL163))</f>
        <v/>
      </c>
      <c r="DO163" s="14" t="str">
        <f>IF(CS163="","",BJ163*AI163-DN163)</f>
        <v/>
      </c>
      <c r="DP163" s="14" t="str">
        <f>IF(CS163="","",AZ163+CQ163)</f>
        <v/>
      </c>
      <c r="DQ163" s="15" t="str">
        <f>IF(CS163="","",IF((DP163-DO163)&gt;0,DP163-DO163,""))</f>
        <v/>
      </c>
      <c r="DR163" s="15" t="str">
        <f>IF(CS163="","",IF((DO163-DP163)&gt;0,(DO163-DP163),""))</f>
        <v/>
      </c>
      <c r="DS163" s="2" t="str">
        <f>IF(CS163="","",IF(DQ163="",H163,"VALENCY"))</f>
        <v/>
      </c>
      <c r="DT163" s="2" t="str">
        <f>IF(DN163="","",IF(DN163&gt;0,"CN", "DN"))</f>
        <v/>
      </c>
      <c r="DU163" s="2"/>
      <c r="DV163" s="418"/>
      <c r="DW163" s="2"/>
      <c r="DX163" s="2"/>
      <c r="DY163" s="2" t="s">
        <v>230</v>
      </c>
      <c r="DZ163" s="2"/>
      <c r="EA163" s="2" t="str">
        <f>IF(CS163="","",
   MIN(0,(IF(DA163&gt;2,2,1)*DA163*CT163*CY163))
)</f>
        <v/>
      </c>
      <c r="EB163" s="2"/>
      <c r="EC163" s="2"/>
      <c r="ED163" s="2"/>
      <c r="EE163" s="3"/>
      <c r="EF163" s="7"/>
      <c r="EG163" s="3"/>
      <c r="EH163" s="3" t="s">
        <v>759</v>
      </c>
      <c r="EI163" s="3"/>
      <c r="EJ163" s="189"/>
      <c r="EK163" s="4"/>
      <c r="EL163" s="9"/>
      <c r="EM163" s="9"/>
      <c r="EN163" s="189">
        <f>EK163*EJ163</f>
        <v>0</v>
      </c>
      <c r="EO163" s="9"/>
      <c r="EP163" s="8"/>
      <c r="EQ163" s="4"/>
      <c r="ER163" s="4"/>
      <c r="ES163" s="7"/>
      <c r="ET163" s="7"/>
      <c r="EU163" s="6"/>
      <c r="EV163" s="2" t="str">
        <f t="shared" si="347"/>
        <v>Yet to load</v>
      </c>
      <c r="EW163" s="189"/>
      <c r="EX163" s="189" t="e">
        <f>EW163/BJ163</f>
        <v>#DIV/0!</v>
      </c>
      <c r="EY163" s="24"/>
      <c r="EZ163" s="24"/>
      <c r="FA163" s="2"/>
      <c r="FB163" s="24"/>
      <c r="FC163" s="193"/>
      <c r="FD163" s="189">
        <f>FC163*BJ163</f>
        <v>0</v>
      </c>
      <c r="FE163" s="52"/>
      <c r="FF163" s="52"/>
      <c r="FG163" s="49"/>
      <c r="FH163" s="49"/>
      <c r="FI163" s="49"/>
      <c r="FJ163" s="49"/>
      <c r="FK163" s="49"/>
      <c r="FL163" s="49"/>
      <c r="FM163" s="34"/>
      <c r="FN163" s="34"/>
      <c r="FO163" s="3"/>
      <c r="FP163" s="3"/>
      <c r="FQ163" s="3"/>
      <c r="FR163" s="3"/>
      <c r="FS163" s="34">
        <f t="shared" si="337"/>
        <v>20010314</v>
      </c>
      <c r="FT163" s="34">
        <f t="shared" si="380"/>
        <v>32016390</v>
      </c>
      <c r="FU163" s="3"/>
      <c r="FV163" s="4"/>
      <c r="FW163" s="3"/>
      <c r="FX163" s="182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</row>
    <row r="164" spans="1:196" s="1" customFormat="1" ht="33.950000000000003">
      <c r="A164" s="2" t="str">
        <f t="shared" si="339"/>
        <v>SI Sent, Shipment Awaited</v>
      </c>
      <c r="B164" s="282">
        <v>46</v>
      </c>
      <c r="C164" s="282">
        <v>200</v>
      </c>
      <c r="D164" s="182" t="s">
        <v>208</v>
      </c>
      <c r="E164" s="2" t="str">
        <f t="shared" si="340"/>
        <v>ENTRY PENDING</v>
      </c>
      <c r="F164" s="271" t="str">
        <f t="shared" si="384"/>
        <v>RCN/2026/1002</v>
      </c>
      <c r="G164" s="271"/>
      <c r="H164" s="2" t="str">
        <f t="shared" si="381"/>
        <v>Xuan Teo Co</v>
      </c>
      <c r="I164" s="3" t="s">
        <v>259</v>
      </c>
      <c r="J164" s="2" t="s">
        <v>347</v>
      </c>
      <c r="K164" s="2" t="str">
        <f t="shared" si="341"/>
        <v>HCMC, VIETNAM</v>
      </c>
      <c r="L164" s="2" t="str">
        <f t="shared" si="389"/>
        <v/>
      </c>
      <c r="M164" s="2" t="str">
        <f t="shared" si="388"/>
        <v/>
      </c>
      <c r="N164" s="22" t="str">
        <f t="shared" si="342"/>
        <v/>
      </c>
      <c r="O164" s="22" t="str">
        <f t="shared" si="385"/>
        <v/>
      </c>
      <c r="P164" s="22" t="str">
        <f t="shared" si="343"/>
        <v>No OBL Yet</v>
      </c>
      <c r="Q164" s="2"/>
      <c r="R164" s="2" t="str">
        <f t="shared" si="344"/>
        <v>No CERTS Yet</v>
      </c>
      <c r="S164" s="2">
        <f t="shared" si="386"/>
        <v>0</v>
      </c>
      <c r="T164" s="2"/>
      <c r="U164" s="3" t="s">
        <v>860</v>
      </c>
      <c r="V164" s="272"/>
      <c r="W164" s="3" t="s">
        <v>860</v>
      </c>
      <c r="X164" s="24"/>
      <c r="Y164" s="273"/>
      <c r="Z164" s="24"/>
      <c r="AA164" s="182" t="s">
        <v>861</v>
      </c>
      <c r="AB164" s="182" t="s">
        <v>862</v>
      </c>
      <c r="AC164" s="182" t="s">
        <v>863</v>
      </c>
      <c r="AD164" s="181">
        <v>46234</v>
      </c>
      <c r="AE164" s="30">
        <v>0.1</v>
      </c>
      <c r="AF164" s="277">
        <v>250</v>
      </c>
      <c r="AG164" s="4">
        <f t="shared" si="345"/>
        <v>225</v>
      </c>
      <c r="AH164" s="3" t="s">
        <v>215</v>
      </c>
      <c r="AI164" s="4">
        <v>1435</v>
      </c>
      <c r="AJ164" s="4">
        <f t="shared" si="390"/>
        <v>358750</v>
      </c>
      <c r="AK164" s="3" t="s">
        <v>249</v>
      </c>
      <c r="AL164" s="3" t="s">
        <v>780</v>
      </c>
      <c r="AM164" s="30">
        <v>0.1</v>
      </c>
      <c r="AN164" s="183">
        <v>0.88</v>
      </c>
      <c r="AO164" s="183">
        <v>0.02</v>
      </c>
      <c r="AP164" s="28" t="s">
        <v>218</v>
      </c>
      <c r="AQ164" s="18" t="s">
        <v>354</v>
      </c>
      <c r="AR164" s="18" t="s">
        <v>251</v>
      </c>
      <c r="AS164" s="27"/>
      <c r="AT164" s="3" t="s">
        <v>220</v>
      </c>
      <c r="AU164" s="3" t="s">
        <v>220</v>
      </c>
      <c r="AV164" s="3" t="s">
        <v>220</v>
      </c>
      <c r="AW164" s="9"/>
      <c r="AX164" s="3"/>
      <c r="AY164" s="47">
        <v>46161</v>
      </c>
      <c r="AZ164" s="278">
        <f t="shared" si="382"/>
        <v>35875</v>
      </c>
      <c r="BA164" s="18">
        <v>46160</v>
      </c>
      <c r="BB164" s="22">
        <v>46167</v>
      </c>
      <c r="BC164" s="22"/>
      <c r="BD164" s="22"/>
      <c r="BE164" s="22"/>
      <c r="BF164" s="22"/>
      <c r="BG164" s="18"/>
      <c r="BH164" s="18"/>
      <c r="BI164" s="3"/>
      <c r="BJ164" s="25"/>
      <c r="BK164" s="18"/>
      <c r="BL164" s="271"/>
      <c r="BM164" s="18"/>
      <c r="BN164" s="2"/>
      <c r="BO164" s="18"/>
      <c r="BP164" s="3" t="s">
        <v>259</v>
      </c>
      <c r="BQ164" s="21" t="s">
        <v>409</v>
      </c>
      <c r="BR164" s="189"/>
      <c r="BS164" s="22"/>
      <c r="BT164" s="22"/>
      <c r="BU164" s="189">
        <f>BI164*AF164</f>
        <v>0</v>
      </c>
      <c r="BV164" s="22"/>
      <c r="BW164" s="22"/>
      <c r="BX164" s="22"/>
      <c r="BY164" s="22"/>
      <c r="BZ164" s="22"/>
      <c r="CA164" s="22"/>
      <c r="CB164" s="22"/>
      <c r="CC164" s="182"/>
      <c r="CD164" s="182"/>
      <c r="CE164" s="22" t="str">
        <f t="shared" si="350"/>
        <v>No OBL Yet</v>
      </c>
      <c r="CF164" s="48"/>
      <c r="CG164" s="22"/>
      <c r="CH164" s="2"/>
      <c r="CI164" s="55"/>
      <c r="CJ164" s="55"/>
      <c r="CK164" s="2" t="str">
        <f t="shared" si="346"/>
        <v>No CERTS Yet</v>
      </c>
      <c r="CL164" s="54"/>
      <c r="CM164" s="2"/>
      <c r="CO164" s="14"/>
      <c r="CP164" s="191"/>
      <c r="CQ164" s="190">
        <f t="shared" si="387"/>
        <v>-35875</v>
      </c>
      <c r="CR164" s="14"/>
      <c r="CS164" s="15"/>
      <c r="CT164" s="2"/>
      <c r="CU164" s="41"/>
      <c r="CV164" s="2"/>
      <c r="CW164" s="192"/>
      <c r="CX164" s="40"/>
      <c r="CY164" s="16"/>
      <c r="CZ164" s="2"/>
      <c r="DA164" s="14"/>
      <c r="DB164" s="2"/>
      <c r="DC164" s="192"/>
      <c r="DD164" s="2"/>
      <c r="DE164" s="15"/>
      <c r="DF164" s="2"/>
      <c r="DG164" s="2"/>
      <c r="DH164" s="15"/>
      <c r="DI164" s="14"/>
      <c r="DJ164" s="14"/>
      <c r="DK164" s="15"/>
      <c r="DL164" s="15"/>
      <c r="DM164" s="2"/>
      <c r="DN164" s="2"/>
      <c r="DO164" s="2"/>
      <c r="DP164" s="2"/>
      <c r="DQ164" s="2"/>
      <c r="DR164" s="2"/>
      <c r="DS164" s="2"/>
      <c r="DT164" s="2"/>
      <c r="DU164" s="2"/>
      <c r="DW164" s="2"/>
      <c r="DX164" s="2"/>
      <c r="DY164" s="2" t="s">
        <v>230</v>
      </c>
      <c r="DZ164" s="2"/>
      <c r="EA164" s="3"/>
      <c r="EB164" s="3"/>
      <c r="EC164" s="3"/>
      <c r="ED164" s="189"/>
      <c r="EE164" s="4"/>
      <c r="EF164" s="9"/>
      <c r="EG164" s="9"/>
      <c r="EH164" s="3" t="s">
        <v>266</v>
      </c>
      <c r="EI164" s="9"/>
      <c r="EJ164" s="8"/>
      <c r="EK164" s="189"/>
      <c r="EL164" s="7"/>
      <c r="EM164" s="7"/>
      <c r="EN164" s="6"/>
      <c r="EO164" s="2"/>
      <c r="EP164" s="189"/>
      <c r="EQ164" s="189"/>
      <c r="ER164" s="189"/>
      <c r="ES164" s="2"/>
      <c r="ET164" s="24"/>
      <c r="EU164" s="2"/>
      <c r="EV164" s="2" t="str">
        <f t="shared" si="347"/>
        <v>Yet to load</v>
      </c>
      <c r="EW164" s="193"/>
      <c r="EX164" s="189"/>
      <c r="EY164" s="24"/>
      <c r="EZ164" s="52"/>
      <c r="FA164" s="49"/>
      <c r="FB164" s="49"/>
      <c r="FC164" s="180"/>
      <c r="FD164" s="49"/>
      <c r="FE164" s="49"/>
      <c r="FF164" s="49"/>
      <c r="FG164" s="49"/>
      <c r="FH164" s="49"/>
      <c r="FI164" s="49"/>
      <c r="FJ164" s="49"/>
      <c r="FK164" s="49"/>
      <c r="FL164" s="49"/>
      <c r="FM164" s="34"/>
      <c r="FN164" s="34"/>
      <c r="FO164" s="3"/>
      <c r="FP164" s="3"/>
      <c r="FQ164" s="3"/>
      <c r="FR164" s="3"/>
      <c r="FS164" s="34">
        <f t="shared" si="337"/>
        <v>0</v>
      </c>
      <c r="FT164" s="34" t="str">
        <f t="shared" si="380"/>
        <v>RCN/2026/1002</v>
      </c>
      <c r="FU164" s="3"/>
      <c r="FV164" s="4"/>
      <c r="FW164" s="3"/>
      <c r="FX164" s="182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</row>
    <row r="165" spans="1:196" s="1" customFormat="1" ht="33.950000000000003">
      <c r="A165" s="2" t="str">
        <f t="shared" si="339"/>
        <v>SI Sent, Shipment Awaited</v>
      </c>
      <c r="B165" s="282">
        <v>46</v>
      </c>
      <c r="C165" s="282">
        <v>200</v>
      </c>
      <c r="D165" s="182" t="s">
        <v>208</v>
      </c>
      <c r="E165" s="2" t="str">
        <f t="shared" si="340"/>
        <v>ENTRY PENDING</v>
      </c>
      <c r="F165" s="271" t="str">
        <f t="shared" si="384"/>
        <v>RCN/2026/1001</v>
      </c>
      <c r="G165" s="271"/>
      <c r="H165" s="2" t="str">
        <f t="shared" si="381"/>
        <v xml:space="preserve">Xuan Teo Co </v>
      </c>
      <c r="I165" s="3" t="s">
        <v>259</v>
      </c>
      <c r="J165" s="2" t="s">
        <v>347</v>
      </c>
      <c r="K165" s="2" t="str">
        <f t="shared" si="341"/>
        <v>HCMC, VIETNAM</v>
      </c>
      <c r="L165" s="2" t="str">
        <f t="shared" si="389"/>
        <v/>
      </c>
      <c r="M165" s="2" t="str">
        <f t="shared" si="388"/>
        <v/>
      </c>
      <c r="N165" s="22" t="str">
        <f t="shared" si="342"/>
        <v/>
      </c>
      <c r="O165" s="22" t="str">
        <f t="shared" si="385"/>
        <v/>
      </c>
      <c r="P165" s="22">
        <f t="shared" si="343"/>
        <v>0</v>
      </c>
      <c r="Q165" s="2"/>
      <c r="R165" s="2" t="str">
        <f t="shared" si="344"/>
        <v>No CERTS Yet</v>
      </c>
      <c r="S165" s="2">
        <f t="shared" si="386"/>
        <v>0</v>
      </c>
      <c r="T165" s="2" t="s">
        <v>787</v>
      </c>
      <c r="U165" s="3" t="s">
        <v>864</v>
      </c>
      <c r="V165" s="272"/>
      <c r="W165" s="3" t="s">
        <v>864</v>
      </c>
      <c r="X165" s="24"/>
      <c r="Y165" s="273"/>
      <c r="Z165" s="24"/>
      <c r="AA165" s="182" t="s">
        <v>865</v>
      </c>
      <c r="AB165" s="182" t="s">
        <v>866</v>
      </c>
      <c r="AC165" s="182" t="s">
        <v>847</v>
      </c>
      <c r="AD165" s="181">
        <v>46234</v>
      </c>
      <c r="AE165" s="30">
        <v>0.1</v>
      </c>
      <c r="AF165" s="277">
        <v>1000</v>
      </c>
      <c r="AG165" s="4">
        <f t="shared" si="345"/>
        <v>900</v>
      </c>
      <c r="AH165" s="3" t="s">
        <v>215</v>
      </c>
      <c r="AI165" s="4">
        <v>1435</v>
      </c>
      <c r="AJ165" s="4">
        <f t="shared" si="390"/>
        <v>1435000</v>
      </c>
      <c r="AK165" s="3" t="s">
        <v>249</v>
      </c>
      <c r="AL165" s="3" t="s">
        <v>780</v>
      </c>
      <c r="AM165" s="30">
        <v>0.1</v>
      </c>
      <c r="AN165" s="183">
        <v>0.88</v>
      </c>
      <c r="AO165" s="183">
        <v>0.02</v>
      </c>
      <c r="AP165" s="28" t="s">
        <v>218</v>
      </c>
      <c r="AQ165" s="18" t="s">
        <v>370</v>
      </c>
      <c r="AR165" s="18" t="s">
        <v>251</v>
      </c>
      <c r="AS165" s="27"/>
      <c r="AT165" s="3" t="s">
        <v>220</v>
      </c>
      <c r="AU165" s="3" t="s">
        <v>220</v>
      </c>
      <c r="AV165" s="3" t="s">
        <v>220</v>
      </c>
      <c r="AW165" s="9"/>
      <c r="AX165" s="3"/>
      <c r="AY165" s="47">
        <v>46161</v>
      </c>
      <c r="AZ165" s="278">
        <f t="shared" si="382"/>
        <v>143500</v>
      </c>
      <c r="BA165" s="18">
        <v>46162</v>
      </c>
      <c r="BB165" s="22">
        <v>46167</v>
      </c>
      <c r="BC165" s="22"/>
      <c r="BD165" s="22"/>
      <c r="BE165" s="22"/>
      <c r="BF165" s="22"/>
      <c r="BG165" s="18"/>
      <c r="BH165" s="18"/>
      <c r="BI165" s="3"/>
      <c r="BJ165" s="25"/>
      <c r="BK165" s="24"/>
      <c r="BL165" s="271"/>
      <c r="BM165" s="18"/>
      <c r="BN165" s="21" t="s">
        <v>798</v>
      </c>
      <c r="BO165" s="18"/>
      <c r="BP165" s="3" t="s">
        <v>259</v>
      </c>
      <c r="BQ165" s="21" t="s">
        <v>409</v>
      </c>
      <c r="BR165" s="2"/>
      <c r="BS165" s="20"/>
      <c r="BT165" s="19"/>
      <c r="BU165" s="189"/>
      <c r="BV165" s="22"/>
      <c r="BW165" s="22"/>
      <c r="BX165" s="189">
        <f>BJ165*AI165</f>
        <v>0</v>
      </c>
      <c r="BY165" s="22"/>
      <c r="BZ165" s="22"/>
      <c r="CA165" s="22"/>
      <c r="CB165" s="22"/>
      <c r="CC165" s="22"/>
      <c r="CD165" s="22"/>
      <c r="CE165" s="22"/>
      <c r="CF165" s="182"/>
      <c r="CG165" s="182"/>
      <c r="CH165" s="2"/>
      <c r="CI165" s="48"/>
      <c r="CJ165" s="22"/>
      <c r="CK165" s="2" t="str">
        <f t="shared" si="346"/>
        <v>No CERTS Yet</v>
      </c>
      <c r="CL165" s="55"/>
      <c r="CM165" s="55"/>
      <c r="CN165" s="644"/>
      <c r="CO165" s="54"/>
      <c r="CP165" s="2"/>
      <c r="CQ165" s="190">
        <f t="shared" si="387"/>
        <v>-143500</v>
      </c>
      <c r="CR165" s="14"/>
      <c r="CS165" s="191"/>
      <c r="CT165" s="14"/>
      <c r="CU165" s="14"/>
      <c r="CV165" s="15"/>
      <c r="CW165" s="2"/>
      <c r="CX165" s="41"/>
      <c r="CY165" s="2"/>
      <c r="CZ165" s="192"/>
      <c r="DA165" s="40"/>
      <c r="DB165" s="16"/>
      <c r="DC165" s="2"/>
      <c r="DD165" s="14"/>
      <c r="DE165" s="2"/>
      <c r="DF165" s="192"/>
      <c r="DG165" s="2"/>
      <c r="DH165" s="15"/>
      <c r="DI165" s="2"/>
      <c r="DJ165" s="2"/>
      <c r="DK165" s="15"/>
      <c r="DL165" s="14"/>
      <c r="DM165" s="14"/>
      <c r="DN165" s="15"/>
      <c r="DO165" s="15"/>
      <c r="DP165" s="2"/>
      <c r="DQ165" s="2"/>
      <c r="DR165" s="2"/>
      <c r="DS165" s="2"/>
      <c r="DT165" s="2"/>
      <c r="DU165" s="2"/>
      <c r="DV165" s="418"/>
      <c r="DW165" s="2"/>
      <c r="DX165" s="2"/>
      <c r="DY165" s="2" t="s">
        <v>230</v>
      </c>
      <c r="DZ165" s="2"/>
      <c r="EA165" s="2"/>
      <c r="EB165" s="3"/>
      <c r="EC165" s="7"/>
      <c r="ED165" s="3"/>
      <c r="EE165" s="3"/>
      <c r="EF165" s="3"/>
      <c r="EG165" s="189"/>
      <c r="EH165" s="3" t="s">
        <v>266</v>
      </c>
      <c r="EI165" s="9"/>
      <c r="EJ165" s="9"/>
      <c r="EK165" s="189"/>
      <c r="EL165" s="9"/>
      <c r="EM165" s="8"/>
      <c r="EN165" s="189">
        <f>EK165*EJ165</f>
        <v>0</v>
      </c>
      <c r="EO165" s="7"/>
      <c r="EP165" s="7"/>
      <c r="EQ165" s="6"/>
      <c r="ER165" s="6"/>
      <c r="ES165" s="2"/>
      <c r="ET165" s="189"/>
      <c r="EU165" s="189"/>
      <c r="EV165" s="2" t="str">
        <f t="shared" si="347"/>
        <v>Yet to load</v>
      </c>
      <c r="EW165" s="24"/>
      <c r="EX165" s="2"/>
      <c r="EY165" s="24"/>
      <c r="EZ165" s="193"/>
      <c r="FA165" s="189"/>
      <c r="FB165" s="52"/>
      <c r="FC165" s="52"/>
      <c r="FD165" s="49"/>
      <c r="FE165" s="49"/>
      <c r="FF165" s="180"/>
      <c r="FG165" s="49"/>
      <c r="FH165" s="49"/>
      <c r="FI165" s="49"/>
      <c r="FJ165" s="49"/>
      <c r="FK165" s="49"/>
      <c r="FL165" s="49"/>
      <c r="FM165" s="34"/>
      <c r="FN165" s="34"/>
      <c r="FO165" s="3"/>
      <c r="FP165" s="3"/>
      <c r="FQ165" s="3"/>
      <c r="FR165" s="3"/>
      <c r="FS165" s="34">
        <f t="shared" si="337"/>
        <v>0</v>
      </c>
      <c r="FT165" s="34" t="str">
        <f t="shared" si="380"/>
        <v>RCN/2026/1001</v>
      </c>
      <c r="FU165" s="3"/>
      <c r="FV165" s="4"/>
      <c r="FW165" s="3"/>
      <c r="FX165" s="182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</row>
    <row r="166" spans="1:196" s="1" customFormat="1" ht="33.950000000000003">
      <c r="A166" s="2" t="str">
        <f t="shared" ref="A166:A197" si="391">IF(DZ166="CLOSE","Trade closed",IF(DZ166="PMT Pending","FNF Settlement is Due",IF(CS166&lt;&gt;0,"FNF Reconcillation Onging",IF(CR166&lt;&gt;0," Final Pmt Recd , FNF Pending",IF(CM166&lt;&gt;0,"Exp Dox Presented to Bank, Pmt Pending",IF(BZ166&lt;&gt;0,"OBL Scan Recd, Nego Pending",IF(BM166&lt;&gt;0,"Sailed, OBL &amp; Certs Pending",IF(BJ166&lt;&gt;0,"Stuffed, Yet to Sail",IF(BB166&lt;&gt;0,"SI Sent, Shipment Awaited",IF(BA166&lt;&gt;0,"Advance Rcvd, SI Pending",IF(Z166&lt;&gt;0,"SC Raised, Advance Pending",IF(X166&lt;&gt;0,"Deal Ticket Rcvd SC Pending", "Entry Pending"))))))))))))</f>
        <v>SI Sent, Shipment Awaited</v>
      </c>
      <c r="B166" s="282">
        <v>53</v>
      </c>
      <c r="C166" s="282">
        <v>215</v>
      </c>
      <c r="D166" s="182" t="s">
        <v>208</v>
      </c>
      <c r="E166" s="2" t="str">
        <f t="shared" ref="E166:E197" si="392">IF(AND(LEFT(TRIM(AA166&amp;""),1)="3",BI166&lt;&gt;""),"CLOSE POSITION",
IF(AND(LEFT(TRIM(AA166&amp;""),1)="3",BI166=""),"SHORT POSITION",
IF(AND(LEFT(TRIM(AA166&amp;""),1)&lt;&gt;"3",BI166&lt;&gt;""),"LONG POSITION","ENTRY PENDING")))</f>
        <v>SHORT POSITION</v>
      </c>
      <c r="F166" s="271">
        <f t="shared" si="384"/>
        <v>32016399</v>
      </c>
      <c r="G166" s="271"/>
      <c r="H166" s="2" t="str">
        <f t="shared" si="381"/>
        <v>KAMAKSHI EXPORTS</v>
      </c>
      <c r="I166" s="3" t="s">
        <v>754</v>
      </c>
      <c r="J166" s="2" t="s">
        <v>210</v>
      </c>
      <c r="K166" s="2" t="str">
        <f t="shared" ref="K166:K197" si="393">IF(BQ166&lt;&gt;0,BQ166,"")</f>
        <v>MANGALORE, INDIA</v>
      </c>
      <c r="L166" s="2" t="str">
        <f t="shared" si="389"/>
        <v/>
      </c>
      <c r="M166" s="2" t="str">
        <f t="shared" si="388"/>
        <v/>
      </c>
      <c r="N166" s="22" t="str">
        <f t="shared" ref="N166:N186" si="394">IF(BM166&lt;&gt;0,BM166,"")</f>
        <v/>
      </c>
      <c r="O166" s="22" t="str">
        <f t="shared" si="385"/>
        <v/>
      </c>
      <c r="P166" s="22" t="str">
        <f t="shared" ref="P166:P186" si="395">CE166</f>
        <v>No OBL Yet</v>
      </c>
      <c r="Q166" s="2"/>
      <c r="R166" s="2" t="str">
        <f t="shared" ref="R166:R186" si="396">CK166</f>
        <v>No CERTS Yet</v>
      </c>
      <c r="S166" s="2" t="str">
        <f t="shared" si="386"/>
        <v/>
      </c>
      <c r="T166" s="2" t="str">
        <f>IFERROR(_xlfn.XLOOKUP(F166,
'[2]Data 2026'!$H$12:$H$111,
'[2]Data 2026'!$CL$12:$CL$111),"")</f>
        <v/>
      </c>
      <c r="U166" s="3" t="s">
        <v>867</v>
      </c>
      <c r="V166" s="272"/>
      <c r="W166" s="3"/>
      <c r="X166" s="24">
        <v>46157</v>
      </c>
      <c r="Y166" s="273">
        <v>20010333</v>
      </c>
      <c r="Z166" s="24">
        <v>46157</v>
      </c>
      <c r="AA166" s="182">
        <v>32016399</v>
      </c>
      <c r="AB166" s="182" t="s">
        <v>868</v>
      </c>
      <c r="AC166" s="181" t="s">
        <v>849</v>
      </c>
      <c r="AD166" s="181">
        <v>46234</v>
      </c>
      <c r="AE166" s="30">
        <v>0.1</v>
      </c>
      <c r="AF166" s="277">
        <v>100</v>
      </c>
      <c r="AG166" s="4">
        <f t="shared" ref="AG166:AG197" si="397">AF166*(1-AE166)</f>
        <v>90</v>
      </c>
      <c r="AH166" s="3" t="s">
        <v>215</v>
      </c>
      <c r="AI166" s="4">
        <v>1720</v>
      </c>
      <c r="AJ166" s="4">
        <f t="shared" si="390"/>
        <v>172000</v>
      </c>
      <c r="AK166" s="3" t="s">
        <v>249</v>
      </c>
      <c r="AL166" s="3" t="s">
        <v>869</v>
      </c>
      <c r="AM166" s="183">
        <v>0.1</v>
      </c>
      <c r="AN166" s="183">
        <v>0.9</v>
      </c>
      <c r="AO166" s="183">
        <v>0</v>
      </c>
      <c r="AP166" s="28" t="s">
        <v>218</v>
      </c>
      <c r="AQ166" s="3" t="s">
        <v>239</v>
      </c>
      <c r="AR166" s="18" t="s">
        <v>850</v>
      </c>
      <c r="AS166" s="359">
        <v>5</v>
      </c>
      <c r="AT166" s="3" t="s">
        <v>220</v>
      </c>
      <c r="AU166" s="3" t="s">
        <v>220</v>
      </c>
      <c r="AV166" s="3" t="s">
        <v>220</v>
      </c>
      <c r="AW166" s="9"/>
      <c r="AX166" s="3"/>
      <c r="AY166" s="47">
        <v>46162</v>
      </c>
      <c r="AZ166" s="278">
        <f t="shared" si="382"/>
        <v>17200</v>
      </c>
      <c r="BA166" s="18"/>
      <c r="BB166" s="22">
        <v>46163</v>
      </c>
      <c r="BC166" s="22"/>
      <c r="BD166" s="22"/>
      <c r="BE166" s="22"/>
      <c r="BF166" s="22"/>
      <c r="BG166" s="18"/>
      <c r="BH166" s="18"/>
      <c r="BI166" s="18"/>
      <c r="BJ166" s="25"/>
      <c r="BK166" s="189"/>
      <c r="BL166" s="497"/>
      <c r="BM166" s="18"/>
      <c r="BN166" s="4"/>
      <c r="BO166" s="18"/>
      <c r="BP166" s="3" t="s">
        <v>754</v>
      </c>
      <c r="BQ166" s="21" t="s">
        <v>265</v>
      </c>
      <c r="BR166" s="2"/>
      <c r="BS166" s="2"/>
      <c r="BT166" s="2"/>
      <c r="BU166" s="2"/>
      <c r="BV166" s="20"/>
      <c r="BW166" s="19"/>
      <c r="BX166" s="189">
        <f>BJ166*AI166</f>
        <v>0</v>
      </c>
      <c r="BY166" s="22"/>
      <c r="BZ166" s="22"/>
      <c r="CA166" s="22"/>
      <c r="CB166" s="22"/>
      <c r="CC166" s="22"/>
      <c r="CD166" s="22"/>
      <c r="CE166" s="22" t="str">
        <f t="shared" ref="CE166:CE186" si="398">IF(J166="VIETNAM",
IF(CG166&lt;&gt;"","OBL in Vietnam Office",
IF(CF166&lt;&gt;"","OBL in Transit from Vietnam Office",
IF(CD166&lt;&gt;0,"OBL In Destination - "&amp;J166,
IF(CC166&lt;&gt;0,"OBL in Transit to Destination - "&amp;J166,
IF(CB166&lt;&gt;0,"OBL in SIG Office",
IF(CA166&lt;&gt;0,"OBL in Transit from Origin to SIG",
IF(BZ166&lt;&gt;0,"OBL in Origin - "&amp;I166,
IF(BY166&lt;&gt;0,"Draft Rcvd","No OBL Yet")))))))),
IF(CO166&lt;&gt;0,"OBL In Destination - "&amp;J166,
IF(CM166&lt;&gt;0,"OBL in Transit with Nego Docs - "&amp;J166,
IF(CB166&lt;&gt;0,"OBL in SIG Office",
IF(CA166&lt;&gt;0,"OBL in Transit from Origin to SIG",
IF(BZ166&lt;&gt;0,"OBL in Origin - "&amp;I166,
IF(BY166&lt;&gt;0,"Draft Rcvd","No OBL Yet")))))))</f>
        <v>No OBL Yet</v>
      </c>
      <c r="CF166" s="22"/>
      <c r="CG166" s="22"/>
      <c r="CH166" s="182"/>
      <c r="CI166" s="182"/>
      <c r="CJ166" s="182"/>
      <c r="CK166" s="2" t="str">
        <f t="shared" ref="CK166:CK173" si="399">IF(CJ166&lt;&gt;0,"CERTS in Destination - "&amp;J166,IF(CI166&lt;&gt;0,"CERT in Transit to -"&amp;J166,IF(CH166&lt;&gt;0,"CERT in Origin - "&amp;I166,IF(CH166="","No CERTS Yet"))))</f>
        <v>No CERTS Yet</v>
      </c>
      <c r="CL166" s="48"/>
      <c r="CM166" s="22"/>
      <c r="CN166" s="645"/>
      <c r="CO166" s="55"/>
      <c r="CP166" s="55" t="str">
        <f>IF(CO166&lt;&gt;0,"Docs in Buyer's Bank",IF(CN166&lt;&gt;0,"Docs in Transit to Buyer's Bank",IF(CM166&lt;&gt;0,"Docs in Our Bank",IF(CL166="TT PAYMENT","Not Applicable",""))))</f>
        <v/>
      </c>
      <c r="CQ166" s="190">
        <f t="shared" si="387"/>
        <v>-17200</v>
      </c>
      <c r="CR166" s="54"/>
      <c r="CS166" s="2"/>
      <c r="CT166" s="2"/>
      <c r="CU166" s="14" t="str">
        <f>IF(CS166="","",BJ166-CT166)</f>
        <v/>
      </c>
      <c r="CV166" s="191" t="str">
        <f>IF(CS166="","",CU166/BJ166)</f>
        <v/>
      </c>
      <c r="CW166" s="14" t="str">
        <f>IF(CS166="","",AZ166+CQ166)</f>
        <v/>
      </c>
      <c r="CX166" s="14" t="str">
        <f>IF(CS166="","",BX166*2%)</f>
        <v/>
      </c>
      <c r="CY166" s="15" t="str">
        <f>IF(CS166="","",AI166/B166)</f>
        <v/>
      </c>
      <c r="CZ166" s="2"/>
      <c r="DA166" s="41" t="str">
        <f>IF(CS166="","",B166-CZ166)</f>
        <v/>
      </c>
      <c r="DB166" s="2"/>
      <c r="DC166" s="192" t="str">
        <f>IF(CS166="","",IF(CS166="","",DB166-C166))</f>
        <v/>
      </c>
      <c r="DD166" s="40"/>
      <c r="DE166" s="16" t="str">
        <f>IF(CS166="","",10%-DD166)</f>
        <v/>
      </c>
      <c r="DF166" s="2" t="str">
        <f>IF(CS166="","",CU166*AI166)</f>
        <v/>
      </c>
      <c r="DG166" s="14" t="str">
        <f>IF(CS166="","",IF(DA166&gt;2,2*DA166*CT166*CY166,DA166*CT166*CY166))</f>
        <v/>
      </c>
      <c r="DH166" s="2" t="str">
        <f>IF(CS166="","",IF(DA166&gt;2,2*(DA166-2*CT166*CY166),0))</f>
        <v/>
      </c>
      <c r="DI166" s="192" t="str">
        <f>IF(CS166="","",IF(DC166&gt;0,DC166*0.5*CT166,0))</f>
        <v/>
      </c>
      <c r="DJ166" s="2" t="str">
        <f>IF(CS166="","",IF(DE166&lt;0,DE166*CT166*AI166*1%,0))</f>
        <v/>
      </c>
      <c r="DK166" s="15" t="str">
        <f>IF(CS166="","",SUM(DF166:DJ166))</f>
        <v/>
      </c>
      <c r="DL166" s="2"/>
      <c r="DM166" s="2"/>
      <c r="DN166" s="15" t="str">
        <f>IF(CS166="","",SUM(DK166:DL166))</f>
        <v/>
      </c>
      <c r="DO166" s="14" t="str">
        <f>IF(CS166="","",BJ166*AI166-DN166)</f>
        <v/>
      </c>
      <c r="DP166" s="14" t="str">
        <f>IF(CS166="","",AZ166+CQ166)</f>
        <v/>
      </c>
      <c r="DQ166" s="15" t="str">
        <f>IF(CS166="","",IF((DP166-DO166)&gt;0,DP166-DO166,""))</f>
        <v/>
      </c>
      <c r="DR166" s="15" t="str">
        <f>IF(CS166="","",IF((DO166-DP166)&gt;0,(DO166-DP166),""))</f>
        <v/>
      </c>
      <c r="DS166" s="2" t="str">
        <f>IF(CS166="","",IF(DQ166="",H166,"VALENCY"))</f>
        <v/>
      </c>
      <c r="DT166" s="2" t="str">
        <f>IF(DN166="","",IF(DN166&gt;0,"CN", "DN"))</f>
        <v/>
      </c>
      <c r="DU166" s="2"/>
      <c r="DV166" s="418"/>
      <c r="DW166" s="2"/>
      <c r="DX166" s="2"/>
      <c r="DY166" s="2" t="s">
        <v>230</v>
      </c>
      <c r="DZ166" s="2"/>
      <c r="EA166" s="2" t="str">
        <f>IF(CS166="","",
   MIN(0,(IF(DA166&gt;2,2,1)*DA166*CT166*CY166))
)</f>
        <v/>
      </c>
      <c r="EB166" s="2"/>
      <c r="EC166" s="2"/>
      <c r="ED166" s="2"/>
      <c r="EE166" s="3"/>
      <c r="EF166" s="7"/>
      <c r="EG166" s="3"/>
      <c r="EH166" s="3" t="s">
        <v>759</v>
      </c>
      <c r="EI166" s="3"/>
      <c r="EJ166" s="189"/>
      <c r="EK166" s="4"/>
      <c r="EL166" s="9"/>
      <c r="EM166" s="9"/>
      <c r="EN166" s="189">
        <f>EK166*EJ166</f>
        <v>0</v>
      </c>
      <c r="EO166" s="9"/>
      <c r="EP166" s="8"/>
      <c r="EQ166" s="4"/>
      <c r="ER166" s="4"/>
      <c r="ES166" s="7"/>
      <c r="ET166" s="7"/>
      <c r="EU166" s="6"/>
      <c r="EV166" s="2" t="str">
        <f t="shared" ref="EV166:EV173" si="400">IF(CR166&lt;&gt;0,"Final Pmt Recd",IF(CM166&lt;&gt;0,"Export Loan",IF(BZ166&lt;&gt;0,"Nego Pending",IF(Z166&lt;&gt;0,"Yet to load","Yet to load"))))</f>
        <v>Yet to load</v>
      </c>
      <c r="EW166" s="189"/>
      <c r="EX166" s="189" t="e">
        <f>EW166/BJ166</f>
        <v>#DIV/0!</v>
      </c>
      <c r="EY166" s="24"/>
      <c r="EZ166" s="24"/>
      <c r="FA166" s="2"/>
      <c r="FB166" s="24"/>
      <c r="FC166" s="193"/>
      <c r="FD166" s="189">
        <f>FC166*BJ166</f>
        <v>0</v>
      </c>
      <c r="FE166" s="52"/>
      <c r="FF166" s="52"/>
      <c r="FG166" s="49"/>
      <c r="FH166" s="49"/>
      <c r="FI166" s="49"/>
      <c r="FJ166" s="49"/>
      <c r="FK166" s="49"/>
      <c r="FL166" s="49"/>
      <c r="FM166" s="34"/>
      <c r="FN166" s="34"/>
      <c r="FO166" s="3"/>
      <c r="FP166" s="3"/>
      <c r="FQ166" s="3"/>
      <c r="FR166" s="3"/>
      <c r="FS166" s="34">
        <f t="shared" ref="FS166:FS172" si="401">Y166</f>
        <v>20010333</v>
      </c>
      <c r="FT166" s="34">
        <f t="shared" ref="FT166:FT172" si="402">AA166</f>
        <v>32016399</v>
      </c>
      <c r="FU166" s="3"/>
      <c r="FV166" s="4"/>
      <c r="FW166" s="3"/>
      <c r="FX166" s="182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</row>
    <row r="167" spans="1:196" s="270" customFormat="1" ht="33.950000000000003">
      <c r="A167" s="2" t="str">
        <f t="shared" si="391"/>
        <v>Sailed, OBL &amp; Certs Pending</v>
      </c>
      <c r="B167" s="282">
        <v>47</v>
      </c>
      <c r="C167" s="282">
        <v>200</v>
      </c>
      <c r="D167" s="182" t="s">
        <v>208</v>
      </c>
      <c r="E167" s="2" t="str">
        <f t="shared" si="392"/>
        <v>CLOSE POSITION</v>
      </c>
      <c r="F167" s="271" t="str">
        <f t="shared" si="384"/>
        <v>32015969-4</v>
      </c>
      <c r="G167" s="529"/>
      <c r="H167" s="433" t="str">
        <f t="shared" si="381"/>
        <v>Valency Agro (Processing)</v>
      </c>
      <c r="I167" s="434" t="s">
        <v>259</v>
      </c>
      <c r="J167" s="2" t="s">
        <v>210</v>
      </c>
      <c r="K167" s="2" t="str">
        <f t="shared" si="393"/>
        <v>MUNDRA, INDIA</v>
      </c>
      <c r="L167" s="2">
        <f t="shared" si="389"/>
        <v>268584744</v>
      </c>
      <c r="M167" s="2">
        <f t="shared" si="388"/>
        <v>237.42</v>
      </c>
      <c r="N167" s="22">
        <f t="shared" si="394"/>
        <v>46172</v>
      </c>
      <c r="O167" s="22">
        <f t="shared" si="385"/>
        <v>46193</v>
      </c>
      <c r="P167" s="22" t="str">
        <f t="shared" si="395"/>
        <v>Draft Rcvd</v>
      </c>
      <c r="Q167" s="2"/>
      <c r="R167" s="2" t="str">
        <f t="shared" si="396"/>
        <v>No CERTS Yet</v>
      </c>
      <c r="S167" s="2" t="str">
        <f t="shared" si="386"/>
        <v/>
      </c>
      <c r="T167" s="2" t="s">
        <v>610</v>
      </c>
      <c r="U167" s="3" t="s">
        <v>870</v>
      </c>
      <c r="V167" s="272"/>
      <c r="W167" s="3" t="s">
        <v>870</v>
      </c>
      <c r="X167" s="24"/>
      <c r="Y167" s="273">
        <v>20009859</v>
      </c>
      <c r="Z167" s="24">
        <v>46107</v>
      </c>
      <c r="AA167" s="182" t="s">
        <v>871</v>
      </c>
      <c r="AB167" s="182" t="s">
        <v>247</v>
      </c>
      <c r="AC167" s="182" t="s">
        <v>385</v>
      </c>
      <c r="AD167" s="181">
        <v>46142</v>
      </c>
      <c r="AE167" s="30">
        <v>0.1</v>
      </c>
      <c r="AF167" s="277">
        <v>250</v>
      </c>
      <c r="AG167" s="4">
        <f t="shared" si="397"/>
        <v>225</v>
      </c>
      <c r="AH167" s="3" t="s">
        <v>215</v>
      </c>
      <c r="AI167" s="4">
        <v>1508</v>
      </c>
      <c r="AJ167" s="4">
        <f t="shared" si="390"/>
        <v>377000</v>
      </c>
      <c r="AK167" s="3" t="s">
        <v>249</v>
      </c>
      <c r="AL167" s="3" t="s">
        <v>238</v>
      </c>
      <c r="AM167" s="30">
        <v>0</v>
      </c>
      <c r="AN167" s="183">
        <v>1</v>
      </c>
      <c r="AO167" s="183">
        <v>0</v>
      </c>
      <c r="AP167" s="28" t="s">
        <v>218</v>
      </c>
      <c r="AQ167" s="18" t="s">
        <v>250</v>
      </c>
      <c r="AR167" s="18" t="s">
        <v>251</v>
      </c>
      <c r="AS167" s="27"/>
      <c r="AT167" s="3" t="s">
        <v>220</v>
      </c>
      <c r="AU167" s="3" t="s">
        <v>220</v>
      </c>
      <c r="AV167" s="3" t="s">
        <v>220</v>
      </c>
      <c r="AW167" s="9"/>
      <c r="AX167" s="3"/>
      <c r="AY167" s="47"/>
      <c r="AZ167" s="278">
        <f t="shared" si="382"/>
        <v>0</v>
      </c>
      <c r="BA167" s="18">
        <f>Z167</f>
        <v>46107</v>
      </c>
      <c r="BB167" s="22">
        <v>46077</v>
      </c>
      <c r="BC167" s="22"/>
      <c r="BD167" s="22"/>
      <c r="BE167" s="22"/>
      <c r="BF167" s="22">
        <v>46078</v>
      </c>
      <c r="BG167" s="18"/>
      <c r="BH167" s="18"/>
      <c r="BI167" s="3">
        <v>268584744</v>
      </c>
      <c r="BJ167" s="25">
        <v>237.42</v>
      </c>
      <c r="BK167" s="189" t="s">
        <v>222</v>
      </c>
      <c r="BL167" s="497">
        <v>10</v>
      </c>
      <c r="BM167" s="18">
        <v>46172</v>
      </c>
      <c r="BN167" s="4"/>
      <c r="BO167" s="18">
        <v>46193</v>
      </c>
      <c r="BP167" s="3" t="s">
        <v>259</v>
      </c>
      <c r="BQ167" s="21" t="s">
        <v>253</v>
      </c>
      <c r="BR167" s="2" t="s">
        <v>416</v>
      </c>
      <c r="BS167" s="2"/>
      <c r="BT167" s="2" t="s">
        <v>460</v>
      </c>
      <c r="BU167" s="2"/>
      <c r="BV167" s="20"/>
      <c r="BW167" s="19"/>
      <c r="BX167" s="189">
        <f>BJ167*AI167</f>
        <v>358029.36</v>
      </c>
      <c r="BY167" s="22">
        <v>46168</v>
      </c>
      <c r="BZ167" s="22"/>
      <c r="CA167" s="2"/>
      <c r="CB167" s="22"/>
      <c r="CC167" s="22"/>
      <c r="CD167" s="22"/>
      <c r="CE167" s="22" t="str">
        <f t="shared" si="398"/>
        <v>Draft Rcvd</v>
      </c>
      <c r="CF167" s="22"/>
      <c r="CG167" s="22"/>
      <c r="CH167" s="182"/>
      <c r="CI167" s="182"/>
      <c r="CJ167" s="182"/>
      <c r="CK167" s="2" t="str">
        <f t="shared" si="399"/>
        <v>No CERTS Yet</v>
      </c>
      <c r="CL167" s="48"/>
      <c r="CM167" s="22"/>
      <c r="CN167" s="55"/>
      <c r="CO167" s="55"/>
      <c r="CP167" s="55" t="str">
        <f>IF(CO167&lt;&gt;0,"Docs in Buyer's Nego Bank",IF(CN167&lt;&gt;0,"Docs in Transit to Buyer's Nego Bank",IF(CM167&lt;&gt;0,"Docs in Our Nego Bank",IF(CL167="TT PAYMENT","Not Applicable",""))))</f>
        <v/>
      </c>
      <c r="CQ167" s="190">
        <f t="shared" si="387"/>
        <v>358029.36</v>
      </c>
      <c r="CR167" s="54"/>
      <c r="CS167" s="2"/>
      <c r="CT167" s="2"/>
      <c r="CU167" s="14" t="str">
        <f>IF(CS167="","",BJ167-CT167)</f>
        <v/>
      </c>
      <c r="CV167" s="191" t="str">
        <f>IF(CS167="","",CU167/BJ167)</f>
        <v/>
      </c>
      <c r="CW167" s="14" t="str">
        <f>IF(CS167="","",AZ167+CQ167)</f>
        <v/>
      </c>
      <c r="CX167" s="14" t="str">
        <f>IF(CS167="","",BX167*2%)</f>
        <v/>
      </c>
      <c r="CY167" s="15" t="str">
        <f>IF(CS167="","",AI167/B167)</f>
        <v/>
      </c>
      <c r="CZ167" s="2"/>
      <c r="DA167" s="41" t="str">
        <f>IF(CS167="","",B167-CZ167)</f>
        <v/>
      </c>
      <c r="DB167" s="2"/>
      <c r="DC167" s="192" t="str">
        <f>IF(CS167="","",IF(CS167="","",DB167-C167))</f>
        <v/>
      </c>
      <c r="DD167" s="40"/>
      <c r="DE167" s="16" t="str">
        <f>IF(CS167="","",10%-DD167)</f>
        <v/>
      </c>
      <c r="DF167" s="2" t="str">
        <f>IF(CS167="","",CU167*AI167)</f>
        <v/>
      </c>
      <c r="DG167" s="14" t="str">
        <f>IF(CS167="","",IF(DA167&gt;2,2*DA167*CT167*CY167,DA167*CT167*CY167))</f>
        <v/>
      </c>
      <c r="DH167" s="2" t="str">
        <f>IF(CS167="","",IF(DA167&gt;2,2*(DA167-2*CT167*CY167),0))</f>
        <v/>
      </c>
      <c r="DI167" s="192" t="str">
        <f>IF(CS167="","",IF(DC167&gt;0,DC167*0.5*CT167,0))</f>
        <v/>
      </c>
      <c r="DJ167" s="2" t="str">
        <f>IF(CS167="","",IF(DE167&lt;0,DE167*CT167*AI167*1%,0))</f>
        <v/>
      </c>
      <c r="DK167" s="15" t="str">
        <f>IF(CS167="","",SUM(DF167:DJ167))</f>
        <v/>
      </c>
      <c r="DL167" s="2"/>
      <c r="DM167" s="2"/>
      <c r="DN167" s="15" t="str">
        <f>IF(CS167="","",SUM(DK167:DL167))</f>
        <v/>
      </c>
      <c r="DO167" s="14" t="str">
        <f>IF(CS167="","",BJ167*AI167-DN167)</f>
        <v/>
      </c>
      <c r="DP167" s="14" t="str">
        <f>IF(CS167="","",AZ167+CQ167)</f>
        <v/>
      </c>
      <c r="DQ167" s="15" t="str">
        <f>IF(CS167="","",IF((DP167-DO167)&gt;0,DP167-DO167,""))</f>
        <v/>
      </c>
      <c r="DR167" s="15" t="str">
        <f>IF(CS167="","",IF((DO167-DP167)&gt;0,(DO167-DP167),""))</f>
        <v/>
      </c>
      <c r="DS167" s="2" t="str">
        <f>IF(CS167="","",IF(DQ167="",H167,"VALENCY"))</f>
        <v/>
      </c>
      <c r="DT167" s="2" t="str">
        <f>IF(DN167="","",IF(DN167&gt;0,"CN", "DN"))</f>
        <v/>
      </c>
      <c r="DU167" s="2"/>
      <c r="DV167" s="2"/>
      <c r="DW167" s="2"/>
      <c r="DX167" s="2"/>
      <c r="DY167" s="2" t="s">
        <v>230</v>
      </c>
      <c r="DZ167" s="2"/>
      <c r="EA167" s="2" t="str">
        <f>IF(CS167="","",
   MIN(0,(IF(DA167&gt;2,2,1)*DA167*CT167*CY167))
)</f>
        <v/>
      </c>
      <c r="EB167" s="2"/>
      <c r="EC167" s="2"/>
      <c r="ED167" s="2"/>
      <c r="EE167" s="3"/>
      <c r="EF167" s="7"/>
      <c r="EG167" s="3"/>
      <c r="EH167" s="3" t="s">
        <v>266</v>
      </c>
      <c r="EI167" s="3" t="s">
        <v>258</v>
      </c>
      <c r="EJ167" s="189"/>
      <c r="EK167" s="4"/>
      <c r="EL167" s="9"/>
      <c r="EM167" s="9"/>
      <c r="EN167" s="189">
        <f>EK167*EJ167</f>
        <v>0</v>
      </c>
      <c r="EO167" s="9"/>
      <c r="EP167" s="8"/>
      <c r="EQ167" s="4"/>
      <c r="ER167" s="4"/>
      <c r="ES167" s="7"/>
      <c r="ET167" s="7"/>
      <c r="EU167" s="6"/>
      <c r="EV167" s="2" t="str">
        <f t="shared" si="400"/>
        <v>Yet to load</v>
      </c>
      <c r="EW167" s="189"/>
      <c r="EX167" s="189">
        <f>EW167/BJ167</f>
        <v>0</v>
      </c>
      <c r="EY167" s="189" t="s">
        <v>233</v>
      </c>
      <c r="EZ167" s="24"/>
      <c r="FA167" s="2"/>
      <c r="FB167" s="24"/>
      <c r="FC167" s="193"/>
      <c r="FD167" s="189">
        <f>FC167*BJ167</f>
        <v>0</v>
      </c>
      <c r="FE167" s="52"/>
      <c r="FF167" s="52"/>
      <c r="FG167" s="49"/>
      <c r="FH167" s="49"/>
      <c r="FI167" s="49"/>
      <c r="FJ167" s="49"/>
      <c r="FK167" s="354"/>
      <c r="FL167" s="354">
        <f>IFERROR(EZ167-BY167,"")</f>
        <v>-46168</v>
      </c>
      <c r="FM167" s="355">
        <f>IFERROR(BM167-FB167,"")</f>
        <v>46172</v>
      </c>
      <c r="FN167" s="354"/>
      <c r="FO167" s="354"/>
      <c r="FP167" s="354"/>
      <c r="FQ167" s="354"/>
      <c r="FR167" s="354"/>
      <c r="FS167" s="493">
        <f t="shared" si="401"/>
        <v>20009859</v>
      </c>
      <c r="FT167" s="493" t="str">
        <f t="shared" si="402"/>
        <v>32015969-4</v>
      </c>
      <c r="FU167" s="329"/>
      <c r="FV167" s="329"/>
      <c r="FW167" s="329"/>
      <c r="FX167" s="329"/>
      <c r="FY167" s="329"/>
      <c r="FZ167" s="329"/>
      <c r="GA167" s="329"/>
      <c r="GB167" s="338"/>
      <c r="GC167" s="329"/>
      <c r="GD167" s="332"/>
      <c r="GE167" s="329"/>
      <c r="GF167" s="329"/>
      <c r="GG167" s="329"/>
      <c r="GH167" s="329"/>
      <c r="GI167" s="329"/>
      <c r="GJ167" s="329"/>
      <c r="GK167" s="329"/>
      <c r="GL167" s="329"/>
      <c r="GM167" s="329"/>
      <c r="GN167" s="329"/>
    </row>
    <row r="168" spans="1:196" s="270" customFormat="1" ht="33.950000000000003">
      <c r="A168" s="2" t="str">
        <f t="shared" si="391"/>
        <v>Sailed, OBL &amp; Certs Pending</v>
      </c>
      <c r="B168" s="282">
        <v>47</v>
      </c>
      <c r="C168" s="282">
        <v>200</v>
      </c>
      <c r="D168" s="182" t="s">
        <v>208</v>
      </c>
      <c r="E168" s="2" t="str">
        <f t="shared" si="392"/>
        <v>CLOSE POSITION</v>
      </c>
      <c r="F168" s="271" t="str">
        <f t="shared" si="384"/>
        <v>32015969-1</v>
      </c>
      <c r="G168" s="529"/>
      <c r="H168" s="433" t="str">
        <f t="shared" si="381"/>
        <v>Valency Agro (Processing)</v>
      </c>
      <c r="I168" s="434" t="s">
        <v>259</v>
      </c>
      <c r="J168" s="2" t="s">
        <v>210</v>
      </c>
      <c r="K168" s="2" t="str">
        <f t="shared" si="393"/>
        <v>MUNDRA, INDIA</v>
      </c>
      <c r="L168" s="2">
        <f t="shared" si="389"/>
        <v>268586303</v>
      </c>
      <c r="M168" s="2">
        <f t="shared" si="388"/>
        <v>238.71</v>
      </c>
      <c r="N168" s="22">
        <f t="shared" si="394"/>
        <v>46172</v>
      </c>
      <c r="O168" s="22">
        <f t="shared" si="385"/>
        <v>46193</v>
      </c>
      <c r="P168" s="22" t="str">
        <f t="shared" si="395"/>
        <v>Draft Rcvd</v>
      </c>
      <c r="Q168" s="330"/>
      <c r="R168" s="2" t="str">
        <f t="shared" si="396"/>
        <v>No CERTS Yet</v>
      </c>
      <c r="S168" s="2" t="str">
        <f t="shared" si="386"/>
        <v/>
      </c>
      <c r="T168" s="2" t="s">
        <v>610</v>
      </c>
      <c r="U168" s="3" t="s">
        <v>872</v>
      </c>
      <c r="V168" s="272"/>
      <c r="W168" s="3" t="s">
        <v>872</v>
      </c>
      <c r="X168" s="24"/>
      <c r="Y168" s="273">
        <v>20009859</v>
      </c>
      <c r="Z168" s="24">
        <v>46107</v>
      </c>
      <c r="AA168" s="182" t="s">
        <v>873</v>
      </c>
      <c r="AB168" s="182" t="s">
        <v>247</v>
      </c>
      <c r="AC168" s="182" t="s">
        <v>385</v>
      </c>
      <c r="AD168" s="181">
        <v>46142</v>
      </c>
      <c r="AE168" s="30">
        <v>0.1</v>
      </c>
      <c r="AF168" s="277">
        <v>250</v>
      </c>
      <c r="AG168" s="4">
        <f t="shared" si="397"/>
        <v>225</v>
      </c>
      <c r="AH168" s="3" t="s">
        <v>215</v>
      </c>
      <c r="AI168" s="4">
        <v>1508</v>
      </c>
      <c r="AJ168" s="4">
        <f t="shared" si="390"/>
        <v>377000</v>
      </c>
      <c r="AK168" s="3" t="s">
        <v>249</v>
      </c>
      <c r="AL168" s="3" t="s">
        <v>238</v>
      </c>
      <c r="AM168" s="30">
        <v>0</v>
      </c>
      <c r="AN168" s="183">
        <v>1</v>
      </c>
      <c r="AO168" s="183">
        <v>0</v>
      </c>
      <c r="AP168" s="28" t="s">
        <v>218</v>
      </c>
      <c r="AQ168" s="18" t="s">
        <v>250</v>
      </c>
      <c r="AR168" s="18" t="s">
        <v>251</v>
      </c>
      <c r="AS168" s="27"/>
      <c r="AT168" s="3" t="s">
        <v>220</v>
      </c>
      <c r="AU168" s="3" t="s">
        <v>220</v>
      </c>
      <c r="AV168" s="3" t="s">
        <v>220</v>
      </c>
      <c r="AW168" s="9"/>
      <c r="AX168" s="3"/>
      <c r="AY168" s="47"/>
      <c r="AZ168" s="278">
        <f t="shared" si="382"/>
        <v>0</v>
      </c>
      <c r="BA168" s="18">
        <f>Z168</f>
        <v>46107</v>
      </c>
      <c r="BB168" s="22">
        <v>46077</v>
      </c>
      <c r="BC168" s="22"/>
      <c r="BD168" s="22"/>
      <c r="BE168" s="22"/>
      <c r="BF168" s="22">
        <v>46078</v>
      </c>
      <c r="BG168" s="18"/>
      <c r="BH168" s="18"/>
      <c r="BI168" s="3">
        <v>268586303</v>
      </c>
      <c r="BJ168" s="25">
        <v>238.71</v>
      </c>
      <c r="BK168" s="189" t="s">
        <v>222</v>
      </c>
      <c r="BL168" s="497">
        <v>10</v>
      </c>
      <c r="BM168" s="18">
        <v>46172</v>
      </c>
      <c r="BN168" s="4"/>
      <c r="BO168" s="18">
        <v>46193</v>
      </c>
      <c r="BP168" s="3" t="s">
        <v>259</v>
      </c>
      <c r="BQ168" s="21" t="s">
        <v>253</v>
      </c>
      <c r="BR168" s="2" t="s">
        <v>416</v>
      </c>
      <c r="BS168" s="2"/>
      <c r="BT168" s="2" t="s">
        <v>460</v>
      </c>
      <c r="BU168" s="2"/>
      <c r="BV168" s="20"/>
      <c r="BW168" s="19"/>
      <c r="BX168" s="189">
        <f>BJ168*AI168</f>
        <v>359974.68</v>
      </c>
      <c r="BY168" s="22">
        <v>46163</v>
      </c>
      <c r="BZ168" s="22"/>
      <c r="CA168" s="22"/>
      <c r="CB168" s="22"/>
      <c r="CC168" s="22"/>
      <c r="CD168" s="22"/>
      <c r="CE168" s="22" t="str">
        <f t="shared" si="398"/>
        <v>Draft Rcvd</v>
      </c>
      <c r="CF168" s="22"/>
      <c r="CG168" s="22"/>
      <c r="CH168" s="181"/>
      <c r="CI168" s="419"/>
      <c r="CJ168" s="181"/>
      <c r="CK168" s="2" t="str">
        <f t="shared" si="399"/>
        <v>No CERTS Yet</v>
      </c>
      <c r="CL168" s="48"/>
      <c r="CM168" s="22"/>
      <c r="CN168" s="55"/>
      <c r="CO168" s="55"/>
      <c r="CP168" s="55" t="str">
        <f>IF(CO168&lt;&gt;0,"Docs in Buyer's Nego Bank",IF(CN168&lt;&gt;0,"Docs in Transit to Buyer's Nego Bank",IF(CM168&lt;&gt;0,"Docs in Our Nego Bank",IF(CL168="TT PAYMENT","Not Applicable",""))))</f>
        <v/>
      </c>
      <c r="CQ168" s="190">
        <f t="shared" si="387"/>
        <v>359974.68</v>
      </c>
      <c r="CR168" s="54"/>
      <c r="CS168" s="2"/>
      <c r="CT168" s="2"/>
      <c r="CU168" s="14" t="str">
        <f>IF(CS168="","",BJ168-CT168)</f>
        <v/>
      </c>
      <c r="CV168" s="191" t="str">
        <f>IF(CS168="","",CU168/BJ168)</f>
        <v/>
      </c>
      <c r="CW168" s="14" t="str">
        <f>IF(CS168="","",AZ168+CQ168)</f>
        <v/>
      </c>
      <c r="CX168" s="14" t="str">
        <f>IF(CS168="","",BX168*2%)</f>
        <v/>
      </c>
      <c r="CY168" s="15" t="str">
        <f>IF(CS168="","",AI168/B168)</f>
        <v/>
      </c>
      <c r="CZ168" s="2"/>
      <c r="DA168" s="41" t="str">
        <f>IF(CS168="","",B168-CZ168)</f>
        <v/>
      </c>
      <c r="DB168" s="2"/>
      <c r="DC168" s="192" t="str">
        <f>IF(CS168="","",IF(CS168="","",DB168-C168))</f>
        <v/>
      </c>
      <c r="DD168" s="40"/>
      <c r="DE168" s="16" t="str">
        <f>IF(CS168="","",10%-DD168)</f>
        <v/>
      </c>
      <c r="DF168" s="2" t="str">
        <f>IF(CS168="","",CU168*AI168)</f>
        <v/>
      </c>
      <c r="DG168" s="14" t="str">
        <f>IF(CS168="","",IF(DA168&gt;2,2*DA168*CT168*CY168,DA168*CT168*CY168))</f>
        <v/>
      </c>
      <c r="DH168" s="2" t="str">
        <f>IF(CS168="","",IF(DA168&gt;2,2*(DA168-2*CT168*CY168),0))</f>
        <v/>
      </c>
      <c r="DI168" s="192" t="str">
        <f>IF(CS168="","",IF(DC168&gt;0,DC168*0.5*CT168,0))</f>
        <v/>
      </c>
      <c r="DJ168" s="2" t="str">
        <f>IF(CS168="","",IF(DE168&lt;0,DE168*CT168*AI168*1%,0))</f>
        <v/>
      </c>
      <c r="DK168" s="15" t="str">
        <f>IF(CS168="","",SUM(DF168:DJ168))</f>
        <v/>
      </c>
      <c r="DL168" s="2"/>
      <c r="DM168" s="2"/>
      <c r="DN168" s="15" t="str">
        <f>IF(CS168="","",SUM(DK168:DL168))</f>
        <v/>
      </c>
      <c r="DO168" s="14" t="str">
        <f>IF(CS168="","",BJ168*AI168-DN168)</f>
        <v/>
      </c>
      <c r="DP168" s="14" t="str">
        <f>IF(CS168="","",AZ168+CQ168)</f>
        <v/>
      </c>
      <c r="DQ168" s="15" t="str">
        <f>IF(CS168="","",IF((DP168-DO168)&gt;0,DP168-DO168,""))</f>
        <v/>
      </c>
      <c r="DR168" s="15" t="str">
        <f>IF(CS168="","",IF((DO168-DP168)&gt;0,(DO168-DP168),""))</f>
        <v/>
      </c>
      <c r="DS168" s="2" t="str">
        <f>IF(CS168="","",IF(DQ168="",H168,"VALENCY"))</f>
        <v/>
      </c>
      <c r="DT168" s="2" t="str">
        <f>IF(DN168="","",IF(DN168&gt;0,"CN", "DN"))</f>
        <v/>
      </c>
      <c r="DU168" s="2"/>
      <c r="DV168" s="2"/>
      <c r="DW168" s="2"/>
      <c r="DX168" s="2"/>
      <c r="DY168" s="2" t="s">
        <v>230</v>
      </c>
      <c r="DZ168" s="2"/>
      <c r="EA168" s="2" t="str">
        <f>IF(CS168="","",
   MIN(0,(IF(DA168&gt;2,2,1)*DA168*CT168*CY168))
)</f>
        <v/>
      </c>
      <c r="EB168" s="2"/>
      <c r="EC168" s="2"/>
      <c r="ED168" s="2"/>
      <c r="EE168" s="3"/>
      <c r="EF168" s="7"/>
      <c r="EG168" s="3"/>
      <c r="EH168" s="3" t="s">
        <v>266</v>
      </c>
      <c r="EI168" s="3" t="s">
        <v>258</v>
      </c>
      <c r="EJ168" s="189"/>
      <c r="EK168" s="4"/>
      <c r="EL168" s="9"/>
      <c r="EM168" s="9"/>
      <c r="EN168" s="189">
        <f>EK168*EJ168</f>
        <v>0</v>
      </c>
      <c r="EO168" s="9"/>
      <c r="EP168" s="8"/>
      <c r="EQ168" s="4"/>
      <c r="ER168" s="4"/>
      <c r="ES168" s="7"/>
      <c r="ET168" s="7"/>
      <c r="EU168" s="6"/>
      <c r="EV168" s="2" t="str">
        <f t="shared" si="400"/>
        <v>Yet to load</v>
      </c>
      <c r="EW168" s="189"/>
      <c r="EX168" s="189">
        <f>EW168/BJ168</f>
        <v>0</v>
      </c>
      <c r="EY168" s="189" t="s">
        <v>233</v>
      </c>
      <c r="EZ168" s="24"/>
      <c r="FA168" s="2"/>
      <c r="FB168" s="24"/>
      <c r="FC168" s="193"/>
      <c r="FD168" s="189">
        <f>FC168*BJ168</f>
        <v>0</v>
      </c>
      <c r="FE168" s="52"/>
      <c r="FF168" s="52"/>
      <c r="FG168" s="49"/>
      <c r="FH168" s="49"/>
      <c r="FI168" s="49"/>
      <c r="FJ168" s="49"/>
      <c r="FK168" s="354"/>
      <c r="FL168" s="354">
        <f>IFERROR(EZ168-BY168,"")</f>
        <v>-46163</v>
      </c>
      <c r="FM168" s="355">
        <f>IFERROR(BM168-FB168,"")</f>
        <v>46172</v>
      </c>
      <c r="FN168" s="354"/>
      <c r="FO168" s="354"/>
      <c r="FP168" s="354"/>
      <c r="FQ168" s="354"/>
      <c r="FR168" s="354"/>
      <c r="FS168" s="493">
        <f t="shared" si="401"/>
        <v>20009859</v>
      </c>
      <c r="FT168" s="493" t="str">
        <f t="shared" si="402"/>
        <v>32015969-1</v>
      </c>
      <c r="FU168" s="329"/>
      <c r="FV168" s="329"/>
      <c r="FW168" s="329"/>
      <c r="FX168" s="329"/>
      <c r="FY168" s="329"/>
      <c r="FZ168" s="329"/>
      <c r="GA168" s="329"/>
      <c r="GB168" s="338"/>
      <c r="GC168" s="329"/>
      <c r="GD168" s="332"/>
      <c r="GE168" s="329"/>
      <c r="GF168" s="329"/>
      <c r="GG168" s="329"/>
      <c r="GH168" s="329"/>
      <c r="GI168" s="329"/>
      <c r="GJ168" s="329"/>
      <c r="GK168" s="329"/>
      <c r="GL168" s="329"/>
      <c r="GM168" s="329"/>
      <c r="GN168" s="329"/>
    </row>
    <row r="169" spans="1:196" s="270" customFormat="1" ht="33.950000000000003">
      <c r="A169" s="2" t="str">
        <f t="shared" si="391"/>
        <v>Sailed, OBL &amp; Certs Pending</v>
      </c>
      <c r="B169" s="282">
        <v>47</v>
      </c>
      <c r="C169" s="282">
        <v>200</v>
      </c>
      <c r="D169" s="182" t="s">
        <v>208</v>
      </c>
      <c r="E169" s="2" t="str">
        <f t="shared" si="392"/>
        <v>CLOSE POSITION</v>
      </c>
      <c r="F169" s="271" t="str">
        <f t="shared" si="384"/>
        <v>32015969-2</v>
      </c>
      <c r="G169" s="529"/>
      <c r="H169" s="433" t="str">
        <f t="shared" si="381"/>
        <v>Valency Agro (Processing)</v>
      </c>
      <c r="I169" s="434" t="s">
        <v>259</v>
      </c>
      <c r="J169" s="2" t="s">
        <v>210</v>
      </c>
      <c r="K169" s="2" t="str">
        <f t="shared" si="393"/>
        <v>MUNDRA, INDIA</v>
      </c>
      <c r="L169" s="2">
        <f t="shared" si="389"/>
        <v>268589748</v>
      </c>
      <c r="M169" s="2">
        <f t="shared" si="388"/>
        <v>239.89</v>
      </c>
      <c r="N169" s="22">
        <f t="shared" si="394"/>
        <v>46172</v>
      </c>
      <c r="O169" s="22">
        <f t="shared" si="385"/>
        <v>46193</v>
      </c>
      <c r="P169" s="22" t="str">
        <f t="shared" si="395"/>
        <v>Draft Rcvd</v>
      </c>
      <c r="Q169" s="330"/>
      <c r="R169" s="2" t="str">
        <f t="shared" si="396"/>
        <v>No CERTS Yet</v>
      </c>
      <c r="S169" s="2" t="str">
        <f t="shared" si="386"/>
        <v/>
      </c>
      <c r="T169" s="2" t="s">
        <v>610</v>
      </c>
      <c r="U169" s="3" t="s">
        <v>872</v>
      </c>
      <c r="V169" s="272"/>
      <c r="W169" s="3" t="s">
        <v>872</v>
      </c>
      <c r="X169" s="24"/>
      <c r="Y169" s="273">
        <v>20009859</v>
      </c>
      <c r="Z169" s="24">
        <v>46107</v>
      </c>
      <c r="AA169" s="182" t="s">
        <v>874</v>
      </c>
      <c r="AB169" s="182" t="s">
        <v>247</v>
      </c>
      <c r="AC169" s="182" t="s">
        <v>385</v>
      </c>
      <c r="AD169" s="181">
        <v>46142</v>
      </c>
      <c r="AE169" s="30">
        <v>0.1</v>
      </c>
      <c r="AF169" s="277">
        <v>250</v>
      </c>
      <c r="AG169" s="4">
        <f t="shared" si="397"/>
        <v>225</v>
      </c>
      <c r="AH169" s="3" t="s">
        <v>215</v>
      </c>
      <c r="AI169" s="4">
        <v>1508</v>
      </c>
      <c r="AJ169" s="4">
        <f t="shared" si="390"/>
        <v>377000</v>
      </c>
      <c r="AK169" s="3" t="s">
        <v>249</v>
      </c>
      <c r="AL169" s="3" t="s">
        <v>238</v>
      </c>
      <c r="AM169" s="30">
        <v>0</v>
      </c>
      <c r="AN169" s="183">
        <v>1</v>
      </c>
      <c r="AO169" s="183">
        <v>0</v>
      </c>
      <c r="AP169" s="28" t="s">
        <v>218</v>
      </c>
      <c r="AQ169" s="18" t="s">
        <v>250</v>
      </c>
      <c r="AR169" s="18" t="s">
        <v>251</v>
      </c>
      <c r="AS169" s="27"/>
      <c r="AT169" s="3" t="s">
        <v>220</v>
      </c>
      <c r="AU169" s="3" t="s">
        <v>220</v>
      </c>
      <c r="AV169" s="3" t="s">
        <v>220</v>
      </c>
      <c r="AW169" s="9"/>
      <c r="AX169" s="3"/>
      <c r="AY169" s="47"/>
      <c r="AZ169" s="278">
        <f t="shared" si="382"/>
        <v>0</v>
      </c>
      <c r="BA169" s="18">
        <f>Z169</f>
        <v>46107</v>
      </c>
      <c r="BB169" s="22">
        <v>46077</v>
      </c>
      <c r="BC169" s="22"/>
      <c r="BD169" s="22"/>
      <c r="BE169" s="22"/>
      <c r="BF169" s="22">
        <v>46078</v>
      </c>
      <c r="BG169" s="18"/>
      <c r="BH169" s="18"/>
      <c r="BI169" s="3">
        <v>268589748</v>
      </c>
      <c r="BJ169" s="25">
        <v>239.89</v>
      </c>
      <c r="BK169" s="189" t="s">
        <v>222</v>
      </c>
      <c r="BL169" s="497">
        <v>10</v>
      </c>
      <c r="BM169" s="18">
        <v>46172</v>
      </c>
      <c r="BN169" s="4"/>
      <c r="BO169" s="18">
        <v>46193</v>
      </c>
      <c r="BP169" s="3" t="s">
        <v>259</v>
      </c>
      <c r="BQ169" s="21" t="s">
        <v>253</v>
      </c>
      <c r="BR169" s="2" t="s">
        <v>416</v>
      </c>
      <c r="BS169" s="2"/>
      <c r="BT169" s="2" t="s">
        <v>460</v>
      </c>
      <c r="BU169" s="2"/>
      <c r="BV169" s="20"/>
      <c r="BW169" s="19"/>
      <c r="BX169" s="189">
        <f>BJ169*AI169</f>
        <v>361754.12</v>
      </c>
      <c r="BY169" s="22">
        <v>46163</v>
      </c>
      <c r="BZ169" s="22"/>
      <c r="CA169" s="22"/>
      <c r="CB169" s="22"/>
      <c r="CC169" s="22"/>
      <c r="CD169" s="22"/>
      <c r="CE169" s="22" t="str">
        <f t="shared" si="398"/>
        <v>Draft Rcvd</v>
      </c>
      <c r="CF169" s="22"/>
      <c r="CG169" s="22"/>
      <c r="CH169" s="181"/>
      <c r="CI169" s="419"/>
      <c r="CJ169" s="181"/>
      <c r="CK169" s="2" t="str">
        <f t="shared" si="399"/>
        <v>No CERTS Yet</v>
      </c>
      <c r="CL169" s="48"/>
      <c r="CM169" s="22"/>
      <c r="CN169" s="55"/>
      <c r="CO169" s="55"/>
      <c r="CP169" s="55" t="str">
        <f>IF(CO169&lt;&gt;0,"Docs in Buyer's Nego Bank",IF(CN169&lt;&gt;0,"Docs in Transit to Buyer's Nego Bank",IF(CM169&lt;&gt;0,"Docs in Our Nego Bank",IF(CL169="TT PAYMENT","Not Applicable",""))))</f>
        <v/>
      </c>
      <c r="CQ169" s="190">
        <f t="shared" si="387"/>
        <v>361754.12</v>
      </c>
      <c r="CR169" s="54"/>
      <c r="CS169" s="2"/>
      <c r="CT169" s="2"/>
      <c r="CU169" s="14" t="str">
        <f>IF(CS169="","",BJ169-CT169)</f>
        <v/>
      </c>
      <c r="CV169" s="191" t="str">
        <f>IF(CS169="","",CU169/BJ169)</f>
        <v/>
      </c>
      <c r="CW169" s="14" t="str">
        <f>IF(CS169="","",AZ169+CQ169)</f>
        <v/>
      </c>
      <c r="CX169" s="14" t="str">
        <f>IF(CS169="","",BX169*2%)</f>
        <v/>
      </c>
      <c r="CY169" s="15" t="str">
        <f>IF(CS169="","",AI169/B169)</f>
        <v/>
      </c>
      <c r="CZ169" s="2"/>
      <c r="DA169" s="41" t="str">
        <f>IF(CS169="","",B169-CZ169)</f>
        <v/>
      </c>
      <c r="DB169" s="2"/>
      <c r="DC169" s="192" t="str">
        <f>IF(CS169="","",IF(CS169="","",DB169-C169))</f>
        <v/>
      </c>
      <c r="DD169" s="40"/>
      <c r="DE169" s="16" t="str">
        <f>IF(CS169="","",10%-DD169)</f>
        <v/>
      </c>
      <c r="DF169" s="2" t="str">
        <f>IF(CS169="","",CU169*AI169)</f>
        <v/>
      </c>
      <c r="DG169" s="14" t="str">
        <f>IF(CS169="","",IF(DA169&gt;2,2*DA169*CT169*CY169,DA169*CT169*CY169))</f>
        <v/>
      </c>
      <c r="DH169" s="2" t="str">
        <f>IF(CS169="","",IF(DA169&gt;2,2*(DA169-2*CT169*CY169),0))</f>
        <v/>
      </c>
      <c r="DI169" s="192" t="str">
        <f>IF(CS169="","",IF(DC169&gt;0,DC169*0.5*CT169,0))</f>
        <v/>
      </c>
      <c r="DJ169" s="2" t="str">
        <f>IF(CS169="","",IF(DE169&lt;0,DE169*CT169*AI169*1%,0))</f>
        <v/>
      </c>
      <c r="DK169" s="15" t="str">
        <f>IF(CS169="","",SUM(DF169:DJ169))</f>
        <v/>
      </c>
      <c r="DL169" s="2"/>
      <c r="DM169" s="2"/>
      <c r="DN169" s="15" t="str">
        <f>IF(CS169="","",SUM(DK169:DL169))</f>
        <v/>
      </c>
      <c r="DO169" s="14" t="str">
        <f>IF(CS169="","",BJ169*AI169-DN169)</f>
        <v/>
      </c>
      <c r="DP169" s="14" t="str">
        <f>IF(CS169="","",AZ169+CQ169)</f>
        <v/>
      </c>
      <c r="DQ169" s="15" t="str">
        <f>IF(CS169="","",IF((DP169-DO169)&gt;0,DP169-DO169,""))</f>
        <v/>
      </c>
      <c r="DR169" s="15" t="str">
        <f>IF(CS169="","",IF((DO169-DP169)&gt;0,(DO169-DP169),""))</f>
        <v/>
      </c>
      <c r="DS169" s="2" t="str">
        <f>IF(CS169="","",IF(DQ169="",H169,"VALENCY"))</f>
        <v/>
      </c>
      <c r="DT169" s="2" t="str">
        <f>IF(DN169="","",IF(DN169&gt;0,"CN", "DN"))</f>
        <v/>
      </c>
      <c r="DU169" s="2"/>
      <c r="DV169" s="2"/>
      <c r="DW169" s="2"/>
      <c r="DX169" s="2"/>
      <c r="DY169" s="2" t="s">
        <v>230</v>
      </c>
      <c r="DZ169" s="2"/>
      <c r="EA169" s="2" t="str">
        <f>IF(CS169="","",
   MIN(0,(IF(DA169&gt;2,2,1)*DA169*CT169*CY169))
)</f>
        <v/>
      </c>
      <c r="EB169" s="2"/>
      <c r="EC169" s="2"/>
      <c r="ED169" s="2"/>
      <c r="EE169" s="3"/>
      <c r="EF169" s="7"/>
      <c r="EG169" s="3"/>
      <c r="EH169" s="3" t="s">
        <v>266</v>
      </c>
      <c r="EI169" s="3" t="s">
        <v>258</v>
      </c>
      <c r="EJ169" s="189"/>
      <c r="EK169" s="4"/>
      <c r="EL169" s="9"/>
      <c r="EM169" s="9"/>
      <c r="EN169" s="189">
        <f>EK169*EJ169</f>
        <v>0</v>
      </c>
      <c r="EO169" s="9"/>
      <c r="EP169" s="8"/>
      <c r="EQ169" s="4"/>
      <c r="ER169" s="4"/>
      <c r="ES169" s="7"/>
      <c r="ET169" s="7"/>
      <c r="EU169" s="6"/>
      <c r="EV169" s="2" t="str">
        <f t="shared" si="400"/>
        <v>Yet to load</v>
      </c>
      <c r="EW169" s="189"/>
      <c r="EX169" s="189">
        <f>EW169/BJ169</f>
        <v>0</v>
      </c>
      <c r="EY169" s="189" t="s">
        <v>233</v>
      </c>
      <c r="EZ169" s="24"/>
      <c r="FA169" s="2"/>
      <c r="FB169" s="24"/>
      <c r="FC169" s="193"/>
      <c r="FD169" s="189">
        <f>FC169*BJ169</f>
        <v>0</v>
      </c>
      <c r="FE169" s="52"/>
      <c r="FF169" s="52"/>
      <c r="FG169" s="49"/>
      <c r="FH169" s="49"/>
      <c r="FI169" s="49"/>
      <c r="FJ169" s="49"/>
      <c r="FK169" s="354"/>
      <c r="FL169" s="354">
        <f>IFERROR(EZ169-BY169,"")</f>
        <v>-46163</v>
      </c>
      <c r="FM169" s="355">
        <f>IFERROR(BM169-FB169,"")</f>
        <v>46172</v>
      </c>
      <c r="FN169" s="354"/>
      <c r="FO169" s="354"/>
      <c r="FP169" s="354"/>
      <c r="FQ169" s="354"/>
      <c r="FR169" s="354"/>
      <c r="FS169" s="493">
        <f t="shared" si="401"/>
        <v>20009859</v>
      </c>
      <c r="FT169" s="493" t="str">
        <f t="shared" si="402"/>
        <v>32015969-2</v>
      </c>
      <c r="FU169" s="329"/>
      <c r="FV169" s="329"/>
      <c r="FW169" s="329"/>
      <c r="FX169" s="329"/>
      <c r="FY169" s="329"/>
      <c r="FZ169" s="329"/>
      <c r="GA169" s="329"/>
      <c r="GB169" s="338"/>
      <c r="GC169" s="329"/>
      <c r="GD169" s="332"/>
      <c r="GE169" s="329"/>
      <c r="GF169" s="329"/>
      <c r="GG169" s="329"/>
      <c r="GH169" s="329"/>
      <c r="GI169" s="329"/>
      <c r="GJ169" s="329"/>
      <c r="GK169" s="329"/>
      <c r="GL169" s="329"/>
      <c r="GM169" s="329"/>
      <c r="GN169" s="329"/>
    </row>
    <row r="170" spans="1:196" s="1" customFormat="1" ht="33.950000000000003">
      <c r="A170" s="2" t="str">
        <f t="shared" si="391"/>
        <v>SI Sent, Shipment Awaited</v>
      </c>
      <c r="B170" s="282">
        <v>44</v>
      </c>
      <c r="C170" s="282">
        <v>200</v>
      </c>
      <c r="D170" s="182" t="s">
        <v>208</v>
      </c>
      <c r="E170" s="2" t="str">
        <f t="shared" si="392"/>
        <v>SHORT POSITION</v>
      </c>
      <c r="F170" s="271">
        <f t="shared" si="384"/>
        <v>32016410</v>
      </c>
      <c r="G170" s="271"/>
      <c r="H170" s="2" t="str">
        <f t="shared" si="381"/>
        <v>NGOC KHANG COMPANY</v>
      </c>
      <c r="I170" s="3" t="s">
        <v>259</v>
      </c>
      <c r="J170" s="2" t="s">
        <v>347</v>
      </c>
      <c r="K170" s="2" t="str">
        <f t="shared" si="393"/>
        <v>CAT LAI, VIETNAM</v>
      </c>
      <c r="L170" s="2" t="str">
        <f t="shared" si="389"/>
        <v/>
      </c>
      <c r="M170" s="2" t="str">
        <f t="shared" si="388"/>
        <v/>
      </c>
      <c r="N170" s="22" t="str">
        <f t="shared" si="394"/>
        <v/>
      </c>
      <c r="O170" s="22" t="str">
        <f t="shared" si="385"/>
        <v/>
      </c>
      <c r="P170" s="22" t="str">
        <f t="shared" si="395"/>
        <v>No OBL Yet</v>
      </c>
      <c r="Q170" s="2"/>
      <c r="R170" s="2" t="str">
        <f t="shared" si="396"/>
        <v>No CERTS Yet</v>
      </c>
      <c r="S170" s="2">
        <f t="shared" si="386"/>
        <v>0</v>
      </c>
      <c r="T170" s="2"/>
      <c r="U170" s="3" t="s">
        <v>778</v>
      </c>
      <c r="V170" s="272"/>
      <c r="W170" s="3"/>
      <c r="X170" s="24">
        <v>46160</v>
      </c>
      <c r="Y170" s="273">
        <v>20010355</v>
      </c>
      <c r="Z170" s="24">
        <v>46160</v>
      </c>
      <c r="AA170" s="182">
        <v>32016410</v>
      </c>
      <c r="AB170" s="182" t="s">
        <v>875</v>
      </c>
      <c r="AC170" s="182" t="s">
        <v>847</v>
      </c>
      <c r="AD170" s="181">
        <v>46234</v>
      </c>
      <c r="AE170" s="30">
        <v>0.1</v>
      </c>
      <c r="AF170" s="277">
        <v>850</v>
      </c>
      <c r="AG170" s="4">
        <f t="shared" si="397"/>
        <v>765</v>
      </c>
      <c r="AH170" s="3" t="s">
        <v>215</v>
      </c>
      <c r="AI170" s="4">
        <v>1390</v>
      </c>
      <c r="AJ170" s="4">
        <f t="shared" si="390"/>
        <v>1181500</v>
      </c>
      <c r="AK170" s="3" t="s">
        <v>249</v>
      </c>
      <c r="AL170" s="3" t="s">
        <v>780</v>
      </c>
      <c r="AM170" s="30">
        <v>0.1</v>
      </c>
      <c r="AN170" s="183">
        <v>0.88</v>
      </c>
      <c r="AO170" s="183">
        <v>0.02</v>
      </c>
      <c r="AP170" s="28" t="s">
        <v>218</v>
      </c>
      <c r="AQ170" s="18" t="s">
        <v>354</v>
      </c>
      <c r="AR170" s="18" t="s">
        <v>876</v>
      </c>
      <c r="AS170" s="27"/>
      <c r="AT170" s="3" t="s">
        <v>220</v>
      </c>
      <c r="AU170" s="3" t="s">
        <v>220</v>
      </c>
      <c r="AV170" s="3" t="s">
        <v>220</v>
      </c>
      <c r="AW170" s="9"/>
      <c r="AX170" s="3"/>
      <c r="AY170" s="47">
        <v>46166</v>
      </c>
      <c r="AZ170" s="278">
        <f t="shared" si="382"/>
        <v>118150</v>
      </c>
      <c r="BA170" s="18">
        <v>46170</v>
      </c>
      <c r="BB170" s="22">
        <v>46167</v>
      </c>
      <c r="BC170" s="22"/>
      <c r="BD170" s="22"/>
      <c r="BE170" s="22"/>
      <c r="BF170" s="22"/>
      <c r="BG170" s="18"/>
      <c r="BH170" s="18"/>
      <c r="BI170" s="3"/>
      <c r="BJ170" s="25"/>
      <c r="BK170" s="18"/>
      <c r="BL170" s="271"/>
      <c r="BM170" s="18"/>
      <c r="BN170" s="2"/>
      <c r="BO170" s="18"/>
      <c r="BP170" s="20" t="s">
        <v>259</v>
      </c>
      <c r="BQ170" s="19" t="s">
        <v>877</v>
      </c>
      <c r="BR170" s="189"/>
      <c r="BS170" s="22"/>
      <c r="BT170" s="22"/>
      <c r="BU170" s="189">
        <f>BI170*AF170</f>
        <v>0</v>
      </c>
      <c r="BV170" s="22"/>
      <c r="BW170" s="22"/>
      <c r="BX170" s="22"/>
      <c r="BY170" s="22"/>
      <c r="BZ170" s="22"/>
      <c r="CA170" s="22"/>
      <c r="CB170" s="22"/>
      <c r="CC170" s="182"/>
      <c r="CD170" s="182"/>
      <c r="CE170" s="22" t="str">
        <f t="shared" si="398"/>
        <v>No OBL Yet</v>
      </c>
      <c r="CF170" s="48"/>
      <c r="CG170" s="22"/>
      <c r="CH170" s="2"/>
      <c r="CI170" s="55"/>
      <c r="CJ170" s="55"/>
      <c r="CK170" s="2" t="str">
        <f t="shared" si="399"/>
        <v>No CERTS Yet</v>
      </c>
      <c r="CL170" s="54"/>
      <c r="CM170" s="2"/>
      <c r="CN170" s="55"/>
      <c r="CO170" s="14"/>
      <c r="CP170" s="191"/>
      <c r="CQ170" s="190">
        <f t="shared" si="387"/>
        <v>-118150</v>
      </c>
      <c r="CR170" s="14"/>
      <c r="CS170" s="15"/>
      <c r="CT170" s="2"/>
      <c r="CU170" s="41"/>
      <c r="CV170" s="2"/>
      <c r="CW170" s="192"/>
      <c r="CX170" s="40"/>
      <c r="CY170" s="16"/>
      <c r="CZ170" s="2"/>
      <c r="DA170" s="14"/>
      <c r="DB170" s="2"/>
      <c r="DC170" s="192"/>
      <c r="DD170" s="2"/>
      <c r="DE170" s="15"/>
      <c r="DF170" s="2"/>
      <c r="DG170" s="2"/>
      <c r="DH170" s="15"/>
      <c r="DI170" s="14"/>
      <c r="DJ170" s="14"/>
      <c r="DK170" s="15"/>
      <c r="DL170" s="15"/>
      <c r="DM170" s="2"/>
      <c r="DN170" s="2"/>
      <c r="DO170" s="2"/>
      <c r="DP170" s="2"/>
      <c r="DQ170" s="2"/>
      <c r="DR170" s="2"/>
      <c r="DS170" s="2"/>
      <c r="DT170" s="2"/>
      <c r="DU170" s="2"/>
      <c r="DW170" s="2"/>
      <c r="DX170" s="2"/>
      <c r="DY170" s="2" t="s">
        <v>230</v>
      </c>
      <c r="DZ170" s="2"/>
      <c r="EA170" s="3"/>
      <c r="EB170" s="3"/>
      <c r="EC170" s="3"/>
      <c r="ED170" s="189"/>
      <c r="EE170" s="4"/>
      <c r="EF170" s="9"/>
      <c r="EG170" s="9"/>
      <c r="EH170" s="3" t="s">
        <v>266</v>
      </c>
      <c r="EI170" s="9"/>
      <c r="EJ170" s="8"/>
      <c r="EK170" s="189"/>
      <c r="EL170" s="7"/>
      <c r="EM170" s="7"/>
      <c r="EN170" s="6"/>
      <c r="EO170" s="2"/>
      <c r="EP170" s="189"/>
      <c r="EQ170" s="189"/>
      <c r="ER170" s="189"/>
      <c r="ES170" s="2"/>
      <c r="ET170" s="24"/>
      <c r="EU170" s="2"/>
      <c r="EV170" s="2" t="str">
        <f t="shared" si="400"/>
        <v>Yet to load</v>
      </c>
      <c r="EW170" s="193"/>
      <c r="EX170" s="189"/>
      <c r="EY170" s="24"/>
      <c r="EZ170" s="52"/>
      <c r="FA170" s="49"/>
      <c r="FB170" s="49"/>
      <c r="FC170" s="180"/>
      <c r="FD170" s="49"/>
      <c r="FE170" s="49"/>
      <c r="FF170" s="49"/>
      <c r="FG170" s="49"/>
      <c r="FH170" s="49"/>
      <c r="FI170" s="49"/>
      <c r="FJ170" s="49"/>
      <c r="FK170" s="49"/>
      <c r="FL170" s="49"/>
      <c r="FM170" s="34"/>
      <c r="FN170" s="34"/>
      <c r="FO170" s="3"/>
      <c r="FP170" s="3"/>
      <c r="FQ170" s="3"/>
      <c r="FR170" s="3"/>
      <c r="FS170" s="34">
        <f t="shared" si="401"/>
        <v>20010355</v>
      </c>
      <c r="FT170" s="34">
        <f t="shared" si="402"/>
        <v>32016410</v>
      </c>
      <c r="FU170" s="3"/>
      <c r="FV170" s="4"/>
      <c r="FW170" s="3"/>
      <c r="FX170" s="182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</row>
    <row r="171" spans="1:196" s="1" customFormat="1" ht="33.950000000000003">
      <c r="A171" s="2" t="str">
        <f t="shared" si="391"/>
        <v>SI Sent, Shipment Awaited</v>
      </c>
      <c r="B171" s="282">
        <v>44</v>
      </c>
      <c r="C171" s="282">
        <v>200</v>
      </c>
      <c r="D171" s="182" t="s">
        <v>208</v>
      </c>
      <c r="E171" s="2" t="str">
        <f t="shared" si="392"/>
        <v>SHORT POSITION</v>
      </c>
      <c r="F171" s="271">
        <f t="shared" si="384"/>
        <v>32016406</v>
      </c>
      <c r="G171" s="271"/>
      <c r="H171" s="2" t="str">
        <f t="shared" si="381"/>
        <v>HOANG SON I JOINT STOCK COMPANY</v>
      </c>
      <c r="I171" s="3" t="s">
        <v>259</v>
      </c>
      <c r="J171" s="2" t="s">
        <v>347</v>
      </c>
      <c r="K171" s="2" t="str">
        <f t="shared" si="393"/>
        <v>HCMC, VIETNAM</v>
      </c>
      <c r="L171" s="2" t="str">
        <f t="shared" si="389"/>
        <v/>
      </c>
      <c r="M171" s="2" t="str">
        <f t="shared" si="388"/>
        <v/>
      </c>
      <c r="N171" s="22" t="str">
        <f t="shared" si="394"/>
        <v/>
      </c>
      <c r="O171" s="22" t="str">
        <f t="shared" si="385"/>
        <v/>
      </c>
      <c r="P171" s="22" t="str">
        <f t="shared" si="395"/>
        <v>No OBL Yet</v>
      </c>
      <c r="Q171" s="2"/>
      <c r="R171" s="2" t="str">
        <f t="shared" si="396"/>
        <v>No CERTS Yet</v>
      </c>
      <c r="S171" s="2">
        <f t="shared" si="386"/>
        <v>0</v>
      </c>
      <c r="T171" s="2"/>
      <c r="U171" s="3" t="s">
        <v>788</v>
      </c>
      <c r="V171" s="272"/>
      <c r="W171" s="3"/>
      <c r="X171" s="24">
        <v>46160</v>
      </c>
      <c r="Y171" s="273">
        <v>20010354</v>
      </c>
      <c r="Z171" s="24">
        <v>46160</v>
      </c>
      <c r="AA171" s="182">
        <v>32016406</v>
      </c>
      <c r="AB171" s="182" t="s">
        <v>815</v>
      </c>
      <c r="AC171" s="182" t="s">
        <v>847</v>
      </c>
      <c r="AD171" s="181">
        <v>46234</v>
      </c>
      <c r="AE171" s="30">
        <v>0.1</v>
      </c>
      <c r="AF171" s="277">
        <v>1000</v>
      </c>
      <c r="AG171" s="4">
        <f t="shared" si="397"/>
        <v>900</v>
      </c>
      <c r="AH171" s="3" t="s">
        <v>215</v>
      </c>
      <c r="AI171" s="4">
        <v>1380</v>
      </c>
      <c r="AJ171" s="4">
        <f t="shared" si="390"/>
        <v>1380000</v>
      </c>
      <c r="AK171" s="3" t="s">
        <v>249</v>
      </c>
      <c r="AL171" s="3" t="s">
        <v>780</v>
      </c>
      <c r="AM171" s="30">
        <v>0.1</v>
      </c>
      <c r="AN171" s="183">
        <v>0.88</v>
      </c>
      <c r="AO171" s="183">
        <v>0.02</v>
      </c>
      <c r="AP171" s="28" t="s">
        <v>218</v>
      </c>
      <c r="AQ171" s="3" t="s">
        <v>354</v>
      </c>
      <c r="AR171" s="18" t="s">
        <v>251</v>
      </c>
      <c r="AS171" s="27"/>
      <c r="AT171" s="3" t="s">
        <v>220</v>
      </c>
      <c r="AU171" s="3" t="s">
        <v>220</v>
      </c>
      <c r="AV171" s="3" t="s">
        <v>220</v>
      </c>
      <c r="AW171" s="9"/>
      <c r="AX171" s="3"/>
      <c r="AY171" s="47">
        <v>46166</v>
      </c>
      <c r="AZ171" s="278">
        <f t="shared" si="382"/>
        <v>138000</v>
      </c>
      <c r="BA171" s="18">
        <v>46164</v>
      </c>
      <c r="BB171" s="22">
        <v>46167</v>
      </c>
      <c r="BC171" s="22"/>
      <c r="BD171" s="22"/>
      <c r="BE171" s="22"/>
      <c r="BF171" s="22"/>
      <c r="BG171" s="18"/>
      <c r="BH171" s="18"/>
      <c r="BI171" s="3"/>
      <c r="BJ171" s="25"/>
      <c r="BK171" s="18"/>
      <c r="BL171" s="271"/>
      <c r="BM171" s="18"/>
      <c r="BN171" s="2"/>
      <c r="BO171" s="18"/>
      <c r="BP171" s="20" t="s">
        <v>259</v>
      </c>
      <c r="BQ171" s="21" t="s">
        <v>409</v>
      </c>
      <c r="BR171" s="189"/>
      <c r="BS171" s="22"/>
      <c r="BT171" s="22"/>
      <c r="BU171" s="189">
        <f>BI171*AF171</f>
        <v>0</v>
      </c>
      <c r="BV171" s="22"/>
      <c r="BW171" s="22"/>
      <c r="BX171" s="22"/>
      <c r="BY171" s="22"/>
      <c r="BZ171" s="22"/>
      <c r="CA171" s="22"/>
      <c r="CB171" s="22"/>
      <c r="CC171" s="182"/>
      <c r="CD171" s="182"/>
      <c r="CE171" s="22" t="str">
        <f t="shared" si="398"/>
        <v>No OBL Yet</v>
      </c>
      <c r="CF171" s="48"/>
      <c r="CG171" s="22"/>
      <c r="CH171" s="2"/>
      <c r="CI171" s="55"/>
      <c r="CJ171" s="55"/>
      <c r="CK171" s="2" t="str">
        <f t="shared" si="399"/>
        <v>No CERTS Yet</v>
      </c>
      <c r="CL171" s="54"/>
      <c r="CM171" s="2"/>
      <c r="CN171" s="55"/>
      <c r="CO171" s="14"/>
      <c r="CP171" s="191"/>
      <c r="CQ171" s="190">
        <f t="shared" si="387"/>
        <v>-138000</v>
      </c>
      <c r="CR171" s="14"/>
      <c r="CS171" s="15"/>
      <c r="CT171" s="2"/>
      <c r="CU171" s="41"/>
      <c r="CV171" s="2"/>
      <c r="CW171" s="192"/>
      <c r="CX171" s="40"/>
      <c r="CY171" s="16"/>
      <c r="CZ171" s="2"/>
      <c r="DA171" s="14"/>
      <c r="DB171" s="2"/>
      <c r="DC171" s="192"/>
      <c r="DD171" s="2"/>
      <c r="DE171" s="15"/>
      <c r="DF171" s="2"/>
      <c r="DG171" s="2"/>
      <c r="DH171" s="15"/>
      <c r="DI171" s="14"/>
      <c r="DJ171" s="14"/>
      <c r="DK171" s="15"/>
      <c r="DL171" s="15"/>
      <c r="DM171" s="2"/>
      <c r="DN171" s="2"/>
      <c r="DO171" s="2"/>
      <c r="DP171" s="2"/>
      <c r="DQ171" s="2"/>
      <c r="DR171" s="2"/>
      <c r="DS171" s="2"/>
      <c r="DT171" s="2"/>
      <c r="DU171" s="2"/>
      <c r="DW171" s="2"/>
      <c r="DX171" s="2"/>
      <c r="DY171" s="2" t="s">
        <v>230</v>
      </c>
      <c r="DZ171" s="2"/>
      <c r="EA171" s="3"/>
      <c r="EB171" s="3"/>
      <c r="EC171" s="3"/>
      <c r="ED171" s="189"/>
      <c r="EE171" s="4"/>
      <c r="EF171" s="9"/>
      <c r="EG171" s="9"/>
      <c r="EH171" s="3" t="s">
        <v>266</v>
      </c>
      <c r="EI171" s="9"/>
      <c r="EJ171" s="8"/>
      <c r="EK171" s="189"/>
      <c r="EL171" s="7"/>
      <c r="EM171" s="7"/>
      <c r="EN171" s="6"/>
      <c r="EO171" s="2"/>
      <c r="EP171" s="189"/>
      <c r="EQ171" s="189"/>
      <c r="ER171" s="189"/>
      <c r="ES171" s="2"/>
      <c r="ET171" s="24"/>
      <c r="EU171" s="2"/>
      <c r="EV171" s="2" t="str">
        <f t="shared" si="400"/>
        <v>Yet to load</v>
      </c>
      <c r="EW171" s="193"/>
      <c r="EX171" s="189"/>
      <c r="EY171" s="24"/>
      <c r="EZ171" s="52"/>
      <c r="FA171" s="49"/>
      <c r="FB171" s="49"/>
      <c r="FC171" s="180"/>
      <c r="FD171" s="49"/>
      <c r="FE171" s="49"/>
      <c r="FF171" s="49"/>
      <c r="FG171" s="49"/>
      <c r="FH171" s="49"/>
      <c r="FI171" s="49"/>
      <c r="FJ171" s="49"/>
      <c r="FK171" s="49"/>
      <c r="FL171" s="49"/>
      <c r="FM171" s="34"/>
      <c r="FN171" s="34"/>
      <c r="FO171" s="3"/>
      <c r="FP171" s="3"/>
      <c r="FQ171" s="3"/>
      <c r="FR171" s="3"/>
      <c r="FS171" s="34">
        <f t="shared" si="401"/>
        <v>20010354</v>
      </c>
      <c r="FT171" s="34">
        <f t="shared" si="402"/>
        <v>32016406</v>
      </c>
      <c r="FU171" s="3"/>
      <c r="FV171" s="4"/>
      <c r="FW171" s="3"/>
      <c r="FX171" s="182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</row>
    <row r="172" spans="1:196" s="1" customFormat="1" ht="33.950000000000003">
      <c r="A172" s="2" t="str">
        <f t="shared" si="391"/>
        <v>SI Sent, Shipment Awaited</v>
      </c>
      <c r="B172" s="282">
        <v>44</v>
      </c>
      <c r="C172" s="282">
        <v>200</v>
      </c>
      <c r="D172" s="182" t="s">
        <v>208</v>
      </c>
      <c r="E172" s="2" t="str">
        <f t="shared" si="392"/>
        <v>SHORT POSITION</v>
      </c>
      <c r="F172" s="271">
        <f t="shared" si="384"/>
        <v>32016408</v>
      </c>
      <c r="G172" s="271"/>
      <c r="H172" s="2" t="str">
        <f t="shared" si="381"/>
        <v xml:space="preserve">KIEU LOAN COMPANY LIMITED </v>
      </c>
      <c r="I172" s="3" t="s">
        <v>259</v>
      </c>
      <c r="J172" s="2" t="s">
        <v>347</v>
      </c>
      <c r="K172" s="2" t="str">
        <f t="shared" si="393"/>
        <v>Cat Lai/ SPCT in HCM City</v>
      </c>
      <c r="L172" s="2" t="str">
        <f t="shared" si="389"/>
        <v/>
      </c>
      <c r="M172" s="2" t="str">
        <f t="shared" si="388"/>
        <v/>
      </c>
      <c r="N172" s="22" t="str">
        <f t="shared" si="394"/>
        <v/>
      </c>
      <c r="O172" s="22" t="str">
        <f t="shared" si="385"/>
        <v/>
      </c>
      <c r="P172" s="22" t="str">
        <f t="shared" si="395"/>
        <v>No OBL Yet</v>
      </c>
      <c r="Q172" s="2"/>
      <c r="R172" s="2" t="str">
        <f t="shared" si="396"/>
        <v>No CERTS Yet</v>
      </c>
      <c r="S172" s="2">
        <f t="shared" si="386"/>
        <v>0</v>
      </c>
      <c r="T172" s="2"/>
      <c r="U172" s="3" t="s">
        <v>878</v>
      </c>
      <c r="V172" s="272"/>
      <c r="W172" s="3"/>
      <c r="X172" s="24">
        <v>46160</v>
      </c>
      <c r="Y172" s="273">
        <v>20010357</v>
      </c>
      <c r="Z172" s="24">
        <v>46160</v>
      </c>
      <c r="AA172" s="182">
        <v>32016408</v>
      </c>
      <c r="AB172" s="182" t="s">
        <v>569</v>
      </c>
      <c r="AC172" s="182" t="s">
        <v>847</v>
      </c>
      <c r="AD172" s="181">
        <v>46234</v>
      </c>
      <c r="AE172" s="30">
        <v>0.1</v>
      </c>
      <c r="AF172" s="277">
        <v>500</v>
      </c>
      <c r="AG172" s="4">
        <f t="shared" si="397"/>
        <v>450</v>
      </c>
      <c r="AH172" s="3" t="s">
        <v>215</v>
      </c>
      <c r="AI172" s="4">
        <v>1380</v>
      </c>
      <c r="AJ172" s="4">
        <f t="shared" si="390"/>
        <v>690000</v>
      </c>
      <c r="AK172" s="3" t="s">
        <v>249</v>
      </c>
      <c r="AL172" s="3" t="s">
        <v>780</v>
      </c>
      <c r="AM172" s="30">
        <v>0.1</v>
      </c>
      <c r="AN172" s="183">
        <v>0.88</v>
      </c>
      <c r="AO172" s="183">
        <v>0.02</v>
      </c>
      <c r="AP172" s="28" t="s">
        <v>218</v>
      </c>
      <c r="AQ172" s="18" t="s">
        <v>835</v>
      </c>
      <c r="AR172" s="18" t="s">
        <v>251</v>
      </c>
      <c r="AS172" s="359"/>
      <c r="AT172" s="3" t="s">
        <v>220</v>
      </c>
      <c r="AU172" s="3" t="s">
        <v>220</v>
      </c>
      <c r="AV172" s="3" t="s">
        <v>220</v>
      </c>
      <c r="AW172" s="9"/>
      <c r="AX172" s="3"/>
      <c r="AY172" s="47">
        <v>46166</v>
      </c>
      <c r="AZ172" s="278">
        <f t="shared" si="382"/>
        <v>69000</v>
      </c>
      <c r="BA172" s="18">
        <v>46168</v>
      </c>
      <c r="BB172" s="22">
        <v>46167</v>
      </c>
      <c r="BC172" s="22"/>
      <c r="BD172" s="22"/>
      <c r="BE172" s="22"/>
      <c r="BF172" s="22"/>
      <c r="BG172" s="18"/>
      <c r="BH172" s="18"/>
      <c r="BI172" s="3"/>
      <c r="BJ172" s="25"/>
      <c r="BK172" s="18"/>
      <c r="BL172" s="271"/>
      <c r="BM172" s="18"/>
      <c r="BN172" s="2"/>
      <c r="BO172" s="18"/>
      <c r="BP172" s="20" t="s">
        <v>259</v>
      </c>
      <c r="BQ172" s="21" t="s">
        <v>879</v>
      </c>
      <c r="BR172" s="189"/>
      <c r="BS172" s="22"/>
      <c r="BT172" s="22"/>
      <c r="BU172" s="189">
        <f>BI172*AF172</f>
        <v>0</v>
      </c>
      <c r="BV172" s="22"/>
      <c r="BW172" s="22"/>
      <c r="BX172" s="22"/>
      <c r="BY172" s="22"/>
      <c r="BZ172" s="22"/>
      <c r="CA172" s="22"/>
      <c r="CB172" s="22"/>
      <c r="CC172" s="182"/>
      <c r="CD172" s="182"/>
      <c r="CE172" s="22" t="str">
        <f t="shared" si="398"/>
        <v>No OBL Yet</v>
      </c>
      <c r="CF172" s="48"/>
      <c r="CG172" s="22"/>
      <c r="CH172" s="2"/>
      <c r="CI172" s="55"/>
      <c r="CJ172" s="55"/>
      <c r="CK172" s="2" t="str">
        <f t="shared" si="399"/>
        <v>No CERTS Yet</v>
      </c>
      <c r="CL172" s="54"/>
      <c r="CM172" s="2"/>
      <c r="CN172" s="645"/>
      <c r="CO172" s="14"/>
      <c r="CP172" s="191"/>
      <c r="CQ172" s="190">
        <f t="shared" si="387"/>
        <v>-69000</v>
      </c>
      <c r="CR172" s="14"/>
      <c r="CS172" s="15"/>
      <c r="CT172" s="2"/>
      <c r="CU172" s="41"/>
      <c r="CV172" s="2"/>
      <c r="CW172" s="192"/>
      <c r="CX172" s="40"/>
      <c r="CY172" s="16"/>
      <c r="CZ172" s="2"/>
      <c r="DA172" s="14"/>
      <c r="DB172" s="2"/>
      <c r="DC172" s="192"/>
      <c r="DD172" s="2"/>
      <c r="DE172" s="15"/>
      <c r="DF172" s="2"/>
      <c r="DG172" s="2"/>
      <c r="DH172" s="15"/>
      <c r="DI172" s="14"/>
      <c r="DJ172" s="14"/>
      <c r="DK172" s="15"/>
      <c r="DL172" s="15"/>
      <c r="DM172" s="2"/>
      <c r="DN172" s="2"/>
      <c r="DO172" s="2"/>
      <c r="DP172" s="2"/>
      <c r="DQ172" s="2"/>
      <c r="DR172" s="2"/>
      <c r="DS172" s="2"/>
      <c r="DT172" s="2"/>
      <c r="DU172" s="2"/>
      <c r="DW172" s="2"/>
      <c r="DX172" s="2"/>
      <c r="DY172" s="2" t="s">
        <v>230</v>
      </c>
      <c r="DZ172" s="2"/>
      <c r="EA172" s="3"/>
      <c r="EB172" s="3"/>
      <c r="EC172" s="3"/>
      <c r="ED172" s="189"/>
      <c r="EE172" s="4"/>
      <c r="EF172" s="9"/>
      <c r="EG172" s="9"/>
      <c r="EH172" s="3" t="s">
        <v>266</v>
      </c>
      <c r="EI172" s="9"/>
      <c r="EJ172" s="8"/>
      <c r="EK172" s="189"/>
      <c r="EL172" s="7"/>
      <c r="EM172" s="7"/>
      <c r="EN172" s="6"/>
      <c r="EO172" s="2"/>
      <c r="EP172" s="189"/>
      <c r="EQ172" s="189"/>
      <c r="ER172" s="189"/>
      <c r="ES172" s="2"/>
      <c r="ET172" s="24"/>
      <c r="EU172" s="2"/>
      <c r="EV172" s="2" t="str">
        <f t="shared" si="400"/>
        <v>Yet to load</v>
      </c>
      <c r="EW172" s="193"/>
      <c r="EX172" s="189"/>
      <c r="EY172" s="24"/>
      <c r="EZ172" s="52"/>
      <c r="FA172" s="49"/>
      <c r="FB172" s="49"/>
      <c r="FC172" s="180"/>
      <c r="FD172" s="49"/>
      <c r="FE172" s="49"/>
      <c r="FF172" s="49"/>
      <c r="FG172" s="49"/>
      <c r="FH172" s="49"/>
      <c r="FI172" s="49"/>
      <c r="FJ172" s="49"/>
      <c r="FK172" s="49"/>
      <c r="FL172" s="49"/>
      <c r="FM172" s="34"/>
      <c r="FN172" s="34"/>
      <c r="FO172" s="3"/>
      <c r="FP172" s="3"/>
      <c r="FQ172" s="3"/>
      <c r="FR172" s="3"/>
      <c r="FS172" s="34">
        <f t="shared" si="401"/>
        <v>20010357</v>
      </c>
      <c r="FT172" s="34">
        <f t="shared" si="402"/>
        <v>32016408</v>
      </c>
      <c r="FU172" s="3"/>
      <c r="FV172" s="4"/>
      <c r="FW172" s="3"/>
      <c r="FX172" s="182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</row>
    <row r="173" spans="1:196" s="1" customFormat="1" ht="33.950000000000003">
      <c r="A173" s="2" t="str">
        <f t="shared" si="391"/>
        <v>Sailed, OBL &amp; Certs Pending</v>
      </c>
      <c r="B173" s="282">
        <v>47</v>
      </c>
      <c r="C173" s="641">
        <v>200</v>
      </c>
      <c r="D173" s="182" t="s">
        <v>208</v>
      </c>
      <c r="E173" s="2" t="str">
        <f t="shared" si="392"/>
        <v>CLOSE POSITION</v>
      </c>
      <c r="F173" s="271" t="str">
        <f t="shared" si="384"/>
        <v>32015969-3</v>
      </c>
      <c r="G173" s="271"/>
      <c r="H173" s="2" t="str">
        <f t="shared" si="381"/>
        <v>Valency Agro (Processing)</v>
      </c>
      <c r="I173" s="3" t="s">
        <v>259</v>
      </c>
      <c r="J173" s="2" t="s">
        <v>210</v>
      </c>
      <c r="K173" s="2" t="str">
        <f t="shared" si="393"/>
        <v>MUNDRA, INDIA</v>
      </c>
      <c r="L173" s="2">
        <f t="shared" si="389"/>
        <v>268590042</v>
      </c>
      <c r="M173" s="2">
        <f t="shared" si="388"/>
        <v>240.24</v>
      </c>
      <c r="N173" s="22">
        <f t="shared" si="394"/>
        <v>46172</v>
      </c>
      <c r="O173" s="22">
        <f t="shared" si="385"/>
        <v>46193</v>
      </c>
      <c r="P173" s="22" t="str">
        <f t="shared" si="395"/>
        <v>Draft Rcvd</v>
      </c>
      <c r="Q173" s="330"/>
      <c r="R173" s="2" t="str">
        <f t="shared" si="396"/>
        <v>No CERTS Yet</v>
      </c>
      <c r="S173" s="2" t="str">
        <f t="shared" si="386"/>
        <v/>
      </c>
      <c r="T173" s="2" t="s">
        <v>610</v>
      </c>
      <c r="U173" s="3" t="s">
        <v>872</v>
      </c>
      <c r="V173" s="272"/>
      <c r="W173" s="3" t="s">
        <v>872</v>
      </c>
      <c r="X173" s="24"/>
      <c r="Y173" s="273">
        <v>20009859</v>
      </c>
      <c r="Z173" s="24">
        <v>46107</v>
      </c>
      <c r="AA173" s="182" t="s">
        <v>880</v>
      </c>
      <c r="AB173" s="182" t="s">
        <v>247</v>
      </c>
      <c r="AC173" s="182" t="s">
        <v>385</v>
      </c>
      <c r="AD173" s="181">
        <v>46142</v>
      </c>
      <c r="AE173" s="30">
        <v>0.1</v>
      </c>
      <c r="AF173" s="277">
        <v>250</v>
      </c>
      <c r="AG173" s="4">
        <f t="shared" si="397"/>
        <v>225</v>
      </c>
      <c r="AH173" s="3" t="s">
        <v>215</v>
      </c>
      <c r="AI173" s="4">
        <v>1508</v>
      </c>
      <c r="AJ173" s="4">
        <f t="shared" si="390"/>
        <v>377000</v>
      </c>
      <c r="AK173" s="3" t="s">
        <v>249</v>
      </c>
      <c r="AL173" s="3" t="s">
        <v>238</v>
      </c>
      <c r="AM173" s="30">
        <v>0</v>
      </c>
      <c r="AN173" s="183">
        <v>1</v>
      </c>
      <c r="AO173" s="183">
        <v>0</v>
      </c>
      <c r="AP173" s="28" t="s">
        <v>218</v>
      </c>
      <c r="AQ173" s="18" t="s">
        <v>250</v>
      </c>
      <c r="AR173" s="18" t="s">
        <v>251</v>
      </c>
      <c r="AS173" s="27"/>
      <c r="AT173" s="3" t="s">
        <v>220</v>
      </c>
      <c r="AU173" s="3" t="s">
        <v>220</v>
      </c>
      <c r="AV173" s="3" t="s">
        <v>220</v>
      </c>
      <c r="AW173" s="9"/>
      <c r="AX173" s="3"/>
      <c r="AY173" s="47"/>
      <c r="AZ173" s="278">
        <f t="shared" si="382"/>
        <v>0</v>
      </c>
      <c r="BA173" s="18">
        <f t="shared" ref="BA173:BA179" si="403">Z173</f>
        <v>46107</v>
      </c>
      <c r="BB173" s="22">
        <v>46077</v>
      </c>
      <c r="BC173" s="22"/>
      <c r="BD173" s="22"/>
      <c r="BE173" s="22"/>
      <c r="BF173" s="22">
        <v>46078</v>
      </c>
      <c r="BG173" s="18"/>
      <c r="BH173" s="18"/>
      <c r="BI173" s="3">
        <v>268590042</v>
      </c>
      <c r="BJ173" s="25">
        <v>240.24</v>
      </c>
      <c r="BK173" s="189" t="s">
        <v>222</v>
      </c>
      <c r="BL173" s="497">
        <v>10</v>
      </c>
      <c r="BM173" s="18">
        <v>46172</v>
      </c>
      <c r="BN173" s="4"/>
      <c r="BO173" s="18">
        <v>46193</v>
      </c>
      <c r="BP173" s="3" t="s">
        <v>259</v>
      </c>
      <c r="BQ173" s="21" t="s">
        <v>253</v>
      </c>
      <c r="BR173" s="2" t="s">
        <v>416</v>
      </c>
      <c r="BS173" s="2"/>
      <c r="BT173" s="2" t="s">
        <v>460</v>
      </c>
      <c r="BU173" s="2"/>
      <c r="BV173" s="20"/>
      <c r="BW173" s="19"/>
      <c r="BX173" s="189">
        <f t="shared" ref="BX173:BX183" si="404">BJ173*AI173</f>
        <v>362281.92000000004</v>
      </c>
      <c r="BY173" s="22">
        <v>46163</v>
      </c>
      <c r="BZ173" s="22"/>
      <c r="CA173" s="22"/>
      <c r="CB173" s="22"/>
      <c r="CC173" s="22"/>
      <c r="CD173" s="22"/>
      <c r="CE173" s="22" t="str">
        <f t="shared" si="398"/>
        <v>Draft Rcvd</v>
      </c>
      <c r="CF173" s="22"/>
      <c r="CG173" s="22"/>
      <c r="CH173" s="181"/>
      <c r="CI173" s="419"/>
      <c r="CJ173" s="181"/>
      <c r="CK173" s="2" t="str">
        <f t="shared" si="399"/>
        <v>No CERTS Yet</v>
      </c>
      <c r="CL173" s="48"/>
      <c r="CM173" s="22"/>
      <c r="CN173" s="55"/>
      <c r="CO173" s="55"/>
      <c r="CP173" s="55" t="str">
        <f t="shared" ref="CP173:CP180" si="405">IF(CO173&lt;&gt;0,"Docs in Buyer's Nego Bank",IF(CN173&lt;&gt;0,"Docs in Transit to Buyer's Nego Bank",IF(CM173&lt;&gt;0,"Docs in Our Nego Bank",IF(CL173="TT PAYMENT","Not Applicable",""))))</f>
        <v/>
      </c>
      <c r="CQ173" s="190">
        <f t="shared" si="387"/>
        <v>362281.92000000004</v>
      </c>
      <c r="CR173" s="54"/>
      <c r="CS173" s="2"/>
      <c r="CT173" s="2"/>
      <c r="CU173" s="14" t="str">
        <f>IF(CS173="","",BJ173-CT173)</f>
        <v/>
      </c>
      <c r="CV173" s="191" t="str">
        <f>IF(CS173="","",CU173/BJ173)</f>
        <v/>
      </c>
      <c r="CW173" s="14" t="str">
        <f>IF(CS173="","",AZ173+CQ173)</f>
        <v/>
      </c>
      <c r="CX173" s="14" t="str">
        <f>IF(CS173="","",BX173*2%)</f>
        <v/>
      </c>
      <c r="CY173" s="15" t="str">
        <f>IF(CS173="","",AI173/B173)</f>
        <v/>
      </c>
      <c r="CZ173" s="2"/>
      <c r="DA173" s="41" t="str">
        <f>IF(CS173="","",B173-CZ173)</f>
        <v/>
      </c>
      <c r="DB173" s="2"/>
      <c r="DC173" s="192" t="str">
        <f>IF(CS173="","",IF(CS173="","",DB173-C173))</f>
        <v/>
      </c>
      <c r="DD173" s="40"/>
      <c r="DE173" s="16" t="str">
        <f>IF(CS173="","",10%-DD173)</f>
        <v/>
      </c>
      <c r="DF173" s="2" t="str">
        <f>IF(CS173="","",CU173*AI173)</f>
        <v/>
      </c>
      <c r="DG173" s="14" t="str">
        <f>IF(CS173="","",IF(DA173&gt;2,2*DA173*CT173*CY173,DA173*CT173*CY173))</f>
        <v/>
      </c>
      <c r="DH173" s="2" t="str">
        <f>IF(CS173="","",IF(DA173&gt;2,2*(DA173-2*CT173*CY173),0))</f>
        <v/>
      </c>
      <c r="DI173" s="192" t="str">
        <f>IF(CS173="","",IF(DC173&gt;0,DC173*0.5*CT173,0))</f>
        <v/>
      </c>
      <c r="DJ173" s="2" t="str">
        <f>IF(CS173="","",IF(DE173&lt;0,DE173*CT173*AI173*1%,0))</f>
        <v/>
      </c>
      <c r="DK173" s="15" t="str">
        <f>IF(CS173="","",SUM(DF173:DJ173))</f>
        <v/>
      </c>
      <c r="DL173" s="2"/>
      <c r="DM173" s="2"/>
      <c r="DN173" s="15" t="str">
        <f>IF(CS173="","",SUM(DK173:DL173))</f>
        <v/>
      </c>
      <c r="DO173" s="14" t="str">
        <f>IF(CS173="","",BJ173*AI173-DN173)</f>
        <v/>
      </c>
      <c r="DP173" s="14" t="str">
        <f>IF(CS173="","",AZ173+CQ173)</f>
        <v/>
      </c>
      <c r="DQ173" s="15" t="str">
        <f>IF(CS173="","",IF((DP173-DO173)&gt;0,DP173-DO173,""))</f>
        <v/>
      </c>
      <c r="DR173" s="15" t="str">
        <f>IF(CS173="","",IF((DO173-DP173)&gt;0,(DO173-DP173),""))</f>
        <v/>
      </c>
      <c r="DS173" s="2" t="str">
        <f>IF(CS173="","",IF(DQ173="",H173,"VALENCY"))</f>
        <v/>
      </c>
      <c r="DT173" s="2" t="str">
        <f>IF(DN173="","",IF(DN173&gt;0,"CN", "DN"))</f>
        <v/>
      </c>
      <c r="DU173" s="2"/>
      <c r="DV173" s="418"/>
      <c r="DW173" s="2"/>
      <c r="DX173" s="2"/>
      <c r="DY173" s="2" t="s">
        <v>230</v>
      </c>
      <c r="DZ173" s="2"/>
      <c r="EA173" s="2" t="str">
        <f>IF(CS173="","",
   MIN(0,(IF(DA173&gt;2,2,1)*DA173*CT173*CY173))
)</f>
        <v/>
      </c>
      <c r="EB173" s="2"/>
      <c r="EC173" s="2"/>
      <c r="ED173" s="2"/>
      <c r="EE173" s="3"/>
      <c r="EF173" s="7"/>
      <c r="EG173" s="3"/>
      <c r="EH173" s="3" t="s">
        <v>266</v>
      </c>
      <c r="EI173" s="3" t="s">
        <v>258</v>
      </c>
      <c r="EJ173" s="189"/>
      <c r="EK173" s="4"/>
      <c r="EL173" s="9"/>
      <c r="EM173" s="9"/>
      <c r="EN173" s="189">
        <f>EK173*EJ173</f>
        <v>0</v>
      </c>
      <c r="EO173" s="9"/>
      <c r="EP173" s="8"/>
      <c r="EQ173" s="4"/>
      <c r="ER173" s="4"/>
      <c r="ES173" s="7"/>
      <c r="ET173" s="7"/>
      <c r="EU173" s="6"/>
      <c r="EV173" s="2" t="str">
        <f t="shared" si="400"/>
        <v>Yet to load</v>
      </c>
      <c r="EW173" s="189"/>
      <c r="EX173" s="189">
        <f>EW173/BJ173</f>
        <v>0</v>
      </c>
      <c r="EY173" s="189" t="s">
        <v>233</v>
      </c>
      <c r="EZ173" s="24"/>
      <c r="FA173" s="2"/>
      <c r="FB173" s="24"/>
      <c r="FC173" s="193"/>
      <c r="FD173" s="189">
        <f>FC173*BJ173</f>
        <v>0</v>
      </c>
      <c r="FE173" s="52"/>
      <c r="FF173" s="52"/>
      <c r="FG173" s="49"/>
      <c r="FH173" s="49"/>
      <c r="FI173" s="49"/>
      <c r="FJ173" s="49"/>
      <c r="FK173" s="49"/>
      <c r="FL173" s="49"/>
      <c r="FM173" s="34"/>
      <c r="FN173" s="34"/>
      <c r="FO173" s="3"/>
      <c r="FP173" s="3"/>
      <c r="FQ173" s="3"/>
      <c r="FR173" s="3"/>
      <c r="FS173" s="34">
        <f t="shared" ref="FS173:FS178" si="406">Y173</f>
        <v>20009859</v>
      </c>
      <c r="FT173" s="34" t="str">
        <f t="shared" ref="FT173:FT178" si="407">AA173</f>
        <v>32015969-3</v>
      </c>
      <c r="FU173" s="3"/>
      <c r="FV173" s="4"/>
      <c r="FW173" s="3"/>
      <c r="FX173" s="182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</row>
    <row r="174" spans="1:196" s="1" customFormat="1" ht="33.950000000000003">
      <c r="A174" s="2" t="str">
        <f t="shared" si="391"/>
        <v>Sailed, OBL &amp; Certs Pending</v>
      </c>
      <c r="B174" s="639">
        <v>47</v>
      </c>
      <c r="C174" s="640">
        <v>200</v>
      </c>
      <c r="D174" s="182" t="s">
        <v>208</v>
      </c>
      <c r="E174" s="2" t="str">
        <f t="shared" si="392"/>
        <v>CLOSE POSITION</v>
      </c>
      <c r="F174" s="271" t="str">
        <f t="shared" si="384"/>
        <v>32015969-5</v>
      </c>
      <c r="G174" s="271"/>
      <c r="H174" s="2" t="str">
        <f t="shared" si="381"/>
        <v>Valency Agro (Processing)</v>
      </c>
      <c r="I174" s="3" t="s">
        <v>259</v>
      </c>
      <c r="J174" s="2" t="s">
        <v>210</v>
      </c>
      <c r="K174" s="2" t="str">
        <f t="shared" si="393"/>
        <v>MUNDRA, INDIA</v>
      </c>
      <c r="L174" s="2">
        <f t="shared" si="389"/>
        <v>268585803</v>
      </c>
      <c r="M174" s="2">
        <f t="shared" si="388"/>
        <v>244.22</v>
      </c>
      <c r="N174" s="22">
        <f t="shared" si="394"/>
        <v>46172</v>
      </c>
      <c r="O174" s="22">
        <f t="shared" si="385"/>
        <v>46193</v>
      </c>
      <c r="P174" s="22" t="str">
        <f t="shared" si="395"/>
        <v>Draft Rcvd</v>
      </c>
      <c r="Q174" s="330"/>
      <c r="R174" s="2" t="str">
        <f t="shared" si="396"/>
        <v>No CERTS Yet</v>
      </c>
      <c r="S174" s="2"/>
      <c r="T174" s="2" t="s">
        <v>610</v>
      </c>
      <c r="U174" s="3" t="s">
        <v>870</v>
      </c>
      <c r="V174" s="272"/>
      <c r="W174" s="3" t="s">
        <v>870</v>
      </c>
      <c r="X174" s="24"/>
      <c r="Y174" s="273">
        <v>20009859</v>
      </c>
      <c r="Z174" s="24">
        <v>46107</v>
      </c>
      <c r="AA174" s="182" t="s">
        <v>881</v>
      </c>
      <c r="AB174" s="182" t="s">
        <v>247</v>
      </c>
      <c r="AC174" s="182" t="s">
        <v>385</v>
      </c>
      <c r="AD174" s="181">
        <v>46142</v>
      </c>
      <c r="AE174" s="30">
        <v>0.1</v>
      </c>
      <c r="AF174" s="277">
        <v>250</v>
      </c>
      <c r="AG174" s="4">
        <f t="shared" si="397"/>
        <v>225</v>
      </c>
      <c r="AH174" s="3" t="s">
        <v>215</v>
      </c>
      <c r="AI174" s="4">
        <v>1508</v>
      </c>
      <c r="AJ174" s="4">
        <f t="shared" si="390"/>
        <v>377000</v>
      </c>
      <c r="AK174" s="3" t="s">
        <v>249</v>
      </c>
      <c r="AL174" s="3" t="s">
        <v>238</v>
      </c>
      <c r="AM174" s="30">
        <v>0</v>
      </c>
      <c r="AN174" s="183">
        <v>1</v>
      </c>
      <c r="AO174" s="183">
        <v>0</v>
      </c>
      <c r="AP174" s="28" t="s">
        <v>218</v>
      </c>
      <c r="AQ174" s="18" t="s">
        <v>250</v>
      </c>
      <c r="AR174" s="18" t="s">
        <v>251</v>
      </c>
      <c r="AS174" s="27"/>
      <c r="AT174" s="3"/>
      <c r="AU174" s="3"/>
      <c r="AV174" s="3"/>
      <c r="AW174" s="9"/>
      <c r="AX174" s="3"/>
      <c r="AY174" s="47"/>
      <c r="AZ174" s="278"/>
      <c r="BA174" s="18">
        <f t="shared" si="403"/>
        <v>46107</v>
      </c>
      <c r="BB174" s="22">
        <v>46077</v>
      </c>
      <c r="BC174" s="22"/>
      <c r="BD174" s="22"/>
      <c r="BE174" s="22"/>
      <c r="BF174" s="22">
        <v>46078</v>
      </c>
      <c r="BG174" s="18"/>
      <c r="BH174" s="18"/>
      <c r="BI174" s="3">
        <v>268585803</v>
      </c>
      <c r="BJ174" s="25">
        <v>244.22</v>
      </c>
      <c r="BK174" s="189" t="s">
        <v>222</v>
      </c>
      <c r="BL174" s="497">
        <v>10</v>
      </c>
      <c r="BM174" s="18">
        <v>46172</v>
      </c>
      <c r="BN174" s="4"/>
      <c r="BO174" s="18">
        <v>46193</v>
      </c>
      <c r="BP174" s="3" t="s">
        <v>259</v>
      </c>
      <c r="BQ174" s="21" t="s">
        <v>253</v>
      </c>
      <c r="BR174" s="2" t="s">
        <v>416</v>
      </c>
      <c r="BS174" s="2"/>
      <c r="BT174" s="2" t="s">
        <v>460</v>
      </c>
      <c r="BU174" s="2"/>
      <c r="BV174" s="20"/>
      <c r="BW174" s="19"/>
      <c r="BX174" s="189">
        <f t="shared" si="404"/>
        <v>368283.76</v>
      </c>
      <c r="BY174" s="22">
        <v>46168</v>
      </c>
      <c r="BZ174" s="22"/>
      <c r="CA174" s="22"/>
      <c r="CB174" s="22"/>
      <c r="CC174" s="22"/>
      <c r="CD174" s="22"/>
      <c r="CE174" s="22" t="str">
        <f t="shared" si="398"/>
        <v>Draft Rcvd</v>
      </c>
      <c r="CF174" s="22"/>
      <c r="CG174" s="22"/>
      <c r="CH174" s="181"/>
      <c r="CI174" s="419"/>
      <c r="CJ174" s="181"/>
      <c r="CK174" s="2" t="str">
        <f t="shared" ref="CK174:CK178" si="408">IF(CJ174&lt;&gt;0,"CERTS in Destination - "&amp;J174,IF(CI174&lt;&gt;0,"CERT in Transit to -"&amp;J174,IF(CH174&lt;&gt;0,"CERT in Origin - "&amp;I174,IF(CH174="","No CERTS Yet"))))</f>
        <v>No CERTS Yet</v>
      </c>
      <c r="CL174" s="48"/>
      <c r="CM174" s="22"/>
      <c r="CN174" s="55"/>
      <c r="CO174" s="55"/>
      <c r="CP174" s="55" t="str">
        <f t="shared" si="405"/>
        <v/>
      </c>
      <c r="CQ174" s="190">
        <f t="shared" ref="CQ174:CQ178" si="409">(AN174*AI174*BJ174)-AZ174</f>
        <v>368283.76</v>
      </c>
      <c r="CR174" s="54"/>
      <c r="CS174" s="2"/>
      <c r="CT174" s="2"/>
      <c r="CU174" s="14"/>
      <c r="CV174" s="191"/>
      <c r="CW174" s="14"/>
      <c r="CX174" s="14"/>
      <c r="CY174" s="15"/>
      <c r="CZ174" s="2"/>
      <c r="DA174" s="41"/>
      <c r="DB174" s="2"/>
      <c r="DC174" s="192"/>
      <c r="DD174" s="40"/>
      <c r="DE174" s="16"/>
      <c r="DF174" s="2"/>
      <c r="DG174" s="14"/>
      <c r="DH174" s="2"/>
      <c r="DI174" s="192"/>
      <c r="DJ174" s="2"/>
      <c r="DK174" s="15"/>
      <c r="DL174" s="2"/>
      <c r="DM174" s="2"/>
      <c r="DN174" s="15"/>
      <c r="DO174" s="14"/>
      <c r="DP174" s="14"/>
      <c r="DQ174" s="15"/>
      <c r="DR174" s="15"/>
      <c r="DS174" s="2"/>
      <c r="DT174" s="2"/>
      <c r="DU174" s="2"/>
      <c r="DV174" s="418"/>
      <c r="DW174" s="2"/>
      <c r="DX174" s="2"/>
      <c r="DY174" s="2"/>
      <c r="DZ174" s="2"/>
      <c r="EA174" s="2"/>
      <c r="EB174" s="2"/>
      <c r="EC174" s="2"/>
      <c r="ED174" s="2"/>
      <c r="EE174" s="3"/>
      <c r="EF174" s="7"/>
      <c r="EG174" s="3"/>
      <c r="EH174" s="3" t="s">
        <v>266</v>
      </c>
      <c r="EI174" s="3"/>
      <c r="EJ174" s="189"/>
      <c r="EK174" s="4"/>
      <c r="EL174" s="9"/>
      <c r="EM174" s="9"/>
      <c r="EN174" s="189"/>
      <c r="EO174" s="9"/>
      <c r="EP174" s="8"/>
      <c r="EQ174" s="4"/>
      <c r="ER174" s="4"/>
      <c r="ES174" s="7"/>
      <c r="ET174" s="7"/>
      <c r="EU174" s="6"/>
      <c r="EV174" s="2"/>
      <c r="EW174" s="189"/>
      <c r="EX174" s="189"/>
      <c r="EY174" s="189"/>
      <c r="EZ174" s="24"/>
      <c r="FA174" s="2"/>
      <c r="FB174" s="24"/>
      <c r="FC174" s="193"/>
      <c r="FD174" s="189"/>
      <c r="FE174" s="52"/>
      <c r="FF174" s="52"/>
      <c r="FG174" s="49"/>
      <c r="FH174" s="49"/>
      <c r="FI174" s="49"/>
      <c r="FJ174" s="49"/>
      <c r="FK174" s="49"/>
      <c r="FL174" s="49"/>
      <c r="FM174" s="34"/>
      <c r="FN174" s="34"/>
      <c r="FO174" s="3"/>
      <c r="FP174" s="3"/>
      <c r="FQ174" s="3"/>
      <c r="FR174" s="3"/>
      <c r="FS174" s="34">
        <f t="shared" si="406"/>
        <v>20009859</v>
      </c>
      <c r="FT174" s="34" t="str">
        <f t="shared" si="407"/>
        <v>32015969-5</v>
      </c>
      <c r="FU174" s="3"/>
      <c r="FV174" s="4"/>
      <c r="FW174" s="3"/>
      <c r="FX174" s="182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</row>
    <row r="175" spans="1:196" s="1" customFormat="1" ht="33.950000000000003">
      <c r="A175" s="2" t="str">
        <f t="shared" si="391"/>
        <v>Sailed, OBL &amp; Certs Pending</v>
      </c>
      <c r="B175" s="639">
        <v>47</v>
      </c>
      <c r="C175" s="640">
        <v>200</v>
      </c>
      <c r="D175" s="182" t="s">
        <v>208</v>
      </c>
      <c r="E175" s="2" t="str">
        <f t="shared" si="392"/>
        <v>CLOSE POSITION</v>
      </c>
      <c r="F175" s="271" t="str">
        <f t="shared" si="384"/>
        <v>32015969-6</v>
      </c>
      <c r="G175" s="271"/>
      <c r="H175" s="2" t="str">
        <f t="shared" si="381"/>
        <v>Valency Agro (Processing)</v>
      </c>
      <c r="I175" s="3" t="s">
        <v>259</v>
      </c>
      <c r="J175" s="2" t="s">
        <v>210</v>
      </c>
      <c r="K175" s="2" t="str">
        <f t="shared" si="393"/>
        <v>MUNDRA, INDIA</v>
      </c>
      <c r="L175" s="2">
        <f t="shared" si="389"/>
        <v>268593044</v>
      </c>
      <c r="M175" s="2">
        <f t="shared" si="388"/>
        <v>235.62</v>
      </c>
      <c r="N175" s="22">
        <f t="shared" si="394"/>
        <v>46172</v>
      </c>
      <c r="O175" s="22">
        <f t="shared" si="385"/>
        <v>46193</v>
      </c>
      <c r="P175" s="22" t="str">
        <f t="shared" si="395"/>
        <v>Draft Rcvd</v>
      </c>
      <c r="Q175" s="330"/>
      <c r="R175" s="2" t="str">
        <f t="shared" si="396"/>
        <v>No CERTS Yet</v>
      </c>
      <c r="S175" s="2"/>
      <c r="T175" s="2" t="s">
        <v>610</v>
      </c>
      <c r="U175" s="3" t="s">
        <v>870</v>
      </c>
      <c r="V175" s="272"/>
      <c r="W175" s="3" t="s">
        <v>870</v>
      </c>
      <c r="X175" s="24"/>
      <c r="Y175" s="273">
        <v>20009859</v>
      </c>
      <c r="Z175" s="24">
        <v>46107</v>
      </c>
      <c r="AA175" s="182" t="s">
        <v>882</v>
      </c>
      <c r="AB175" s="182" t="s">
        <v>247</v>
      </c>
      <c r="AC175" s="182" t="s">
        <v>385</v>
      </c>
      <c r="AD175" s="181">
        <v>46142</v>
      </c>
      <c r="AE175" s="30">
        <v>0.1</v>
      </c>
      <c r="AF175" s="277">
        <v>250</v>
      </c>
      <c r="AG175" s="4">
        <f t="shared" si="397"/>
        <v>225</v>
      </c>
      <c r="AH175" s="3" t="s">
        <v>215</v>
      </c>
      <c r="AI175" s="4">
        <v>1508</v>
      </c>
      <c r="AJ175" s="4">
        <f t="shared" si="390"/>
        <v>377000</v>
      </c>
      <c r="AK175" s="3" t="s">
        <v>249</v>
      </c>
      <c r="AL175" s="3" t="s">
        <v>238</v>
      </c>
      <c r="AM175" s="30">
        <v>0</v>
      </c>
      <c r="AN175" s="183">
        <v>1</v>
      </c>
      <c r="AO175" s="183">
        <v>0</v>
      </c>
      <c r="AP175" s="28" t="s">
        <v>218</v>
      </c>
      <c r="AQ175" s="18" t="s">
        <v>250</v>
      </c>
      <c r="AR175" s="18" t="s">
        <v>251</v>
      </c>
      <c r="AS175" s="27"/>
      <c r="AT175" s="3"/>
      <c r="AU175" s="3"/>
      <c r="AV175" s="3"/>
      <c r="AW175" s="9"/>
      <c r="AX175" s="3"/>
      <c r="AY175" s="47"/>
      <c r="AZ175" s="278"/>
      <c r="BA175" s="18">
        <f t="shared" si="403"/>
        <v>46107</v>
      </c>
      <c r="BB175" s="22">
        <v>46077</v>
      </c>
      <c r="BC175" s="22"/>
      <c r="BD175" s="22"/>
      <c r="BE175" s="22"/>
      <c r="BF175" s="22">
        <v>46078</v>
      </c>
      <c r="BG175" s="18"/>
      <c r="BH175" s="18"/>
      <c r="BI175" s="3">
        <v>268593044</v>
      </c>
      <c r="BJ175" s="25">
        <v>235.62</v>
      </c>
      <c r="BK175" s="189" t="s">
        <v>222</v>
      </c>
      <c r="BL175" s="497">
        <v>10</v>
      </c>
      <c r="BM175" s="18">
        <v>46172</v>
      </c>
      <c r="BN175" s="4"/>
      <c r="BO175" s="18">
        <v>46193</v>
      </c>
      <c r="BP175" s="3" t="s">
        <v>259</v>
      </c>
      <c r="BQ175" s="21" t="s">
        <v>253</v>
      </c>
      <c r="BR175" s="2" t="s">
        <v>416</v>
      </c>
      <c r="BS175" s="2"/>
      <c r="BT175" s="2" t="s">
        <v>460</v>
      </c>
      <c r="BU175" s="2"/>
      <c r="BV175" s="20"/>
      <c r="BW175" s="19"/>
      <c r="BX175" s="189">
        <f t="shared" si="404"/>
        <v>355314.96</v>
      </c>
      <c r="BY175" s="22">
        <v>46168</v>
      </c>
      <c r="BZ175" s="22"/>
      <c r="CA175" s="22"/>
      <c r="CB175" s="22"/>
      <c r="CC175" s="22"/>
      <c r="CD175" s="22"/>
      <c r="CE175" s="22" t="str">
        <f t="shared" si="398"/>
        <v>Draft Rcvd</v>
      </c>
      <c r="CF175" s="22"/>
      <c r="CG175" s="22"/>
      <c r="CH175" s="181"/>
      <c r="CI175" s="419"/>
      <c r="CJ175" s="181"/>
      <c r="CK175" s="2" t="str">
        <f t="shared" si="408"/>
        <v>No CERTS Yet</v>
      </c>
      <c r="CL175" s="48"/>
      <c r="CM175" s="22"/>
      <c r="CN175" s="55"/>
      <c r="CO175" s="55"/>
      <c r="CP175" s="55" t="str">
        <f t="shared" si="405"/>
        <v/>
      </c>
      <c r="CQ175" s="190">
        <f t="shared" si="409"/>
        <v>355314.96</v>
      </c>
      <c r="CR175" s="54"/>
      <c r="CS175" s="2"/>
      <c r="CT175" s="2"/>
      <c r="CU175" s="14"/>
      <c r="CV175" s="191"/>
      <c r="CW175" s="14"/>
      <c r="CX175" s="14"/>
      <c r="CY175" s="15"/>
      <c r="CZ175" s="2"/>
      <c r="DA175" s="41"/>
      <c r="DB175" s="2"/>
      <c r="DC175" s="192"/>
      <c r="DD175" s="40"/>
      <c r="DE175" s="16"/>
      <c r="DF175" s="2"/>
      <c r="DG175" s="14"/>
      <c r="DH175" s="2"/>
      <c r="DI175" s="192"/>
      <c r="DJ175" s="2"/>
      <c r="DK175" s="15"/>
      <c r="DL175" s="2"/>
      <c r="DM175" s="2"/>
      <c r="DN175" s="15"/>
      <c r="DO175" s="14"/>
      <c r="DP175" s="14"/>
      <c r="DQ175" s="15"/>
      <c r="DR175" s="15"/>
      <c r="DS175" s="2"/>
      <c r="DT175" s="2"/>
      <c r="DU175" s="2"/>
      <c r="DV175" s="418"/>
      <c r="DW175" s="2"/>
      <c r="DX175" s="2"/>
      <c r="DY175" s="2"/>
      <c r="DZ175" s="2"/>
      <c r="EA175" s="2"/>
      <c r="EB175" s="2"/>
      <c r="EC175" s="2"/>
      <c r="ED175" s="2"/>
      <c r="EE175" s="3"/>
      <c r="EF175" s="7"/>
      <c r="EG175" s="3"/>
      <c r="EH175" s="3" t="s">
        <v>266</v>
      </c>
      <c r="EI175" s="3"/>
      <c r="EJ175" s="189"/>
      <c r="EK175" s="4"/>
      <c r="EL175" s="9"/>
      <c r="EM175" s="9"/>
      <c r="EN175" s="189"/>
      <c r="EO175" s="9"/>
      <c r="EP175" s="8"/>
      <c r="EQ175" s="4"/>
      <c r="ER175" s="4"/>
      <c r="ES175" s="7"/>
      <c r="ET175" s="7"/>
      <c r="EU175" s="6"/>
      <c r="EV175" s="2"/>
      <c r="EW175" s="189"/>
      <c r="EX175" s="189"/>
      <c r="EY175" s="189"/>
      <c r="EZ175" s="24"/>
      <c r="FA175" s="2"/>
      <c r="FB175" s="24"/>
      <c r="FC175" s="193"/>
      <c r="FD175" s="189"/>
      <c r="FE175" s="52"/>
      <c r="FF175" s="52"/>
      <c r="FG175" s="49"/>
      <c r="FH175" s="49"/>
      <c r="FI175" s="49"/>
      <c r="FJ175" s="49"/>
      <c r="FK175" s="49"/>
      <c r="FL175" s="49"/>
      <c r="FM175" s="34"/>
      <c r="FN175" s="34"/>
      <c r="FO175" s="3"/>
      <c r="FP175" s="3"/>
      <c r="FQ175" s="3"/>
      <c r="FR175" s="3"/>
      <c r="FS175" s="34">
        <f t="shared" si="406"/>
        <v>20009859</v>
      </c>
      <c r="FT175" s="34" t="str">
        <f t="shared" si="407"/>
        <v>32015969-6</v>
      </c>
      <c r="FU175" s="3"/>
      <c r="FV175" s="4"/>
      <c r="FW175" s="3"/>
      <c r="FX175" s="182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</row>
    <row r="176" spans="1:196" s="1" customFormat="1" ht="33.950000000000003">
      <c r="A176" s="2" t="str">
        <f t="shared" si="391"/>
        <v>Sailed, OBL &amp; Certs Pending</v>
      </c>
      <c r="B176" s="282">
        <v>47</v>
      </c>
      <c r="C176" s="282">
        <v>200</v>
      </c>
      <c r="D176" s="182" t="s">
        <v>208</v>
      </c>
      <c r="E176" s="2" t="str">
        <f t="shared" si="392"/>
        <v>CLOSE POSITION</v>
      </c>
      <c r="F176" s="271" t="str">
        <f t="shared" si="384"/>
        <v>32015968-5</v>
      </c>
      <c r="G176" s="271"/>
      <c r="H176" s="2" t="str">
        <f t="shared" si="381"/>
        <v>Valency Agro (Processing)</v>
      </c>
      <c r="I176" s="3" t="s">
        <v>259</v>
      </c>
      <c r="J176" s="2" t="s">
        <v>210</v>
      </c>
      <c r="K176" s="2" t="str">
        <f t="shared" si="393"/>
        <v>MANGALORE, INDIA</v>
      </c>
      <c r="L176" s="2">
        <f t="shared" si="389"/>
        <v>268607083</v>
      </c>
      <c r="M176" s="2">
        <f t="shared" si="388"/>
        <v>247.91</v>
      </c>
      <c r="N176" s="22">
        <f t="shared" si="394"/>
        <v>46172</v>
      </c>
      <c r="O176" s="22">
        <f t="shared" si="385"/>
        <v>46202</v>
      </c>
      <c r="P176" s="22" t="str">
        <f t="shared" si="395"/>
        <v>Draft Rcvd</v>
      </c>
      <c r="Q176" s="2"/>
      <c r="R176" s="2" t="str">
        <f t="shared" si="396"/>
        <v>No CERTS Yet</v>
      </c>
      <c r="S176" s="2" t="str">
        <f>CP176</f>
        <v/>
      </c>
      <c r="T176" s="2" t="s">
        <v>610</v>
      </c>
      <c r="U176" s="3" t="s">
        <v>883</v>
      </c>
      <c r="V176" s="272"/>
      <c r="W176" s="3" t="s">
        <v>883</v>
      </c>
      <c r="X176" s="24"/>
      <c r="Y176" s="273">
        <v>20009857</v>
      </c>
      <c r="Z176" s="24">
        <v>46107</v>
      </c>
      <c r="AA176" s="182" t="s">
        <v>884</v>
      </c>
      <c r="AB176" s="182" t="s">
        <v>247</v>
      </c>
      <c r="AC176" s="182" t="s">
        <v>385</v>
      </c>
      <c r="AD176" s="181">
        <v>46142</v>
      </c>
      <c r="AE176" s="30">
        <v>0.1</v>
      </c>
      <c r="AF176" s="277">
        <v>250</v>
      </c>
      <c r="AG176" s="4">
        <f t="shared" si="397"/>
        <v>225</v>
      </c>
      <c r="AH176" s="3" t="s">
        <v>215</v>
      </c>
      <c r="AI176" s="4">
        <v>1508</v>
      </c>
      <c r="AJ176" s="4">
        <f t="shared" si="390"/>
        <v>377000</v>
      </c>
      <c r="AK176" s="3" t="s">
        <v>249</v>
      </c>
      <c r="AL176" s="3" t="s">
        <v>238</v>
      </c>
      <c r="AM176" s="30">
        <v>0</v>
      </c>
      <c r="AN176" s="183">
        <v>1</v>
      </c>
      <c r="AO176" s="183">
        <v>0</v>
      </c>
      <c r="AP176" s="28" t="s">
        <v>218</v>
      </c>
      <c r="AQ176" s="18" t="s">
        <v>250</v>
      </c>
      <c r="AR176" s="18" t="s">
        <v>251</v>
      </c>
      <c r="AS176" s="27"/>
      <c r="AT176" s="3" t="s">
        <v>220</v>
      </c>
      <c r="AU176" s="3" t="s">
        <v>220</v>
      </c>
      <c r="AV176" s="3" t="s">
        <v>220</v>
      </c>
      <c r="AW176" s="9"/>
      <c r="AX176" s="3"/>
      <c r="AY176" s="47"/>
      <c r="AZ176" s="278">
        <f>AF176*AI176*AM176</f>
        <v>0</v>
      </c>
      <c r="BA176" s="18">
        <f t="shared" si="403"/>
        <v>46107</v>
      </c>
      <c r="BB176" s="22">
        <v>46077</v>
      </c>
      <c r="BC176" s="22"/>
      <c r="BD176" s="22"/>
      <c r="BE176" s="22"/>
      <c r="BF176" s="22">
        <v>46078</v>
      </c>
      <c r="BG176" s="18"/>
      <c r="BH176" s="18"/>
      <c r="BI176" s="3">
        <v>268607083</v>
      </c>
      <c r="BJ176" s="25">
        <v>247.91</v>
      </c>
      <c r="BK176" s="189" t="s">
        <v>222</v>
      </c>
      <c r="BL176" s="497">
        <v>10</v>
      </c>
      <c r="BM176" s="18">
        <v>46172</v>
      </c>
      <c r="BN176" s="4"/>
      <c r="BO176" s="18">
        <v>46202</v>
      </c>
      <c r="BP176" s="3" t="s">
        <v>259</v>
      </c>
      <c r="BQ176" s="21" t="s">
        <v>265</v>
      </c>
      <c r="BR176" s="2" t="s">
        <v>416</v>
      </c>
      <c r="BS176" s="2"/>
      <c r="BT176" s="2" t="s">
        <v>460</v>
      </c>
      <c r="BU176" s="2" t="s">
        <v>461</v>
      </c>
      <c r="BV176" s="20"/>
      <c r="BW176" s="19"/>
      <c r="BX176" s="189">
        <f t="shared" si="404"/>
        <v>373848.27999999997</v>
      </c>
      <c r="BY176" s="22">
        <v>46164</v>
      </c>
      <c r="BZ176" s="22"/>
      <c r="CA176" s="2"/>
      <c r="CB176" s="22"/>
      <c r="CC176" s="22"/>
      <c r="CD176" s="22"/>
      <c r="CE176" s="22" t="str">
        <f t="shared" si="398"/>
        <v>Draft Rcvd</v>
      </c>
      <c r="CF176" s="22"/>
      <c r="CG176" s="22"/>
      <c r="CH176" s="182"/>
      <c r="CJ176" s="182"/>
      <c r="CK176" s="2" t="str">
        <f t="shared" si="408"/>
        <v>No CERTS Yet</v>
      </c>
      <c r="CL176" s="48"/>
      <c r="CM176" s="22"/>
      <c r="CN176" s="55"/>
      <c r="CO176" s="55"/>
      <c r="CP176" s="55" t="str">
        <f t="shared" si="405"/>
        <v/>
      </c>
      <c r="CQ176" s="190">
        <f t="shared" si="409"/>
        <v>373848.27999999997</v>
      </c>
      <c r="CR176" s="54"/>
      <c r="CS176" s="2"/>
      <c r="CT176" s="2"/>
      <c r="CU176" s="14" t="str">
        <f>IF(CS176="","",BJ176-CT176)</f>
        <v/>
      </c>
      <c r="CV176" s="191" t="str">
        <f>IF(CS176="","",CU176/BJ176)</f>
        <v/>
      </c>
      <c r="CW176" s="14" t="str">
        <f>IF(CS176="","",AZ176+CQ176)</f>
        <v/>
      </c>
      <c r="CX176" s="14" t="str">
        <f>IF(CS176="","",BX176*2%)</f>
        <v/>
      </c>
      <c r="CY176" s="15" t="str">
        <f>IF(CS176="","",AI176/B176)</f>
        <v/>
      </c>
      <c r="CZ176" s="2"/>
      <c r="DA176" s="41" t="str">
        <f>IF(CS176="","",B176-CZ176)</f>
        <v/>
      </c>
      <c r="DB176" s="2"/>
      <c r="DC176" s="192" t="str">
        <f>IF(CS176="","",IF(CS176="","",DB176-C176))</f>
        <v/>
      </c>
      <c r="DD176" s="40"/>
      <c r="DE176" s="16" t="str">
        <f>IF(CS176="","",10%-DD176)</f>
        <v/>
      </c>
      <c r="DF176" s="2" t="str">
        <f>IF(CS176="","",CU176*AI176)</f>
        <v/>
      </c>
      <c r="DG176" s="14" t="str">
        <f>IF(CS176="","",IF(DA176&gt;2,2*DA176*CT176*CY176,DA176*CT176*CY176))</f>
        <v/>
      </c>
      <c r="DH176" s="2" t="str">
        <f>IF(CS176="","",IF(DA176&gt;2,2*(DA176-2*CT176*CY176),0))</f>
        <v/>
      </c>
      <c r="DI176" s="192" t="str">
        <f>IF(CS176="","",IF(DC176&gt;0,DC176*0.5*CT176,0))</f>
        <v/>
      </c>
      <c r="DJ176" s="2" t="str">
        <f>IF(CS176="","",IF(DE176&lt;0,DE176*CT176*AI176*1%,0))</f>
        <v/>
      </c>
      <c r="DK176" s="15" t="str">
        <f>IF(CS176="","",SUM(DF176:DJ176))</f>
        <v/>
      </c>
      <c r="DL176" s="2"/>
      <c r="DM176" s="2"/>
      <c r="DN176" s="15" t="str">
        <f>IF(CS176="","",SUM(DK176:DL176))</f>
        <v/>
      </c>
      <c r="DO176" s="14" t="str">
        <f>IF(CS176="","",BJ176*AI176-DN176)</f>
        <v/>
      </c>
      <c r="DP176" s="14" t="str">
        <f>IF(CS176="","",AZ176+CQ176)</f>
        <v/>
      </c>
      <c r="DQ176" s="15" t="str">
        <f>IF(CS176="","",IF((DP176-DO176)&gt;0,DP176-DO176,""))</f>
        <v/>
      </c>
      <c r="DR176" s="15" t="str">
        <f>IF(CS176="","",IF((DO176-DP176)&gt;0,(DO176-DP176),""))</f>
        <v/>
      </c>
      <c r="DS176" s="2" t="str">
        <f>IF(CS176="","",IF(DQ176="",H176,"VALENCY"))</f>
        <v/>
      </c>
      <c r="DT176" s="2" t="str">
        <f>IF(DN176="","",IF(DN176&gt;0,"CN", "DN"))</f>
        <v/>
      </c>
      <c r="DU176" s="2"/>
      <c r="DV176" s="2"/>
      <c r="DW176" s="2"/>
      <c r="DX176" s="2"/>
      <c r="DY176" s="2" t="s">
        <v>230</v>
      </c>
      <c r="DZ176" s="2"/>
      <c r="EA176" s="2" t="str">
        <f>IF(CS176="","",
   MIN(0,(IF(DA176&gt;2,2,1)*DA176*CT176*CY176))
)</f>
        <v/>
      </c>
      <c r="EB176" s="2"/>
      <c r="EC176" s="2"/>
      <c r="ED176" s="2"/>
      <c r="EE176" s="3"/>
      <c r="EF176" s="7"/>
      <c r="EG176" s="3"/>
      <c r="EH176" s="3" t="s">
        <v>266</v>
      </c>
      <c r="EI176" s="3" t="s">
        <v>258</v>
      </c>
      <c r="EJ176" s="189"/>
      <c r="EK176" s="4"/>
      <c r="EL176" s="9"/>
      <c r="EM176" s="9"/>
      <c r="EN176" s="189">
        <f>EK176*EJ176</f>
        <v>0</v>
      </c>
      <c r="EO176" s="9"/>
      <c r="EP176" s="8"/>
      <c r="EQ176" s="4"/>
      <c r="ER176" s="4"/>
      <c r="ES176" s="7"/>
      <c r="ET176" s="7"/>
      <c r="EU176" s="6"/>
      <c r="EV176" s="2" t="str">
        <f>IF(CR176&lt;&gt;0,"Final Pmt Recd",IF(CM176&lt;&gt;0,"Export Loan",IF(BZ176&lt;&gt;0,"Nego Pending",IF(Z176&lt;&gt;0,"Yet to load","Yet to load"))))</f>
        <v>Yet to load</v>
      </c>
      <c r="EW176" s="189"/>
      <c r="EX176" s="189">
        <f>EW176/BJ176</f>
        <v>0</v>
      </c>
      <c r="EY176" s="189" t="s">
        <v>233</v>
      </c>
      <c r="EZ176" s="24"/>
      <c r="FA176" s="2"/>
      <c r="FB176" s="24"/>
      <c r="FC176" s="193"/>
      <c r="FD176" s="189">
        <f>FC176*BJ176</f>
        <v>0</v>
      </c>
      <c r="FE176" s="52"/>
      <c r="FF176" s="52"/>
      <c r="FG176" s="49"/>
      <c r="FH176" s="49"/>
      <c r="FI176" s="49"/>
      <c r="FJ176" s="49"/>
      <c r="FK176" s="49"/>
      <c r="FL176" s="49">
        <f>IFERROR(EZ176-BY176,"")</f>
        <v>-46164</v>
      </c>
      <c r="FM176" s="180">
        <f>IFERROR(BM176-FB176,"")</f>
        <v>46172</v>
      </c>
      <c r="FN176" s="49"/>
      <c r="FO176" s="49"/>
      <c r="FP176" s="49"/>
      <c r="FQ176" s="49"/>
      <c r="FR176" s="49"/>
      <c r="FS176" s="34">
        <f t="shared" si="406"/>
        <v>20009857</v>
      </c>
      <c r="FT176" s="34" t="str">
        <f t="shared" si="407"/>
        <v>32015968-5</v>
      </c>
      <c r="FU176" s="3"/>
      <c r="FV176" s="3"/>
      <c r="FW176" s="3"/>
      <c r="FX176" s="3"/>
      <c r="FY176" s="3"/>
      <c r="FZ176" s="3"/>
      <c r="GA176" s="3"/>
      <c r="GB176" s="4"/>
      <c r="GC176" s="3"/>
      <c r="GD176" s="182"/>
      <c r="GE176" s="2"/>
      <c r="GF176" s="2"/>
      <c r="GG176" s="2"/>
      <c r="GH176" s="2"/>
      <c r="GI176" s="2"/>
      <c r="GJ176" s="2"/>
      <c r="GK176" s="2"/>
      <c r="GL176" s="2"/>
      <c r="GM176" s="2"/>
      <c r="GN176" s="2"/>
    </row>
    <row r="177" spans="1:197" s="1" customFormat="1" ht="33.950000000000003">
      <c r="A177" s="2" t="str">
        <f t="shared" si="391"/>
        <v>Sailed, OBL &amp; Certs Pending</v>
      </c>
      <c r="B177" s="282">
        <v>47</v>
      </c>
      <c r="C177" s="282">
        <v>200</v>
      </c>
      <c r="D177" s="182" t="s">
        <v>208</v>
      </c>
      <c r="E177" s="2" t="str">
        <f t="shared" si="392"/>
        <v>CLOSE POSITION</v>
      </c>
      <c r="F177" s="271" t="str">
        <f t="shared" si="384"/>
        <v>32015968-6</v>
      </c>
      <c r="G177" s="271"/>
      <c r="H177" s="2" t="str">
        <f t="shared" si="381"/>
        <v>Valency Agro (Processing)</v>
      </c>
      <c r="I177" s="3" t="s">
        <v>259</v>
      </c>
      <c r="J177" s="2" t="s">
        <v>210</v>
      </c>
      <c r="K177" s="2" t="str">
        <f t="shared" si="393"/>
        <v>MANGALORE, INDIA</v>
      </c>
      <c r="L177" s="2">
        <f t="shared" si="389"/>
        <v>268606982</v>
      </c>
      <c r="M177" s="2">
        <f t="shared" si="388"/>
        <v>244.37</v>
      </c>
      <c r="N177" s="22">
        <f t="shared" si="394"/>
        <v>46172</v>
      </c>
      <c r="O177" s="22">
        <f t="shared" si="385"/>
        <v>46202</v>
      </c>
      <c r="P177" s="22" t="str">
        <f t="shared" si="395"/>
        <v>Draft Rcvd</v>
      </c>
      <c r="Q177" s="2"/>
      <c r="R177" s="2" t="str">
        <f t="shared" si="396"/>
        <v>No CERTS Yet</v>
      </c>
      <c r="S177" s="2" t="str">
        <f>CP177</f>
        <v/>
      </c>
      <c r="T177" s="2" t="s">
        <v>610</v>
      </c>
      <c r="U177" s="3" t="s">
        <v>883</v>
      </c>
      <c r="V177" s="272"/>
      <c r="W177" s="3" t="s">
        <v>883</v>
      </c>
      <c r="X177" s="24"/>
      <c r="Y177" s="273">
        <v>20009857</v>
      </c>
      <c r="Z177" s="24">
        <v>46107</v>
      </c>
      <c r="AA177" s="182" t="s">
        <v>885</v>
      </c>
      <c r="AB177" s="182" t="s">
        <v>247</v>
      </c>
      <c r="AC177" s="182" t="s">
        <v>385</v>
      </c>
      <c r="AD177" s="181">
        <v>46142</v>
      </c>
      <c r="AE177" s="30">
        <v>0.1</v>
      </c>
      <c r="AF177" s="277">
        <v>250</v>
      </c>
      <c r="AG177" s="4">
        <f t="shared" si="397"/>
        <v>225</v>
      </c>
      <c r="AH177" s="3" t="s">
        <v>215</v>
      </c>
      <c r="AI177" s="4">
        <v>1508</v>
      </c>
      <c r="AJ177" s="4">
        <f t="shared" si="390"/>
        <v>377000</v>
      </c>
      <c r="AK177" s="3" t="s">
        <v>249</v>
      </c>
      <c r="AL177" s="3" t="s">
        <v>238</v>
      </c>
      <c r="AM177" s="30">
        <v>0</v>
      </c>
      <c r="AN177" s="183">
        <v>1</v>
      </c>
      <c r="AO177" s="183">
        <v>0</v>
      </c>
      <c r="AP177" s="28" t="s">
        <v>218</v>
      </c>
      <c r="AQ177" s="18" t="s">
        <v>250</v>
      </c>
      <c r="AR177" s="18" t="s">
        <v>251</v>
      </c>
      <c r="AS177" s="27"/>
      <c r="AT177" s="3" t="s">
        <v>220</v>
      </c>
      <c r="AU177" s="3" t="s">
        <v>220</v>
      </c>
      <c r="AV177" s="3" t="s">
        <v>220</v>
      </c>
      <c r="AW177" s="9"/>
      <c r="AX177" s="3"/>
      <c r="AY177" s="47"/>
      <c r="AZ177" s="278">
        <f>AF177*AI177*AM177</f>
        <v>0</v>
      </c>
      <c r="BA177" s="18">
        <f t="shared" si="403"/>
        <v>46107</v>
      </c>
      <c r="BB177" s="22">
        <v>46077</v>
      </c>
      <c r="BC177" s="22"/>
      <c r="BD177" s="22"/>
      <c r="BE177" s="22"/>
      <c r="BF177" s="22">
        <v>46078</v>
      </c>
      <c r="BG177" s="18"/>
      <c r="BH177" s="18"/>
      <c r="BI177" s="3">
        <v>268606982</v>
      </c>
      <c r="BJ177" s="25">
        <v>244.37</v>
      </c>
      <c r="BK177" s="189" t="s">
        <v>222</v>
      </c>
      <c r="BL177" s="497">
        <v>10</v>
      </c>
      <c r="BM177" s="18">
        <v>46172</v>
      </c>
      <c r="BN177" s="4"/>
      <c r="BO177" s="18">
        <v>46202</v>
      </c>
      <c r="BP177" s="3" t="s">
        <v>259</v>
      </c>
      <c r="BQ177" s="21" t="s">
        <v>265</v>
      </c>
      <c r="BR177" s="2" t="s">
        <v>416</v>
      </c>
      <c r="BS177" s="2"/>
      <c r="BT177" s="2" t="s">
        <v>460</v>
      </c>
      <c r="BU177" s="2" t="s">
        <v>461</v>
      </c>
      <c r="BV177" s="20"/>
      <c r="BW177" s="19"/>
      <c r="BX177" s="189">
        <f t="shared" si="404"/>
        <v>368509.96</v>
      </c>
      <c r="BY177" s="22">
        <v>46164</v>
      </c>
      <c r="BZ177" s="22"/>
      <c r="CA177" s="2"/>
      <c r="CB177" s="22"/>
      <c r="CC177" s="22"/>
      <c r="CD177" s="22"/>
      <c r="CE177" s="22" t="str">
        <f t="shared" si="398"/>
        <v>Draft Rcvd</v>
      </c>
      <c r="CF177" s="22"/>
      <c r="CG177" s="22"/>
      <c r="CH177" s="182"/>
      <c r="CJ177" s="182"/>
      <c r="CK177" s="2" t="str">
        <f t="shared" si="408"/>
        <v>No CERTS Yet</v>
      </c>
      <c r="CL177" s="48"/>
      <c r="CM177" s="22"/>
      <c r="CN177" s="55"/>
      <c r="CO177" s="55"/>
      <c r="CP177" s="55" t="str">
        <f t="shared" si="405"/>
        <v/>
      </c>
      <c r="CQ177" s="190">
        <f t="shared" si="409"/>
        <v>368509.96</v>
      </c>
      <c r="CR177" s="54"/>
      <c r="CS177" s="2"/>
      <c r="CT177" s="2"/>
      <c r="CU177" s="14" t="str">
        <f>IF(CS177="","",BJ177-CT177)</f>
        <v/>
      </c>
      <c r="CV177" s="191" t="str">
        <f>IF(CS177="","",CU177/BJ177)</f>
        <v/>
      </c>
      <c r="CW177" s="14" t="str">
        <f>IF(CS177="","",AZ177+CQ177)</f>
        <v/>
      </c>
      <c r="CX177" s="14" t="str">
        <f>IF(CS177="","",BX177*2%)</f>
        <v/>
      </c>
      <c r="CY177" s="15" t="str">
        <f>IF(CS177="","",AI177/B177)</f>
        <v/>
      </c>
      <c r="CZ177" s="2"/>
      <c r="DA177" s="41" t="str">
        <f>IF(CS177="","",B177-CZ177)</f>
        <v/>
      </c>
      <c r="DB177" s="2"/>
      <c r="DC177" s="192" t="str">
        <f>IF(CS177="","",IF(CS177="","",DB177-C177))</f>
        <v/>
      </c>
      <c r="DD177" s="40"/>
      <c r="DE177" s="16" t="str">
        <f>IF(CS177="","",10%-DD177)</f>
        <v/>
      </c>
      <c r="DF177" s="2" t="str">
        <f>IF(CS177="","",CU177*AI177)</f>
        <v/>
      </c>
      <c r="DG177" s="14" t="str">
        <f>IF(CS177="","",IF(DA177&gt;2,2*DA177*CT177*CY177,DA177*CT177*CY177))</f>
        <v/>
      </c>
      <c r="DH177" s="2" t="str">
        <f>IF(CS177="","",IF(DA177&gt;2,2*(DA177-2*CT177*CY177),0))</f>
        <v/>
      </c>
      <c r="DI177" s="192" t="str">
        <f>IF(CS177="","",IF(DC177&gt;0,DC177*0.5*CT177,0))</f>
        <v/>
      </c>
      <c r="DJ177" s="2" t="str">
        <f>IF(CS177="","",IF(DE177&lt;0,DE177*CT177*AI177*1%,0))</f>
        <v/>
      </c>
      <c r="DK177" s="15" t="str">
        <f>IF(CS177="","",SUM(DF177:DJ177))</f>
        <v/>
      </c>
      <c r="DL177" s="2"/>
      <c r="DM177" s="2"/>
      <c r="DN177" s="15" t="str">
        <f>IF(CS177="","",SUM(DK177:DL177))</f>
        <v/>
      </c>
      <c r="DO177" s="14" t="str">
        <f>IF(CS177="","",BJ177*AI177-DN177)</f>
        <v/>
      </c>
      <c r="DP177" s="14" t="str">
        <f>IF(CS177="","",AZ177+CQ177)</f>
        <v/>
      </c>
      <c r="DQ177" s="15" t="str">
        <f>IF(CS177="","",IF((DP177-DO177)&gt;0,DP177-DO177,""))</f>
        <v/>
      </c>
      <c r="DR177" s="15" t="str">
        <f>IF(CS177="","",IF((DO177-DP177)&gt;0,(DO177-DP177),""))</f>
        <v/>
      </c>
      <c r="DS177" s="2" t="str">
        <f>IF(CS177="","",IF(DQ177="",H177,"VALENCY"))</f>
        <v/>
      </c>
      <c r="DT177" s="2" t="str">
        <f>IF(DN177="","",IF(DN177&gt;0,"CN", "DN"))</f>
        <v/>
      </c>
      <c r="DU177" s="2"/>
      <c r="DV177" s="2"/>
      <c r="DW177" s="2"/>
      <c r="DX177" s="2"/>
      <c r="DY177" s="2" t="s">
        <v>230</v>
      </c>
      <c r="DZ177" s="2"/>
      <c r="EA177" s="2" t="str">
        <f>IF(CS177="","",
   MIN(0,(IF(DA177&gt;2,2,1)*DA177*CT177*CY177))
)</f>
        <v/>
      </c>
      <c r="EB177" s="2"/>
      <c r="EC177" s="2"/>
      <c r="ED177" s="2"/>
      <c r="EE177" s="3"/>
      <c r="EF177" s="7"/>
      <c r="EG177" s="3"/>
      <c r="EH177" s="3" t="s">
        <v>266</v>
      </c>
      <c r="EI177" s="3" t="s">
        <v>258</v>
      </c>
      <c r="EJ177" s="189"/>
      <c r="EK177" s="4"/>
      <c r="EL177" s="9"/>
      <c r="EM177" s="9"/>
      <c r="EN177" s="189">
        <f>EK177*EJ177</f>
        <v>0</v>
      </c>
      <c r="EO177" s="9"/>
      <c r="EP177" s="8"/>
      <c r="EQ177" s="4"/>
      <c r="ER177" s="4"/>
      <c r="ES177" s="7"/>
      <c r="ET177" s="7"/>
      <c r="EU177" s="6"/>
      <c r="EV177" s="2" t="str">
        <f>IF(CR177&lt;&gt;0,"Final Pmt Recd",IF(CM177&lt;&gt;0,"Export Loan",IF(BZ177&lt;&gt;0,"Nego Pending",IF(Z177&lt;&gt;0,"Yet to load","Yet to load"))))</f>
        <v>Yet to load</v>
      </c>
      <c r="EW177" s="189"/>
      <c r="EX177" s="189">
        <f>EW177/BJ177</f>
        <v>0</v>
      </c>
      <c r="EY177" s="189" t="s">
        <v>233</v>
      </c>
      <c r="EZ177" s="24"/>
      <c r="FA177" s="2"/>
      <c r="FB177" s="24"/>
      <c r="FC177" s="193"/>
      <c r="FD177" s="189">
        <f>FC177*BJ177</f>
        <v>0</v>
      </c>
      <c r="FE177" s="52"/>
      <c r="FF177" s="52"/>
      <c r="FG177" s="49"/>
      <c r="FH177" s="49"/>
      <c r="FI177" s="49"/>
      <c r="FJ177" s="49"/>
      <c r="FK177" s="49"/>
      <c r="FL177" s="49">
        <f>IFERROR(EZ177-BY177,"")</f>
        <v>-46164</v>
      </c>
      <c r="FM177" s="180">
        <f>IFERROR(BM177-FB177,"")</f>
        <v>46172</v>
      </c>
      <c r="FN177" s="49"/>
      <c r="FO177" s="49"/>
      <c r="FP177" s="49"/>
      <c r="FQ177" s="49"/>
      <c r="FR177" s="49"/>
      <c r="FS177" s="34">
        <f t="shared" si="406"/>
        <v>20009857</v>
      </c>
      <c r="FT177" s="34" t="str">
        <f t="shared" si="407"/>
        <v>32015968-6</v>
      </c>
      <c r="FU177" s="3"/>
      <c r="FV177" s="3"/>
      <c r="FW177" s="3"/>
      <c r="FX177" s="3"/>
      <c r="FY177" s="3"/>
      <c r="FZ177" s="3"/>
      <c r="GA177" s="3"/>
      <c r="GB177" s="4"/>
      <c r="GC177" s="3"/>
      <c r="GD177" s="182"/>
      <c r="GE177" s="2"/>
      <c r="GF177" s="2"/>
      <c r="GG177" s="2"/>
      <c r="GH177" s="2"/>
      <c r="GI177" s="2"/>
      <c r="GJ177" s="2"/>
      <c r="GK177" s="2"/>
      <c r="GL177" s="2"/>
      <c r="GM177" s="2"/>
      <c r="GN177" s="2"/>
    </row>
    <row r="178" spans="1:197" s="1" customFormat="1" ht="33.950000000000003">
      <c r="A178" s="2" t="str">
        <f t="shared" si="391"/>
        <v>Sailed, OBL &amp; Certs Pending</v>
      </c>
      <c r="B178" s="282">
        <v>47</v>
      </c>
      <c r="C178" s="282">
        <v>200</v>
      </c>
      <c r="D178" s="182" t="s">
        <v>208</v>
      </c>
      <c r="E178" s="2" t="str">
        <f t="shared" si="392"/>
        <v>CLOSE POSITION</v>
      </c>
      <c r="F178" s="271" t="str">
        <f t="shared" si="384"/>
        <v>32015968-7</v>
      </c>
      <c r="G178" s="271"/>
      <c r="H178" s="2" t="str">
        <f t="shared" si="381"/>
        <v>Valency Agro (Processing)</v>
      </c>
      <c r="I178" s="3" t="s">
        <v>259</v>
      </c>
      <c r="J178" s="2" t="s">
        <v>210</v>
      </c>
      <c r="K178" s="2" t="str">
        <f t="shared" si="393"/>
        <v>MANGALORE, INDIA</v>
      </c>
      <c r="L178" s="516">
        <v>268607193</v>
      </c>
      <c r="M178" s="516">
        <v>243.56</v>
      </c>
      <c r="N178" s="22">
        <f t="shared" si="394"/>
        <v>46172</v>
      </c>
      <c r="O178" s="22">
        <f t="shared" si="385"/>
        <v>46202</v>
      </c>
      <c r="P178" s="22" t="str">
        <f t="shared" si="395"/>
        <v>Draft Rcvd</v>
      </c>
      <c r="Q178" s="2"/>
      <c r="R178" s="2" t="str">
        <f t="shared" si="396"/>
        <v>No CERTS Yet</v>
      </c>
      <c r="S178" s="2"/>
      <c r="T178" s="2" t="s">
        <v>610</v>
      </c>
      <c r="U178" s="3" t="s">
        <v>454</v>
      </c>
      <c r="V178" s="272"/>
      <c r="W178" s="3"/>
      <c r="X178" s="24"/>
      <c r="Y178" s="273">
        <v>20009857</v>
      </c>
      <c r="Z178" s="24">
        <v>46107</v>
      </c>
      <c r="AA178" s="182" t="s">
        <v>886</v>
      </c>
      <c r="AB178" s="182" t="s">
        <v>247</v>
      </c>
      <c r="AC178" s="182" t="s">
        <v>385</v>
      </c>
      <c r="AD178" s="181">
        <v>46142</v>
      </c>
      <c r="AE178" s="30">
        <v>0.1</v>
      </c>
      <c r="AF178" s="277">
        <v>250</v>
      </c>
      <c r="AG178" s="4">
        <f t="shared" si="397"/>
        <v>225</v>
      </c>
      <c r="AH178" s="3" t="s">
        <v>215</v>
      </c>
      <c r="AI178" s="4">
        <v>1508</v>
      </c>
      <c r="AJ178" s="4">
        <f t="shared" si="390"/>
        <v>377000</v>
      </c>
      <c r="AK178" s="3" t="s">
        <v>249</v>
      </c>
      <c r="AL178" s="3" t="s">
        <v>238</v>
      </c>
      <c r="AM178" s="30">
        <v>0</v>
      </c>
      <c r="AN178" s="183">
        <v>1</v>
      </c>
      <c r="AO178" s="183">
        <v>0</v>
      </c>
      <c r="AP178" s="28" t="s">
        <v>218</v>
      </c>
      <c r="AQ178" s="18" t="s">
        <v>250</v>
      </c>
      <c r="AR178" s="18" t="s">
        <v>251</v>
      </c>
      <c r="AS178" s="27"/>
      <c r="AT178" s="3"/>
      <c r="AU178" s="3"/>
      <c r="AV178" s="3"/>
      <c r="AW178" s="9"/>
      <c r="AX178" s="3"/>
      <c r="AY178" s="47"/>
      <c r="AZ178" s="278"/>
      <c r="BA178" s="18">
        <f t="shared" si="403"/>
        <v>46107</v>
      </c>
      <c r="BB178" s="22">
        <v>46077</v>
      </c>
      <c r="BC178" s="22"/>
      <c r="BD178" s="22"/>
      <c r="BE178" s="22"/>
      <c r="BF178" s="22">
        <v>46078</v>
      </c>
      <c r="BG178" s="18"/>
      <c r="BH178" s="18"/>
      <c r="BI178" s="182">
        <v>268607193</v>
      </c>
      <c r="BJ178" s="519">
        <v>243.56</v>
      </c>
      <c r="BK178" s="182" t="s">
        <v>222</v>
      </c>
      <c r="BL178" s="522">
        <v>10</v>
      </c>
      <c r="BM178" s="18">
        <v>46172</v>
      </c>
      <c r="BN178" s="4"/>
      <c r="BO178" s="18">
        <v>46202</v>
      </c>
      <c r="BP178" s="3" t="s">
        <v>259</v>
      </c>
      <c r="BQ178" s="21" t="s">
        <v>265</v>
      </c>
      <c r="BR178" s="2" t="s">
        <v>416</v>
      </c>
      <c r="BS178" s="2"/>
      <c r="BT178" s="2" t="s">
        <v>460</v>
      </c>
      <c r="BU178" s="2" t="s">
        <v>461</v>
      </c>
      <c r="BV178" s="20"/>
      <c r="BW178" s="19"/>
      <c r="BX178" s="189">
        <f t="shared" si="404"/>
        <v>367288.48</v>
      </c>
      <c r="BY178" s="22">
        <v>46165</v>
      </c>
      <c r="BZ178" s="22"/>
      <c r="CA178" s="2"/>
      <c r="CB178" s="22"/>
      <c r="CC178" s="22"/>
      <c r="CD178" s="22"/>
      <c r="CE178" s="22" t="str">
        <f t="shared" si="398"/>
        <v>Draft Rcvd</v>
      </c>
      <c r="CF178" s="22"/>
      <c r="CG178" s="22"/>
      <c r="CH178" s="182"/>
      <c r="CJ178" s="182"/>
      <c r="CK178" s="2" t="str">
        <f t="shared" si="408"/>
        <v>No CERTS Yet</v>
      </c>
      <c r="CL178" s="48"/>
      <c r="CM178" s="22"/>
      <c r="CN178" s="55"/>
      <c r="CO178" s="55"/>
      <c r="CP178" s="55" t="str">
        <f t="shared" si="405"/>
        <v/>
      </c>
      <c r="CQ178" s="190">
        <f t="shared" si="409"/>
        <v>367288.48</v>
      </c>
      <c r="CR178" s="54"/>
      <c r="CS178" s="2"/>
      <c r="CT178" s="2"/>
      <c r="CU178" s="14"/>
      <c r="CV178" s="191"/>
      <c r="CW178" s="14"/>
      <c r="CX178" s="14"/>
      <c r="CY178" s="15"/>
      <c r="CZ178" s="2"/>
      <c r="DA178" s="41"/>
      <c r="DB178" s="2"/>
      <c r="DC178" s="192"/>
      <c r="DD178" s="40"/>
      <c r="DE178" s="16"/>
      <c r="DF178" s="2"/>
      <c r="DG178" s="14"/>
      <c r="DH178" s="2"/>
      <c r="DI178" s="192"/>
      <c r="DJ178" s="2"/>
      <c r="DK178" s="15"/>
      <c r="DL178" s="2"/>
      <c r="DM178" s="2"/>
      <c r="DN178" s="15"/>
      <c r="DO178" s="14"/>
      <c r="DP178" s="14"/>
      <c r="DQ178" s="15"/>
      <c r="DR178" s="15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3"/>
      <c r="EF178" s="7"/>
      <c r="EG178" s="3"/>
      <c r="EH178" s="3" t="s">
        <v>266</v>
      </c>
      <c r="EI178" s="3"/>
      <c r="EJ178" s="189"/>
      <c r="EK178" s="4"/>
      <c r="EL178" s="9"/>
      <c r="EM178" s="9"/>
      <c r="EN178" s="189"/>
      <c r="EO178" s="9"/>
      <c r="EP178" s="8"/>
      <c r="EQ178" s="4"/>
      <c r="ER178" s="4"/>
      <c r="ES178" s="7"/>
      <c r="ET178" s="7"/>
      <c r="EU178" s="6"/>
      <c r="EV178" s="2"/>
      <c r="EW178" s="189"/>
      <c r="EX178" s="189"/>
      <c r="EY178" s="189"/>
      <c r="EZ178" s="24"/>
      <c r="FA178" s="2"/>
      <c r="FB178" s="24"/>
      <c r="FC178" s="193"/>
      <c r="FD178" s="189"/>
      <c r="FE178" s="52"/>
      <c r="FF178" s="52"/>
      <c r="FG178" s="49"/>
      <c r="FH178" s="49"/>
      <c r="FI178" s="49"/>
      <c r="FJ178" s="49"/>
      <c r="FK178" s="49"/>
      <c r="FL178" s="49">
        <f>IFERROR(EZ178-BY178,"")</f>
        <v>-46165</v>
      </c>
      <c r="FM178" s="180">
        <f>IFERROR(BM178-FB178,"")</f>
        <v>46172</v>
      </c>
      <c r="FN178" s="49"/>
      <c r="FO178" s="49"/>
      <c r="FP178" s="49"/>
      <c r="FQ178" s="49"/>
      <c r="FR178" s="49"/>
      <c r="FS178" s="34">
        <f t="shared" si="406"/>
        <v>20009857</v>
      </c>
      <c r="FT178" s="34" t="str">
        <f t="shared" si="407"/>
        <v>32015968-7</v>
      </c>
      <c r="FU178" s="3"/>
      <c r="FV178" s="3"/>
      <c r="FW178" s="3"/>
      <c r="FX178" s="3"/>
      <c r="FY178" s="3"/>
      <c r="FZ178" s="3"/>
      <c r="GA178" s="3"/>
      <c r="GB178" s="4"/>
      <c r="GC178" s="3"/>
      <c r="GD178" s="182"/>
      <c r="GE178" s="2"/>
      <c r="GF178" s="2"/>
      <c r="GG178" s="2"/>
      <c r="GH178" s="2"/>
      <c r="GI178" s="2"/>
      <c r="GJ178" s="2"/>
      <c r="GK178" s="2"/>
      <c r="GL178" s="2"/>
      <c r="GM178" s="2"/>
      <c r="GN178" s="2"/>
    </row>
    <row r="179" spans="1:197" s="1" customFormat="1" ht="33.950000000000003">
      <c r="A179" s="2" t="str">
        <f t="shared" si="391"/>
        <v>Sailed, OBL &amp; Certs Pending</v>
      </c>
      <c r="B179" s="282">
        <v>47</v>
      </c>
      <c r="C179" s="282">
        <v>200</v>
      </c>
      <c r="D179" s="182" t="s">
        <v>208</v>
      </c>
      <c r="E179" s="2" t="str">
        <f t="shared" si="392"/>
        <v>CLOSE POSITION</v>
      </c>
      <c r="F179" s="271" t="str">
        <f t="shared" si="384"/>
        <v>32015968-9</v>
      </c>
      <c r="G179" s="271"/>
      <c r="H179" s="2" t="str">
        <f t="shared" si="381"/>
        <v>Valency Agro (Processing)</v>
      </c>
      <c r="I179" s="3" t="s">
        <v>259</v>
      </c>
      <c r="J179" s="2" t="s">
        <v>210</v>
      </c>
      <c r="K179" s="2" t="str">
        <f t="shared" si="393"/>
        <v>MANGALORE, INDIA</v>
      </c>
      <c r="L179" s="2">
        <f>IF(BI179&lt;&gt;0,BI179,"")</f>
        <v>267778042</v>
      </c>
      <c r="M179" s="2">
        <f>IF(BJ179&lt;&gt;0,BJ179,"")</f>
        <v>241.07</v>
      </c>
      <c r="N179" s="22">
        <f t="shared" si="394"/>
        <v>46172</v>
      </c>
      <c r="O179" s="22">
        <f t="shared" si="385"/>
        <v>46202</v>
      </c>
      <c r="P179" s="22" t="str">
        <f t="shared" si="395"/>
        <v>Draft Rcvd</v>
      </c>
      <c r="Q179" s="2"/>
      <c r="R179" s="2" t="str">
        <f t="shared" si="396"/>
        <v>No CERTS Yet</v>
      </c>
      <c r="S179" s="2" t="str">
        <f t="shared" ref="S179:S197" si="410">CP179</f>
        <v/>
      </c>
      <c r="T179" s="2" t="s">
        <v>610</v>
      </c>
      <c r="U179" s="3" t="s">
        <v>490</v>
      </c>
      <c r="V179" s="272"/>
      <c r="W179" s="3"/>
      <c r="X179" s="24"/>
      <c r="Y179" s="273">
        <v>20009857</v>
      </c>
      <c r="Z179" s="24">
        <v>46107</v>
      </c>
      <c r="AA179" s="182" t="s">
        <v>887</v>
      </c>
      <c r="AB179" s="182" t="s">
        <v>247</v>
      </c>
      <c r="AC179" s="182" t="s">
        <v>385</v>
      </c>
      <c r="AD179" s="181">
        <v>46142</v>
      </c>
      <c r="AE179" s="30">
        <v>0.1</v>
      </c>
      <c r="AF179" s="277">
        <v>250</v>
      </c>
      <c r="AG179" s="4">
        <f t="shared" si="397"/>
        <v>225</v>
      </c>
      <c r="AH179" s="3" t="s">
        <v>215</v>
      </c>
      <c r="AI179" s="4">
        <v>1508</v>
      </c>
      <c r="AJ179" s="4">
        <f t="shared" si="390"/>
        <v>377000</v>
      </c>
      <c r="AK179" s="3" t="s">
        <v>249</v>
      </c>
      <c r="AL179" s="3" t="s">
        <v>238</v>
      </c>
      <c r="AM179" s="30">
        <v>0</v>
      </c>
      <c r="AN179" s="183">
        <v>1</v>
      </c>
      <c r="AO179" s="183">
        <v>0</v>
      </c>
      <c r="AP179" s="28" t="s">
        <v>218</v>
      </c>
      <c r="AQ179" s="18" t="s">
        <v>250</v>
      </c>
      <c r="AR179" s="18" t="s">
        <v>251</v>
      </c>
      <c r="AS179" s="27"/>
      <c r="AT179" s="3" t="s">
        <v>220</v>
      </c>
      <c r="AU179" s="3" t="s">
        <v>220</v>
      </c>
      <c r="AV179" s="3" t="s">
        <v>220</v>
      </c>
      <c r="AW179" s="9"/>
      <c r="AX179" s="3"/>
      <c r="AY179" s="47"/>
      <c r="AZ179" s="278">
        <f t="shared" ref="AZ179:AZ197" si="411">AF179*AI179*AM179</f>
        <v>0</v>
      </c>
      <c r="BA179" s="18">
        <f t="shared" si="403"/>
        <v>46107</v>
      </c>
      <c r="BB179" s="22">
        <v>46077</v>
      </c>
      <c r="BC179" s="22"/>
      <c r="BD179" s="22"/>
      <c r="BE179" s="22"/>
      <c r="BF179" s="22">
        <v>46078</v>
      </c>
      <c r="BG179" s="18"/>
      <c r="BH179" s="18"/>
      <c r="BI179" s="3">
        <v>267778042</v>
      </c>
      <c r="BJ179" s="25">
        <v>241.07</v>
      </c>
      <c r="BK179" s="189" t="s">
        <v>222</v>
      </c>
      <c r="BL179" s="569">
        <v>10</v>
      </c>
      <c r="BM179" s="18">
        <v>46172</v>
      </c>
      <c r="BN179" s="4"/>
      <c r="BO179" s="18">
        <v>46202</v>
      </c>
      <c r="BP179" s="3" t="s">
        <v>259</v>
      </c>
      <c r="BQ179" s="21" t="s">
        <v>265</v>
      </c>
      <c r="BR179" s="2" t="s">
        <v>416</v>
      </c>
      <c r="BS179" s="2"/>
      <c r="BT179" s="2" t="s">
        <v>460</v>
      </c>
      <c r="BU179" s="2" t="s">
        <v>461</v>
      </c>
      <c r="BV179" s="20"/>
      <c r="BW179" s="19"/>
      <c r="BX179" s="189">
        <f t="shared" si="404"/>
        <v>363533.56</v>
      </c>
      <c r="BY179" s="22">
        <v>46165</v>
      </c>
      <c r="BZ179" s="22"/>
      <c r="CA179" s="2"/>
      <c r="CB179" s="22"/>
      <c r="CC179" s="22"/>
      <c r="CD179" s="22"/>
      <c r="CE179" s="22" t="str">
        <f t="shared" si="398"/>
        <v>Draft Rcvd</v>
      </c>
      <c r="CF179" s="22"/>
      <c r="CG179" s="22"/>
      <c r="CH179" s="182"/>
      <c r="CJ179" s="182"/>
      <c r="CK179" s="2" t="str">
        <f t="shared" ref="CK179:CK186" si="412">IF(CJ179&lt;&gt;0,"CERTS in Destination - "&amp;J179,IF(CI179&lt;&gt;0,"CERT in Transit to -"&amp;J179,IF(CH179&lt;&gt;0,"CERT in Origin - "&amp;I179,IF(CH179="","No CERTS Yet"))))</f>
        <v>No CERTS Yet</v>
      </c>
      <c r="CL179" s="48"/>
      <c r="CM179" s="22"/>
      <c r="CN179" s="55"/>
      <c r="CO179" s="55"/>
      <c r="CP179" s="55" t="str">
        <f t="shared" si="405"/>
        <v/>
      </c>
      <c r="CQ179" s="190">
        <f t="shared" ref="CQ179:CQ197" si="413">(AN179*AI179*BJ179)-AZ179</f>
        <v>363533.56</v>
      </c>
      <c r="CR179" s="54"/>
      <c r="CS179" s="2"/>
      <c r="CT179" s="2"/>
      <c r="CU179" s="14" t="str">
        <f>IF(CS179="","",BJ179-CT179)</f>
        <v/>
      </c>
      <c r="CV179" s="191" t="str">
        <f>IF(CS179="","",CU179/BJ179)</f>
        <v/>
      </c>
      <c r="CW179" s="14" t="str">
        <f>IF(CS179="","",AZ179+CQ179)</f>
        <v/>
      </c>
      <c r="CX179" s="14" t="str">
        <f>IF(CS179="","",BX179*2%)</f>
        <v/>
      </c>
      <c r="CY179" s="15" t="str">
        <f>IF(CS179="","",AI179/B179)</f>
        <v/>
      </c>
      <c r="CZ179" s="2"/>
      <c r="DA179" s="41" t="str">
        <f>IF(CS179="","",B179-CZ179)</f>
        <v/>
      </c>
      <c r="DB179" s="2"/>
      <c r="DC179" s="192" t="str">
        <f>IF(CS179="","",IF(CS179="","",DB179-C179))</f>
        <v/>
      </c>
      <c r="DD179" s="40"/>
      <c r="DE179" s="16" t="str">
        <f>IF(CS179="","",10%-DD179)</f>
        <v/>
      </c>
      <c r="DF179" s="2" t="str">
        <f>IF(CS179="","",CU179*AI179)</f>
        <v/>
      </c>
      <c r="DG179" s="14" t="str">
        <f>IF(CS179="","",IF(DA179&gt;2,2*DA179*CT179*CY179,DA179*CT179*CY179))</f>
        <v/>
      </c>
      <c r="DH179" s="2" t="str">
        <f>IF(CS179="","",IF(DA179&gt;2,2*(DA179-2*CT179*CY179),0))</f>
        <v/>
      </c>
      <c r="DI179" s="192" t="str">
        <f>IF(CS179="","",IF(DC179&gt;0,DC179*0.5*CT179,0))</f>
        <v/>
      </c>
      <c r="DJ179" s="2" t="str">
        <f>IF(CS179="","",IF(DE179&lt;0,DE179*CT179*AI179*1%,0))</f>
        <v/>
      </c>
      <c r="DK179" s="15" t="str">
        <f>IF(CS179="","",SUM(DF179:DJ179))</f>
        <v/>
      </c>
      <c r="DL179" s="2"/>
      <c r="DM179" s="2"/>
      <c r="DN179" s="15" t="str">
        <f>IF(CS179="","",SUM(DK179:DL179))</f>
        <v/>
      </c>
      <c r="DO179" s="14" t="str">
        <f>IF(CS179="","",BJ179*AI179-DN179)</f>
        <v/>
      </c>
      <c r="DP179" s="14" t="str">
        <f>IF(CS179="","",AZ179+CQ179)</f>
        <v/>
      </c>
      <c r="DQ179" s="15" t="str">
        <f>IF(CS179="","",IF((DP179-DO179)&gt;0,DP179-DO179,""))</f>
        <v/>
      </c>
      <c r="DR179" s="15" t="str">
        <f>IF(CS179="","",IF((DO179-DP179)&gt;0,(DO179-DP179),""))</f>
        <v/>
      </c>
      <c r="DS179" s="2" t="str">
        <f>IF(CS179="","",IF(DQ179="",H179,"VALENCY"))</f>
        <v/>
      </c>
      <c r="DT179" s="2" t="str">
        <f>IF(DN179="","",IF(DN179&gt;0,"CN", "DN"))</f>
        <v/>
      </c>
      <c r="DU179" s="2"/>
      <c r="DV179" s="2"/>
      <c r="DW179" s="2"/>
      <c r="DX179" s="2"/>
      <c r="DY179" s="2" t="s">
        <v>230</v>
      </c>
      <c r="DZ179" s="2"/>
      <c r="EA179" s="2" t="str">
        <f>IF(CS179="","",
   MIN(0,(IF(DA179&gt;2,2,1)*DA179*CT179*CY179))
)</f>
        <v/>
      </c>
      <c r="EB179" s="2"/>
      <c r="EC179" s="2"/>
      <c r="ED179" s="2"/>
      <c r="EE179" s="3"/>
      <c r="EF179" s="7"/>
      <c r="EG179" s="3"/>
      <c r="EH179" s="3" t="s">
        <v>266</v>
      </c>
      <c r="EI179" s="3" t="s">
        <v>258</v>
      </c>
      <c r="EJ179" s="189"/>
      <c r="EK179" s="4"/>
      <c r="EL179" s="9"/>
      <c r="EM179" s="9"/>
      <c r="EN179" s="189">
        <f>EK179*EJ179</f>
        <v>0</v>
      </c>
      <c r="EO179" s="9"/>
      <c r="EP179" s="8"/>
      <c r="EQ179" s="4"/>
      <c r="ER179" s="4"/>
      <c r="ES179" s="7"/>
      <c r="ET179" s="7"/>
      <c r="EU179" s="6"/>
      <c r="EV179" s="2" t="str">
        <f t="shared" ref="EV179:EV186" si="414">IF(CR179&lt;&gt;0,"Final Pmt Recd",IF(CM179&lt;&gt;0,"Export Loan",IF(BZ179&lt;&gt;0,"Nego Pending",IF(Z179&lt;&gt;0,"Yet to load","Yet to load"))))</f>
        <v>Yet to load</v>
      </c>
      <c r="EW179" s="189"/>
      <c r="EX179" s="189">
        <f>EW179/BJ179</f>
        <v>0</v>
      </c>
      <c r="EY179" s="189" t="s">
        <v>233</v>
      </c>
      <c r="EZ179" s="24"/>
      <c r="FA179" s="2"/>
      <c r="FB179" s="24"/>
      <c r="FC179" s="193"/>
      <c r="FD179" s="189">
        <f>FC179*BJ179</f>
        <v>0</v>
      </c>
      <c r="FE179" s="52"/>
      <c r="FF179" s="52"/>
      <c r="FG179" s="49"/>
      <c r="FH179" s="49"/>
      <c r="FI179" s="49"/>
      <c r="FJ179" s="49"/>
      <c r="FK179" s="49"/>
      <c r="FL179" s="49"/>
      <c r="FM179" s="180"/>
      <c r="FN179" s="49"/>
      <c r="FO179" s="49"/>
      <c r="FP179" s="49"/>
      <c r="FQ179" s="49"/>
      <c r="FR179" s="49"/>
      <c r="FS179" s="34"/>
      <c r="FT179" s="34"/>
      <c r="FU179" s="3"/>
      <c r="FV179" s="3"/>
      <c r="FW179" s="3"/>
      <c r="FX179" s="3"/>
      <c r="FY179" s="3"/>
      <c r="FZ179" s="3"/>
      <c r="GA179" s="3"/>
      <c r="GB179" s="4"/>
      <c r="GC179" s="3"/>
      <c r="GD179" s="182"/>
      <c r="GE179" s="2"/>
      <c r="GF179" s="2"/>
      <c r="GG179" s="2"/>
      <c r="GH179" s="2"/>
      <c r="GI179" s="2"/>
      <c r="GJ179" s="2"/>
      <c r="GK179" s="2"/>
      <c r="GL179" s="2"/>
      <c r="GM179" s="2"/>
      <c r="GN179" s="2"/>
    </row>
    <row r="180" spans="1:197" s="1" customFormat="1" ht="33.950000000000003">
      <c r="A180" s="2" t="str">
        <f t="shared" si="391"/>
        <v>Sailed, OBL &amp; Certs Pending</v>
      </c>
      <c r="B180" s="281">
        <v>49</v>
      </c>
      <c r="C180" s="281">
        <v>200</v>
      </c>
      <c r="D180" s="182" t="s">
        <v>208</v>
      </c>
      <c r="E180" s="2" t="str">
        <f t="shared" si="392"/>
        <v>CLOSE POSITION</v>
      </c>
      <c r="F180" s="271">
        <f t="shared" si="384"/>
        <v>32014493</v>
      </c>
      <c r="G180" s="271"/>
      <c r="H180" s="2" t="str">
        <f t="shared" si="381"/>
        <v>ST. PAULS CASHEW FACTORY</v>
      </c>
      <c r="I180" s="3" t="s">
        <v>259</v>
      </c>
      <c r="J180" s="2" t="s">
        <v>210</v>
      </c>
      <c r="K180" s="2" t="str">
        <f t="shared" si="393"/>
        <v>TUTICORIN, INDIA</v>
      </c>
      <c r="L180" s="516">
        <v>268716048</v>
      </c>
      <c r="M180" s="568">
        <v>97</v>
      </c>
      <c r="N180" s="22">
        <f t="shared" si="394"/>
        <v>46172</v>
      </c>
      <c r="O180" s="22">
        <v>46189</v>
      </c>
      <c r="P180" s="22" t="str">
        <f t="shared" si="395"/>
        <v>No OBL Yet</v>
      </c>
      <c r="Q180" s="2"/>
      <c r="R180" s="2" t="str">
        <f t="shared" si="396"/>
        <v>No CERTS Yet</v>
      </c>
      <c r="S180" s="2" t="str">
        <f t="shared" si="410"/>
        <v/>
      </c>
      <c r="T180" s="2" t="s">
        <v>610</v>
      </c>
      <c r="U180" s="3" t="s">
        <v>459</v>
      </c>
      <c r="V180" s="272"/>
      <c r="W180" s="272"/>
      <c r="X180" s="24">
        <v>46076</v>
      </c>
      <c r="Y180" s="273">
        <v>20009549</v>
      </c>
      <c r="Z180" s="24">
        <v>46074</v>
      </c>
      <c r="AA180" s="182">
        <v>32014493</v>
      </c>
      <c r="AB180" s="182" t="s">
        <v>237</v>
      </c>
      <c r="AC180" s="182" t="s">
        <v>456</v>
      </c>
      <c r="AD180" s="181">
        <v>46142</v>
      </c>
      <c r="AE180" s="30">
        <v>0.1</v>
      </c>
      <c r="AF180" s="277">
        <v>100</v>
      </c>
      <c r="AG180" s="35">
        <f t="shared" si="397"/>
        <v>90</v>
      </c>
      <c r="AH180" s="3" t="s">
        <v>215</v>
      </c>
      <c r="AI180" s="4">
        <v>1545</v>
      </c>
      <c r="AJ180" s="4">
        <f t="shared" si="390"/>
        <v>154500</v>
      </c>
      <c r="AK180" s="3" t="s">
        <v>249</v>
      </c>
      <c r="AL180" s="3" t="s">
        <v>238</v>
      </c>
      <c r="AM180" s="30">
        <v>0</v>
      </c>
      <c r="AN180" s="183">
        <v>1</v>
      </c>
      <c r="AO180" s="183">
        <v>0</v>
      </c>
      <c r="AP180" s="28" t="s">
        <v>218</v>
      </c>
      <c r="AQ180" s="18" t="s">
        <v>239</v>
      </c>
      <c r="AR180" s="18" t="s">
        <v>251</v>
      </c>
      <c r="AS180" s="27"/>
      <c r="AT180" s="3" t="s">
        <v>220</v>
      </c>
      <c r="AU180" s="3" t="s">
        <v>220</v>
      </c>
      <c r="AV180" s="3" t="s">
        <v>220</v>
      </c>
      <c r="AW180" s="9"/>
      <c r="AX180" s="3"/>
      <c r="AY180" s="47"/>
      <c r="AZ180" s="275">
        <f t="shared" si="411"/>
        <v>0</v>
      </c>
      <c r="BA180" s="18"/>
      <c r="BB180" s="22">
        <v>46083</v>
      </c>
      <c r="BC180" s="22"/>
      <c r="BD180" s="22"/>
      <c r="BE180" s="22"/>
      <c r="BF180" s="22">
        <v>46083</v>
      </c>
      <c r="BG180" s="18"/>
      <c r="BH180" s="18"/>
      <c r="BI180" s="182">
        <v>268716048</v>
      </c>
      <c r="BJ180" s="519">
        <v>97</v>
      </c>
      <c r="BK180" s="46" t="s">
        <v>222</v>
      </c>
      <c r="BL180" s="497">
        <v>4</v>
      </c>
      <c r="BM180" s="18">
        <v>46172</v>
      </c>
      <c r="BN180" s="4"/>
      <c r="BO180" s="517">
        <v>46189</v>
      </c>
      <c r="BP180" s="3" t="s">
        <v>259</v>
      </c>
      <c r="BQ180" s="21" t="s">
        <v>346</v>
      </c>
      <c r="BR180" s="182" t="s">
        <v>416</v>
      </c>
      <c r="BS180" s="2"/>
      <c r="BT180" s="182" t="s">
        <v>460</v>
      </c>
      <c r="BU180" s="182" t="s">
        <v>461</v>
      </c>
      <c r="BV180" s="20"/>
      <c r="BW180" s="19"/>
      <c r="BX180" s="46">
        <f t="shared" si="404"/>
        <v>149865</v>
      </c>
      <c r="BY180" s="22"/>
      <c r="BZ180" s="22"/>
      <c r="CA180" s="2"/>
      <c r="CB180" s="22"/>
      <c r="CC180" s="22"/>
      <c r="CD180" s="22"/>
      <c r="CE180" s="22" t="str">
        <f t="shared" si="398"/>
        <v>No OBL Yet</v>
      </c>
      <c r="CF180" s="22"/>
      <c r="CG180" s="22"/>
      <c r="CH180" s="182"/>
      <c r="CJ180" s="182"/>
      <c r="CK180" s="2" t="str">
        <f t="shared" si="412"/>
        <v>No CERTS Yet</v>
      </c>
      <c r="CL180" s="48"/>
      <c r="CM180" s="22"/>
      <c r="CN180" s="55"/>
      <c r="CO180" s="55"/>
      <c r="CP180" s="55" t="str">
        <f t="shared" si="405"/>
        <v/>
      </c>
      <c r="CQ180" s="50">
        <f t="shared" si="413"/>
        <v>149865</v>
      </c>
      <c r="CR180" s="54"/>
      <c r="CS180" s="2"/>
      <c r="CT180" s="2"/>
      <c r="CU180" s="14" t="str">
        <f>IF(CS180="","",BJ180-CT180)</f>
        <v/>
      </c>
      <c r="CV180" s="42" t="str">
        <f>IF(CS180="","",CU180/BJ180)</f>
        <v/>
      </c>
      <c r="CW180" s="14" t="str">
        <f>IF(CS180="","",AZ180+CQ180)</f>
        <v/>
      </c>
      <c r="CX180" s="14" t="str">
        <f>IF(CS180="","",BX180*2%)</f>
        <v/>
      </c>
      <c r="CY180" s="15" t="str">
        <f>IF(CS180="","",AI180/B180)</f>
        <v/>
      </c>
      <c r="CZ180" s="2"/>
      <c r="DA180" s="41" t="str">
        <f>IF(CS180="","",B180-CZ180)</f>
        <v/>
      </c>
      <c r="DB180" s="2"/>
      <c r="DC180" s="39" t="str">
        <f>IF(CS180="","",IF(CS180="","",DB180-C180))</f>
        <v/>
      </c>
      <c r="DD180" s="40"/>
      <c r="DE180" s="16" t="str">
        <f>IF(CS180="","",10%-DD180)</f>
        <v/>
      </c>
      <c r="DF180" s="2" t="str">
        <f>IF(CS180="","",CU180*AI180)</f>
        <v/>
      </c>
      <c r="DG180" s="14" t="str">
        <f>IF(CS180="","",IF(DA180&gt;2,2*DA180*CT180*CY180,DA180*CT180*CY180))</f>
        <v/>
      </c>
      <c r="DH180" s="2" t="str">
        <f>IF(CS180="","",IF(DA180&gt;2,2*(DA180-2*CT180*CY180),0))</f>
        <v/>
      </c>
      <c r="DI180" s="39" t="str">
        <f>IF(CS180="","",IF(DC180&gt;0,DC180*0.5*CT180,0))</f>
        <v/>
      </c>
      <c r="DJ180" s="2" t="str">
        <f>IF(CS180="","",IF(DE180&lt;0,DE180*CT180*AI180*1%,0))</f>
        <v/>
      </c>
      <c r="DK180" s="15" t="str">
        <f>IF(CS180="","",SUM(DF180:DJ180))</f>
        <v/>
      </c>
      <c r="DL180" s="2"/>
      <c r="DM180" s="2"/>
      <c r="DN180" s="15" t="str">
        <f>IF(CS180="","",SUM(DK180:DL180))</f>
        <v/>
      </c>
      <c r="DO180" s="14" t="str">
        <f>IF(CS180="","",BJ180*AI180-DN180)</f>
        <v/>
      </c>
      <c r="DP180" s="14" t="str">
        <f>IF(CS180="","",AZ180+CQ180)</f>
        <v/>
      </c>
      <c r="DQ180" s="15" t="str">
        <f>IF(CS180="","",IF((DP180-DO180)&gt;0,DP180-DO180,""))</f>
        <v/>
      </c>
      <c r="DR180" s="15" t="str">
        <f>IF(CS180="","",IF((DO180-DP180)&gt;0,(DO180-DP180),""))</f>
        <v/>
      </c>
      <c r="DS180" s="2" t="str">
        <f>IF(CS180="","",IF(DQ180="",H180,"VALENCY"))</f>
        <v/>
      </c>
      <c r="DT180" s="2" t="str">
        <f>IF(DN180="","",IF(DN180&gt;0,"CN", "DN"))</f>
        <v/>
      </c>
      <c r="DU180" s="2"/>
      <c r="DV180" s="2"/>
      <c r="DW180" s="2"/>
      <c r="DX180" s="2"/>
      <c r="DY180" s="2" t="s">
        <v>230</v>
      </c>
      <c r="DZ180" s="2"/>
      <c r="EA180" s="2" t="str">
        <f>IF(CS180="","",
   MIN(0,(IF(DA180&gt;2,2,1)*DA180*CT180*CY180))
)</f>
        <v/>
      </c>
      <c r="EB180" s="2"/>
      <c r="EC180" s="2"/>
      <c r="ED180" s="2"/>
      <c r="EE180" s="3"/>
      <c r="EF180" s="7"/>
      <c r="EG180" s="3"/>
      <c r="EH180" s="3" t="s">
        <v>266</v>
      </c>
      <c r="EI180" s="3"/>
      <c r="EJ180" s="189"/>
      <c r="EK180" s="4"/>
      <c r="EL180" s="4"/>
      <c r="EM180" s="9"/>
      <c r="EN180" s="46">
        <f>EK180*EJ180</f>
        <v>0</v>
      </c>
      <c r="EO180" s="9"/>
      <c r="EP180" s="8"/>
      <c r="EQ180" s="4"/>
      <c r="ER180" s="4"/>
      <c r="ES180" s="7"/>
      <c r="ET180" s="7"/>
      <c r="EU180" s="6"/>
      <c r="EV180" s="2" t="str">
        <f t="shared" si="414"/>
        <v>Yet to load</v>
      </c>
      <c r="EW180" s="46"/>
      <c r="EX180" s="46">
        <f>EW180/BJ180</f>
        <v>0</v>
      </c>
      <c r="EY180" s="46" t="s">
        <v>233</v>
      </c>
      <c r="EZ180" s="24"/>
      <c r="FA180" s="2"/>
      <c r="FB180" s="24"/>
      <c r="FC180" s="53"/>
      <c r="FD180" s="46">
        <f>FC180*BJ180</f>
        <v>0</v>
      </c>
      <c r="FE180" s="52"/>
      <c r="FF180" s="52"/>
      <c r="FG180" s="49"/>
      <c r="FH180" s="49"/>
      <c r="FI180" s="49"/>
      <c r="FJ180" s="49"/>
      <c r="FK180" s="49"/>
      <c r="FL180" s="49"/>
      <c r="FM180" s="180"/>
      <c r="FN180" s="49"/>
      <c r="FO180" s="49"/>
      <c r="FP180" s="49"/>
      <c r="FQ180" s="49"/>
      <c r="FR180" s="49"/>
      <c r="FS180" s="34"/>
      <c r="FT180" s="34"/>
      <c r="FU180" s="3"/>
      <c r="FV180" s="3"/>
      <c r="FW180" s="3"/>
      <c r="FX180" s="3"/>
      <c r="FY180" s="3"/>
      <c r="FZ180" s="3"/>
      <c r="GA180" s="3"/>
      <c r="GB180" s="4"/>
      <c r="GC180" s="3"/>
      <c r="GD180" s="182"/>
      <c r="GE180" s="2"/>
      <c r="GF180" s="2"/>
      <c r="GG180" s="2"/>
      <c r="GH180" s="2"/>
      <c r="GI180" s="2"/>
      <c r="GJ180" s="2"/>
      <c r="GK180" s="2"/>
      <c r="GL180" s="2"/>
      <c r="GM180" s="2"/>
      <c r="GN180" s="2"/>
    </row>
    <row r="181" spans="1:197" s="1" customFormat="1" ht="33.950000000000003">
      <c r="A181" s="2" t="str">
        <f t="shared" si="391"/>
        <v>Sailed, OBL &amp; Certs Pending</v>
      </c>
      <c r="B181" s="281">
        <v>49</v>
      </c>
      <c r="C181" s="281">
        <v>200</v>
      </c>
      <c r="D181" s="182" t="s">
        <v>208</v>
      </c>
      <c r="E181" s="2" t="str">
        <f t="shared" si="392"/>
        <v>CLOSE POSITION</v>
      </c>
      <c r="F181" s="271">
        <f t="shared" si="384"/>
        <v>32014459</v>
      </c>
      <c r="G181" s="271"/>
      <c r="H181" s="2" t="str">
        <f t="shared" ref="H181:H197" si="415">AB181</f>
        <v xml:space="preserve">Maa Tarini Traders and Processing </v>
      </c>
      <c r="I181" s="3" t="s">
        <v>259</v>
      </c>
      <c r="J181" s="2" t="s">
        <v>210</v>
      </c>
      <c r="K181" s="2" t="str">
        <f t="shared" si="393"/>
        <v>Vishakhapatnam, INDIA</v>
      </c>
      <c r="L181" s="2">
        <f t="shared" ref="L181:M186" si="416">IF(BI181&lt;&gt;0,BI181,"")</f>
        <v>267514904</v>
      </c>
      <c r="M181" s="2">
        <f t="shared" si="416"/>
        <v>97.3</v>
      </c>
      <c r="N181" s="22">
        <f t="shared" si="394"/>
        <v>46183</v>
      </c>
      <c r="O181" s="22">
        <f>IF(BO181&lt;&gt;0,BO181,"")</f>
        <v>46183</v>
      </c>
      <c r="P181" s="22" t="str">
        <f t="shared" si="395"/>
        <v>No OBL Yet</v>
      </c>
      <c r="Q181" s="2"/>
      <c r="R181" s="2" t="str">
        <f t="shared" si="396"/>
        <v>No CERTS Yet</v>
      </c>
      <c r="S181" s="2" t="str">
        <f t="shared" si="410"/>
        <v/>
      </c>
      <c r="T181" s="2" t="s">
        <v>260</v>
      </c>
      <c r="U181" s="3" t="s">
        <v>888</v>
      </c>
      <c r="V181" s="272"/>
      <c r="W181" s="272"/>
      <c r="X181" s="24">
        <v>46069</v>
      </c>
      <c r="Y181" s="273">
        <v>20009511</v>
      </c>
      <c r="Z181" s="24">
        <v>46069</v>
      </c>
      <c r="AA181" s="182">
        <v>32014459</v>
      </c>
      <c r="AB181" s="182" t="s">
        <v>889</v>
      </c>
      <c r="AC181" s="182" t="s">
        <v>263</v>
      </c>
      <c r="AD181" s="181">
        <v>46142</v>
      </c>
      <c r="AE181" s="30">
        <v>0.05</v>
      </c>
      <c r="AF181" s="277">
        <v>100</v>
      </c>
      <c r="AG181" s="35">
        <f t="shared" si="397"/>
        <v>95</v>
      </c>
      <c r="AH181" s="3" t="s">
        <v>215</v>
      </c>
      <c r="AI181" s="4">
        <v>1560</v>
      </c>
      <c r="AJ181" s="4">
        <f t="shared" si="390"/>
        <v>156000</v>
      </c>
      <c r="AK181" s="3" t="s">
        <v>249</v>
      </c>
      <c r="AL181" s="3" t="s">
        <v>238</v>
      </c>
      <c r="AM181" s="183">
        <v>0.1</v>
      </c>
      <c r="AN181" s="183">
        <v>0.9</v>
      </c>
      <c r="AO181" s="183">
        <v>0</v>
      </c>
      <c r="AP181" s="28" t="s">
        <v>218</v>
      </c>
      <c r="AQ181" s="18" t="s">
        <v>331</v>
      </c>
      <c r="AR181" s="18" t="s">
        <v>251</v>
      </c>
      <c r="AS181" s="27"/>
      <c r="AT181" s="3" t="s">
        <v>220</v>
      </c>
      <c r="AU181" s="3" t="s">
        <v>220</v>
      </c>
      <c r="AV181" s="3" t="s">
        <v>220</v>
      </c>
      <c r="AW181" s="9"/>
      <c r="AX181" s="3"/>
      <c r="AY181" s="47">
        <v>46074</v>
      </c>
      <c r="AZ181" s="275">
        <f t="shared" si="411"/>
        <v>15600</v>
      </c>
      <c r="BA181" s="18">
        <v>46078</v>
      </c>
      <c r="BB181" s="22">
        <v>46083</v>
      </c>
      <c r="BC181" s="22"/>
      <c r="BD181" s="22"/>
      <c r="BE181" s="22"/>
      <c r="BF181" s="22">
        <v>46083</v>
      </c>
      <c r="BG181" s="18"/>
      <c r="BH181" s="18"/>
      <c r="BI181" s="3">
        <v>267514904</v>
      </c>
      <c r="BJ181" s="25">
        <v>97.3</v>
      </c>
      <c r="BK181" s="46" t="s">
        <v>222</v>
      </c>
      <c r="BL181" s="497">
        <v>4</v>
      </c>
      <c r="BM181" s="18">
        <v>46183</v>
      </c>
      <c r="BN181" s="4"/>
      <c r="BO181" s="18">
        <v>46183</v>
      </c>
      <c r="BP181" s="3" t="s">
        <v>259</v>
      </c>
      <c r="BQ181" s="21" t="s">
        <v>525</v>
      </c>
      <c r="BR181" s="2" t="s">
        <v>416</v>
      </c>
      <c r="BS181" s="2" t="s">
        <v>460</v>
      </c>
      <c r="BT181" s="2"/>
      <c r="BU181" s="2"/>
      <c r="BV181" s="20"/>
      <c r="BW181" s="19"/>
      <c r="BX181" s="46">
        <f t="shared" si="404"/>
        <v>151788</v>
      </c>
      <c r="BY181" s="22"/>
      <c r="BZ181" s="22"/>
      <c r="CA181" s="2"/>
      <c r="CB181" s="22"/>
      <c r="CC181" s="22"/>
      <c r="CD181" s="22"/>
      <c r="CE181" s="22" t="str">
        <f t="shared" si="398"/>
        <v>No OBL Yet</v>
      </c>
      <c r="CF181" s="22"/>
      <c r="CG181" s="22"/>
      <c r="CH181" s="22"/>
      <c r="CI181" s="2"/>
      <c r="CJ181" s="2"/>
      <c r="CK181" s="2" t="str">
        <f t="shared" si="412"/>
        <v>No CERTS Yet</v>
      </c>
      <c r="CL181" s="48"/>
      <c r="CM181" s="22"/>
      <c r="CN181" s="55"/>
      <c r="CO181" s="55"/>
      <c r="CP181" s="55" t="str">
        <f>IF(CO181&lt;&gt;0,"Docs in Buyer's Nego Bank",IF(CN181&lt;&gt;0,"Docs in Transit to Buyer's Nego Bank",IF(CM181&lt;&gt;0,"Docs in Our Nego Bank",IF(CL181="TT PAYMENT","Not Applicable",""))))</f>
        <v/>
      </c>
      <c r="CQ181" s="50">
        <f t="shared" si="413"/>
        <v>121009.19999999998</v>
      </c>
      <c r="CR181" s="54"/>
      <c r="CS181" s="2"/>
      <c r="CT181" s="2"/>
      <c r="CU181" s="14" t="str">
        <f>IF(CS181="","",BJ181-CT181)</f>
        <v/>
      </c>
      <c r="CV181" s="42" t="str">
        <f>IF(CS181="","",CU181/BJ181)</f>
        <v/>
      </c>
      <c r="CW181" s="14" t="str">
        <f>IF(CS181="","",AZ181+CQ181)</f>
        <v/>
      </c>
      <c r="CX181" s="14" t="str">
        <f>IF(CS181="","",BX181*2%)</f>
        <v/>
      </c>
      <c r="CY181" s="15" t="str">
        <f>IF(CS181="","",AI181/B181)</f>
        <v/>
      </c>
      <c r="CZ181" s="2"/>
      <c r="DA181" s="41" t="str">
        <f>IF(CS181="","",B181-CZ181)</f>
        <v/>
      </c>
      <c r="DB181" s="2"/>
      <c r="DC181" s="39" t="str">
        <f>IF(CS181="","",IF(CS181="","",DB181-C181))</f>
        <v/>
      </c>
      <c r="DD181" s="40"/>
      <c r="DE181" s="16" t="str">
        <f>IF(CS181="","",10%-DD181)</f>
        <v/>
      </c>
      <c r="DF181" s="2" t="str">
        <f>IF(CS181="","",CU181*AI181)</f>
        <v/>
      </c>
      <c r="DG181" s="14" t="str">
        <f>IF(CS181="","",IF(DA181&gt;2,2*DA181*CT181*CY181,DA181*CT181*CY181))</f>
        <v/>
      </c>
      <c r="DH181" s="2" t="str">
        <f>IF(CS181="","",IF(DA181&gt;2,2*(DA181-2*CT181*CY181),0))</f>
        <v/>
      </c>
      <c r="DI181" s="39" t="str">
        <f>IF(CS181="","",IF(DC181&gt;0,DC181*0.5*CT181,0))</f>
        <v/>
      </c>
      <c r="DJ181" s="2" t="str">
        <f>IF(CS181="","",IF(DE181&lt;0,DE181*CT181*AI181*1%,0))</f>
        <v/>
      </c>
      <c r="DK181" s="15" t="str">
        <f>IF(CS181="","",SUM(DF181:DJ181))</f>
        <v/>
      </c>
      <c r="DL181" s="2"/>
      <c r="DM181" s="2"/>
      <c r="DN181" s="15" t="str">
        <f>IF(CS181="","",SUM(DK181:DL181))</f>
        <v/>
      </c>
      <c r="DO181" s="14" t="str">
        <f>IF(CS181="","",BJ181*AI181-DN181)</f>
        <v/>
      </c>
      <c r="DP181" s="14" t="str">
        <f>IF(CS181="","",AZ181+CQ181)</f>
        <v/>
      </c>
      <c r="DQ181" s="15" t="str">
        <f>IF(CS181="","",IF((DP181-DO181)&gt;0,DP181-DO181,""))</f>
        <v/>
      </c>
      <c r="DR181" s="15" t="str">
        <f>IF(CS181="","",IF((DO181-DP181)&gt;0,(DO181-DP181),""))</f>
        <v/>
      </c>
      <c r="DS181" s="2" t="str">
        <f>IF(CS181="","",IF(DQ181="",H181,"VALENCY"))</f>
        <v/>
      </c>
      <c r="DT181" s="2" t="str">
        <f>IF(DN181="","",IF(DN181&gt;0,"CN", "DN"))</f>
        <v/>
      </c>
      <c r="DU181" s="2"/>
      <c r="DV181" s="2"/>
      <c r="DW181" s="2"/>
      <c r="DX181" s="2"/>
      <c r="DY181" s="2" t="s">
        <v>230</v>
      </c>
      <c r="DZ181" s="2"/>
      <c r="EA181" s="2" t="str">
        <f>IF(CS181="","",
   MIN(0,(IF(DA181&gt;2,2,1)*DA181*CT181*CY181))
)</f>
        <v/>
      </c>
      <c r="EB181" s="2"/>
      <c r="EC181" s="2"/>
      <c r="ED181" s="2"/>
      <c r="EE181" s="3"/>
      <c r="EF181" s="7"/>
      <c r="EG181" s="3"/>
      <c r="EH181" s="3" t="s">
        <v>266</v>
      </c>
      <c r="EI181" s="3" t="s">
        <v>258</v>
      </c>
      <c r="EJ181" s="189"/>
      <c r="EK181" s="4"/>
      <c r="EL181" s="4"/>
      <c r="EM181" s="9"/>
      <c r="EN181" s="46">
        <f>EK181*EJ181</f>
        <v>0</v>
      </c>
      <c r="EO181" s="9"/>
      <c r="EP181" s="8"/>
      <c r="EQ181" s="4"/>
      <c r="ER181" s="4"/>
      <c r="ES181" s="7"/>
      <c r="ET181" s="7"/>
      <c r="EU181" s="6"/>
      <c r="EV181" s="2" t="str">
        <f t="shared" si="414"/>
        <v>Yet to load</v>
      </c>
      <c r="EW181" s="46"/>
      <c r="EX181" s="46">
        <f>EW181/BJ181</f>
        <v>0</v>
      </c>
      <c r="EY181" s="46" t="s">
        <v>233</v>
      </c>
      <c r="EZ181" s="24"/>
      <c r="FA181" s="2"/>
      <c r="FB181" s="24"/>
      <c r="FC181" s="53"/>
      <c r="FD181" s="46">
        <f>FC181*BJ181</f>
        <v>0</v>
      </c>
      <c r="FE181" s="52"/>
      <c r="FF181" s="52"/>
      <c r="FG181" s="49"/>
      <c r="FH181" s="49"/>
      <c r="FI181" s="49"/>
      <c r="FJ181" s="49"/>
      <c r="FK181" s="49"/>
      <c r="FL181" s="49">
        <f>IFERROR(EZ181-BY181,"")</f>
        <v>0</v>
      </c>
      <c r="FM181" s="180">
        <f>IFERROR(BM181-FB181,"")</f>
        <v>46183</v>
      </c>
      <c r="FN181" s="49"/>
      <c r="FO181" s="49"/>
      <c r="FP181" s="49"/>
      <c r="FQ181" s="49"/>
      <c r="FR181" s="49"/>
      <c r="FS181" s="34">
        <f>Y181</f>
        <v>20009511</v>
      </c>
      <c r="FT181" s="34">
        <f>AA181</f>
        <v>32014459</v>
      </c>
      <c r="FU181" s="3"/>
      <c r="FV181" s="3"/>
      <c r="FW181" s="3"/>
      <c r="FX181" s="3"/>
      <c r="FY181" s="3"/>
      <c r="FZ181" s="3"/>
      <c r="GA181" s="3"/>
      <c r="GB181" s="4"/>
      <c r="GC181" s="3"/>
      <c r="GD181" s="182"/>
      <c r="GE181" s="2"/>
      <c r="GF181" s="2"/>
      <c r="GG181" s="2"/>
      <c r="GH181" s="2"/>
      <c r="GI181" s="2"/>
      <c r="GJ181" s="2"/>
      <c r="GK181" s="2"/>
      <c r="GL181" s="2"/>
      <c r="GM181" s="2"/>
      <c r="GN181" s="2"/>
    </row>
    <row r="182" spans="1:197" s="1" customFormat="1" ht="33.950000000000003">
      <c r="A182" s="2" t="str">
        <f t="shared" si="391"/>
        <v>Sailed, OBL &amp; Certs Pending</v>
      </c>
      <c r="B182" s="281">
        <v>49</v>
      </c>
      <c r="C182" s="281">
        <v>200</v>
      </c>
      <c r="D182" s="182" t="s">
        <v>208</v>
      </c>
      <c r="E182" s="2" t="str">
        <f t="shared" si="392"/>
        <v>LONG POSITION</v>
      </c>
      <c r="F182" s="271">
        <f t="shared" ref="F182:F197" si="417">AA182</f>
        <v>0</v>
      </c>
      <c r="G182" s="271"/>
      <c r="H182" s="2" t="str">
        <f t="shared" si="415"/>
        <v>VALENCY AGRO UNSOLD</v>
      </c>
      <c r="I182" s="3" t="s">
        <v>259</v>
      </c>
      <c r="J182" s="2" t="s">
        <v>210</v>
      </c>
      <c r="K182" s="2" t="str">
        <f t="shared" si="393"/>
        <v>TUTICORIN, INDIA</v>
      </c>
      <c r="L182" s="2">
        <f t="shared" si="416"/>
        <v>268715092</v>
      </c>
      <c r="M182" s="2">
        <f t="shared" si="416"/>
        <v>202.87</v>
      </c>
      <c r="N182" s="22">
        <f t="shared" si="394"/>
        <v>46189</v>
      </c>
      <c r="O182" s="22">
        <f>IF(BO182&lt;&gt;0,BO182,"")</f>
        <v>46189</v>
      </c>
      <c r="P182" s="22" t="str">
        <f t="shared" si="395"/>
        <v>No OBL Yet</v>
      </c>
      <c r="Q182" s="2"/>
      <c r="R182" s="2" t="str">
        <f t="shared" si="396"/>
        <v>No CERTS Yet</v>
      </c>
      <c r="S182" s="2" t="str">
        <f t="shared" si="410"/>
        <v/>
      </c>
      <c r="T182" s="2" t="s">
        <v>260</v>
      </c>
      <c r="U182" s="438" t="s">
        <v>890</v>
      </c>
      <c r="V182" s="272"/>
      <c r="W182" s="438" t="s">
        <v>891</v>
      </c>
      <c r="X182" s="24"/>
      <c r="Y182" s="273"/>
      <c r="Z182" s="24"/>
      <c r="AA182" s="182"/>
      <c r="AB182" s="182" t="s">
        <v>665</v>
      </c>
      <c r="AC182" s="182" t="s">
        <v>263</v>
      </c>
      <c r="AD182" s="181">
        <v>46142</v>
      </c>
      <c r="AE182" s="30">
        <v>0.1</v>
      </c>
      <c r="AF182" s="277">
        <v>200</v>
      </c>
      <c r="AG182" s="35">
        <f t="shared" si="397"/>
        <v>180</v>
      </c>
      <c r="AH182" s="3" t="s">
        <v>215</v>
      </c>
      <c r="AI182" s="4">
        <v>1565</v>
      </c>
      <c r="AJ182" s="4">
        <f t="shared" si="390"/>
        <v>313000</v>
      </c>
      <c r="AK182" s="3" t="s">
        <v>249</v>
      </c>
      <c r="AL182" s="3" t="s">
        <v>238</v>
      </c>
      <c r="AM182" s="183">
        <v>0.1</v>
      </c>
      <c r="AN182" s="183">
        <v>0.9</v>
      </c>
      <c r="AO182" s="183">
        <v>0</v>
      </c>
      <c r="AP182" s="28" t="s">
        <v>218</v>
      </c>
      <c r="AQ182" s="18" t="s">
        <v>239</v>
      </c>
      <c r="AR182" s="18" t="s">
        <v>892</v>
      </c>
      <c r="AS182" s="27">
        <v>5</v>
      </c>
      <c r="AT182" s="3" t="s">
        <v>220</v>
      </c>
      <c r="AU182" s="3" t="s">
        <v>220</v>
      </c>
      <c r="AV182" s="3" t="s">
        <v>220</v>
      </c>
      <c r="AW182" s="9"/>
      <c r="AX182" s="3"/>
      <c r="AY182" s="47">
        <v>46072</v>
      </c>
      <c r="AZ182" s="275">
        <f t="shared" si="411"/>
        <v>31300</v>
      </c>
      <c r="BA182" s="18">
        <v>46078</v>
      </c>
      <c r="BB182" s="22">
        <v>46083</v>
      </c>
      <c r="BC182" s="22"/>
      <c r="BD182" s="22"/>
      <c r="BE182" s="22"/>
      <c r="BF182" s="22">
        <v>46083</v>
      </c>
      <c r="BG182" s="18"/>
      <c r="BH182" s="18"/>
      <c r="BI182" s="3">
        <v>268715092</v>
      </c>
      <c r="BJ182" s="25">
        <v>202.87</v>
      </c>
      <c r="BK182" s="46" t="s">
        <v>222</v>
      </c>
      <c r="BL182" s="497">
        <v>8</v>
      </c>
      <c r="BM182" s="18">
        <v>46189</v>
      </c>
      <c r="BN182" s="4"/>
      <c r="BO182" s="18">
        <v>46189</v>
      </c>
      <c r="BP182" s="3" t="s">
        <v>259</v>
      </c>
      <c r="BQ182" s="21" t="s">
        <v>346</v>
      </c>
      <c r="BR182" s="2" t="s">
        <v>416</v>
      </c>
      <c r="BS182" s="2"/>
      <c r="BT182" s="2" t="s">
        <v>460</v>
      </c>
      <c r="BU182" s="2"/>
      <c r="BV182" s="20"/>
      <c r="BW182" s="19"/>
      <c r="BX182" s="46">
        <f t="shared" si="404"/>
        <v>317491.55</v>
      </c>
      <c r="BY182" s="22"/>
      <c r="BZ182" s="22"/>
      <c r="CA182" s="2"/>
      <c r="CB182" s="22"/>
      <c r="CC182" s="22"/>
      <c r="CD182" s="22"/>
      <c r="CE182" s="22" t="str">
        <f t="shared" si="398"/>
        <v>No OBL Yet</v>
      </c>
      <c r="CF182" s="22"/>
      <c r="CG182" s="22"/>
      <c r="CH182" s="22"/>
      <c r="CI182" s="2"/>
      <c r="CJ182" s="2"/>
      <c r="CK182" s="2" t="str">
        <f t="shared" si="412"/>
        <v>No CERTS Yet</v>
      </c>
      <c r="CL182" s="48"/>
      <c r="CM182" s="22"/>
      <c r="CN182" s="55"/>
      <c r="CO182" s="55"/>
      <c r="CP182" s="55" t="str">
        <f>IF(CO182&lt;&gt;0,"Docs in Buyer's Nego Bank",IF(CN182&lt;&gt;0,"Docs in Transit to Buyer's Nego Bank",IF(CM182&lt;&gt;0,"Docs in Our Nego Bank",IF(CL182="TT PAYMENT","Not Applicable",""))))</f>
        <v/>
      </c>
      <c r="CQ182" s="50">
        <f t="shared" si="413"/>
        <v>254442.39500000002</v>
      </c>
      <c r="CR182" s="54"/>
      <c r="CS182" s="2"/>
      <c r="CT182" s="2"/>
      <c r="CU182" s="14" t="str">
        <f>IF(CS182="","",BJ182-CT182)</f>
        <v/>
      </c>
      <c r="CV182" s="42" t="str">
        <f>IF(CS182="","",CU182/BJ182)</f>
        <v/>
      </c>
      <c r="CW182" s="14" t="str">
        <f>IF(CS182="","",AZ182+CQ182)</f>
        <v/>
      </c>
      <c r="CX182" s="14" t="str">
        <f>IF(CS182="","",BX182*2%)</f>
        <v/>
      </c>
      <c r="CY182" s="15" t="str">
        <f>IF(CS182="","",AI182/B182)</f>
        <v/>
      </c>
      <c r="CZ182" s="2"/>
      <c r="DA182" s="41" t="str">
        <f>IF(CS182="","",B182-CZ182)</f>
        <v/>
      </c>
      <c r="DB182" s="2"/>
      <c r="DC182" s="39" t="str">
        <f>IF(CS182="","",IF(CS182="","",DB182-C182))</f>
        <v/>
      </c>
      <c r="DD182" s="40"/>
      <c r="DE182" s="16" t="str">
        <f>IF(CS182="","",10%-DD182)</f>
        <v/>
      </c>
      <c r="DF182" s="2" t="str">
        <f>IF(CS182="","",CU182*AI182)</f>
        <v/>
      </c>
      <c r="DG182" s="14" t="str">
        <f>IF(CS182="","",IF(DA182&gt;2,2*DA182*CT182*CY182,DA182*CT182*CY182))</f>
        <v/>
      </c>
      <c r="DH182" s="2" t="str">
        <f>IF(CS182="","",IF(DA182&gt;2,2*(DA182-2*CT182*CY182),0))</f>
        <v/>
      </c>
      <c r="DI182" s="39" t="str">
        <f>IF(CS182="","",IF(DC182&gt;0,DC182*0.5*CT182,0))</f>
        <v/>
      </c>
      <c r="DJ182" s="2" t="str">
        <f>IF(CS182="","",IF(DE182&lt;0,DE182*CT182*AI182*1%,0))</f>
        <v/>
      </c>
      <c r="DK182" s="15" t="str">
        <f>IF(CS182="","",SUM(DF182:DJ182))</f>
        <v/>
      </c>
      <c r="DL182" s="2"/>
      <c r="DM182" s="2"/>
      <c r="DN182" s="15" t="str">
        <f>IF(CS182="","",SUM(DK182:DL182))</f>
        <v/>
      </c>
      <c r="DO182" s="14" t="str">
        <f>IF(CS182="","",BJ182*AI182-DN182)</f>
        <v/>
      </c>
      <c r="DP182" s="14" t="str">
        <f>IF(CS182="","",AZ182+CQ182)</f>
        <v/>
      </c>
      <c r="DQ182" s="15" t="str">
        <f>IF(CS182="","",IF((DP182-DO182)&gt;0,DP182-DO182,""))</f>
        <v/>
      </c>
      <c r="DR182" s="15" t="str">
        <f>IF(CS182="","",IF((DO182-DP182)&gt;0,(DO182-DP182),""))</f>
        <v/>
      </c>
      <c r="DS182" s="2" t="str">
        <f>IF(CS182="","",IF(DQ182="",H182,"VALENCY"))</f>
        <v/>
      </c>
      <c r="DT182" s="2" t="str">
        <f>IF(DN182="","",IF(DN182&gt;0,"CN", "DN"))</f>
        <v/>
      </c>
      <c r="DU182" s="2"/>
      <c r="DV182" s="2"/>
      <c r="DW182" s="2"/>
      <c r="DX182" s="2"/>
      <c r="DY182" s="2" t="s">
        <v>230</v>
      </c>
      <c r="DZ182" s="2"/>
      <c r="EA182" s="2" t="str">
        <f>IF(CS182="","",
   MIN(0,(IF(DA182&gt;2,2,1)*DA182*CT182*CY182))
)</f>
        <v/>
      </c>
      <c r="EB182" s="2"/>
      <c r="EC182" s="2"/>
      <c r="ED182" s="2"/>
      <c r="EE182" s="3"/>
      <c r="EF182" s="7"/>
      <c r="EG182" s="3"/>
      <c r="EH182" s="3" t="s">
        <v>266</v>
      </c>
      <c r="EI182" s="3" t="s">
        <v>258</v>
      </c>
      <c r="EJ182" s="189"/>
      <c r="EK182" s="4"/>
      <c r="EL182" s="4"/>
      <c r="EM182" s="9"/>
      <c r="EN182" s="46">
        <f>EK182*EJ182</f>
        <v>0</v>
      </c>
      <c r="EO182" s="9"/>
      <c r="EP182" s="8"/>
      <c r="EQ182" s="4"/>
      <c r="ER182" s="4"/>
      <c r="ES182" s="7"/>
      <c r="ET182" s="7"/>
      <c r="EU182" s="6"/>
      <c r="EV182" s="2" t="str">
        <f t="shared" si="414"/>
        <v>Yet to load</v>
      </c>
      <c r="EW182" s="46"/>
      <c r="EX182" s="46">
        <f>EW182/BJ182</f>
        <v>0</v>
      </c>
      <c r="EY182" s="46" t="s">
        <v>233</v>
      </c>
      <c r="EZ182" s="24"/>
      <c r="FA182" s="2"/>
      <c r="FB182" s="24"/>
      <c r="FC182" s="53"/>
      <c r="FD182" s="46">
        <f>FC182*BJ182</f>
        <v>0</v>
      </c>
      <c r="FE182" s="52"/>
      <c r="FF182" s="52"/>
      <c r="FG182" s="49"/>
      <c r="FH182" s="49"/>
      <c r="FI182" s="49"/>
      <c r="FJ182" s="49"/>
      <c r="FK182" s="49"/>
      <c r="FL182" s="49">
        <f>IFERROR(EZ182-BY182,"")</f>
        <v>0</v>
      </c>
      <c r="FM182" s="180">
        <f>IFERROR(BM182-FB182,"")</f>
        <v>46189</v>
      </c>
      <c r="FN182" s="49"/>
      <c r="FO182" s="49"/>
      <c r="FP182" s="49"/>
      <c r="FQ182" s="49"/>
      <c r="FR182" s="49"/>
      <c r="FS182" s="34">
        <f>Y182</f>
        <v>0</v>
      </c>
      <c r="FT182" s="34">
        <f>AA182</f>
        <v>0</v>
      </c>
      <c r="FU182" s="3"/>
      <c r="FV182" s="3"/>
      <c r="FW182" s="3"/>
      <c r="FX182" s="3"/>
      <c r="FY182" s="3"/>
      <c r="FZ182" s="3"/>
      <c r="GA182" s="3"/>
      <c r="GB182" s="4"/>
      <c r="GC182" s="3"/>
      <c r="GD182" s="182"/>
      <c r="GE182" s="2"/>
      <c r="GF182" s="2"/>
      <c r="GG182" s="2"/>
      <c r="GH182" s="2"/>
      <c r="GI182" s="2"/>
      <c r="GJ182" s="2"/>
      <c r="GK182" s="2"/>
      <c r="GL182" s="2"/>
      <c r="GM182" s="2"/>
      <c r="GN182" s="2"/>
    </row>
    <row r="183" spans="1:197" s="1" customFormat="1" ht="33.950000000000003">
      <c r="A183" s="2" t="str">
        <f t="shared" si="391"/>
        <v>Sailed, OBL &amp; Certs Pending</v>
      </c>
      <c r="B183" s="281">
        <v>48</v>
      </c>
      <c r="C183" s="281">
        <v>200</v>
      </c>
      <c r="D183" s="182" t="s">
        <v>208</v>
      </c>
      <c r="E183" s="2" t="str">
        <f t="shared" si="392"/>
        <v>CLOSE POSITION</v>
      </c>
      <c r="F183" s="271" t="str">
        <f t="shared" si="417"/>
        <v>32014540-1</v>
      </c>
      <c r="G183" s="271"/>
      <c r="H183" s="2" t="str">
        <f t="shared" si="415"/>
        <v xml:space="preserve">SHREE KRISHNAPRASAD CASHEWS </v>
      </c>
      <c r="I183" s="3" t="s">
        <v>259</v>
      </c>
      <c r="J183" s="2" t="s">
        <v>210</v>
      </c>
      <c r="K183" s="2" t="str">
        <f t="shared" si="393"/>
        <v>MANGALORE, INDIA</v>
      </c>
      <c r="L183" s="2">
        <f t="shared" si="416"/>
        <v>267455386</v>
      </c>
      <c r="M183" s="2">
        <f t="shared" si="416"/>
        <v>243.93</v>
      </c>
      <c r="N183" s="22">
        <f t="shared" si="394"/>
        <v>46202</v>
      </c>
      <c r="O183" s="22">
        <v>46202</v>
      </c>
      <c r="P183" s="22" t="str">
        <f t="shared" si="395"/>
        <v>Draft Rcvd</v>
      </c>
      <c r="Q183" s="2"/>
      <c r="R183" s="2" t="str">
        <f t="shared" si="396"/>
        <v>No CERTS Yet</v>
      </c>
      <c r="S183" s="2" t="str">
        <f t="shared" si="410"/>
        <v/>
      </c>
      <c r="T183" s="2" t="s">
        <v>260</v>
      </c>
      <c r="U183" s="272" t="s">
        <v>893</v>
      </c>
      <c r="V183" s="272"/>
      <c r="W183" s="272" t="s">
        <v>893</v>
      </c>
      <c r="X183" s="24">
        <v>46076</v>
      </c>
      <c r="Y183" s="273">
        <v>20009558</v>
      </c>
      <c r="Z183" s="24">
        <v>46074</v>
      </c>
      <c r="AA183" s="182" t="s">
        <v>894</v>
      </c>
      <c r="AB183" s="182" t="s">
        <v>613</v>
      </c>
      <c r="AC183" s="182" t="s">
        <v>263</v>
      </c>
      <c r="AD183" s="181">
        <v>46142</v>
      </c>
      <c r="AE183" s="30">
        <v>0.1</v>
      </c>
      <c r="AF183" s="277">
        <v>250</v>
      </c>
      <c r="AG183" s="35">
        <f t="shared" si="397"/>
        <v>225</v>
      </c>
      <c r="AH183" s="3" t="s">
        <v>215</v>
      </c>
      <c r="AI183" s="4">
        <v>1510</v>
      </c>
      <c r="AJ183" s="4">
        <f t="shared" si="390"/>
        <v>377500</v>
      </c>
      <c r="AK183" s="3" t="s">
        <v>249</v>
      </c>
      <c r="AL183" s="3" t="s">
        <v>238</v>
      </c>
      <c r="AM183" s="183">
        <v>0.1</v>
      </c>
      <c r="AN183" s="183">
        <v>0.9</v>
      </c>
      <c r="AO183" s="183">
        <v>0</v>
      </c>
      <c r="AP183" s="28" t="s">
        <v>218</v>
      </c>
      <c r="AQ183" s="18" t="s">
        <v>239</v>
      </c>
      <c r="AR183" s="18" t="s">
        <v>264</v>
      </c>
      <c r="AS183" s="27">
        <v>5</v>
      </c>
      <c r="AT183" s="3" t="s">
        <v>220</v>
      </c>
      <c r="AU183" s="3" t="s">
        <v>220</v>
      </c>
      <c r="AV183" s="3" t="s">
        <v>220</v>
      </c>
      <c r="AW183" s="9"/>
      <c r="AX183" s="3"/>
      <c r="AY183" s="47"/>
      <c r="AZ183" s="275">
        <f t="shared" si="411"/>
        <v>37750</v>
      </c>
      <c r="BA183" s="18">
        <v>46093</v>
      </c>
      <c r="BB183" s="22">
        <v>46083</v>
      </c>
      <c r="BC183" s="22"/>
      <c r="BD183" s="22"/>
      <c r="BE183" s="22"/>
      <c r="BF183" s="22">
        <v>46083</v>
      </c>
      <c r="BG183" s="18"/>
      <c r="BH183" s="18"/>
      <c r="BI183" s="3">
        <v>267455386</v>
      </c>
      <c r="BJ183" s="25">
        <v>243.93</v>
      </c>
      <c r="BK183" s="46" t="s">
        <v>222</v>
      </c>
      <c r="BL183" s="497">
        <v>10</v>
      </c>
      <c r="BM183" s="18">
        <v>46202</v>
      </c>
      <c r="BN183" s="4"/>
      <c r="BO183" s="18">
        <v>46202</v>
      </c>
      <c r="BP183" s="3" t="s">
        <v>259</v>
      </c>
      <c r="BQ183" s="21" t="s">
        <v>265</v>
      </c>
      <c r="BR183" s="2" t="s">
        <v>416</v>
      </c>
      <c r="BS183" s="2"/>
      <c r="BT183" s="2" t="s">
        <v>460</v>
      </c>
      <c r="BU183" s="2" t="s">
        <v>461</v>
      </c>
      <c r="BV183" s="20"/>
      <c r="BW183" s="19"/>
      <c r="BX183" s="46">
        <f t="shared" si="404"/>
        <v>368334.3</v>
      </c>
      <c r="BY183" s="22">
        <v>46163</v>
      </c>
      <c r="BZ183" s="22"/>
      <c r="CA183" s="2"/>
      <c r="CB183" s="22"/>
      <c r="CC183" s="22"/>
      <c r="CD183" s="22"/>
      <c r="CE183" s="22" t="str">
        <f t="shared" si="398"/>
        <v>Draft Rcvd</v>
      </c>
      <c r="CF183" s="22"/>
      <c r="CG183" s="22"/>
      <c r="CH183" s="182"/>
      <c r="CI183" s="182"/>
      <c r="CJ183" s="182"/>
      <c r="CK183" s="2" t="str">
        <f t="shared" si="412"/>
        <v>No CERTS Yet</v>
      </c>
      <c r="CL183" s="48"/>
      <c r="CM183" s="22"/>
      <c r="CN183" s="55"/>
      <c r="CO183" s="55"/>
      <c r="CP183" s="55" t="str">
        <f>IF(CO183&lt;&gt;0,"Docs in Buyer's Nego Bank",IF(CN183&lt;&gt;0,"Docs in Transit to Buyer's Nego Bank",IF(CM183&lt;&gt;0,"Docs in Our Nego Bank",IF(CL183="TT PAYMENT","Not Applicable",""))))</f>
        <v/>
      </c>
      <c r="CQ183" s="50">
        <f t="shared" si="413"/>
        <v>293750.87</v>
      </c>
      <c r="CR183" s="54"/>
      <c r="CS183" s="2"/>
      <c r="CT183" s="2"/>
      <c r="CU183" s="14" t="str">
        <f>IF(CS183="","",BJ183-CT183)</f>
        <v/>
      </c>
      <c r="CV183" s="42" t="str">
        <f>IF(CS183="","",CU183/BJ183)</f>
        <v/>
      </c>
      <c r="CW183" s="14" t="str">
        <f>IF(CS183="","",AZ183+CQ183)</f>
        <v/>
      </c>
      <c r="CX183" s="14" t="str">
        <f>IF(CS183="","",BX183*2%)</f>
        <v/>
      </c>
      <c r="CY183" s="15" t="str">
        <f>IF(CS183="","",AI183/B183)</f>
        <v/>
      </c>
      <c r="CZ183" s="2"/>
      <c r="DA183" s="41" t="str">
        <f>IF(CS183="","",B183-CZ183)</f>
        <v/>
      </c>
      <c r="DB183" s="2"/>
      <c r="DC183" s="39" t="str">
        <f>IF(CS183="","",IF(CS183="","",DB183-C183))</f>
        <v/>
      </c>
      <c r="DD183" s="40"/>
      <c r="DE183" s="16" t="str">
        <f>IF(CS183="","",10%-DD183)</f>
        <v/>
      </c>
      <c r="DF183" s="2" t="str">
        <f>IF(CS183="","",CU183*AI183)</f>
        <v/>
      </c>
      <c r="DG183" s="14" t="str">
        <f>IF(CS183="","",IF(DA183&gt;2,2*DA183*CT183*CY183,DA183*CT183*CY183))</f>
        <v/>
      </c>
      <c r="DH183" s="2" t="str">
        <f>IF(CS183="","",IF(DA183&gt;2,2*(DA183-2*CT183*CY183),0))</f>
        <v/>
      </c>
      <c r="DI183" s="39" t="str">
        <f>IF(CS183="","",IF(DC183&gt;0,DC183*0.5*CT183,0))</f>
        <v/>
      </c>
      <c r="DJ183" s="2" t="str">
        <f>IF(CS183="","",IF(DE183&lt;0,DE183*CT183*AI183*1%,0))</f>
        <v/>
      </c>
      <c r="DK183" s="15" t="str">
        <f>IF(CS183="","",SUM(DF183:DJ183))</f>
        <v/>
      </c>
      <c r="DL183" s="2"/>
      <c r="DM183" s="2"/>
      <c r="DN183" s="15" t="str">
        <f>IF(CS183="","",SUM(DK183:DL183))</f>
        <v/>
      </c>
      <c r="DO183" s="14" t="str">
        <f>IF(CS183="","",BJ183*AI183-DN183)</f>
        <v/>
      </c>
      <c r="DP183" s="14" t="str">
        <f>IF(CS183="","",AZ183+CQ183)</f>
        <v/>
      </c>
      <c r="DQ183" s="15" t="str">
        <f>IF(CS183="","",IF((DP183-DO183)&gt;0,DP183-DO183,""))</f>
        <v/>
      </c>
      <c r="DR183" s="15" t="str">
        <f>IF(CS183="","",IF((DO183-DP183)&gt;0,(DO183-DP183),""))</f>
        <v/>
      </c>
      <c r="DS183" s="2" t="str">
        <f>IF(CS183="","",IF(DQ183="",H183,"VALENCY"))</f>
        <v/>
      </c>
      <c r="DT183" s="2" t="str">
        <f>IF(DN183="","",IF(DN183&gt;0,"CN", "DN"))</f>
        <v/>
      </c>
      <c r="DU183" s="2"/>
      <c r="DV183" s="418"/>
      <c r="DW183" s="2"/>
      <c r="DX183" s="2"/>
      <c r="DY183" s="2" t="s">
        <v>230</v>
      </c>
      <c r="DZ183" s="2"/>
      <c r="EA183" s="2" t="str">
        <f>IF(CS183="","",
   MIN(0,(IF(DA183&gt;2,2,1)*DA183*CT183*CY183))
)</f>
        <v/>
      </c>
      <c r="EB183" s="2"/>
      <c r="EC183" s="2"/>
      <c r="ED183" s="2"/>
      <c r="EE183" s="3"/>
      <c r="EF183" s="7"/>
      <c r="EG183" s="3"/>
      <c r="EH183" s="3" t="s">
        <v>266</v>
      </c>
      <c r="EI183" s="3"/>
      <c r="EJ183" s="189"/>
      <c r="EK183" s="4"/>
      <c r="EL183" s="4"/>
      <c r="EM183" s="9"/>
      <c r="EN183" s="46">
        <f>EK183*EJ183</f>
        <v>0</v>
      </c>
      <c r="EO183" s="9"/>
      <c r="EP183" s="8"/>
      <c r="EQ183" s="4"/>
      <c r="ER183" s="4"/>
      <c r="ES183" s="7"/>
      <c r="ET183" s="7"/>
      <c r="EU183" s="6"/>
      <c r="EV183" s="2" t="str">
        <f t="shared" si="414"/>
        <v>Yet to load</v>
      </c>
      <c r="EW183" s="46"/>
      <c r="EX183" s="46">
        <f>EW183/BJ183</f>
        <v>0</v>
      </c>
      <c r="EY183" s="46" t="s">
        <v>233</v>
      </c>
      <c r="EZ183" s="24"/>
      <c r="FA183" s="2"/>
      <c r="FB183" s="24"/>
      <c r="FC183" s="53"/>
      <c r="FD183" s="46">
        <f>FC183*BJ183</f>
        <v>0</v>
      </c>
      <c r="FE183" s="52"/>
      <c r="FF183" s="52"/>
      <c r="FG183" s="49"/>
      <c r="FH183" s="49"/>
      <c r="FI183" s="49"/>
      <c r="FJ183" s="49"/>
      <c r="FK183" s="49"/>
      <c r="FL183" s="49"/>
      <c r="FM183" s="180"/>
      <c r="FN183" s="49"/>
      <c r="FO183" s="49"/>
      <c r="FP183" s="49"/>
      <c r="FQ183" s="49"/>
      <c r="FR183" s="49"/>
      <c r="FS183" s="34"/>
      <c r="FT183" s="34"/>
      <c r="FU183" s="3"/>
      <c r="FV183" s="3"/>
      <c r="FW183" s="3"/>
      <c r="FX183" s="3"/>
      <c r="FY183" s="3"/>
      <c r="FZ183" s="3"/>
      <c r="GA183" s="3"/>
      <c r="GB183" s="4"/>
      <c r="GC183" s="3"/>
      <c r="GD183" s="182"/>
      <c r="GE183" s="2"/>
      <c r="GF183" s="2"/>
      <c r="GG183" s="2"/>
      <c r="GH183" s="2"/>
      <c r="GI183" s="2"/>
      <c r="GJ183" s="2"/>
      <c r="GK183" s="2"/>
      <c r="GL183" s="2"/>
      <c r="GM183" s="2"/>
      <c r="GN183" s="2"/>
    </row>
    <row r="184" spans="1:197" s="1" customFormat="1" ht="33.950000000000003">
      <c r="A184" s="2" t="str">
        <f t="shared" si="391"/>
        <v>SC Raised, Advance Pending</v>
      </c>
      <c r="B184" s="282">
        <v>44</v>
      </c>
      <c r="C184" s="282">
        <v>200</v>
      </c>
      <c r="D184" s="182" t="s">
        <v>208</v>
      </c>
      <c r="E184" s="2" t="str">
        <f t="shared" si="392"/>
        <v>SHORT POSITION</v>
      </c>
      <c r="F184" s="271">
        <f t="shared" si="417"/>
        <v>32016433</v>
      </c>
      <c r="G184" s="271"/>
      <c r="H184" s="2" t="str">
        <f t="shared" si="415"/>
        <v xml:space="preserve">KIEU LOAN COMPANY LIMITED </v>
      </c>
      <c r="I184" s="3" t="s">
        <v>259</v>
      </c>
      <c r="J184" s="2" t="s">
        <v>347</v>
      </c>
      <c r="K184" s="2" t="str">
        <f t="shared" si="393"/>
        <v>Cat Lai/ SPCT in HCM City</v>
      </c>
      <c r="L184" s="2" t="str">
        <f t="shared" si="416"/>
        <v/>
      </c>
      <c r="M184" s="2" t="str">
        <f t="shared" si="416"/>
        <v/>
      </c>
      <c r="N184" s="22" t="str">
        <f t="shared" si="394"/>
        <v/>
      </c>
      <c r="O184" s="22" t="str">
        <f>IF(BO184&lt;&gt;0,BO184,"")</f>
        <v/>
      </c>
      <c r="P184" s="22" t="str">
        <f t="shared" si="395"/>
        <v>No OBL Yet</v>
      </c>
      <c r="Q184" s="2"/>
      <c r="R184" s="2" t="str">
        <f t="shared" si="396"/>
        <v>No CERTS Yet</v>
      </c>
      <c r="S184" s="2">
        <f t="shared" si="410"/>
        <v>0</v>
      </c>
      <c r="T184" s="2"/>
      <c r="U184" s="3" t="s">
        <v>895</v>
      </c>
      <c r="V184" s="272"/>
      <c r="W184" s="3" t="s">
        <v>895</v>
      </c>
      <c r="X184" s="24">
        <v>46165</v>
      </c>
      <c r="Y184" s="273">
        <v>20010411</v>
      </c>
      <c r="Z184" s="24">
        <v>46165</v>
      </c>
      <c r="AA184" s="182">
        <v>32016433</v>
      </c>
      <c r="AB184" s="182" t="s">
        <v>569</v>
      </c>
      <c r="AC184" s="182" t="s">
        <v>847</v>
      </c>
      <c r="AD184" s="181">
        <v>46234</v>
      </c>
      <c r="AE184" s="30">
        <v>0.1</v>
      </c>
      <c r="AF184" s="277">
        <v>300</v>
      </c>
      <c r="AG184" s="4">
        <f t="shared" si="397"/>
        <v>270</v>
      </c>
      <c r="AH184" s="3" t="s">
        <v>215</v>
      </c>
      <c r="AI184" s="4">
        <v>1380</v>
      </c>
      <c r="AJ184" s="4">
        <f t="shared" si="390"/>
        <v>414000</v>
      </c>
      <c r="AK184" s="3" t="s">
        <v>249</v>
      </c>
      <c r="AL184" s="3" t="s">
        <v>780</v>
      </c>
      <c r="AM184" s="30">
        <v>0.1</v>
      </c>
      <c r="AN184" s="183">
        <v>0.88</v>
      </c>
      <c r="AO184" s="183">
        <v>0.02</v>
      </c>
      <c r="AP184" s="28" t="s">
        <v>218</v>
      </c>
      <c r="AQ184" s="18" t="s">
        <v>835</v>
      </c>
      <c r="AR184" s="18" t="s">
        <v>251</v>
      </c>
      <c r="AS184" s="359"/>
      <c r="AT184" s="3" t="s">
        <v>220</v>
      </c>
      <c r="AU184" s="3" t="s">
        <v>220</v>
      </c>
      <c r="AV184" s="3" t="s">
        <v>220</v>
      </c>
      <c r="AW184" s="9"/>
      <c r="AX184" s="3"/>
      <c r="AY184" s="47">
        <v>46172</v>
      </c>
      <c r="AZ184" s="278">
        <f t="shared" si="411"/>
        <v>41400</v>
      </c>
      <c r="BA184" s="18"/>
      <c r="BB184" s="22"/>
      <c r="BC184" s="22"/>
      <c r="BD184" s="22"/>
      <c r="BE184" s="22"/>
      <c r="BF184" s="22"/>
      <c r="BG184" s="18"/>
      <c r="BH184" s="18"/>
      <c r="BI184" s="3"/>
      <c r="BJ184" s="25"/>
      <c r="BK184" s="18"/>
      <c r="BL184" s="271"/>
      <c r="BM184" s="18"/>
      <c r="BN184" s="2"/>
      <c r="BO184" s="18"/>
      <c r="BP184" s="20" t="s">
        <v>259</v>
      </c>
      <c r="BQ184" s="21" t="s">
        <v>879</v>
      </c>
      <c r="BR184" s="189"/>
      <c r="BS184" s="22"/>
      <c r="BT184" s="22"/>
      <c r="BU184" s="189">
        <f>BI184*AF184</f>
        <v>0</v>
      </c>
      <c r="BV184" s="22"/>
      <c r="BW184" s="22"/>
      <c r="BX184" s="22"/>
      <c r="BY184" s="22"/>
      <c r="BZ184" s="22"/>
      <c r="CA184" s="22"/>
      <c r="CB184" s="22"/>
      <c r="CC184" s="182"/>
      <c r="CD184" s="182"/>
      <c r="CE184" s="22" t="str">
        <f t="shared" si="398"/>
        <v>No OBL Yet</v>
      </c>
      <c r="CF184" s="48"/>
      <c r="CG184" s="22"/>
      <c r="CH184" s="2"/>
      <c r="CI184" s="55"/>
      <c r="CJ184" s="55"/>
      <c r="CK184" s="2" t="str">
        <f t="shared" si="412"/>
        <v>No CERTS Yet</v>
      </c>
      <c r="CL184" s="54"/>
      <c r="CM184" s="2"/>
      <c r="CN184" s="55"/>
      <c r="CO184" s="14"/>
      <c r="CP184" s="191"/>
      <c r="CQ184" s="190">
        <f t="shared" si="413"/>
        <v>-41400</v>
      </c>
      <c r="CR184" s="14"/>
      <c r="CS184" s="15"/>
      <c r="CT184" s="2"/>
      <c r="CU184" s="41"/>
      <c r="CV184" s="2"/>
      <c r="CW184" s="192"/>
      <c r="CX184" s="40"/>
      <c r="CY184" s="16"/>
      <c r="CZ184" s="2"/>
      <c r="DA184" s="14"/>
      <c r="DB184" s="2"/>
      <c r="DC184" s="192"/>
      <c r="DD184" s="2"/>
      <c r="DE184" s="15"/>
      <c r="DF184" s="2"/>
      <c r="DG184" s="2"/>
      <c r="DH184" s="15"/>
      <c r="DI184" s="14"/>
      <c r="DJ184" s="14"/>
      <c r="DK184" s="15"/>
      <c r="DL184" s="15"/>
      <c r="DM184" s="2"/>
      <c r="DN184" s="2"/>
      <c r="DO184" s="2"/>
      <c r="DP184" s="2"/>
      <c r="DQ184" s="2"/>
      <c r="DR184" s="2"/>
      <c r="DS184" s="2"/>
      <c r="DT184" s="2"/>
      <c r="DU184" s="2"/>
      <c r="DW184" s="2"/>
      <c r="DX184" s="2"/>
      <c r="DY184" s="2" t="s">
        <v>230</v>
      </c>
      <c r="DZ184" s="2"/>
      <c r="EA184" s="3"/>
      <c r="EB184" s="3"/>
      <c r="EC184" s="3"/>
      <c r="ED184" s="189"/>
      <c r="EE184" s="4"/>
      <c r="EF184" s="9"/>
      <c r="EG184" s="9"/>
      <c r="EH184" s="3" t="s">
        <v>266</v>
      </c>
      <c r="EI184" s="9"/>
      <c r="EJ184" s="8"/>
      <c r="EK184" s="189"/>
      <c r="EL184" s="7"/>
      <c r="EM184" s="7"/>
      <c r="EN184" s="6"/>
      <c r="EO184" s="2"/>
      <c r="EP184" s="189"/>
      <c r="EQ184" s="189"/>
      <c r="ER184" s="189"/>
      <c r="ES184" s="2"/>
      <c r="ET184" s="24"/>
      <c r="EU184" s="2"/>
      <c r="EV184" s="2" t="str">
        <f t="shared" si="414"/>
        <v>Yet to load</v>
      </c>
      <c r="EW184" s="193"/>
      <c r="EX184" s="189"/>
      <c r="EY184" s="24"/>
      <c r="EZ184" s="52"/>
      <c r="FA184" s="49"/>
      <c r="FB184" s="49"/>
      <c r="FC184" s="180"/>
      <c r="FD184" s="49"/>
      <c r="FE184" s="49"/>
      <c r="FF184" s="49"/>
      <c r="FG184" s="49"/>
      <c r="FH184" s="49"/>
      <c r="FI184" s="49"/>
      <c r="FJ184" s="49"/>
      <c r="FK184" s="49"/>
      <c r="FL184" s="49"/>
      <c r="FM184" s="34"/>
      <c r="FN184" s="34"/>
      <c r="FO184" s="3"/>
      <c r="FP184" s="3"/>
      <c r="FQ184" s="3"/>
      <c r="FR184" s="3"/>
      <c r="FS184" s="34">
        <f>Y184</f>
        <v>20010411</v>
      </c>
      <c r="FT184" s="34">
        <f>AA184</f>
        <v>32016433</v>
      </c>
      <c r="FU184" s="3"/>
      <c r="FV184" s="4"/>
      <c r="FW184" s="3"/>
      <c r="FX184" s="182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</row>
    <row r="185" spans="1:197" s="1" customFormat="1" ht="33.950000000000003">
      <c r="A185" s="2" t="str">
        <f t="shared" si="391"/>
        <v>SC Raised, Advance Pending</v>
      </c>
      <c r="B185" s="282">
        <v>43</v>
      </c>
      <c r="C185" s="282">
        <v>200</v>
      </c>
      <c r="D185" s="182" t="s">
        <v>208</v>
      </c>
      <c r="E185" s="2" t="str">
        <f t="shared" si="392"/>
        <v>SHORT POSITION</v>
      </c>
      <c r="F185" s="271">
        <f t="shared" si="417"/>
        <v>32016434</v>
      </c>
      <c r="G185" s="271"/>
      <c r="H185" s="2" t="str">
        <f t="shared" si="415"/>
        <v xml:space="preserve">KIEU LOAN COMPANY LIMITED </v>
      </c>
      <c r="I185" s="3" t="s">
        <v>259</v>
      </c>
      <c r="J185" s="2" t="s">
        <v>347</v>
      </c>
      <c r="K185" s="2" t="str">
        <f t="shared" si="393"/>
        <v>Cat Lai/ SPCT in HCM City</v>
      </c>
      <c r="L185" s="2" t="str">
        <f t="shared" si="416"/>
        <v/>
      </c>
      <c r="M185" s="2" t="str">
        <f t="shared" si="416"/>
        <v/>
      </c>
      <c r="N185" s="22" t="str">
        <f t="shared" si="394"/>
        <v/>
      </c>
      <c r="O185" s="22" t="str">
        <f>IF(BO185&lt;&gt;0,BO185,"")</f>
        <v/>
      </c>
      <c r="P185" s="22" t="str">
        <f t="shared" si="395"/>
        <v>No OBL Yet</v>
      </c>
      <c r="Q185" s="2"/>
      <c r="R185" s="2" t="str">
        <f t="shared" si="396"/>
        <v>No CERTS Yet</v>
      </c>
      <c r="S185" s="2">
        <f t="shared" si="410"/>
        <v>0</v>
      </c>
      <c r="T185" s="2"/>
      <c r="U185" s="3" t="s">
        <v>895</v>
      </c>
      <c r="V185" s="272"/>
      <c r="W185" s="3" t="s">
        <v>895</v>
      </c>
      <c r="X185" s="24">
        <v>46165</v>
      </c>
      <c r="Y185" s="273">
        <v>20010412</v>
      </c>
      <c r="Z185" s="24">
        <v>46165</v>
      </c>
      <c r="AA185" s="182">
        <v>32016434</v>
      </c>
      <c r="AB185" s="182" t="s">
        <v>569</v>
      </c>
      <c r="AC185" s="182" t="s">
        <v>847</v>
      </c>
      <c r="AD185" s="181">
        <v>46234</v>
      </c>
      <c r="AE185" s="30">
        <v>0.1</v>
      </c>
      <c r="AF185" s="277">
        <v>300</v>
      </c>
      <c r="AG185" s="4">
        <f t="shared" si="397"/>
        <v>270</v>
      </c>
      <c r="AH185" s="3" t="s">
        <v>215</v>
      </c>
      <c r="AI185" s="4">
        <v>1345</v>
      </c>
      <c r="AJ185" s="4">
        <f t="shared" si="390"/>
        <v>403500</v>
      </c>
      <c r="AK185" s="3" t="s">
        <v>249</v>
      </c>
      <c r="AL185" s="3" t="s">
        <v>780</v>
      </c>
      <c r="AM185" s="30">
        <v>0.1</v>
      </c>
      <c r="AN185" s="183">
        <v>0.88</v>
      </c>
      <c r="AO185" s="183">
        <v>0.02</v>
      </c>
      <c r="AP185" s="28" t="s">
        <v>218</v>
      </c>
      <c r="AQ185" s="18" t="s">
        <v>835</v>
      </c>
      <c r="AR185" s="18" t="s">
        <v>251</v>
      </c>
      <c r="AS185" s="359"/>
      <c r="AT185" s="3" t="s">
        <v>220</v>
      </c>
      <c r="AU185" s="3" t="s">
        <v>220</v>
      </c>
      <c r="AV185" s="3" t="s">
        <v>220</v>
      </c>
      <c r="AW185" s="9"/>
      <c r="AX185" s="3"/>
      <c r="AY185" s="47">
        <v>46172</v>
      </c>
      <c r="AZ185" s="278">
        <f t="shared" si="411"/>
        <v>40350</v>
      </c>
      <c r="BA185" s="18"/>
      <c r="BB185" s="22"/>
      <c r="BC185" s="22"/>
      <c r="BD185" s="22"/>
      <c r="BE185" s="22"/>
      <c r="BF185" s="22"/>
      <c r="BG185" s="18"/>
      <c r="BH185" s="18"/>
      <c r="BI185" s="3"/>
      <c r="BJ185" s="25"/>
      <c r="BK185" s="18"/>
      <c r="BL185" s="271"/>
      <c r="BM185" s="18"/>
      <c r="BN185" s="2"/>
      <c r="BO185" s="18"/>
      <c r="BP185" s="20" t="s">
        <v>259</v>
      </c>
      <c r="BQ185" s="21" t="s">
        <v>879</v>
      </c>
      <c r="BR185" s="189"/>
      <c r="BS185" s="22"/>
      <c r="BT185" s="22"/>
      <c r="BU185" s="189">
        <f>BI185*AF185</f>
        <v>0</v>
      </c>
      <c r="BV185" s="22"/>
      <c r="BW185" s="22"/>
      <c r="BX185" s="22"/>
      <c r="BY185" s="22"/>
      <c r="BZ185" s="22"/>
      <c r="CA185" s="22"/>
      <c r="CB185" s="22"/>
      <c r="CC185" s="182"/>
      <c r="CD185" s="182"/>
      <c r="CE185" s="22" t="str">
        <f t="shared" si="398"/>
        <v>No OBL Yet</v>
      </c>
      <c r="CF185" s="48"/>
      <c r="CG185" s="22"/>
      <c r="CH185" s="2"/>
      <c r="CI185" s="55"/>
      <c r="CJ185" s="55"/>
      <c r="CK185" s="2" t="str">
        <f t="shared" si="412"/>
        <v>No CERTS Yet</v>
      </c>
      <c r="CL185" s="54"/>
      <c r="CM185" s="2"/>
      <c r="CN185" s="55"/>
      <c r="CO185" s="14"/>
      <c r="CP185" s="191"/>
      <c r="CQ185" s="190">
        <f t="shared" si="413"/>
        <v>-40350</v>
      </c>
      <c r="CR185" s="14"/>
      <c r="CS185" s="15"/>
      <c r="CT185" s="2"/>
      <c r="CU185" s="41"/>
      <c r="CV185" s="2"/>
      <c r="CW185" s="192"/>
      <c r="CX185" s="40"/>
      <c r="CY185" s="16"/>
      <c r="CZ185" s="2"/>
      <c r="DA185" s="14"/>
      <c r="DB185" s="2"/>
      <c r="DC185" s="192"/>
      <c r="DD185" s="2"/>
      <c r="DE185" s="15"/>
      <c r="DF185" s="2"/>
      <c r="DG185" s="2"/>
      <c r="DH185" s="15"/>
      <c r="DI185" s="14"/>
      <c r="DJ185" s="14"/>
      <c r="DK185" s="15"/>
      <c r="DL185" s="15"/>
      <c r="DM185" s="2"/>
      <c r="DN185" s="2"/>
      <c r="DO185" s="2"/>
      <c r="DP185" s="2"/>
      <c r="DQ185" s="2"/>
      <c r="DR185" s="2"/>
      <c r="DS185" s="2"/>
      <c r="DT185" s="2"/>
      <c r="DU185" s="2"/>
      <c r="DW185" s="2"/>
      <c r="DX185" s="2"/>
      <c r="DY185" s="2" t="s">
        <v>230</v>
      </c>
      <c r="DZ185" s="2"/>
      <c r="EA185" s="3"/>
      <c r="EB185" s="3"/>
      <c r="EC185" s="3"/>
      <c r="ED185" s="189"/>
      <c r="EE185" s="4"/>
      <c r="EF185" s="9"/>
      <c r="EG185" s="9"/>
      <c r="EH185" s="3" t="s">
        <v>266</v>
      </c>
      <c r="EI185" s="9"/>
      <c r="EJ185" s="8"/>
      <c r="EK185" s="189"/>
      <c r="EL185" s="7"/>
      <c r="EM185" s="7"/>
      <c r="EN185" s="6"/>
      <c r="EO185" s="2"/>
      <c r="EP185" s="189"/>
      <c r="EQ185" s="189"/>
      <c r="ER185" s="189"/>
      <c r="ES185" s="2"/>
      <c r="ET185" s="24"/>
      <c r="EU185" s="2"/>
      <c r="EV185" s="2" t="str">
        <f t="shared" si="414"/>
        <v>Yet to load</v>
      </c>
      <c r="EW185" s="193"/>
      <c r="EX185" s="189"/>
      <c r="EY185" s="24"/>
      <c r="EZ185" s="52"/>
      <c r="FA185" s="49"/>
      <c r="FB185" s="49"/>
      <c r="FC185" s="180"/>
      <c r="FD185" s="49"/>
      <c r="FE185" s="49"/>
      <c r="FF185" s="49"/>
      <c r="FG185" s="49"/>
      <c r="FH185" s="49"/>
      <c r="FI185" s="49"/>
      <c r="FJ185" s="49"/>
      <c r="FK185" s="49"/>
      <c r="FL185" s="49"/>
      <c r="FM185" s="34"/>
      <c r="FN185" s="34"/>
      <c r="FO185" s="3"/>
      <c r="FP185" s="3"/>
      <c r="FQ185" s="3"/>
      <c r="FR185" s="3"/>
      <c r="FS185" s="34">
        <f>Y185</f>
        <v>20010412</v>
      </c>
      <c r="FT185" s="34">
        <f>AA185</f>
        <v>32016434</v>
      </c>
      <c r="FU185" s="3"/>
      <c r="FV185" s="4"/>
      <c r="FW185" s="3"/>
      <c r="FX185" s="182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</row>
    <row r="186" spans="1:197" s="1" customFormat="1" ht="68.099999999999994">
      <c r="A186" s="433" t="str">
        <f t="shared" si="391"/>
        <v>SC Raised, Advance Pending</v>
      </c>
      <c r="B186" s="527">
        <v>50</v>
      </c>
      <c r="C186" s="527">
        <v>185</v>
      </c>
      <c r="D186" s="528" t="s">
        <v>208</v>
      </c>
      <c r="E186" s="433" t="str">
        <f t="shared" si="392"/>
        <v>SHORT POSITION</v>
      </c>
      <c r="F186" s="529">
        <f t="shared" si="417"/>
        <v>32016445</v>
      </c>
      <c r="G186" s="529"/>
      <c r="H186" s="433" t="str">
        <f t="shared" si="415"/>
        <v>Hoang Cuong</v>
      </c>
      <c r="I186" s="434" t="s">
        <v>209</v>
      </c>
      <c r="J186" s="433" t="s">
        <v>347</v>
      </c>
      <c r="K186" s="433" t="str">
        <f t="shared" si="393"/>
        <v>HCMC, VIETNAM</v>
      </c>
      <c r="L186" s="433" t="str">
        <f t="shared" si="416"/>
        <v/>
      </c>
      <c r="M186" s="433" t="str">
        <f t="shared" si="416"/>
        <v/>
      </c>
      <c r="N186" s="530" t="str">
        <f t="shared" si="394"/>
        <v/>
      </c>
      <c r="O186" s="530" t="str">
        <f>IF(BO186&lt;&gt;0,BO186,"")</f>
        <v/>
      </c>
      <c r="P186" s="530" t="str">
        <f t="shared" si="395"/>
        <v>No OBL Yet</v>
      </c>
      <c r="Q186" s="433"/>
      <c r="R186" s="433" t="str">
        <f t="shared" si="396"/>
        <v>No CERTS Yet</v>
      </c>
      <c r="S186" s="433">
        <f t="shared" si="410"/>
        <v>0</v>
      </c>
      <c r="T186" s="433"/>
      <c r="U186" s="434" t="s">
        <v>896</v>
      </c>
      <c r="V186" s="531"/>
      <c r="W186" s="434" t="s">
        <v>896</v>
      </c>
      <c r="X186" s="532">
        <v>46167</v>
      </c>
      <c r="Y186" s="533">
        <v>20010426</v>
      </c>
      <c r="Z186" s="532">
        <v>46167</v>
      </c>
      <c r="AA186" s="528">
        <v>32016445</v>
      </c>
      <c r="AB186" s="528" t="s">
        <v>897</v>
      </c>
      <c r="AC186" s="528" t="s">
        <v>502</v>
      </c>
      <c r="AD186" s="534">
        <v>46173</v>
      </c>
      <c r="AE186" s="535">
        <v>0.1</v>
      </c>
      <c r="AF186" s="536">
        <v>250</v>
      </c>
      <c r="AG186" s="537">
        <f t="shared" si="397"/>
        <v>225</v>
      </c>
      <c r="AH186" s="434" t="s">
        <v>215</v>
      </c>
      <c r="AI186" s="537">
        <v>1590</v>
      </c>
      <c r="AJ186" s="537">
        <f t="shared" si="390"/>
        <v>397500</v>
      </c>
      <c r="AK186" s="434" t="s">
        <v>249</v>
      </c>
      <c r="AL186" s="434" t="s">
        <v>780</v>
      </c>
      <c r="AM186" s="535">
        <v>0.1</v>
      </c>
      <c r="AN186" s="538">
        <v>0.88</v>
      </c>
      <c r="AO186" s="538">
        <v>0.02</v>
      </c>
      <c r="AP186" s="539" t="s">
        <v>218</v>
      </c>
      <c r="AQ186" s="540" t="s">
        <v>354</v>
      </c>
      <c r="AR186" s="540" t="s">
        <v>781</v>
      </c>
      <c r="AS186" s="541">
        <v>5</v>
      </c>
      <c r="AT186" s="434" t="s">
        <v>220</v>
      </c>
      <c r="AU186" s="434" t="s">
        <v>220</v>
      </c>
      <c r="AV186" s="434" t="s">
        <v>220</v>
      </c>
      <c r="AW186" s="542"/>
      <c r="AX186" s="434"/>
      <c r="AY186" s="543">
        <v>46172</v>
      </c>
      <c r="AZ186" s="544">
        <f t="shared" si="411"/>
        <v>39750</v>
      </c>
      <c r="BA186" s="540"/>
      <c r="BB186" s="530"/>
      <c r="BC186" s="530"/>
      <c r="BD186" s="530"/>
      <c r="BE186" s="530"/>
      <c r="BF186" s="530"/>
      <c r="BG186" s="540"/>
      <c r="BH186" s="540"/>
      <c r="BI186" s="434"/>
      <c r="BJ186" s="545"/>
      <c r="BK186" s="540"/>
      <c r="BL186" s="529"/>
      <c r="BM186" s="540"/>
      <c r="BN186" s="433"/>
      <c r="BO186" s="540"/>
      <c r="BP186" s="546" t="s">
        <v>278</v>
      </c>
      <c r="BQ186" s="547" t="s">
        <v>409</v>
      </c>
      <c r="BR186" s="548"/>
      <c r="BS186" s="530"/>
      <c r="BT186" s="530"/>
      <c r="BU186" s="548">
        <f>BI186*AF186</f>
        <v>0</v>
      </c>
      <c r="BV186" s="530"/>
      <c r="BW186" s="530"/>
      <c r="BX186" s="530"/>
      <c r="BY186" s="530"/>
      <c r="BZ186" s="530"/>
      <c r="CA186" s="530"/>
      <c r="CB186" s="530"/>
      <c r="CC186" s="528"/>
      <c r="CD186" s="528"/>
      <c r="CE186" s="530" t="str">
        <f t="shared" si="398"/>
        <v>No OBL Yet</v>
      </c>
      <c r="CF186" s="549"/>
      <c r="CG186" s="530"/>
      <c r="CH186" s="433"/>
      <c r="CI186" s="550"/>
      <c r="CJ186" s="550"/>
      <c r="CK186" s="433" t="str">
        <f t="shared" si="412"/>
        <v>No CERTS Yet</v>
      </c>
      <c r="CL186" s="551"/>
      <c r="CM186" s="433"/>
      <c r="CO186" s="552"/>
      <c r="CP186" s="553"/>
      <c r="CQ186" s="554">
        <f t="shared" si="413"/>
        <v>-39750</v>
      </c>
      <c r="CR186" s="552"/>
      <c r="CS186" s="555"/>
      <c r="CT186" s="433"/>
      <c r="CU186" s="556"/>
      <c r="CV186" s="433"/>
      <c r="CW186" s="557"/>
      <c r="CX186" s="558"/>
      <c r="CY186" s="559"/>
      <c r="CZ186" s="433"/>
      <c r="DA186" s="552"/>
      <c r="DB186" s="433"/>
      <c r="DC186" s="557"/>
      <c r="DD186" s="433"/>
      <c r="DE186" s="555"/>
      <c r="DF186" s="433"/>
      <c r="DG186" s="433"/>
      <c r="DH186" s="555"/>
      <c r="DI186" s="552"/>
      <c r="DJ186" s="552"/>
      <c r="DK186" s="555"/>
      <c r="DL186" s="555"/>
      <c r="DM186" s="433"/>
      <c r="DN186" s="433"/>
      <c r="DO186" s="433"/>
      <c r="DP186" s="433"/>
      <c r="DQ186" s="433"/>
      <c r="DR186" s="433"/>
      <c r="DS186" s="433"/>
      <c r="DT186" s="433"/>
      <c r="DU186" s="433"/>
      <c r="DW186" s="433"/>
      <c r="DX186" s="433"/>
      <c r="DY186" s="433" t="s">
        <v>230</v>
      </c>
      <c r="DZ186" s="433"/>
      <c r="EA186" s="434"/>
      <c r="EB186" s="434"/>
      <c r="EC186" s="434"/>
      <c r="ED186" s="548"/>
      <c r="EE186" s="537"/>
      <c r="EF186" s="542"/>
      <c r="EG186" s="542"/>
      <c r="EH186" s="2" t="s">
        <v>231</v>
      </c>
      <c r="EI186" s="542"/>
      <c r="EJ186" s="560"/>
      <c r="EK186" s="548"/>
      <c r="EL186" s="561"/>
      <c r="EM186" s="561"/>
      <c r="EN186" s="562"/>
      <c r="EO186" s="433"/>
      <c r="EP186" s="548"/>
      <c r="EQ186" s="548"/>
      <c r="ER186" s="548"/>
      <c r="ES186" s="433"/>
      <c r="ET186" s="532"/>
      <c r="EU186" s="433"/>
      <c r="EV186" s="433" t="str">
        <f t="shared" si="414"/>
        <v>Yet to load</v>
      </c>
      <c r="EW186" s="563"/>
      <c r="EX186" s="548"/>
      <c r="EY186" s="532"/>
      <c r="EZ186" s="564"/>
      <c r="FA186" s="565"/>
      <c r="FB186" s="565"/>
      <c r="FC186" s="566"/>
      <c r="FD186" s="565"/>
      <c r="FE186" s="565"/>
      <c r="FF186" s="565"/>
      <c r="FG186" s="565"/>
      <c r="FH186" s="565"/>
      <c r="FI186" s="565"/>
      <c r="FJ186" s="565"/>
      <c r="FK186" s="565"/>
      <c r="FL186" s="565"/>
      <c r="FM186" s="567"/>
      <c r="FN186" s="567"/>
      <c r="FO186" s="434"/>
      <c r="FP186" s="434"/>
      <c r="FQ186" s="434"/>
      <c r="FR186" s="434"/>
      <c r="FS186" s="567">
        <f>Y186</f>
        <v>20010426</v>
      </c>
      <c r="FT186" s="567">
        <f>AA186</f>
        <v>32016445</v>
      </c>
      <c r="FU186" s="434"/>
      <c r="FV186" s="537"/>
      <c r="FW186" s="434"/>
      <c r="FX186" s="528"/>
      <c r="FY186" s="434"/>
      <c r="FZ186" s="434"/>
      <c r="GA186" s="434"/>
      <c r="GB186" s="434"/>
      <c r="GC186" s="434"/>
      <c r="GD186" s="434"/>
      <c r="GE186" s="434"/>
      <c r="GF186" s="434"/>
      <c r="GG186" s="434"/>
      <c r="GH186" s="434"/>
      <c r="GI186" s="434"/>
      <c r="GJ186" s="434"/>
      <c r="GK186" s="434"/>
      <c r="GL186" s="434"/>
      <c r="GM186" s="434"/>
      <c r="GN186" s="434"/>
    </row>
    <row r="187" spans="1:197" s="332" customFormat="1" ht="33.950000000000003">
      <c r="A187" s="330" t="str">
        <f t="shared" si="391"/>
        <v>SC Raised, Advance Pending</v>
      </c>
      <c r="B187" s="331">
        <v>47</v>
      </c>
      <c r="C187" s="331">
        <v>200</v>
      </c>
      <c r="D187" s="332" t="s">
        <v>208</v>
      </c>
      <c r="E187" s="330" t="str">
        <f t="shared" si="392"/>
        <v>SHORT POSITION</v>
      </c>
      <c r="F187" s="333">
        <f t="shared" si="417"/>
        <v>32016436</v>
      </c>
      <c r="G187" s="333"/>
      <c r="H187" s="330" t="str">
        <f t="shared" si="415"/>
        <v xml:space="preserve">KHAI HUNG COMPANY LIMITED </v>
      </c>
      <c r="I187" s="329" t="s">
        <v>245</v>
      </c>
      <c r="J187" s="330" t="s">
        <v>347</v>
      </c>
      <c r="K187" s="330" t="str">
        <f t="shared" si="393"/>
        <v>HCMC, VIETNAM</v>
      </c>
      <c r="L187" s="330" t="str">
        <f t="shared" ref="L187:L197" si="418">IF(BI187&lt;&gt;0,BI187,"")</f>
        <v/>
      </c>
      <c r="M187" s="330"/>
      <c r="N187" s="286"/>
      <c r="O187" s="286"/>
      <c r="P187" s="286"/>
      <c r="Q187" s="330"/>
      <c r="R187" s="330"/>
      <c r="S187" s="330" t="str">
        <f t="shared" si="410"/>
        <v/>
      </c>
      <c r="T187" s="330" t="str">
        <f>IFERROR(_xlfn.XLOOKUP(F187,
'[2]Data 2026'!$H$12:$H$111,
'[2]Data 2026'!$CL$12:$CL$111),"")</f>
        <v/>
      </c>
      <c r="U187" s="572" t="s">
        <v>898</v>
      </c>
      <c r="V187" s="334"/>
      <c r="W187" s="572" t="s">
        <v>898</v>
      </c>
      <c r="X187" s="573">
        <v>46167</v>
      </c>
      <c r="Y187" s="356">
        <v>20010427</v>
      </c>
      <c r="Z187" s="573">
        <v>46167</v>
      </c>
      <c r="AA187" s="332">
        <v>32016436</v>
      </c>
      <c r="AB187" s="332" t="s">
        <v>899</v>
      </c>
      <c r="AC187" s="484" t="s">
        <v>900</v>
      </c>
      <c r="AD187" s="484">
        <v>46203</v>
      </c>
      <c r="AE187" s="485">
        <v>0.1</v>
      </c>
      <c r="AF187" s="512">
        <v>200</v>
      </c>
      <c r="AG187" s="338">
        <f t="shared" si="397"/>
        <v>180</v>
      </c>
      <c r="AH187" s="329" t="s">
        <v>215</v>
      </c>
      <c r="AI187" s="338">
        <v>1480</v>
      </c>
      <c r="AJ187" s="338">
        <f t="shared" si="390"/>
        <v>296000</v>
      </c>
      <c r="AK187" s="329" t="s">
        <v>249</v>
      </c>
      <c r="AL187" s="329" t="s">
        <v>238</v>
      </c>
      <c r="AM187" s="574">
        <v>0.1</v>
      </c>
      <c r="AN187" s="357">
        <v>1</v>
      </c>
      <c r="AO187" s="357">
        <v>0</v>
      </c>
      <c r="AP187" s="358" t="s">
        <v>218</v>
      </c>
      <c r="AQ187" s="335" t="s">
        <v>370</v>
      </c>
      <c r="AR187" s="335" t="s">
        <v>251</v>
      </c>
      <c r="AS187" s="359"/>
      <c r="AT187" s="329" t="s">
        <v>220</v>
      </c>
      <c r="AU187" s="329" t="s">
        <v>220</v>
      </c>
      <c r="AV187" s="329" t="s">
        <v>220</v>
      </c>
      <c r="AW187" s="351"/>
      <c r="AX187" s="329"/>
      <c r="AY187" s="360"/>
      <c r="AZ187" s="575">
        <f t="shared" si="411"/>
        <v>29600</v>
      </c>
      <c r="BA187" s="335"/>
      <c r="BB187" s="286"/>
      <c r="BC187" s="286"/>
      <c r="BD187" s="286"/>
      <c r="BE187" s="286"/>
      <c r="BF187" s="286"/>
      <c r="BG187" s="335"/>
      <c r="BH187" s="335"/>
      <c r="BI187" s="329"/>
      <c r="BJ187" s="487"/>
      <c r="BK187" s="336"/>
      <c r="BL187" s="501"/>
      <c r="BM187" s="335"/>
      <c r="BN187" s="338"/>
      <c r="BO187" s="335"/>
      <c r="BP187" s="329" t="s">
        <v>245</v>
      </c>
      <c r="BQ187" s="339" t="s">
        <v>409</v>
      </c>
      <c r="BR187" s="330"/>
      <c r="BS187" s="330"/>
      <c r="BT187" s="330"/>
      <c r="BU187" s="330"/>
      <c r="BV187" s="340"/>
      <c r="BW187" s="341"/>
      <c r="BX187" s="336"/>
      <c r="BY187" s="286"/>
      <c r="BZ187" s="286"/>
      <c r="CA187" s="286"/>
      <c r="CB187" s="286"/>
      <c r="CC187" s="286"/>
      <c r="CD187" s="286"/>
      <c r="CE187" s="286"/>
      <c r="CF187" s="286"/>
      <c r="CG187" s="286"/>
      <c r="CK187" s="330"/>
      <c r="CL187" s="342"/>
      <c r="CM187" s="286"/>
      <c r="CN187" s="343"/>
      <c r="CO187" s="343"/>
      <c r="CP187" s="343" t="str">
        <f>IF(CO187&lt;&gt;0,"Docs in Buyer's Bank",IF(CN187&lt;&gt;0,"Docs in Transit to Buyer's Bank",IF(CM187&lt;&gt;0,"Docs in Our Bank",IF(CL187="TT PAYMENT","Not Applicable",""))))</f>
        <v/>
      </c>
      <c r="CQ187" s="488">
        <f t="shared" si="413"/>
        <v>-29600</v>
      </c>
      <c r="CR187" s="344"/>
      <c r="CS187" s="330"/>
      <c r="CT187" s="330"/>
      <c r="CU187" s="345" t="str">
        <f>IF(CS187="","",BJ187-CT187)</f>
        <v/>
      </c>
      <c r="CV187" s="489" t="str">
        <f>IF(CS187="","",CU187/BJ187)</f>
        <v/>
      </c>
      <c r="CW187" s="345" t="str">
        <f>IF(CS187="","",AZ187+CQ187)</f>
        <v/>
      </c>
      <c r="CX187" s="345" t="str">
        <f>IF(CS187="","",BX187*2%)</f>
        <v/>
      </c>
      <c r="CY187" s="346" t="str">
        <f>IF(CS187="","",AI187/B187)</f>
        <v/>
      </c>
      <c r="CZ187" s="330"/>
      <c r="DA187" s="347" t="str">
        <f>IF(CS187="","",B187-CZ187)</f>
        <v/>
      </c>
      <c r="DB187" s="330"/>
      <c r="DC187" s="490" t="str">
        <f>IF(CS187="","",IF(CS187="","",DB187-C187))</f>
        <v/>
      </c>
      <c r="DD187" s="348"/>
      <c r="DE187" s="349" t="str">
        <f>IF(CS187="","",10%-DD187)</f>
        <v/>
      </c>
      <c r="DF187" s="330" t="str">
        <f>IF(CS187="","",CU187*AI187)</f>
        <v/>
      </c>
      <c r="DG187" s="345" t="str">
        <f>IF(CS187="","",IF(DA187&gt;2,2*DA187*CT187*CY187,DA187*CT187*CY187))</f>
        <v/>
      </c>
      <c r="DH187" s="330" t="str">
        <f>IF(CS187="","",IF(DA187&gt;2,2*(DA187-2*CT187*CY187),0))</f>
        <v/>
      </c>
      <c r="DI187" s="490" t="str">
        <f>IF(CS187="","",IF(DC187&gt;0,DC187*0.5*CT187,0))</f>
        <v/>
      </c>
      <c r="DJ187" s="330" t="str">
        <f>IF(CS187="","",IF(DE187&lt;0,DE187*CT187*AI187*10%,0))</f>
        <v/>
      </c>
      <c r="DK187" s="346" t="str">
        <f>IF(CS187="","",SUM(DF187:DJ187))</f>
        <v/>
      </c>
      <c r="DL187" s="330"/>
      <c r="DM187" s="330"/>
      <c r="DN187" s="346" t="str">
        <f>IF(CS187="","",SUM(DK187:DL187))</f>
        <v/>
      </c>
      <c r="DO187" s="345" t="str">
        <f>IF(CS187="","",BJ187*AI187-DN187)</f>
        <v/>
      </c>
      <c r="DP187" s="345" t="str">
        <f>IF(CS187="","",AZ187+CQ187)</f>
        <v/>
      </c>
      <c r="DQ187" s="346" t="str">
        <f>IF(CS187="","",IF((DP187-DO187)&gt;0,DP187-DO187,""))</f>
        <v/>
      </c>
      <c r="DR187" s="346" t="str">
        <f>IF(CS187="","",IF((DO187-DP187)&gt;0,(DO187-DP187),""))</f>
        <v/>
      </c>
      <c r="DS187" s="330" t="str">
        <f>IF(CS187="","",IF(DQ187="",H187,"VALENCY"))</f>
        <v/>
      </c>
      <c r="DT187" s="330" t="str">
        <f>IF(DN187="","",IF(DN187&gt;0,"CN", "DN"))</f>
        <v/>
      </c>
      <c r="DU187" s="330"/>
      <c r="DV187" s="330"/>
      <c r="DW187" s="330"/>
      <c r="DX187" s="330"/>
      <c r="DY187" s="330" t="s">
        <v>230</v>
      </c>
      <c r="DZ187" s="330"/>
      <c r="EA187" s="330" t="str">
        <f>IF(CS187="","",
   MIN(0,(IF(DA187&gt;2,2,1)*DA187*CT187*CY187))
)</f>
        <v/>
      </c>
      <c r="EB187" s="330"/>
      <c r="EC187" s="330"/>
      <c r="ED187" s="330"/>
      <c r="EE187" s="329"/>
      <c r="EF187" s="350"/>
      <c r="EG187" s="329"/>
      <c r="EH187" s="3" t="s">
        <v>257</v>
      </c>
      <c r="EI187" s="329"/>
      <c r="EJ187" s="336"/>
      <c r="EK187" s="338"/>
      <c r="EL187" s="351"/>
      <c r="EM187" s="351"/>
      <c r="EN187" s="336">
        <f>EK187*EJ187</f>
        <v>0</v>
      </c>
      <c r="EO187" s="351"/>
      <c r="EP187" s="513"/>
      <c r="EQ187" s="338"/>
      <c r="ER187" s="338"/>
      <c r="ES187" s="350"/>
      <c r="ET187" s="350"/>
      <c r="EU187" s="352"/>
      <c r="EV187" s="330"/>
      <c r="EW187" s="336"/>
      <c r="EX187" s="336"/>
      <c r="EY187" s="336"/>
      <c r="EZ187" s="337"/>
      <c r="FA187" s="330"/>
      <c r="FB187" s="337"/>
      <c r="FC187" s="492"/>
      <c r="FD187" s="336"/>
      <c r="FE187" s="353"/>
      <c r="FF187" s="353"/>
      <c r="FG187" s="354"/>
      <c r="FH187" s="354"/>
      <c r="FI187" s="354"/>
      <c r="FJ187" s="354"/>
      <c r="FK187" s="354"/>
      <c r="FL187" s="354"/>
      <c r="FM187" s="355"/>
      <c r="FN187" s="354"/>
      <c r="FO187" s="354"/>
      <c r="FP187" s="354"/>
      <c r="FQ187" s="354"/>
      <c r="FR187" s="354"/>
      <c r="FS187" s="493">
        <f t="shared" ref="FS187:FS188" si="419">Y187</f>
        <v>20010427</v>
      </c>
      <c r="FT187" s="493">
        <f t="shared" ref="FT187:FT188" si="420">AA187</f>
        <v>32016436</v>
      </c>
      <c r="FU187" s="329"/>
      <c r="FV187" s="329"/>
      <c r="FW187" s="329"/>
      <c r="FX187" s="329"/>
      <c r="FY187" s="329"/>
      <c r="FZ187" s="329"/>
      <c r="GA187" s="329"/>
      <c r="GB187" s="338"/>
      <c r="GC187" s="329"/>
      <c r="GE187" s="330"/>
      <c r="GF187" s="330"/>
      <c r="GG187" s="330"/>
      <c r="GH187" s="330"/>
      <c r="GI187" s="330"/>
      <c r="GJ187" s="330"/>
      <c r="GK187" s="330"/>
      <c r="GL187" s="330"/>
      <c r="GM187" s="330"/>
      <c r="GN187" s="330"/>
    </row>
    <row r="188" spans="1:197" s="332" customFormat="1" ht="33.950000000000003">
      <c r="A188" s="330" t="str">
        <f t="shared" si="391"/>
        <v>SC Raised, Advance Pending</v>
      </c>
      <c r="B188" s="331">
        <v>46</v>
      </c>
      <c r="C188" s="331">
        <v>200</v>
      </c>
      <c r="D188" s="332" t="s">
        <v>208</v>
      </c>
      <c r="E188" s="330" t="str">
        <f t="shared" si="392"/>
        <v>SHORT POSITION</v>
      </c>
      <c r="F188" s="333">
        <f t="shared" si="417"/>
        <v>32016437</v>
      </c>
      <c r="G188" s="333"/>
      <c r="H188" s="330" t="str">
        <f t="shared" si="415"/>
        <v xml:space="preserve">KHAI HUNG COMPANY LIMITED </v>
      </c>
      <c r="I188" s="329" t="s">
        <v>245</v>
      </c>
      <c r="J188" s="330" t="s">
        <v>347</v>
      </c>
      <c r="K188" s="330" t="str">
        <f t="shared" si="393"/>
        <v>HCMC, VIETNAM</v>
      </c>
      <c r="L188" s="330" t="str">
        <f t="shared" si="418"/>
        <v/>
      </c>
      <c r="M188" s="330"/>
      <c r="N188" s="286"/>
      <c r="O188" s="286"/>
      <c r="P188" s="286"/>
      <c r="Q188" s="330"/>
      <c r="R188" s="330"/>
      <c r="S188" s="330" t="str">
        <f t="shared" si="410"/>
        <v/>
      </c>
      <c r="T188" s="330" t="str">
        <f>IFERROR(_xlfn.XLOOKUP(F188,
'[2]Data 2026'!$H$12:$H$111,
'[2]Data 2026'!$CL$12:$CL$111),"")</f>
        <v/>
      </c>
      <c r="U188" s="572" t="s">
        <v>898</v>
      </c>
      <c r="V188" s="334"/>
      <c r="W188" s="572" t="s">
        <v>898</v>
      </c>
      <c r="X188" s="573">
        <v>46167</v>
      </c>
      <c r="Y188" s="356">
        <v>20010428</v>
      </c>
      <c r="Z188" s="573">
        <v>46167</v>
      </c>
      <c r="AA188" s="332">
        <v>32016437</v>
      </c>
      <c r="AB188" s="332" t="s">
        <v>899</v>
      </c>
      <c r="AC188" s="484" t="s">
        <v>900</v>
      </c>
      <c r="AD188" s="484">
        <v>46203</v>
      </c>
      <c r="AE188" s="485">
        <v>0.1</v>
      </c>
      <c r="AF188" s="512">
        <v>150</v>
      </c>
      <c r="AG188" s="338">
        <f t="shared" si="397"/>
        <v>135</v>
      </c>
      <c r="AH188" s="329" t="s">
        <v>215</v>
      </c>
      <c r="AI188" s="338">
        <v>1455</v>
      </c>
      <c r="AJ188" s="338">
        <f t="shared" si="390"/>
        <v>218250</v>
      </c>
      <c r="AK188" s="329" t="s">
        <v>249</v>
      </c>
      <c r="AL188" s="329" t="s">
        <v>238</v>
      </c>
      <c r="AM188" s="574">
        <v>0.1</v>
      </c>
      <c r="AN188" s="357">
        <v>1</v>
      </c>
      <c r="AO188" s="357">
        <v>0</v>
      </c>
      <c r="AP188" s="358" t="s">
        <v>218</v>
      </c>
      <c r="AQ188" s="335" t="s">
        <v>370</v>
      </c>
      <c r="AR188" s="335" t="s">
        <v>251</v>
      </c>
      <c r="AS188" s="359"/>
      <c r="AT188" s="329" t="s">
        <v>220</v>
      </c>
      <c r="AU188" s="329" t="s">
        <v>220</v>
      </c>
      <c r="AV188" s="329" t="s">
        <v>220</v>
      </c>
      <c r="AW188" s="351"/>
      <c r="AX188" s="329"/>
      <c r="AY188" s="360"/>
      <c r="AZ188" s="575">
        <f t="shared" si="411"/>
        <v>21825</v>
      </c>
      <c r="BA188" s="335"/>
      <c r="BB188" s="286"/>
      <c r="BC188" s="286"/>
      <c r="BD188" s="286"/>
      <c r="BE188" s="286"/>
      <c r="BF188" s="286"/>
      <c r="BG188" s="335"/>
      <c r="BH188" s="335"/>
      <c r="BI188" s="329"/>
      <c r="BJ188" s="487"/>
      <c r="BK188" s="336"/>
      <c r="BL188" s="501"/>
      <c r="BM188" s="335"/>
      <c r="BN188" s="338"/>
      <c r="BO188" s="335"/>
      <c r="BP188" s="329" t="s">
        <v>245</v>
      </c>
      <c r="BQ188" s="339" t="s">
        <v>409</v>
      </c>
      <c r="BR188" s="330"/>
      <c r="BS188" s="330"/>
      <c r="BT188" s="330"/>
      <c r="BU188" s="330"/>
      <c r="BV188" s="340"/>
      <c r="BW188" s="341"/>
      <c r="BX188" s="336"/>
      <c r="BY188" s="286"/>
      <c r="BZ188" s="286"/>
      <c r="CA188" s="286"/>
      <c r="CB188" s="286"/>
      <c r="CC188" s="286"/>
      <c r="CD188" s="286"/>
      <c r="CE188" s="286"/>
      <c r="CF188" s="286"/>
      <c r="CG188" s="286"/>
      <c r="CK188" s="330"/>
      <c r="CL188" s="342"/>
      <c r="CM188" s="286"/>
      <c r="CN188" s="343"/>
      <c r="CO188" s="343"/>
      <c r="CP188" s="343" t="str">
        <f>IF(CO188&lt;&gt;0,"Docs in Buyer's Bank",IF(CN188&lt;&gt;0,"Docs in Transit to Buyer's Bank",IF(CM188&lt;&gt;0,"Docs in Our Bank",IF(CL188="TT PAYMENT","Not Applicable",""))))</f>
        <v/>
      </c>
      <c r="CQ188" s="488">
        <f t="shared" si="413"/>
        <v>-21825</v>
      </c>
      <c r="CR188" s="344"/>
      <c r="CS188" s="330"/>
      <c r="CT188" s="330"/>
      <c r="CU188" s="345" t="str">
        <f>IF(CS188="","",BJ188-CT188)</f>
        <v/>
      </c>
      <c r="CV188" s="489" t="str">
        <f>IF(CS188="","",CU188/BJ188)</f>
        <v/>
      </c>
      <c r="CW188" s="345" t="str">
        <f>IF(CS188="","",AZ188+CQ188)</f>
        <v/>
      </c>
      <c r="CX188" s="345" t="str">
        <f>IF(CS188="","",BX188*2%)</f>
        <v/>
      </c>
      <c r="CY188" s="346" t="str">
        <f>IF(CS188="","",AI188/B188)</f>
        <v/>
      </c>
      <c r="CZ188" s="330"/>
      <c r="DA188" s="347" t="str">
        <f>IF(CS188="","",B188-CZ188)</f>
        <v/>
      </c>
      <c r="DB188" s="330"/>
      <c r="DC188" s="490" t="str">
        <f>IF(CS188="","",IF(CS188="","",DB188-C188))</f>
        <v/>
      </c>
      <c r="DD188" s="348"/>
      <c r="DE188" s="349" t="str">
        <f>IF(CS188="","",10%-DD188)</f>
        <v/>
      </c>
      <c r="DF188" s="330" t="str">
        <f>IF(CS188="","",CU188*AI188)</f>
        <v/>
      </c>
      <c r="DG188" s="345" t="str">
        <f>IF(CS188="","",IF(DA188&gt;2,2*DA188*CT188*CY188,DA188*CT188*CY188))</f>
        <v/>
      </c>
      <c r="DH188" s="330" t="str">
        <f>IF(CS188="","",IF(DA188&gt;2,2*(DA188-2*CT188*CY188),0))</f>
        <v/>
      </c>
      <c r="DI188" s="490" t="str">
        <f>IF(CS188="","",IF(DC188&gt;0,DC188*0.5*CT188,0))</f>
        <v/>
      </c>
      <c r="DJ188" s="330" t="str">
        <f>IF(CS188="","",IF(DE188&lt;0,DE188*CT188*AI188*10%,0))</f>
        <v/>
      </c>
      <c r="DK188" s="346" t="str">
        <f>IF(CS188="","",SUM(DF188:DJ188))</f>
        <v/>
      </c>
      <c r="DL188" s="330"/>
      <c r="DM188" s="330"/>
      <c r="DN188" s="346" t="str">
        <f>IF(CS188="","",SUM(DK188:DL188))</f>
        <v/>
      </c>
      <c r="DO188" s="345" t="str">
        <f>IF(CS188="","",BJ188*AI188-DN188)</f>
        <v/>
      </c>
      <c r="DP188" s="345" t="str">
        <f>IF(CS188="","",AZ188+CQ188)</f>
        <v/>
      </c>
      <c r="DQ188" s="346" t="str">
        <f>IF(CS188="","",IF((DP188-DO188)&gt;0,DP188-DO188,""))</f>
        <v/>
      </c>
      <c r="DR188" s="346" t="str">
        <f>IF(CS188="","",IF((DO188-DP188)&gt;0,(DO188-DP188),""))</f>
        <v/>
      </c>
      <c r="DS188" s="330" t="str">
        <f>IF(CS188="","",IF(DQ188="",H188,"VALENCY"))</f>
        <v/>
      </c>
      <c r="DT188" s="330" t="str">
        <f>IF(DN188="","",IF(DN188&gt;0,"CN", "DN"))</f>
        <v/>
      </c>
      <c r="DU188" s="330"/>
      <c r="DV188" s="330"/>
      <c r="DW188" s="330"/>
      <c r="DX188" s="330"/>
      <c r="DY188" s="330" t="s">
        <v>230</v>
      </c>
      <c r="DZ188" s="330"/>
      <c r="EA188" s="330" t="str">
        <f>IF(CS188="","",
   MIN(0,(IF(DA188&gt;2,2,1)*DA188*CT188*CY188))
)</f>
        <v/>
      </c>
      <c r="EB188" s="330"/>
      <c r="EC188" s="330"/>
      <c r="ED188" s="330"/>
      <c r="EE188" s="329"/>
      <c r="EF188" s="350"/>
      <c r="EG188" s="329"/>
      <c r="EH188" s="3" t="s">
        <v>257</v>
      </c>
      <c r="EI188" s="329"/>
      <c r="EJ188" s="336"/>
      <c r="EK188" s="338"/>
      <c r="EL188" s="351"/>
      <c r="EM188" s="351"/>
      <c r="EN188" s="336">
        <f>EK188*EJ188</f>
        <v>0</v>
      </c>
      <c r="EO188" s="351"/>
      <c r="EP188" s="513"/>
      <c r="EQ188" s="338"/>
      <c r="ER188" s="338"/>
      <c r="ES188" s="350"/>
      <c r="ET188" s="350"/>
      <c r="EU188" s="352"/>
      <c r="EV188" s="330"/>
      <c r="EW188" s="336"/>
      <c r="EX188" s="336"/>
      <c r="EY188" s="336"/>
      <c r="EZ188" s="337"/>
      <c r="FA188" s="330"/>
      <c r="FB188" s="337"/>
      <c r="FC188" s="492"/>
      <c r="FD188" s="336"/>
      <c r="FE188" s="353"/>
      <c r="FF188" s="353"/>
      <c r="FG188" s="354"/>
      <c r="FH188" s="354"/>
      <c r="FI188" s="354"/>
      <c r="FJ188" s="354"/>
      <c r="FK188" s="354"/>
      <c r="FL188" s="354"/>
      <c r="FM188" s="355"/>
      <c r="FN188" s="354"/>
      <c r="FO188" s="354"/>
      <c r="FP188" s="354"/>
      <c r="FQ188" s="354"/>
      <c r="FR188" s="354"/>
      <c r="FS188" s="493">
        <f t="shared" si="419"/>
        <v>20010428</v>
      </c>
      <c r="FT188" s="493">
        <f t="shared" si="420"/>
        <v>32016437</v>
      </c>
      <c r="FU188" s="329"/>
      <c r="FV188" s="329"/>
      <c r="FW188" s="329"/>
      <c r="FX188" s="329"/>
      <c r="FY188" s="329"/>
      <c r="FZ188" s="329"/>
      <c r="GA188" s="329"/>
      <c r="GB188" s="338"/>
      <c r="GC188" s="329"/>
      <c r="GE188" s="330"/>
      <c r="GF188" s="330"/>
      <c r="GG188" s="330"/>
      <c r="GH188" s="330"/>
      <c r="GI188" s="330"/>
      <c r="GJ188" s="330"/>
      <c r="GK188" s="330"/>
      <c r="GL188" s="330"/>
      <c r="GM188" s="330"/>
      <c r="GN188" s="330"/>
    </row>
    <row r="189" spans="1:197" s="332" customFormat="1" ht="33.950000000000003">
      <c r="A189" s="330" t="str">
        <f t="shared" si="391"/>
        <v>SC Raised, Advance Pending</v>
      </c>
      <c r="B189" s="331">
        <v>45</v>
      </c>
      <c r="C189" s="331">
        <v>200</v>
      </c>
      <c r="D189" s="332" t="s">
        <v>208</v>
      </c>
      <c r="E189" s="330" t="str">
        <f t="shared" si="392"/>
        <v>SHORT POSITION</v>
      </c>
      <c r="F189" s="333">
        <f t="shared" si="417"/>
        <v>32016438</v>
      </c>
      <c r="G189" s="333"/>
      <c r="H189" s="330" t="str">
        <f t="shared" si="415"/>
        <v>TERRA NUTS GROUP JOINT STOCK COMPANY</v>
      </c>
      <c r="I189" s="329" t="s">
        <v>259</v>
      </c>
      <c r="J189" s="330" t="s">
        <v>347</v>
      </c>
      <c r="K189" s="330" t="str">
        <f t="shared" si="393"/>
        <v>HCMC, VIETNAM</v>
      </c>
      <c r="L189" s="330" t="str">
        <f t="shared" si="418"/>
        <v/>
      </c>
      <c r="M189" s="330" t="str">
        <f t="shared" ref="M189:M197" si="421">IF(BJ189&lt;&gt;0,BJ189,"")</f>
        <v/>
      </c>
      <c r="N189" s="286" t="str">
        <f t="shared" ref="N189:N197" si="422">IF(BM189&lt;&gt;0,BM189,"")</f>
        <v/>
      </c>
      <c r="O189" s="286" t="str">
        <f t="shared" ref="O189:O197" si="423">IF(BO189&lt;&gt;0,BO189,"")</f>
        <v/>
      </c>
      <c r="P189" s="286" t="str">
        <f t="shared" ref="P189:P197" si="424">CE189</f>
        <v>No OBL Yet</v>
      </c>
      <c r="Q189" s="330"/>
      <c r="R189" s="330" t="str">
        <f t="shared" ref="R189:R197" si="425">CK189</f>
        <v>No CERTS Yet</v>
      </c>
      <c r="S189" s="330">
        <f t="shared" si="410"/>
        <v>0</v>
      </c>
      <c r="T189" s="330"/>
      <c r="U189" s="572" t="s">
        <v>898</v>
      </c>
      <c r="V189" s="334"/>
      <c r="W189" s="572" t="s">
        <v>898</v>
      </c>
      <c r="X189" s="573">
        <v>46167</v>
      </c>
      <c r="Y189" s="356">
        <v>20010429</v>
      </c>
      <c r="Z189" s="573">
        <v>46167</v>
      </c>
      <c r="AA189" s="332">
        <v>32016438</v>
      </c>
      <c r="AB189" s="334" t="s">
        <v>577</v>
      </c>
      <c r="AC189" s="332" t="s">
        <v>900</v>
      </c>
      <c r="AD189" s="484">
        <v>46203</v>
      </c>
      <c r="AE189" s="485">
        <v>0.1</v>
      </c>
      <c r="AF189" s="512">
        <v>500</v>
      </c>
      <c r="AG189" s="338">
        <f t="shared" si="397"/>
        <v>450</v>
      </c>
      <c r="AH189" s="329" t="s">
        <v>215</v>
      </c>
      <c r="AI189" s="338">
        <v>1405</v>
      </c>
      <c r="AJ189" s="338">
        <f t="shared" si="390"/>
        <v>702500</v>
      </c>
      <c r="AK189" s="329" t="s">
        <v>249</v>
      </c>
      <c r="AL189" s="329" t="s">
        <v>780</v>
      </c>
      <c r="AM189" s="485">
        <v>0.1</v>
      </c>
      <c r="AN189" s="357">
        <v>0.88</v>
      </c>
      <c r="AO189" s="357">
        <v>0.02</v>
      </c>
      <c r="AP189" s="358" t="s">
        <v>218</v>
      </c>
      <c r="AQ189" s="335" t="s">
        <v>354</v>
      </c>
      <c r="AR189" s="335" t="s">
        <v>251</v>
      </c>
      <c r="AS189" s="359"/>
      <c r="AT189" s="329" t="s">
        <v>220</v>
      </c>
      <c r="AU189" s="329" t="s">
        <v>220</v>
      </c>
      <c r="AV189" s="329" t="s">
        <v>220</v>
      </c>
      <c r="AW189" s="351"/>
      <c r="AX189" s="329"/>
      <c r="AY189" s="360">
        <v>46174</v>
      </c>
      <c r="AZ189" s="486">
        <f t="shared" si="411"/>
        <v>70250</v>
      </c>
      <c r="BA189" s="335"/>
      <c r="BB189" s="286"/>
      <c r="BC189" s="286"/>
      <c r="BD189" s="286"/>
      <c r="BE189" s="286"/>
      <c r="BF189" s="286"/>
      <c r="BG189" s="335"/>
      <c r="BH189" s="335"/>
      <c r="BI189" s="329"/>
      <c r="BJ189" s="487"/>
      <c r="BK189" s="335"/>
      <c r="BL189" s="333"/>
      <c r="BM189" s="335"/>
      <c r="BN189" s="330"/>
      <c r="BO189" s="335"/>
      <c r="BP189" s="340" t="s">
        <v>259</v>
      </c>
      <c r="BQ189" s="339" t="s">
        <v>409</v>
      </c>
      <c r="BR189" s="336"/>
      <c r="BS189" s="286"/>
      <c r="BT189" s="286"/>
      <c r="BU189" s="336">
        <f>BI189*AF189</f>
        <v>0</v>
      </c>
      <c r="BV189" s="286"/>
      <c r="BW189" s="286"/>
      <c r="BX189" s="286"/>
      <c r="BY189" s="286"/>
      <c r="BZ189" s="286"/>
      <c r="CA189" s="286"/>
      <c r="CB189" s="286"/>
      <c r="CE189" s="286" t="str">
        <f t="shared" ref="CE189:CE197" si="426">IF(J189="VIETNAM",
IF(CG189&lt;&gt;"","OBL in Vietnam Office",
IF(CF189&lt;&gt;"","OBL in Transit from Vietnam Office",
IF(CD189&lt;&gt;0,"OBL In Destination - "&amp;J189,
IF(CC189&lt;&gt;0,"OBL in Transit to Destination - "&amp;J189,
IF(CB189&lt;&gt;0,"OBL in SIG Office",
IF(CA189&lt;&gt;0,"OBL in Transit from Origin to SIG",
IF(BZ189&lt;&gt;0,"OBL in Origin - "&amp;I189,
IF(BY189&lt;&gt;0,"Draft Rcvd","No OBL Yet")))))))),
IF(CO189&lt;&gt;0,"OBL In Destination - "&amp;J189,
IF(CM189&lt;&gt;0,"OBL in Transit with Nego Docs - "&amp;J189,
IF(CB189&lt;&gt;0,"OBL in SIG Office",
IF(CA189&lt;&gt;0,"OBL in Transit from Origin to SIG",
IF(BZ189&lt;&gt;0,"OBL in Origin - "&amp;I189,
IF(BY189&lt;&gt;0,"Draft Rcvd","No OBL Yet")))))))</f>
        <v>No OBL Yet</v>
      </c>
      <c r="CF189" s="342"/>
      <c r="CG189" s="286"/>
      <c r="CH189" s="330"/>
      <c r="CI189" s="343"/>
      <c r="CJ189" s="343"/>
      <c r="CK189" s="330" t="str">
        <f t="shared" ref="CK189:CK197" si="427">IF(CJ189&lt;&gt;0,"CERTS in Destination - "&amp;J189,IF(CI189&lt;&gt;0,"CERT in Transit to -"&amp;J189,IF(CH189&lt;&gt;0,"CERT in Origin - "&amp;I189,IF(CH189="","No CERTS Yet"))))</f>
        <v>No CERTS Yet</v>
      </c>
      <c r="CL189" s="344"/>
      <c r="CM189" s="330"/>
      <c r="CN189" s="343"/>
      <c r="CO189" s="345"/>
      <c r="CP189" s="489"/>
      <c r="CQ189" s="488">
        <f t="shared" si="413"/>
        <v>-70250</v>
      </c>
      <c r="CR189" s="345"/>
      <c r="CS189" s="346"/>
      <c r="CT189" s="330"/>
      <c r="CU189" s="347"/>
      <c r="CV189" s="330"/>
      <c r="CW189" s="490"/>
      <c r="CX189" s="348"/>
      <c r="CY189" s="349"/>
      <c r="CZ189" s="330"/>
      <c r="DA189" s="345"/>
      <c r="DB189" s="330"/>
      <c r="DC189" s="490"/>
      <c r="DD189" s="330"/>
      <c r="DE189" s="346"/>
      <c r="DF189" s="330"/>
      <c r="DG189" s="330"/>
      <c r="DH189" s="346"/>
      <c r="DI189" s="345"/>
      <c r="DJ189" s="345"/>
      <c r="DK189" s="346"/>
      <c r="DL189" s="346"/>
      <c r="DM189" s="330"/>
      <c r="DN189" s="330"/>
      <c r="DO189" s="330"/>
      <c r="DP189" s="330"/>
      <c r="DQ189" s="330"/>
      <c r="DR189" s="330"/>
      <c r="DS189" s="330"/>
      <c r="DT189" s="330"/>
      <c r="DU189" s="330"/>
      <c r="DV189" s="270"/>
      <c r="DW189" s="330"/>
      <c r="DX189" s="330"/>
      <c r="DY189" s="330" t="s">
        <v>230</v>
      </c>
      <c r="DZ189" s="330"/>
      <c r="EA189" s="329"/>
      <c r="EB189" s="329"/>
      <c r="EC189" s="329"/>
      <c r="ED189" s="336"/>
      <c r="EE189" s="338"/>
      <c r="EF189" s="351"/>
      <c r="EG189" s="351"/>
      <c r="EH189" s="3" t="s">
        <v>266</v>
      </c>
      <c r="EI189" s="351"/>
      <c r="EJ189" s="513"/>
      <c r="EK189" s="336"/>
      <c r="EL189" s="350"/>
      <c r="EM189" s="350"/>
      <c r="EN189" s="352"/>
      <c r="EO189" s="330"/>
      <c r="EP189" s="336"/>
      <c r="EQ189" s="336"/>
      <c r="ER189" s="336"/>
      <c r="ES189" s="330"/>
      <c r="ET189" s="337"/>
      <c r="EU189" s="330"/>
      <c r="EV189" s="330" t="str">
        <f t="shared" ref="EV189:EV197" si="428">IF(CR189&lt;&gt;0,"Final Pmt Recd",IF(CM189&lt;&gt;0,"Export Loan",IF(BZ189&lt;&gt;0,"Nego Pending",IF(Z189&lt;&gt;0,"Yet to load","Yet to load"))))</f>
        <v>Yet to load</v>
      </c>
      <c r="EW189" s="492"/>
      <c r="EX189" s="336"/>
      <c r="EY189" s="337"/>
      <c r="EZ189" s="353"/>
      <c r="FA189" s="354"/>
      <c r="FB189" s="354"/>
      <c r="FC189" s="355"/>
      <c r="FD189" s="354"/>
      <c r="FE189" s="354"/>
      <c r="FF189" s="354"/>
      <c r="FG189" s="354"/>
      <c r="FH189" s="354"/>
      <c r="FI189" s="354"/>
      <c r="FJ189" s="354"/>
      <c r="FK189" s="354"/>
      <c r="FL189" s="354"/>
      <c r="FM189" s="493"/>
      <c r="FN189" s="493"/>
      <c r="FO189" s="329"/>
      <c r="FP189" s="329"/>
      <c r="FQ189" s="329"/>
      <c r="FR189" s="329"/>
      <c r="FS189" s="493">
        <f t="shared" ref="FS189:FS196" si="429">Y189</f>
        <v>20010429</v>
      </c>
      <c r="FT189" s="493">
        <f t="shared" ref="FT189:FT196" si="430">AA189</f>
        <v>32016438</v>
      </c>
      <c r="FU189" s="329"/>
      <c r="FV189" s="338"/>
      <c r="FW189" s="329"/>
      <c r="FY189" s="329"/>
      <c r="FZ189" s="329"/>
      <c r="GA189" s="329"/>
      <c r="GB189" s="329"/>
      <c r="GC189" s="329"/>
      <c r="GD189" s="329"/>
      <c r="GE189" s="329"/>
      <c r="GF189" s="329"/>
      <c r="GG189" s="329"/>
      <c r="GH189" s="329"/>
      <c r="GI189" s="329"/>
      <c r="GJ189" s="329"/>
      <c r="GK189" s="329"/>
      <c r="GL189" s="329"/>
      <c r="GM189" s="329"/>
      <c r="GN189" s="329"/>
    </row>
    <row r="190" spans="1:197" s="332" customFormat="1" ht="33.950000000000003">
      <c r="A190" s="330" t="str">
        <f t="shared" si="391"/>
        <v>SC Raised, Advance Pending</v>
      </c>
      <c r="B190" s="331">
        <v>45</v>
      </c>
      <c r="C190" s="331">
        <v>200</v>
      </c>
      <c r="D190" s="332" t="s">
        <v>208</v>
      </c>
      <c r="E190" s="330" t="str">
        <f t="shared" si="392"/>
        <v>SHORT POSITION</v>
      </c>
      <c r="F190" s="333">
        <f t="shared" si="417"/>
        <v>32016491</v>
      </c>
      <c r="G190" s="333"/>
      <c r="H190" s="330" t="str">
        <f t="shared" si="415"/>
        <v>TERRA NUTS GROUP JOINT STOCK COMPANY</v>
      </c>
      <c r="I190" s="329" t="s">
        <v>259</v>
      </c>
      <c r="J190" s="330" t="s">
        <v>347</v>
      </c>
      <c r="K190" s="330" t="str">
        <f t="shared" si="393"/>
        <v>HCMC, VIETNAM</v>
      </c>
      <c r="L190" s="330" t="str">
        <f t="shared" si="418"/>
        <v/>
      </c>
      <c r="M190" s="330" t="str">
        <f t="shared" si="421"/>
        <v/>
      </c>
      <c r="N190" s="286" t="str">
        <f t="shared" si="422"/>
        <v/>
      </c>
      <c r="O190" s="286" t="str">
        <f t="shared" si="423"/>
        <v/>
      </c>
      <c r="P190" s="286" t="str">
        <f t="shared" si="424"/>
        <v>No OBL Yet</v>
      </c>
      <c r="Q190" s="330"/>
      <c r="R190" s="330" t="str">
        <f t="shared" si="425"/>
        <v>No CERTS Yet</v>
      </c>
      <c r="S190" s="330">
        <f t="shared" si="410"/>
        <v>0</v>
      </c>
      <c r="T190" s="330"/>
      <c r="U190" s="572" t="s">
        <v>898</v>
      </c>
      <c r="V190" s="334"/>
      <c r="W190" s="572" t="s">
        <v>898</v>
      </c>
      <c r="X190" s="573">
        <v>46167</v>
      </c>
      <c r="Y190" s="356">
        <v>20010470</v>
      </c>
      <c r="Z190" s="573">
        <v>46167</v>
      </c>
      <c r="AA190" s="332">
        <v>32016491</v>
      </c>
      <c r="AB190" s="334" t="s">
        <v>577</v>
      </c>
      <c r="AC190" s="332" t="s">
        <v>846</v>
      </c>
      <c r="AD190" s="484">
        <v>46218</v>
      </c>
      <c r="AE190" s="485">
        <v>0.1</v>
      </c>
      <c r="AF190" s="512">
        <v>500</v>
      </c>
      <c r="AG190" s="338">
        <f t="shared" si="397"/>
        <v>450</v>
      </c>
      <c r="AH190" s="329" t="s">
        <v>215</v>
      </c>
      <c r="AI190" s="338">
        <v>1405</v>
      </c>
      <c r="AJ190" s="338">
        <f t="shared" si="390"/>
        <v>702500</v>
      </c>
      <c r="AK190" s="329" t="s">
        <v>249</v>
      </c>
      <c r="AL190" s="329" t="s">
        <v>780</v>
      </c>
      <c r="AM190" s="485">
        <v>0.1</v>
      </c>
      <c r="AN190" s="357">
        <v>0.88</v>
      </c>
      <c r="AO190" s="357">
        <v>0.02</v>
      </c>
      <c r="AP190" s="358" t="s">
        <v>218</v>
      </c>
      <c r="AQ190" s="335" t="s">
        <v>354</v>
      </c>
      <c r="AR190" s="335" t="s">
        <v>251</v>
      </c>
      <c r="AS190" s="359"/>
      <c r="AT190" s="329" t="s">
        <v>220</v>
      </c>
      <c r="AU190" s="329" t="s">
        <v>220</v>
      </c>
      <c r="AV190" s="329" t="s">
        <v>220</v>
      </c>
      <c r="AW190" s="351"/>
      <c r="AX190" s="329"/>
      <c r="AY190" s="360">
        <v>46174</v>
      </c>
      <c r="AZ190" s="486">
        <f t="shared" si="411"/>
        <v>70250</v>
      </c>
      <c r="BA190" s="335"/>
      <c r="BB190" s="286"/>
      <c r="BC190" s="286"/>
      <c r="BD190" s="286"/>
      <c r="BE190" s="286"/>
      <c r="BF190" s="286"/>
      <c r="BG190" s="335"/>
      <c r="BH190" s="335"/>
      <c r="BI190" s="329"/>
      <c r="BJ190" s="487"/>
      <c r="BK190" s="335"/>
      <c r="BL190" s="333"/>
      <c r="BM190" s="335"/>
      <c r="BN190" s="330"/>
      <c r="BO190" s="335"/>
      <c r="BP190" s="340" t="s">
        <v>259</v>
      </c>
      <c r="BQ190" s="339" t="s">
        <v>409</v>
      </c>
      <c r="BR190" s="336"/>
      <c r="BS190" s="286"/>
      <c r="BT190" s="286"/>
      <c r="BU190" s="336">
        <f>BI190*AF190</f>
        <v>0</v>
      </c>
      <c r="BV190" s="286"/>
      <c r="BW190" s="286"/>
      <c r="BX190" s="286"/>
      <c r="BY190" s="286"/>
      <c r="BZ190" s="286"/>
      <c r="CA190" s="286"/>
      <c r="CB190" s="286"/>
      <c r="CE190" s="286" t="str">
        <f t="shared" si="426"/>
        <v>No OBL Yet</v>
      </c>
      <c r="CF190" s="342"/>
      <c r="CG190" s="286"/>
      <c r="CH190" s="330"/>
      <c r="CI190" s="343"/>
      <c r="CJ190" s="343"/>
      <c r="CK190" s="330" t="str">
        <f t="shared" si="427"/>
        <v>No CERTS Yet</v>
      </c>
      <c r="CL190" s="344"/>
      <c r="CM190" s="330"/>
      <c r="CN190" s="343"/>
      <c r="CO190" s="345"/>
      <c r="CP190" s="489"/>
      <c r="CQ190" s="488">
        <f t="shared" si="413"/>
        <v>-70250</v>
      </c>
      <c r="CR190" s="345"/>
      <c r="CS190" s="346"/>
      <c r="CT190" s="330"/>
      <c r="CU190" s="347"/>
      <c r="CV190" s="330"/>
      <c r="CW190" s="490"/>
      <c r="CX190" s="348"/>
      <c r="CY190" s="349"/>
      <c r="CZ190" s="330"/>
      <c r="DA190" s="345"/>
      <c r="DB190" s="330"/>
      <c r="DC190" s="490"/>
      <c r="DD190" s="330"/>
      <c r="DE190" s="346"/>
      <c r="DF190" s="330"/>
      <c r="DG190" s="330"/>
      <c r="DH190" s="346"/>
      <c r="DI190" s="345"/>
      <c r="DJ190" s="345"/>
      <c r="DK190" s="346"/>
      <c r="DL190" s="346"/>
      <c r="DM190" s="330"/>
      <c r="DN190" s="330"/>
      <c r="DO190" s="330"/>
      <c r="DP190" s="330"/>
      <c r="DQ190" s="330"/>
      <c r="DR190" s="330"/>
      <c r="DS190" s="330"/>
      <c r="DT190" s="330"/>
      <c r="DU190" s="330"/>
      <c r="DV190" s="270"/>
      <c r="DW190" s="330"/>
      <c r="DX190" s="330"/>
      <c r="DY190" s="330" t="s">
        <v>230</v>
      </c>
      <c r="DZ190" s="330"/>
      <c r="EA190" s="329"/>
      <c r="EB190" s="329"/>
      <c r="EC190" s="329"/>
      <c r="ED190" s="336"/>
      <c r="EE190" s="338"/>
      <c r="EF190" s="351"/>
      <c r="EG190" s="351"/>
      <c r="EH190" s="3" t="s">
        <v>266</v>
      </c>
      <c r="EI190" s="351"/>
      <c r="EJ190" s="513"/>
      <c r="EK190" s="336"/>
      <c r="EL190" s="350"/>
      <c r="EM190" s="350"/>
      <c r="EN190" s="352"/>
      <c r="EO190" s="330"/>
      <c r="EP190" s="336"/>
      <c r="EQ190" s="336"/>
      <c r="ER190" s="336"/>
      <c r="ES190" s="330"/>
      <c r="ET190" s="337"/>
      <c r="EU190" s="330"/>
      <c r="EV190" s="330" t="str">
        <f t="shared" si="428"/>
        <v>Yet to load</v>
      </c>
      <c r="EW190" s="492"/>
      <c r="EX190" s="336"/>
      <c r="EY190" s="337"/>
      <c r="EZ190" s="353"/>
      <c r="FA190" s="354"/>
      <c r="FB190" s="354"/>
      <c r="FC190" s="355"/>
      <c r="FD190" s="354"/>
      <c r="FE190" s="354"/>
      <c r="FF190" s="354"/>
      <c r="FG190" s="354"/>
      <c r="FH190" s="354"/>
      <c r="FI190" s="354"/>
      <c r="FJ190" s="354"/>
      <c r="FK190" s="354"/>
      <c r="FL190" s="354"/>
      <c r="FM190" s="493"/>
      <c r="FN190" s="493"/>
      <c r="FO190" s="329"/>
      <c r="FP190" s="329"/>
      <c r="FQ190" s="329"/>
      <c r="FR190" s="329"/>
      <c r="FS190" s="493">
        <f t="shared" ref="FS190" si="431">Y190</f>
        <v>20010470</v>
      </c>
      <c r="FT190" s="493">
        <f t="shared" ref="FT190" si="432">AA190</f>
        <v>32016491</v>
      </c>
      <c r="FU190" s="329"/>
      <c r="FV190" s="338"/>
      <c r="FW190" s="329"/>
      <c r="FY190" s="329"/>
      <c r="FZ190" s="329"/>
      <c r="GA190" s="329"/>
      <c r="GB190" s="329"/>
      <c r="GC190" s="329"/>
      <c r="GD190" s="329"/>
      <c r="GE190" s="329"/>
      <c r="GF190" s="329"/>
      <c r="GG190" s="329"/>
      <c r="GH190" s="329"/>
      <c r="GI190" s="329"/>
      <c r="GJ190" s="329"/>
      <c r="GK190" s="329"/>
      <c r="GL190" s="329"/>
      <c r="GM190" s="329"/>
      <c r="GN190" s="329"/>
    </row>
    <row r="191" spans="1:197" s="332" customFormat="1" ht="68.099999999999994">
      <c r="A191" s="510" t="str">
        <f t="shared" si="391"/>
        <v>SC Raised, Advance Pending</v>
      </c>
      <c r="B191" s="576">
        <v>49</v>
      </c>
      <c r="C191" s="576">
        <v>185</v>
      </c>
      <c r="D191" s="577" t="s">
        <v>208</v>
      </c>
      <c r="E191" s="510" t="str">
        <f t="shared" si="392"/>
        <v>SHORT POSITION</v>
      </c>
      <c r="F191" s="578">
        <f t="shared" si="417"/>
        <v>32016439</v>
      </c>
      <c r="G191" s="578"/>
      <c r="H191" s="510" t="str">
        <f t="shared" si="415"/>
        <v>INTIMEX GROUP JOINT STOCK COMPANY</v>
      </c>
      <c r="I191" s="511" t="s">
        <v>209</v>
      </c>
      <c r="J191" s="510" t="s">
        <v>347</v>
      </c>
      <c r="K191" s="510" t="str">
        <f t="shared" si="393"/>
        <v>HCMC, VIETNAM</v>
      </c>
      <c r="L191" s="510" t="str">
        <f t="shared" si="418"/>
        <v/>
      </c>
      <c r="M191" s="510" t="str">
        <f t="shared" si="421"/>
        <v/>
      </c>
      <c r="N191" s="579" t="str">
        <f t="shared" si="422"/>
        <v/>
      </c>
      <c r="O191" s="579" t="str">
        <f t="shared" si="423"/>
        <v/>
      </c>
      <c r="P191" s="579" t="str">
        <f t="shared" si="424"/>
        <v>No OBL Yet</v>
      </c>
      <c r="Q191" s="510"/>
      <c r="R191" s="510" t="str">
        <f t="shared" si="425"/>
        <v>No CERTS Yet</v>
      </c>
      <c r="S191" s="510">
        <f t="shared" si="410"/>
        <v>0</v>
      </c>
      <c r="T191" s="510"/>
      <c r="U191" s="572" t="s">
        <v>901</v>
      </c>
      <c r="V191" s="580"/>
      <c r="W191" s="621" t="s">
        <v>901</v>
      </c>
      <c r="X191" s="573">
        <v>46167</v>
      </c>
      <c r="Y191" s="581">
        <v>20010430</v>
      </c>
      <c r="Z191" s="573">
        <v>46167</v>
      </c>
      <c r="AA191" s="577">
        <v>32016439</v>
      </c>
      <c r="AB191" s="577" t="s">
        <v>902</v>
      </c>
      <c r="AC191" s="577" t="s">
        <v>816</v>
      </c>
      <c r="AD191" s="582">
        <v>46203</v>
      </c>
      <c r="AE191" s="574">
        <v>0.1</v>
      </c>
      <c r="AF191" s="708">
        <v>250</v>
      </c>
      <c r="AG191" s="583">
        <f t="shared" si="397"/>
        <v>225</v>
      </c>
      <c r="AH191" s="511" t="s">
        <v>215</v>
      </c>
      <c r="AI191" s="583">
        <v>1540</v>
      </c>
      <c r="AJ191" s="583">
        <f t="shared" si="390"/>
        <v>385000</v>
      </c>
      <c r="AK191" s="511" t="s">
        <v>249</v>
      </c>
      <c r="AL191" s="511" t="s">
        <v>780</v>
      </c>
      <c r="AM191" s="574">
        <v>0.1</v>
      </c>
      <c r="AN191" s="584">
        <v>0.88</v>
      </c>
      <c r="AO191" s="584">
        <v>0.02</v>
      </c>
      <c r="AP191" s="585" t="s">
        <v>218</v>
      </c>
      <c r="AQ191" s="586" t="s">
        <v>354</v>
      </c>
      <c r="AR191" s="586" t="s">
        <v>781</v>
      </c>
      <c r="AS191" s="541">
        <v>5</v>
      </c>
      <c r="AT191" s="511" t="s">
        <v>220</v>
      </c>
      <c r="AU191" s="511" t="s">
        <v>220</v>
      </c>
      <c r="AV191" s="511" t="s">
        <v>220</v>
      </c>
      <c r="AW191" s="587"/>
      <c r="AX191" s="511"/>
      <c r="AY191" s="588">
        <v>46172</v>
      </c>
      <c r="AZ191" s="575">
        <f t="shared" si="411"/>
        <v>38500</v>
      </c>
      <c r="BA191" s="586"/>
      <c r="BB191" s="579"/>
      <c r="BC191" s="579"/>
      <c r="BD191" s="579"/>
      <c r="BE191" s="579"/>
      <c r="BF191" s="579"/>
      <c r="BG191" s="586"/>
      <c r="BH191" s="586"/>
      <c r="BI191" s="511"/>
      <c r="BJ191" s="589"/>
      <c r="BK191" s="586"/>
      <c r="BL191" s="578"/>
      <c r="BM191" s="586"/>
      <c r="BN191" s="510"/>
      <c r="BO191" s="586"/>
      <c r="BP191" s="590" t="s">
        <v>278</v>
      </c>
      <c r="BQ191" s="591" t="s">
        <v>409</v>
      </c>
      <c r="BR191" s="592"/>
      <c r="BS191" s="579"/>
      <c r="BT191" s="579"/>
      <c r="BU191" s="592">
        <f>BI191*AF191</f>
        <v>0</v>
      </c>
      <c r="BV191" s="579"/>
      <c r="BW191" s="579"/>
      <c r="BX191" s="579"/>
      <c r="BY191" s="579"/>
      <c r="BZ191" s="579"/>
      <c r="CA191" s="579"/>
      <c r="CB191" s="579"/>
      <c r="CC191" s="577"/>
      <c r="CD191" s="577"/>
      <c r="CE191" s="579" t="str">
        <f t="shared" si="426"/>
        <v>No OBL Yet</v>
      </c>
      <c r="CF191" s="593"/>
      <c r="CG191" s="579"/>
      <c r="CH191" s="510"/>
      <c r="CI191" s="594"/>
      <c r="CJ191" s="594"/>
      <c r="CK191" s="510" t="str">
        <f t="shared" si="427"/>
        <v>No CERTS Yet</v>
      </c>
      <c r="CL191" s="595"/>
      <c r="CM191" s="510"/>
      <c r="CN191" s="270"/>
      <c r="CO191" s="596"/>
      <c r="CP191" s="597"/>
      <c r="CQ191" s="598">
        <f t="shared" si="413"/>
        <v>-38500</v>
      </c>
      <c r="CR191" s="596"/>
      <c r="CS191" s="599"/>
      <c r="CT191" s="510"/>
      <c r="CU191" s="600"/>
      <c r="CV191" s="510"/>
      <c r="CW191" s="601"/>
      <c r="CX191" s="602"/>
      <c r="CY191" s="603"/>
      <c r="CZ191" s="510"/>
      <c r="DA191" s="596"/>
      <c r="DB191" s="510"/>
      <c r="DC191" s="601"/>
      <c r="DD191" s="510"/>
      <c r="DE191" s="599"/>
      <c r="DF191" s="510"/>
      <c r="DG191" s="510"/>
      <c r="DH191" s="599"/>
      <c r="DI191" s="596"/>
      <c r="DJ191" s="596"/>
      <c r="DK191" s="599"/>
      <c r="DL191" s="599"/>
      <c r="DM191" s="510"/>
      <c r="DN191" s="510"/>
      <c r="DO191" s="510"/>
      <c r="DP191" s="510"/>
      <c r="DQ191" s="510"/>
      <c r="DR191" s="510"/>
      <c r="DS191" s="510"/>
      <c r="DT191" s="510"/>
      <c r="DU191" s="510"/>
      <c r="DV191" s="270"/>
      <c r="DW191" s="510"/>
      <c r="DX191" s="510"/>
      <c r="DY191" s="510" t="s">
        <v>230</v>
      </c>
      <c r="DZ191" s="510"/>
      <c r="EA191" s="511"/>
      <c r="EB191" s="511"/>
      <c r="EC191" s="511"/>
      <c r="ED191" s="592"/>
      <c r="EE191" s="583"/>
      <c r="EF191" s="587"/>
      <c r="EG191" s="587"/>
      <c r="EH191" s="2" t="s">
        <v>231</v>
      </c>
      <c r="EI191" s="587"/>
      <c r="EJ191" s="604"/>
      <c r="EK191" s="592"/>
      <c r="EL191" s="605"/>
      <c r="EM191" s="605"/>
      <c r="EN191" s="606"/>
      <c r="EO191" s="510"/>
      <c r="EP191" s="592"/>
      <c r="EQ191" s="592"/>
      <c r="ER191" s="592"/>
      <c r="ES191" s="510"/>
      <c r="ET191" s="573"/>
      <c r="EU191" s="510"/>
      <c r="EV191" s="510" t="str">
        <f t="shared" si="428"/>
        <v>Yet to load</v>
      </c>
      <c r="EW191" s="607"/>
      <c r="EX191" s="592"/>
      <c r="EY191" s="573"/>
      <c r="EZ191" s="608"/>
      <c r="FA191" s="609"/>
      <c r="FB191" s="609"/>
      <c r="FC191" s="610"/>
      <c r="FD191" s="609"/>
      <c r="FE191" s="609"/>
      <c r="FF191" s="609"/>
      <c r="FG191" s="609"/>
      <c r="FH191" s="609"/>
      <c r="FI191" s="609"/>
      <c r="FJ191" s="609"/>
      <c r="FK191" s="609"/>
      <c r="FL191" s="609"/>
      <c r="FM191" s="611"/>
      <c r="FN191" s="611"/>
      <c r="FO191" s="511"/>
      <c r="FP191" s="511"/>
      <c r="FQ191" s="511"/>
      <c r="FR191" s="511"/>
      <c r="FS191" s="611">
        <f t="shared" si="429"/>
        <v>20010430</v>
      </c>
      <c r="FT191" s="611">
        <f t="shared" si="430"/>
        <v>32016439</v>
      </c>
      <c r="FU191" s="511"/>
      <c r="FV191" s="583"/>
      <c r="FW191" s="511"/>
      <c r="FX191" s="577"/>
      <c r="FY191" s="511"/>
      <c r="FZ191" s="511"/>
      <c r="GA191" s="511"/>
      <c r="GB191" s="511"/>
      <c r="GC191" s="511"/>
      <c r="GD191" s="511"/>
      <c r="GE191" s="511"/>
      <c r="GF191" s="511"/>
      <c r="GG191" s="511"/>
      <c r="GH191" s="511"/>
      <c r="GI191" s="511"/>
      <c r="GJ191" s="511"/>
      <c r="GK191" s="511"/>
      <c r="GL191" s="511"/>
      <c r="GM191" s="511"/>
      <c r="GN191" s="511"/>
    </row>
    <row r="192" spans="1:197" ht="33.950000000000003">
      <c r="A192" s="2" t="str">
        <f t="shared" si="391"/>
        <v>SI Sent, Shipment Awaited</v>
      </c>
      <c r="B192" s="282">
        <v>43</v>
      </c>
      <c r="C192" s="282">
        <v>200</v>
      </c>
      <c r="D192" s="182" t="s">
        <v>208</v>
      </c>
      <c r="E192" s="2" t="str">
        <f t="shared" si="392"/>
        <v>SHORT POSITION</v>
      </c>
      <c r="F192" s="271">
        <f t="shared" si="417"/>
        <v>32016409</v>
      </c>
      <c r="H192" s="2" t="str">
        <f t="shared" si="415"/>
        <v xml:space="preserve">KIEU LOAN COMPANY LIMITED </v>
      </c>
      <c r="I192" s="3" t="s">
        <v>259</v>
      </c>
      <c r="J192" s="2" t="s">
        <v>347</v>
      </c>
      <c r="K192" s="2" t="str">
        <f t="shared" si="393"/>
        <v>Cat Lai/ SPCT in HCM City</v>
      </c>
      <c r="L192" s="2" t="str">
        <f t="shared" si="418"/>
        <v/>
      </c>
      <c r="M192" s="2" t="str">
        <f t="shared" si="421"/>
        <v/>
      </c>
      <c r="N192" s="22" t="str">
        <f t="shared" si="422"/>
        <v/>
      </c>
      <c r="O192" s="22" t="str">
        <f t="shared" si="423"/>
        <v/>
      </c>
      <c r="P192" s="22" t="str">
        <f t="shared" si="424"/>
        <v>No OBL Yet</v>
      </c>
      <c r="Q192" s="2"/>
      <c r="R192" s="2" t="str">
        <f t="shared" si="425"/>
        <v>No CERTS Yet</v>
      </c>
      <c r="S192" s="2">
        <f t="shared" si="410"/>
        <v>0</v>
      </c>
      <c r="T192" s="2"/>
      <c r="U192" s="3" t="s">
        <v>778</v>
      </c>
      <c r="W192" s="3"/>
      <c r="X192" s="24">
        <v>46160</v>
      </c>
      <c r="Y192" s="273">
        <v>20010358</v>
      </c>
      <c r="Z192" s="24">
        <v>46160</v>
      </c>
      <c r="AA192" s="182">
        <v>32016409</v>
      </c>
      <c r="AB192" s="182" t="s">
        <v>569</v>
      </c>
      <c r="AC192" s="182" t="s">
        <v>847</v>
      </c>
      <c r="AD192" s="181">
        <v>46234</v>
      </c>
      <c r="AE192" s="30">
        <v>0.1</v>
      </c>
      <c r="AF192" s="277">
        <v>500</v>
      </c>
      <c r="AG192" s="4">
        <f t="shared" si="397"/>
        <v>450</v>
      </c>
      <c r="AH192" s="3" t="s">
        <v>215</v>
      </c>
      <c r="AI192" s="4">
        <v>1345</v>
      </c>
      <c r="AJ192" s="4">
        <f t="shared" si="390"/>
        <v>672500</v>
      </c>
      <c r="AK192" s="3" t="s">
        <v>249</v>
      </c>
      <c r="AL192" s="3" t="s">
        <v>780</v>
      </c>
      <c r="AM192" s="30">
        <v>0.1</v>
      </c>
      <c r="AN192" s="183">
        <v>0.88</v>
      </c>
      <c r="AO192" s="183">
        <v>0.02</v>
      </c>
      <c r="AP192" s="28" t="s">
        <v>218</v>
      </c>
      <c r="AQ192" s="18" t="s">
        <v>835</v>
      </c>
      <c r="AR192" s="18" t="s">
        <v>251</v>
      </c>
      <c r="AS192" s="359"/>
      <c r="AT192" s="3" t="s">
        <v>220</v>
      </c>
      <c r="AU192" s="3" t="s">
        <v>220</v>
      </c>
      <c r="AV192" s="3" t="s">
        <v>220</v>
      </c>
      <c r="AW192" s="9"/>
      <c r="AX192" s="3"/>
      <c r="AY192" s="47">
        <v>46166</v>
      </c>
      <c r="AZ192" s="278">
        <f t="shared" si="411"/>
        <v>67250</v>
      </c>
      <c r="BA192" s="18">
        <v>46170</v>
      </c>
      <c r="BB192" s="22">
        <v>46167</v>
      </c>
      <c r="BC192" s="22"/>
      <c r="BD192" s="22"/>
      <c r="BE192" s="22"/>
      <c r="BF192" s="22"/>
      <c r="BG192" s="18"/>
      <c r="BH192" s="18"/>
      <c r="BI192" s="3"/>
      <c r="BJ192" s="25"/>
      <c r="BK192" s="18"/>
      <c r="BL192" s="271"/>
      <c r="BM192" s="18"/>
      <c r="BN192" s="2"/>
      <c r="BO192" s="18"/>
      <c r="BP192" s="20" t="s">
        <v>259</v>
      </c>
      <c r="BQ192" s="21" t="s">
        <v>879</v>
      </c>
      <c r="BR192" s="189"/>
      <c r="BS192" s="22"/>
      <c r="BT192" s="22"/>
      <c r="BU192" s="189">
        <f>BI192*AF192</f>
        <v>0</v>
      </c>
      <c r="BV192" s="22"/>
      <c r="BW192" s="22"/>
      <c r="BX192" s="22"/>
      <c r="BY192" s="22"/>
      <c r="BZ192" s="22"/>
      <c r="CA192" s="22"/>
      <c r="CB192" s="22"/>
      <c r="CE192" s="22" t="str">
        <f t="shared" si="426"/>
        <v>No OBL Yet</v>
      </c>
      <c r="CF192" s="48"/>
      <c r="CG192" s="22"/>
      <c r="CH192" s="2"/>
      <c r="CI192" s="55"/>
      <c r="CJ192" s="55"/>
      <c r="CK192" s="2" t="str">
        <f t="shared" si="427"/>
        <v>No CERTS Yet</v>
      </c>
      <c r="CL192" s="54"/>
      <c r="CM192" s="2"/>
      <c r="CO192" s="14"/>
      <c r="CP192" s="191"/>
      <c r="CQ192" s="190">
        <f t="shared" si="413"/>
        <v>-67250</v>
      </c>
      <c r="CR192" s="14"/>
      <c r="CS192" s="15"/>
      <c r="CT192" s="2"/>
      <c r="CU192" s="41"/>
      <c r="CV192" s="2"/>
      <c r="CW192" s="192"/>
      <c r="CX192" s="40"/>
      <c r="CY192" s="16"/>
      <c r="CZ192" s="2"/>
      <c r="DA192" s="14"/>
      <c r="DB192" s="2"/>
      <c r="DC192" s="192"/>
      <c r="DD192" s="2"/>
      <c r="DE192" s="15"/>
      <c r="DF192" s="2"/>
      <c r="DG192" s="2"/>
      <c r="DH192" s="15"/>
      <c r="DI192" s="14"/>
      <c r="DJ192" s="14"/>
      <c r="DK192" s="15"/>
      <c r="DL192" s="15"/>
      <c r="DM192" s="2"/>
      <c r="DN192" s="2"/>
      <c r="DO192" s="2"/>
      <c r="DP192" s="2"/>
      <c r="DQ192" s="2"/>
      <c r="DR192" s="2"/>
      <c r="DS192" s="2"/>
      <c r="DT192" s="2"/>
      <c r="DU192" s="2"/>
      <c r="DW192" s="2"/>
      <c r="DX192" s="2"/>
      <c r="DY192" s="2" t="s">
        <v>230</v>
      </c>
      <c r="DZ192" s="2"/>
      <c r="EA192" s="3"/>
      <c r="EB192" s="3"/>
      <c r="EC192" s="3"/>
      <c r="ED192" s="189"/>
      <c r="EE192" s="4"/>
      <c r="EF192" s="9"/>
      <c r="EG192" s="9"/>
      <c r="EH192" s="3" t="s">
        <v>266</v>
      </c>
      <c r="EI192" s="9"/>
      <c r="EJ192" s="8"/>
      <c r="EK192" s="189"/>
      <c r="EL192" s="7"/>
      <c r="EM192" s="7"/>
      <c r="EN192" s="6"/>
      <c r="EO192" s="2"/>
      <c r="EP192" s="189"/>
      <c r="EQ192" s="189"/>
      <c r="ER192" s="189"/>
      <c r="ES192" s="2"/>
      <c r="ET192" s="24"/>
      <c r="EU192" s="2"/>
      <c r="EV192" s="2" t="str">
        <f t="shared" si="428"/>
        <v>Yet to load</v>
      </c>
      <c r="EW192" s="193"/>
      <c r="EX192" s="189"/>
      <c r="EY192" s="24"/>
      <c r="EZ192" s="52"/>
      <c r="FA192" s="49"/>
      <c r="FB192" s="49"/>
      <c r="FC192" s="180"/>
      <c r="FD192" s="49"/>
      <c r="FE192" s="49"/>
      <c r="FF192" s="49"/>
      <c r="FG192" s="49"/>
      <c r="FH192" s="49"/>
      <c r="FI192" s="49"/>
      <c r="FJ192" s="49"/>
      <c r="FK192" s="49"/>
      <c r="FL192" s="49">
        <f>IFERROR(EZ192-BY192,"")</f>
        <v>0</v>
      </c>
      <c r="FM192" s="180">
        <f>IFERROR(BM192-FB192,"")</f>
        <v>0</v>
      </c>
      <c r="FN192" s="49"/>
      <c r="FO192" s="49"/>
      <c r="FP192" s="49"/>
      <c r="FQ192" s="49"/>
      <c r="FR192" s="49"/>
      <c r="FS192" s="34">
        <f t="shared" si="429"/>
        <v>20010358</v>
      </c>
      <c r="FT192" s="34">
        <f t="shared" si="430"/>
        <v>32016409</v>
      </c>
      <c r="FU192" s="3"/>
      <c r="FV192" s="3"/>
      <c r="FW192" s="3"/>
      <c r="FX192" s="3"/>
      <c r="FY192" s="3"/>
      <c r="FZ192" s="3"/>
      <c r="GA192" s="3"/>
      <c r="GB192" s="4"/>
      <c r="GC192" s="3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1"/>
    </row>
    <row r="193" spans="1:197" ht="33.950000000000003">
      <c r="A193" s="2" t="str">
        <f t="shared" si="391"/>
        <v>Sailed, OBL &amp; Certs Pending</v>
      </c>
      <c r="B193" s="281">
        <v>48</v>
      </c>
      <c r="C193" s="281">
        <v>200</v>
      </c>
      <c r="D193" s="182" t="s">
        <v>208</v>
      </c>
      <c r="E193" s="2" t="str">
        <f t="shared" si="392"/>
        <v>CLOSE POSITION</v>
      </c>
      <c r="F193" s="271">
        <f t="shared" si="417"/>
        <v>32014591</v>
      </c>
      <c r="H193" s="2" t="str">
        <f t="shared" si="415"/>
        <v>SIDDHI VINAYAKA CASHEW INDUSTRIES</v>
      </c>
      <c r="I193" s="3" t="s">
        <v>259</v>
      </c>
      <c r="J193" s="2" t="s">
        <v>210</v>
      </c>
      <c r="K193" s="2" t="str">
        <f t="shared" si="393"/>
        <v>MANGALORE, INDIA</v>
      </c>
      <c r="L193" s="2">
        <f t="shared" si="418"/>
        <v>267490088</v>
      </c>
      <c r="M193" s="2">
        <f t="shared" si="421"/>
        <v>97.98</v>
      </c>
      <c r="N193" s="22">
        <f t="shared" si="422"/>
        <v>46202</v>
      </c>
      <c r="O193" s="22">
        <f t="shared" si="423"/>
        <v>46202</v>
      </c>
      <c r="P193" s="22" t="str">
        <f t="shared" si="424"/>
        <v>No OBL Yet</v>
      </c>
      <c r="Q193" s="2"/>
      <c r="R193" s="2" t="str">
        <f t="shared" si="425"/>
        <v>No CERTS Yet</v>
      </c>
      <c r="S193" s="2" t="str">
        <f t="shared" si="410"/>
        <v/>
      </c>
      <c r="T193" s="2" t="s">
        <v>260</v>
      </c>
      <c r="U193" s="272" t="s">
        <v>893</v>
      </c>
      <c r="W193" s="272" t="s">
        <v>893</v>
      </c>
      <c r="X193" s="24">
        <v>46076</v>
      </c>
      <c r="Y193" s="273">
        <v>20009597</v>
      </c>
      <c r="Z193" s="24">
        <v>46076</v>
      </c>
      <c r="AA193" s="182">
        <v>32014591</v>
      </c>
      <c r="AB193" s="182" t="s">
        <v>857</v>
      </c>
      <c r="AC193" s="182" t="s">
        <v>263</v>
      </c>
      <c r="AD193" s="181">
        <v>46142</v>
      </c>
      <c r="AE193" s="30">
        <v>0.1</v>
      </c>
      <c r="AF193" s="277">
        <v>100</v>
      </c>
      <c r="AG193" s="35">
        <f t="shared" si="397"/>
        <v>90</v>
      </c>
      <c r="AH193" s="3" t="s">
        <v>215</v>
      </c>
      <c r="AI193" s="4">
        <v>1510</v>
      </c>
      <c r="AJ193" s="4">
        <f t="shared" si="390"/>
        <v>151000</v>
      </c>
      <c r="AK193" s="3" t="s">
        <v>249</v>
      </c>
      <c r="AL193" s="3" t="s">
        <v>238</v>
      </c>
      <c r="AM193" s="183">
        <v>0.1</v>
      </c>
      <c r="AN193" s="183">
        <v>0.9</v>
      </c>
      <c r="AO193" s="183">
        <v>0</v>
      </c>
      <c r="AP193" s="28" t="s">
        <v>218</v>
      </c>
      <c r="AQ193" s="18" t="s">
        <v>239</v>
      </c>
      <c r="AR193" s="18" t="s">
        <v>264</v>
      </c>
      <c r="AS193" s="27">
        <v>5</v>
      </c>
      <c r="AT193" s="3" t="s">
        <v>220</v>
      </c>
      <c r="AU193" s="3" t="s">
        <v>220</v>
      </c>
      <c r="AV193" s="3" t="s">
        <v>220</v>
      </c>
      <c r="AW193" s="9"/>
      <c r="AX193" s="3"/>
      <c r="AY193" s="47"/>
      <c r="AZ193" s="275">
        <f t="shared" si="411"/>
        <v>15100</v>
      </c>
      <c r="BA193" s="18">
        <v>46083</v>
      </c>
      <c r="BB193" s="22">
        <v>46083</v>
      </c>
      <c r="BC193" s="22"/>
      <c r="BD193" s="22"/>
      <c r="BE193" s="22"/>
      <c r="BF193" s="22">
        <v>46083</v>
      </c>
      <c r="BG193" s="18"/>
      <c r="BH193" s="18"/>
      <c r="BI193" s="3">
        <v>267490088</v>
      </c>
      <c r="BJ193" s="25">
        <v>97.98</v>
      </c>
      <c r="BK193" s="46" t="s">
        <v>222</v>
      </c>
      <c r="BL193" s="497">
        <v>4</v>
      </c>
      <c r="BM193" s="18">
        <v>46202</v>
      </c>
      <c r="BN193" s="4"/>
      <c r="BO193" s="18">
        <v>46202</v>
      </c>
      <c r="BP193" s="3" t="s">
        <v>259</v>
      </c>
      <c r="BQ193" s="21" t="s">
        <v>265</v>
      </c>
      <c r="BR193" s="2" t="s">
        <v>416</v>
      </c>
      <c r="BS193" s="2"/>
      <c r="BT193" s="2" t="s">
        <v>460</v>
      </c>
      <c r="BU193" s="2" t="s">
        <v>461</v>
      </c>
      <c r="BV193" s="20"/>
      <c r="BW193" s="19"/>
      <c r="BX193" s="46">
        <f>BJ193*AI193</f>
        <v>147949.80000000002</v>
      </c>
      <c r="BY193" s="22"/>
      <c r="BZ193" s="22"/>
      <c r="CA193" s="2"/>
      <c r="CB193" s="22"/>
      <c r="CC193" s="22"/>
      <c r="CD193" s="22"/>
      <c r="CE193" s="22" t="str">
        <f t="shared" si="426"/>
        <v>No OBL Yet</v>
      </c>
      <c r="CF193" s="22"/>
      <c r="CG193" s="22"/>
      <c r="CK193" s="2" t="str">
        <f t="shared" si="427"/>
        <v>No CERTS Yet</v>
      </c>
      <c r="CL193" s="48"/>
      <c r="CM193" s="22"/>
      <c r="CN193" s="55"/>
      <c r="CO193" s="55"/>
      <c r="CP193" s="55" t="str">
        <f>IF(CO193&lt;&gt;0,"Docs in Buyer's Nego Bank",IF(CN193&lt;&gt;0,"Docs in Transit to Buyer's Nego Bank",IF(CM193&lt;&gt;0,"Docs in Our Nego Bank",IF(CL193="TT PAYMENT","Not Applicable",""))))</f>
        <v/>
      </c>
      <c r="CQ193" s="50">
        <f t="shared" si="413"/>
        <v>118054.82</v>
      </c>
      <c r="CR193" s="54"/>
      <c r="CS193" s="2"/>
      <c r="CT193" s="2"/>
      <c r="CU193" s="14" t="str">
        <f>IF(CS193="","",BJ193-CT193)</f>
        <v/>
      </c>
      <c r="CV193" s="42" t="str">
        <f>IF(CS193="","",CU193/BJ193)</f>
        <v/>
      </c>
      <c r="CW193" s="14" t="str">
        <f>IF(CS193="","",AZ193+CQ193)</f>
        <v/>
      </c>
      <c r="CX193" s="14" t="str">
        <f>IF(CS193="","",BX193*2%)</f>
        <v/>
      </c>
      <c r="CY193" s="15" t="str">
        <f>IF(CS193="","",AI193/B193)</f>
        <v/>
      </c>
      <c r="CZ193" s="2"/>
      <c r="DA193" s="41" t="str">
        <f>IF(CS193="","",B193-CZ193)</f>
        <v/>
      </c>
      <c r="DB193" s="2"/>
      <c r="DC193" s="39" t="str">
        <f>IF(CS193="","",IF(CS193="","",DB193-C193))</f>
        <v/>
      </c>
      <c r="DD193" s="40"/>
      <c r="DE193" s="16" t="str">
        <f>IF(CS193="","",10%-DD193)</f>
        <v/>
      </c>
      <c r="DF193" s="2" t="str">
        <f>IF(CS193="","",CU193*AI193)</f>
        <v/>
      </c>
      <c r="DG193" s="14" t="str">
        <f>IF(CS193="","",IF(DA193&gt;2,2*DA193*CT193*CY193,DA193*CT193*CY193))</f>
        <v/>
      </c>
      <c r="DH193" s="2" t="str">
        <f>IF(CS193="","",IF(DA193&gt;2,2*(DA193-2*CT193*CY193),0))</f>
        <v/>
      </c>
      <c r="DI193" s="39" t="str">
        <f>IF(CS193="","",IF(DC193&gt;0,DC193*0.5*CT193,0))</f>
        <v/>
      </c>
      <c r="DJ193" s="2" t="str">
        <f>IF(CS193="","",IF(DE193&lt;0,DE193*CT193*AI193*1%,0))</f>
        <v/>
      </c>
      <c r="DK193" s="15" t="str">
        <f>IF(CS193="","",SUM(DF193:DJ193))</f>
        <v/>
      </c>
      <c r="DL193" s="2"/>
      <c r="DM193" s="2"/>
      <c r="DN193" s="15" t="str">
        <f>IF(CS193="","",SUM(DK193:DL193))</f>
        <v/>
      </c>
      <c r="DO193" s="14" t="str">
        <f>IF(CS193="","",BJ193*AI193-DN193)</f>
        <v/>
      </c>
      <c r="DP193" s="14" t="str">
        <f>IF(CS193="","",AZ193+CQ193)</f>
        <v/>
      </c>
      <c r="DQ193" s="15" t="str">
        <f>IF(CS193="","",IF((DP193-DO193)&gt;0,DP193-DO193,""))</f>
        <v/>
      </c>
      <c r="DR193" s="15" t="str">
        <f>IF(CS193="","",IF((DO193-DP193)&gt;0,(DO193-DP193),""))</f>
        <v/>
      </c>
      <c r="DS193" s="2" t="str">
        <f>IF(CS193="","",IF(DQ193="",H193,"VALENCY"))</f>
        <v/>
      </c>
      <c r="DT193" s="2" t="str">
        <f>IF(DN193="","",IF(DN193&gt;0,"CN", "DN"))</f>
        <v/>
      </c>
      <c r="DU193" s="2"/>
      <c r="DV193" s="2"/>
      <c r="DW193" s="2"/>
      <c r="DX193" s="2"/>
      <c r="DY193" s="2" t="s">
        <v>230</v>
      </c>
      <c r="DZ193" s="2"/>
      <c r="EA193" s="2" t="str">
        <f>IF(CS193="","",
   MIN(0,(IF(DA193&gt;2,2,1)*DA193*CT193*CY193))
)</f>
        <v/>
      </c>
      <c r="EB193" s="2"/>
      <c r="EC193" s="2"/>
      <c r="ED193" s="2"/>
      <c r="EE193" s="3"/>
      <c r="EF193" s="7"/>
      <c r="EG193" s="3"/>
      <c r="EH193" s="3" t="s">
        <v>266</v>
      </c>
      <c r="EI193" s="3"/>
      <c r="EJ193" s="189"/>
      <c r="EK193" s="4"/>
      <c r="EL193" s="4"/>
      <c r="EM193" s="9"/>
      <c r="EN193" s="46">
        <f>EK193*EJ193</f>
        <v>0</v>
      </c>
      <c r="EO193" s="9"/>
      <c r="EP193" s="8"/>
      <c r="EQ193" s="4"/>
      <c r="ER193" s="4"/>
      <c r="ES193" s="7"/>
      <c r="ET193" s="7"/>
      <c r="EU193" s="6"/>
      <c r="EV193" s="2" t="str">
        <f t="shared" si="428"/>
        <v>Yet to load</v>
      </c>
      <c r="EW193" s="46"/>
      <c r="EX193" s="46">
        <f>EW193/BJ193</f>
        <v>0</v>
      </c>
      <c r="EY193" s="46" t="s">
        <v>233</v>
      </c>
      <c r="EZ193" s="24"/>
      <c r="FA193" s="2"/>
      <c r="FB193" s="24"/>
      <c r="FC193" s="53"/>
      <c r="FD193" s="46">
        <f>FC193*BJ193</f>
        <v>0</v>
      </c>
      <c r="FE193" s="52"/>
      <c r="FF193" s="52"/>
      <c r="FG193" s="49"/>
      <c r="FH193" s="49"/>
      <c r="FI193" s="49"/>
      <c r="FJ193" s="49"/>
      <c r="FK193" s="49"/>
      <c r="FL193" s="49">
        <f>IFERROR(EZ193-BY193,"")</f>
        <v>0</v>
      </c>
      <c r="FM193" s="180">
        <f>IFERROR(BM193-FB193,"")</f>
        <v>46202</v>
      </c>
      <c r="FN193" s="49"/>
      <c r="FO193" s="49"/>
      <c r="FP193" s="49"/>
      <c r="FQ193" s="49"/>
      <c r="FR193" s="49"/>
      <c r="FS193" s="34">
        <f t="shared" si="429"/>
        <v>20009597</v>
      </c>
      <c r="FT193" s="34">
        <f t="shared" si="430"/>
        <v>32014591</v>
      </c>
      <c r="FU193" s="3"/>
      <c r="FV193" s="3"/>
      <c r="FW193" s="3"/>
      <c r="FX193" s="3"/>
      <c r="FY193" s="3"/>
      <c r="FZ193" s="3"/>
      <c r="GA193" s="3"/>
      <c r="GB193" s="4"/>
      <c r="GC193" s="3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1"/>
    </row>
    <row r="194" spans="1:197" ht="33.950000000000003">
      <c r="A194" s="2" t="str">
        <f t="shared" si="391"/>
        <v>SI Sent, Shipment Awaited</v>
      </c>
      <c r="B194" s="282">
        <v>52</v>
      </c>
      <c r="C194" s="282">
        <v>220</v>
      </c>
      <c r="D194" s="182" t="s">
        <v>208</v>
      </c>
      <c r="E194" s="2" t="str">
        <f t="shared" si="392"/>
        <v>SHORT POSITION</v>
      </c>
      <c r="F194" s="271">
        <f t="shared" si="417"/>
        <v>32016405</v>
      </c>
      <c r="H194" s="2" t="str">
        <f t="shared" si="415"/>
        <v xml:space="preserve">THAO NGUYEN COMPANY LIMITED </v>
      </c>
      <c r="I194" s="3" t="s">
        <v>754</v>
      </c>
      <c r="J194" s="2" t="s">
        <v>347</v>
      </c>
      <c r="K194" s="2" t="str">
        <f t="shared" si="393"/>
        <v>THI VAI- CAI MEP PORT, BA RIA VUNG TAU</v>
      </c>
      <c r="L194" s="2" t="str">
        <f t="shared" si="418"/>
        <v/>
      </c>
      <c r="M194" s="2" t="str">
        <f t="shared" si="421"/>
        <v/>
      </c>
      <c r="N194" s="22" t="str">
        <f t="shared" si="422"/>
        <v/>
      </c>
      <c r="O194" s="22" t="str">
        <f t="shared" si="423"/>
        <v/>
      </c>
      <c r="P194" s="22" t="str">
        <f t="shared" si="424"/>
        <v>No OBL Yet</v>
      </c>
      <c r="Q194" s="2"/>
      <c r="R194" s="2" t="str">
        <f t="shared" si="425"/>
        <v>No CERTS Yet</v>
      </c>
      <c r="S194" s="2">
        <f t="shared" si="410"/>
        <v>0</v>
      </c>
      <c r="T194" s="2" t="str">
        <f>IFERROR(_xlfn.XLOOKUP(F194,
'[2]Data 2026'!$H$12:$H$111,
'[2]Data 2026'!$CL$12:$CL$111),"")</f>
        <v/>
      </c>
      <c r="U194" s="3" t="s">
        <v>903</v>
      </c>
      <c r="W194" s="3"/>
      <c r="X194" s="24">
        <v>46160</v>
      </c>
      <c r="Y194" s="273">
        <v>20010353</v>
      </c>
      <c r="Z194" s="24">
        <v>46160</v>
      </c>
      <c r="AA194" s="182">
        <v>32016405</v>
      </c>
      <c r="AB194" s="182" t="s">
        <v>904</v>
      </c>
      <c r="AC194" s="182" t="s">
        <v>847</v>
      </c>
      <c r="AD194" s="181">
        <v>46234</v>
      </c>
      <c r="AE194" s="30">
        <v>0.1</v>
      </c>
      <c r="AF194" s="277">
        <v>500</v>
      </c>
      <c r="AG194" s="4">
        <f t="shared" si="397"/>
        <v>450</v>
      </c>
      <c r="AH194" s="3" t="s">
        <v>215</v>
      </c>
      <c r="AI194" s="4">
        <v>1660</v>
      </c>
      <c r="AJ194" s="4">
        <f t="shared" si="390"/>
        <v>830000</v>
      </c>
      <c r="AK194" s="3" t="s">
        <v>249</v>
      </c>
      <c r="AL194" s="3" t="s">
        <v>780</v>
      </c>
      <c r="AM194" s="30">
        <v>0.1</v>
      </c>
      <c r="AN194" s="183">
        <v>0.88</v>
      </c>
      <c r="AO194" s="183">
        <v>0.02</v>
      </c>
      <c r="AP194" s="28" t="s">
        <v>218</v>
      </c>
      <c r="AQ194" s="18" t="s">
        <v>835</v>
      </c>
      <c r="AR194" s="18" t="s">
        <v>251</v>
      </c>
      <c r="AS194" s="359"/>
      <c r="AT194" s="3" t="s">
        <v>220</v>
      </c>
      <c r="AU194" s="3" t="s">
        <v>220</v>
      </c>
      <c r="AV194" s="3" t="s">
        <v>220</v>
      </c>
      <c r="AW194" s="9"/>
      <c r="AX194" s="3"/>
      <c r="AY194" s="47">
        <v>46166</v>
      </c>
      <c r="AZ194" s="278">
        <f t="shared" si="411"/>
        <v>83000</v>
      </c>
      <c r="BA194" s="18">
        <v>46168</v>
      </c>
      <c r="BB194" s="22">
        <v>46163</v>
      </c>
      <c r="BC194" s="22"/>
      <c r="BD194" s="22"/>
      <c r="BE194" s="22"/>
      <c r="BF194" s="22"/>
      <c r="BG194" s="18"/>
      <c r="BH194" s="18"/>
      <c r="BI194" s="3"/>
      <c r="BJ194" s="25"/>
      <c r="BK194" s="18"/>
      <c r="BL194" s="271"/>
      <c r="BM194" s="18"/>
      <c r="BN194" s="2"/>
      <c r="BO194" s="18"/>
      <c r="BP194" s="20" t="s">
        <v>754</v>
      </c>
      <c r="BQ194" s="21" t="s">
        <v>798</v>
      </c>
      <c r="BR194" s="189"/>
      <c r="BS194" s="22"/>
      <c r="BT194" s="22"/>
      <c r="BU194" s="189">
        <f>BI194*AF194</f>
        <v>0</v>
      </c>
      <c r="BV194" s="22"/>
      <c r="BW194" s="22"/>
      <c r="BX194" s="22"/>
      <c r="BY194" s="22"/>
      <c r="BZ194" s="22"/>
      <c r="CA194" s="22"/>
      <c r="CB194" s="22"/>
      <c r="CE194" s="22" t="str">
        <f t="shared" si="426"/>
        <v>No OBL Yet</v>
      </c>
      <c r="CF194" s="48"/>
      <c r="CG194" s="22"/>
      <c r="CH194" s="2"/>
      <c r="CI194" s="55"/>
      <c r="CJ194" s="55"/>
      <c r="CK194" s="2" t="str">
        <f t="shared" si="427"/>
        <v>No CERTS Yet</v>
      </c>
      <c r="CL194" s="54"/>
      <c r="CM194" s="2"/>
      <c r="CO194" s="14"/>
      <c r="CP194" s="191"/>
      <c r="CQ194" s="190">
        <f t="shared" si="413"/>
        <v>-83000</v>
      </c>
      <c r="CR194" s="14"/>
      <c r="CS194" s="15"/>
      <c r="CT194" s="2"/>
      <c r="CU194" s="41"/>
      <c r="CV194" s="2"/>
      <c r="CW194" s="192"/>
      <c r="CX194" s="40"/>
      <c r="CY194" s="16"/>
      <c r="CZ194" s="2"/>
      <c r="DA194" s="14"/>
      <c r="DB194" s="2"/>
      <c r="DC194" s="192"/>
      <c r="DD194" s="2"/>
      <c r="DE194" s="15"/>
      <c r="DF194" s="2"/>
      <c r="DG194" s="2"/>
      <c r="DH194" s="15"/>
      <c r="DI194" s="14"/>
      <c r="DJ194" s="14"/>
      <c r="DK194" s="15"/>
      <c r="DL194" s="15"/>
      <c r="DM194" s="2"/>
      <c r="DN194" s="2"/>
      <c r="DO194" s="2"/>
      <c r="DP194" s="2"/>
      <c r="DQ194" s="2"/>
      <c r="DR194" s="2"/>
      <c r="DS194" s="2"/>
      <c r="DT194" s="2"/>
      <c r="DU194" s="2"/>
      <c r="DW194" s="2"/>
      <c r="DX194" s="2"/>
      <c r="DY194" s="2" t="s">
        <v>230</v>
      </c>
      <c r="DZ194" s="2"/>
      <c r="EA194" s="3"/>
      <c r="EB194" s="3"/>
      <c r="EC194" s="3"/>
      <c r="ED194" s="189"/>
      <c r="EE194" s="4"/>
      <c r="EF194" s="9"/>
      <c r="EG194" s="9"/>
      <c r="EH194" s="3" t="s">
        <v>759</v>
      </c>
      <c r="EI194" s="9"/>
      <c r="EJ194" s="8"/>
      <c r="EK194" s="189"/>
      <c r="EL194" s="7"/>
      <c r="EM194" s="7"/>
      <c r="EN194" s="6"/>
      <c r="EO194" s="2"/>
      <c r="EP194" s="189"/>
      <c r="EQ194" s="189"/>
      <c r="ER194" s="189"/>
      <c r="ES194" s="2"/>
      <c r="ET194" s="24"/>
      <c r="EU194" s="2"/>
      <c r="EV194" s="2" t="str">
        <f t="shared" si="428"/>
        <v>Yet to load</v>
      </c>
      <c r="EW194" s="193"/>
      <c r="EX194" s="189"/>
      <c r="EY194" s="24"/>
      <c r="EZ194" s="52"/>
      <c r="FA194" s="49"/>
      <c r="FB194" s="49"/>
      <c r="FC194" s="180"/>
      <c r="FD194" s="49"/>
      <c r="FE194" s="49"/>
      <c r="FF194" s="49"/>
      <c r="FG194" s="49"/>
      <c r="FH194" s="49"/>
      <c r="FI194" s="49"/>
      <c r="FJ194" s="49"/>
      <c r="FK194" s="49"/>
      <c r="FL194" s="49">
        <f>IFERROR(EZ194-BY194,"")</f>
        <v>0</v>
      </c>
      <c r="FM194" s="180">
        <f>IFERROR(BM194-FB194,"")</f>
        <v>0</v>
      </c>
      <c r="FN194" s="49"/>
      <c r="FO194" s="49"/>
      <c r="FP194" s="49"/>
      <c r="FQ194" s="49"/>
      <c r="FR194" s="49"/>
      <c r="FS194" s="34">
        <f t="shared" si="429"/>
        <v>20010353</v>
      </c>
      <c r="FT194" s="34">
        <f t="shared" si="430"/>
        <v>32016405</v>
      </c>
      <c r="FU194" s="3"/>
      <c r="FV194" s="3"/>
      <c r="FW194" s="3"/>
      <c r="FX194" s="3"/>
      <c r="FY194" s="3"/>
      <c r="FZ194" s="3"/>
      <c r="GA194" s="3"/>
      <c r="GB194" s="4"/>
      <c r="GC194" s="3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1"/>
    </row>
    <row r="195" spans="1:197" ht="33.950000000000003">
      <c r="A195" s="2" t="str">
        <f t="shared" si="391"/>
        <v>SC Raised, Advance Pending</v>
      </c>
      <c r="B195" s="282">
        <v>42</v>
      </c>
      <c r="C195" s="282">
        <v>200</v>
      </c>
      <c r="D195" s="182" t="s">
        <v>208</v>
      </c>
      <c r="E195" s="2" t="str">
        <f t="shared" si="392"/>
        <v>SHORT POSITION</v>
      </c>
      <c r="F195" s="271">
        <f t="shared" si="417"/>
        <v>32016444</v>
      </c>
      <c r="H195" s="2" t="str">
        <f t="shared" si="415"/>
        <v>HOANG KIM CASHEW ONE MEMBER COMPANY LIMITED</v>
      </c>
      <c r="I195" s="3" t="s">
        <v>259</v>
      </c>
      <c r="J195" s="2" t="s">
        <v>347</v>
      </c>
      <c r="K195" s="2" t="str">
        <f t="shared" si="393"/>
        <v>HCMC, VIETNAM</v>
      </c>
      <c r="L195" s="2" t="str">
        <f t="shared" si="418"/>
        <v/>
      </c>
      <c r="M195" s="2" t="str">
        <f t="shared" si="421"/>
        <v/>
      </c>
      <c r="N195" s="22" t="str">
        <f t="shared" si="422"/>
        <v/>
      </c>
      <c r="O195" s="22" t="str">
        <f t="shared" si="423"/>
        <v/>
      </c>
      <c r="P195" s="22" t="str">
        <f t="shared" si="424"/>
        <v>No OBL Yet</v>
      </c>
      <c r="Q195" s="2"/>
      <c r="R195" s="2" t="str">
        <f t="shared" si="425"/>
        <v>No CERTS Yet</v>
      </c>
      <c r="S195" s="2">
        <f t="shared" si="410"/>
        <v>0</v>
      </c>
      <c r="T195" s="2"/>
      <c r="U195" s="3" t="s">
        <v>905</v>
      </c>
      <c r="W195" s="3" t="s">
        <v>905</v>
      </c>
      <c r="X195" s="24">
        <v>46168</v>
      </c>
      <c r="Y195" s="533">
        <v>20010448</v>
      </c>
      <c r="Z195" s="24">
        <v>46168</v>
      </c>
      <c r="AA195" s="182">
        <v>32016444</v>
      </c>
      <c r="AB195" s="272" t="s">
        <v>906</v>
      </c>
      <c r="AC195" s="182" t="s">
        <v>847</v>
      </c>
      <c r="AD195" s="181">
        <v>46234</v>
      </c>
      <c r="AE195" s="30">
        <v>0.1</v>
      </c>
      <c r="AF195" s="277">
        <v>200</v>
      </c>
      <c r="AG195" s="4">
        <f t="shared" si="397"/>
        <v>180</v>
      </c>
      <c r="AH195" s="3" t="s">
        <v>215</v>
      </c>
      <c r="AI195" s="4">
        <v>1275</v>
      </c>
      <c r="AJ195" s="4">
        <f t="shared" ref="AJ195:AJ197" si="433">AI195*AF195</f>
        <v>255000</v>
      </c>
      <c r="AK195" s="3" t="s">
        <v>249</v>
      </c>
      <c r="AL195" s="3" t="s">
        <v>780</v>
      </c>
      <c r="AM195" s="30">
        <v>0.1</v>
      </c>
      <c r="AN195" s="183">
        <v>0.88</v>
      </c>
      <c r="AO195" s="183">
        <v>0.02</v>
      </c>
      <c r="AP195" s="28" t="s">
        <v>218</v>
      </c>
      <c r="AQ195" s="18" t="s">
        <v>370</v>
      </c>
      <c r="AR195" s="18" t="s">
        <v>907</v>
      </c>
      <c r="AS195" s="541">
        <v>5</v>
      </c>
      <c r="AT195" s="3" t="s">
        <v>220</v>
      </c>
      <c r="AU195" s="3" t="s">
        <v>220</v>
      </c>
      <c r="AV195" s="3" t="s">
        <v>220</v>
      </c>
      <c r="AW195" s="9"/>
      <c r="AX195" s="3"/>
      <c r="AY195" s="47">
        <v>46172</v>
      </c>
      <c r="AZ195" s="278">
        <f t="shared" si="411"/>
        <v>25500</v>
      </c>
      <c r="BA195" s="18"/>
      <c r="BB195" s="22"/>
      <c r="BC195" s="22"/>
      <c r="BD195" s="22"/>
      <c r="BE195" s="22"/>
      <c r="BF195" s="22"/>
      <c r="BG195" s="18"/>
      <c r="BH195" s="18"/>
      <c r="BI195" s="3"/>
      <c r="BJ195" s="25"/>
      <c r="BK195" s="18"/>
      <c r="BL195" s="271"/>
      <c r="BM195" s="18"/>
      <c r="BN195" s="2"/>
      <c r="BO195" s="18"/>
      <c r="BP195" s="20" t="s">
        <v>259</v>
      </c>
      <c r="BQ195" s="21" t="s">
        <v>409</v>
      </c>
      <c r="BR195" s="189"/>
      <c r="BS195" s="22"/>
      <c r="BT195" s="22"/>
      <c r="BU195" s="189">
        <f>BI195*AF195</f>
        <v>0</v>
      </c>
      <c r="BV195" s="22"/>
      <c r="BW195" s="22"/>
      <c r="BX195" s="22"/>
      <c r="BY195" s="22"/>
      <c r="BZ195" s="22"/>
      <c r="CA195" s="22"/>
      <c r="CB195" s="22"/>
      <c r="CE195" s="22" t="str">
        <f t="shared" si="426"/>
        <v>No OBL Yet</v>
      </c>
      <c r="CF195" s="48"/>
      <c r="CG195" s="22"/>
      <c r="CH195" s="2"/>
      <c r="CI195" s="55"/>
      <c r="CJ195" s="55"/>
      <c r="CK195" s="2" t="str">
        <f t="shared" si="427"/>
        <v>No CERTS Yet</v>
      </c>
      <c r="CL195" s="54"/>
      <c r="CM195" s="2"/>
      <c r="CN195" s="55"/>
      <c r="CO195" s="14"/>
      <c r="CP195" s="191"/>
      <c r="CQ195" s="190">
        <f t="shared" si="413"/>
        <v>-25500</v>
      </c>
      <c r="CR195" s="14"/>
      <c r="CS195" s="15"/>
      <c r="CT195" s="2"/>
      <c r="CU195" s="41"/>
      <c r="CV195" s="2"/>
      <c r="CW195" s="192"/>
      <c r="CX195" s="40"/>
      <c r="CY195" s="16"/>
      <c r="CZ195" s="2"/>
      <c r="DA195" s="14"/>
      <c r="DB195" s="2"/>
      <c r="DC195" s="192"/>
      <c r="DD195" s="2"/>
      <c r="DE195" s="15"/>
      <c r="DF195" s="2"/>
      <c r="DG195" s="2"/>
      <c r="DH195" s="15"/>
      <c r="DI195" s="14"/>
      <c r="DJ195" s="14"/>
      <c r="DK195" s="15"/>
      <c r="DL195" s="15"/>
      <c r="DM195" s="2"/>
      <c r="DN195" s="2"/>
      <c r="DO195" s="2"/>
      <c r="DP195" s="2"/>
      <c r="DQ195" s="2"/>
      <c r="DR195" s="2"/>
      <c r="DS195" s="2"/>
      <c r="DT195" s="2"/>
      <c r="DU195" s="2"/>
      <c r="DV195" s="1"/>
      <c r="DW195" s="2"/>
      <c r="DX195" s="2"/>
      <c r="DY195" s="2" t="s">
        <v>230</v>
      </c>
      <c r="DZ195" s="2"/>
      <c r="EA195" s="3"/>
      <c r="EB195" s="3"/>
      <c r="EC195" s="3"/>
      <c r="ED195" s="189"/>
      <c r="EE195" s="4"/>
      <c r="EF195" s="9"/>
      <c r="EG195" s="9"/>
      <c r="EH195" s="3" t="s">
        <v>266</v>
      </c>
      <c r="EI195" s="9"/>
      <c r="EJ195" s="8"/>
      <c r="EK195" s="189"/>
      <c r="EL195" s="7"/>
      <c r="EM195" s="7"/>
      <c r="EN195" s="6"/>
      <c r="EO195" s="2"/>
      <c r="EP195" s="189"/>
      <c r="EQ195" s="189"/>
      <c r="ER195" s="189"/>
      <c r="ES195" s="2"/>
      <c r="ET195" s="24"/>
      <c r="EU195" s="2"/>
      <c r="EV195" s="2" t="str">
        <f t="shared" si="428"/>
        <v>Yet to load</v>
      </c>
      <c r="EW195" s="193"/>
      <c r="EX195" s="189"/>
      <c r="EY195" s="24"/>
      <c r="EZ195" s="52"/>
      <c r="FA195" s="49"/>
      <c r="FB195" s="49"/>
      <c r="FC195" s="180"/>
      <c r="FD195" s="49"/>
      <c r="FE195" s="49"/>
      <c r="FF195" s="49"/>
      <c r="FG195" s="49"/>
      <c r="FH195" s="49"/>
      <c r="FI195" s="49"/>
      <c r="FJ195" s="49"/>
      <c r="FK195" s="49"/>
      <c r="FL195" s="49"/>
      <c r="FM195" s="34"/>
      <c r="FN195" s="34"/>
      <c r="FO195" s="3"/>
      <c r="FP195" s="3"/>
      <c r="FQ195" s="3"/>
      <c r="FR195" s="3"/>
      <c r="FS195" s="34">
        <f t="shared" si="429"/>
        <v>20010448</v>
      </c>
      <c r="FT195" s="34">
        <f t="shared" si="430"/>
        <v>32016444</v>
      </c>
      <c r="FU195" s="3"/>
      <c r="FV195" s="4"/>
      <c r="FW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</row>
    <row r="196" spans="1:197">
      <c r="A196" s="2" t="str">
        <f t="shared" si="391"/>
        <v>Entry Pending</v>
      </c>
      <c r="B196" s="282">
        <v>52</v>
      </c>
      <c r="C196" s="282">
        <v>220</v>
      </c>
      <c r="D196" s="182" t="s">
        <v>208</v>
      </c>
      <c r="E196" s="2" t="str">
        <f t="shared" si="392"/>
        <v>ENTRY PENDING</v>
      </c>
      <c r="F196" s="271">
        <f t="shared" si="417"/>
        <v>0</v>
      </c>
      <c r="H196" s="2" t="str">
        <f t="shared" si="415"/>
        <v>VALENCY AGRO //HSS//The Nut company</v>
      </c>
      <c r="I196" s="3" t="s">
        <v>908</v>
      </c>
      <c r="J196" s="2" t="s">
        <v>210</v>
      </c>
      <c r="K196" s="2" t="str">
        <f t="shared" si="393"/>
        <v>MUNDRA, INDIA</v>
      </c>
      <c r="L196" s="2" t="str">
        <f t="shared" si="418"/>
        <v/>
      </c>
      <c r="M196" s="2" t="str">
        <f t="shared" si="421"/>
        <v/>
      </c>
      <c r="N196" s="22" t="str">
        <f t="shared" si="422"/>
        <v/>
      </c>
      <c r="O196" s="22" t="str">
        <f t="shared" si="423"/>
        <v/>
      </c>
      <c r="P196" s="22" t="str">
        <f t="shared" si="424"/>
        <v>No OBL Yet</v>
      </c>
      <c r="Q196" s="2"/>
      <c r="R196" s="2" t="str">
        <f t="shared" si="425"/>
        <v>No CERTS Yet</v>
      </c>
      <c r="S196" s="2">
        <f t="shared" si="410"/>
        <v>0</v>
      </c>
      <c r="T196" s="2"/>
      <c r="U196" s="3" t="s">
        <v>909</v>
      </c>
      <c r="W196" s="3" t="s">
        <v>909</v>
      </c>
      <c r="X196" s="24"/>
      <c r="Y196" s="273"/>
      <c r="Z196" s="24"/>
      <c r="AB196" s="182" t="s">
        <v>910</v>
      </c>
      <c r="AC196" s="182" t="s">
        <v>847</v>
      </c>
      <c r="AD196" s="181">
        <v>46234</v>
      </c>
      <c r="AE196" s="30">
        <v>0.1</v>
      </c>
      <c r="AF196" s="277">
        <v>100</v>
      </c>
      <c r="AG196" s="4">
        <f t="shared" si="397"/>
        <v>90</v>
      </c>
      <c r="AH196" s="3" t="s">
        <v>215</v>
      </c>
      <c r="AI196" s="4">
        <v>1595</v>
      </c>
      <c r="AJ196" s="4">
        <f t="shared" si="433"/>
        <v>159500</v>
      </c>
      <c r="AK196" s="3" t="s">
        <v>249</v>
      </c>
      <c r="AL196" s="3" t="s">
        <v>238</v>
      </c>
      <c r="AM196" s="30">
        <v>0</v>
      </c>
      <c r="AN196" s="183">
        <v>1</v>
      </c>
      <c r="AO196" s="183">
        <v>0</v>
      </c>
      <c r="AP196" s="28" t="s">
        <v>218</v>
      </c>
      <c r="AQ196" s="18" t="s">
        <v>911</v>
      </c>
      <c r="AR196" s="18" t="s">
        <v>251</v>
      </c>
      <c r="AS196" s="541"/>
      <c r="AT196" s="3" t="s">
        <v>220</v>
      </c>
      <c r="AU196" s="3" t="s">
        <v>220</v>
      </c>
      <c r="AV196" s="3" t="s">
        <v>220</v>
      </c>
      <c r="AW196" s="9"/>
      <c r="AX196" s="3"/>
      <c r="AY196" s="47"/>
      <c r="AZ196" s="278">
        <f t="shared" si="411"/>
        <v>0</v>
      </c>
      <c r="BA196" s="18"/>
      <c r="BB196" s="22"/>
      <c r="BC196" s="22"/>
      <c r="BD196" s="22"/>
      <c r="BE196" s="22"/>
      <c r="BF196" s="22"/>
      <c r="BG196" s="18"/>
      <c r="BH196" s="18"/>
      <c r="BI196" s="3"/>
      <c r="BJ196" s="25"/>
      <c r="BK196" s="18"/>
      <c r="BL196" s="271"/>
      <c r="BM196" s="18"/>
      <c r="BN196" s="2"/>
      <c r="BO196" s="18"/>
      <c r="BP196" s="20" t="s">
        <v>908</v>
      </c>
      <c r="BQ196" s="21" t="s">
        <v>253</v>
      </c>
      <c r="BR196" s="189"/>
      <c r="BS196" s="22"/>
      <c r="BT196" s="22"/>
      <c r="BU196" s="189">
        <f>BI196*AF196</f>
        <v>0</v>
      </c>
      <c r="BV196" s="22"/>
      <c r="BW196" s="22"/>
      <c r="BX196" s="22"/>
      <c r="BY196" s="22"/>
      <c r="BZ196" s="22"/>
      <c r="CA196" s="22"/>
      <c r="CB196" s="22"/>
      <c r="CE196" s="22" t="str">
        <f t="shared" si="426"/>
        <v>No OBL Yet</v>
      </c>
      <c r="CF196" s="48"/>
      <c r="CG196" s="22"/>
      <c r="CH196" s="2"/>
      <c r="CI196" s="55"/>
      <c r="CJ196" s="55"/>
      <c r="CK196" s="2" t="str">
        <f t="shared" si="427"/>
        <v>No CERTS Yet</v>
      </c>
      <c r="CL196" s="54"/>
      <c r="CM196" s="2"/>
      <c r="CN196" s="55"/>
      <c r="CO196" s="14"/>
      <c r="CP196" s="191"/>
      <c r="CQ196" s="190">
        <f t="shared" si="413"/>
        <v>0</v>
      </c>
      <c r="CR196" s="14"/>
      <c r="CS196" s="15"/>
      <c r="CT196" s="2"/>
      <c r="CU196" s="41"/>
      <c r="CV196" s="2"/>
      <c r="CW196" s="192"/>
      <c r="CX196" s="40"/>
      <c r="CY196" s="16"/>
      <c r="CZ196" s="2"/>
      <c r="DA196" s="14"/>
      <c r="DB196" s="2"/>
      <c r="DC196" s="192"/>
      <c r="DD196" s="2"/>
      <c r="DE196" s="15"/>
      <c r="DF196" s="2"/>
      <c r="DG196" s="2"/>
      <c r="DH196" s="15"/>
      <c r="DI196" s="14"/>
      <c r="DJ196" s="14"/>
      <c r="DK196" s="15"/>
      <c r="DL196" s="15"/>
      <c r="DM196" s="2"/>
      <c r="DN196" s="2"/>
      <c r="DO196" s="2"/>
      <c r="DP196" s="2"/>
      <c r="DQ196" s="2"/>
      <c r="DR196" s="2"/>
      <c r="DS196" s="2"/>
      <c r="DT196" s="2"/>
      <c r="DU196" s="2"/>
      <c r="DV196" s="1"/>
      <c r="DW196" s="2"/>
      <c r="DX196" s="2"/>
      <c r="DY196" s="2" t="s">
        <v>230</v>
      </c>
      <c r="DZ196" s="2"/>
      <c r="EA196" s="3"/>
      <c r="EB196" s="3"/>
      <c r="EC196" s="3"/>
      <c r="ED196" s="189"/>
      <c r="EE196" s="4"/>
      <c r="EF196" s="9"/>
      <c r="EG196" s="9"/>
      <c r="EH196" s="189"/>
      <c r="EI196" s="9"/>
      <c r="EJ196" s="8"/>
      <c r="EK196" s="189">
        <f>EH196*EG196</f>
        <v>0</v>
      </c>
      <c r="EL196" s="7"/>
      <c r="EM196" s="7"/>
      <c r="EN196" s="6"/>
      <c r="EO196" s="2"/>
      <c r="EP196" s="189"/>
      <c r="EQ196" s="189"/>
      <c r="ER196" s="189"/>
      <c r="ES196" s="2"/>
      <c r="ET196" s="24"/>
      <c r="EU196" s="2"/>
      <c r="EV196" s="2" t="str">
        <f t="shared" si="428"/>
        <v>Yet to load</v>
      </c>
      <c r="EW196" s="193"/>
      <c r="EX196" s="189"/>
      <c r="EY196" s="24"/>
      <c r="EZ196" s="52"/>
      <c r="FA196" s="49"/>
      <c r="FB196" s="49"/>
      <c r="FC196" s="180"/>
      <c r="FD196" s="49"/>
      <c r="FE196" s="49"/>
      <c r="FF196" s="49"/>
      <c r="FG196" s="49"/>
      <c r="FH196" s="49"/>
      <c r="FI196" s="49"/>
      <c r="FJ196" s="49"/>
      <c r="FK196" s="49"/>
      <c r="FL196" s="49"/>
      <c r="FM196" s="34"/>
      <c r="FN196" s="34"/>
      <c r="FO196" s="3"/>
      <c r="FP196" s="3"/>
      <c r="FQ196" s="3"/>
      <c r="FR196" s="3"/>
      <c r="FS196" s="34">
        <f t="shared" si="429"/>
        <v>0</v>
      </c>
      <c r="FT196" s="34">
        <f t="shared" si="430"/>
        <v>0</v>
      </c>
      <c r="FU196" s="3"/>
      <c r="FV196" s="4"/>
      <c r="FW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</row>
    <row r="197" spans="1:197" s="1" customFormat="1" ht="33.950000000000003">
      <c r="A197" s="2" t="str">
        <f t="shared" si="391"/>
        <v>SC Raised, Advance Pending</v>
      </c>
      <c r="B197" s="282">
        <v>53</v>
      </c>
      <c r="C197" s="282">
        <v>215</v>
      </c>
      <c r="D197" s="182" t="s">
        <v>208</v>
      </c>
      <c r="E197" s="2" t="str">
        <f t="shared" si="392"/>
        <v>SHORT POSITION</v>
      </c>
      <c r="F197" s="271">
        <f t="shared" si="417"/>
        <v>32016492</v>
      </c>
      <c r="G197" s="271"/>
      <c r="H197" s="2" t="str">
        <f t="shared" si="415"/>
        <v xml:space="preserve">Maa Tarini Traders and Processing </v>
      </c>
      <c r="I197" s="3" t="s">
        <v>754</v>
      </c>
      <c r="J197" s="2" t="s">
        <v>210</v>
      </c>
      <c r="K197" s="2" t="str">
        <f t="shared" si="393"/>
        <v>Vishakhapatnam, INDIA</v>
      </c>
      <c r="L197" s="2" t="str">
        <f t="shared" si="418"/>
        <v/>
      </c>
      <c r="M197" s="2" t="str">
        <f t="shared" si="421"/>
        <v/>
      </c>
      <c r="N197" s="22" t="str">
        <f t="shared" si="422"/>
        <v/>
      </c>
      <c r="O197" s="22" t="str">
        <f t="shared" si="423"/>
        <v/>
      </c>
      <c r="P197" s="22" t="str">
        <f t="shared" si="424"/>
        <v>No OBL Yet</v>
      </c>
      <c r="Q197" s="2"/>
      <c r="R197" s="2" t="str">
        <f t="shared" si="425"/>
        <v>No CERTS Yet</v>
      </c>
      <c r="S197" s="2" t="str">
        <f t="shared" si="410"/>
        <v/>
      </c>
      <c r="T197" s="2" t="str">
        <f>IFERROR(_xlfn.XLOOKUP(F197,
'[2]Data 2026'!$H$12:$H$111,
'[2]Data 2026'!$CL$12:$CL$111),"")</f>
        <v/>
      </c>
      <c r="U197" s="3"/>
      <c r="V197" s="272"/>
      <c r="W197" s="3"/>
      <c r="X197" s="24">
        <v>46169</v>
      </c>
      <c r="Y197" s="273">
        <v>20010484</v>
      </c>
      <c r="Z197" s="24">
        <v>46169</v>
      </c>
      <c r="AA197" s="182">
        <v>32016492</v>
      </c>
      <c r="AB197" s="182" t="s">
        <v>889</v>
      </c>
      <c r="AC197" s="181" t="s">
        <v>912</v>
      </c>
      <c r="AD197" s="181">
        <v>46218</v>
      </c>
      <c r="AE197" s="30">
        <v>0.1</v>
      </c>
      <c r="AF197" s="620">
        <v>100</v>
      </c>
      <c r="AG197" s="4">
        <f t="shared" si="397"/>
        <v>90</v>
      </c>
      <c r="AH197" s="3" t="s">
        <v>215</v>
      </c>
      <c r="AI197" s="4">
        <v>1655</v>
      </c>
      <c r="AJ197" s="4">
        <f t="shared" si="433"/>
        <v>165500</v>
      </c>
      <c r="AK197" s="3" t="s">
        <v>249</v>
      </c>
      <c r="AL197" s="3" t="s">
        <v>869</v>
      </c>
      <c r="AM197" s="183">
        <v>0.1</v>
      </c>
      <c r="AN197" s="183">
        <v>0.9</v>
      </c>
      <c r="AO197" s="183">
        <v>0</v>
      </c>
      <c r="AP197" s="28" t="s">
        <v>218</v>
      </c>
      <c r="AQ197" s="3" t="s">
        <v>331</v>
      </c>
      <c r="AR197" s="18" t="s">
        <v>251</v>
      </c>
      <c r="AS197" s="359"/>
      <c r="AT197" s="3" t="s">
        <v>220</v>
      </c>
      <c r="AU197" s="3" t="s">
        <v>220</v>
      </c>
      <c r="AV197" s="3" t="s">
        <v>220</v>
      </c>
      <c r="AW197" s="9"/>
      <c r="AX197" s="3"/>
      <c r="AY197" s="47">
        <v>46174</v>
      </c>
      <c r="AZ197" s="278">
        <f t="shared" si="411"/>
        <v>16550</v>
      </c>
      <c r="BA197" s="18"/>
      <c r="BB197" s="22"/>
      <c r="BC197" s="22"/>
      <c r="BD197" s="22"/>
      <c r="BE197" s="22"/>
      <c r="BF197" s="22"/>
      <c r="BG197" s="18"/>
      <c r="BH197" s="18"/>
      <c r="BI197" s="18"/>
      <c r="BJ197" s="25"/>
      <c r="BK197" s="189"/>
      <c r="BL197" s="497"/>
      <c r="BM197" s="18"/>
      <c r="BN197" s="4"/>
      <c r="BO197" s="18"/>
      <c r="BP197" s="3" t="s">
        <v>754</v>
      </c>
      <c r="BQ197" s="21" t="s">
        <v>525</v>
      </c>
      <c r="BR197" s="2"/>
      <c r="BS197" s="2"/>
      <c r="BT197" s="2"/>
      <c r="BU197" s="2"/>
      <c r="BV197" s="20"/>
      <c r="BW197" s="19"/>
      <c r="BX197" s="189">
        <f>BJ197*AI197</f>
        <v>0</v>
      </c>
      <c r="BY197" s="22"/>
      <c r="BZ197" s="22"/>
      <c r="CA197" s="22"/>
      <c r="CB197" s="22"/>
      <c r="CC197" s="22"/>
      <c r="CD197" s="22"/>
      <c r="CE197" s="22" t="str">
        <f t="shared" si="426"/>
        <v>No OBL Yet</v>
      </c>
      <c r="CF197" s="22"/>
      <c r="CG197" s="22"/>
      <c r="CH197" s="182"/>
      <c r="CI197" s="182"/>
      <c r="CJ197" s="182"/>
      <c r="CK197" s="2" t="str">
        <f t="shared" si="427"/>
        <v>No CERTS Yet</v>
      </c>
      <c r="CL197" s="48"/>
      <c r="CM197" s="22"/>
      <c r="CN197" s="55"/>
      <c r="CO197" s="55"/>
      <c r="CP197" s="55" t="str">
        <f>IF(CO197&lt;&gt;0,"Docs in Buyer's Bank",IF(CN197&lt;&gt;0,"Docs in Transit to Buyer's Bank",IF(CM197&lt;&gt;0,"Docs in Our Bank",IF(CL197="TT PAYMENT","Not Applicable",""))))</f>
        <v/>
      </c>
      <c r="CQ197" s="190">
        <f t="shared" si="413"/>
        <v>-16550</v>
      </c>
      <c r="CR197" s="54"/>
      <c r="CS197" s="2"/>
      <c r="CT197" s="2"/>
      <c r="CU197" s="14" t="str">
        <f>IF(CS197="","",BJ197-CT197)</f>
        <v/>
      </c>
      <c r="CV197" s="191" t="str">
        <f>IF(CS197="","",CU197/BJ197)</f>
        <v/>
      </c>
      <c r="CW197" s="14" t="str">
        <f>IF(CS197="","",AZ197+CQ197)</f>
        <v/>
      </c>
      <c r="CX197" s="14" t="str">
        <f>IF(CS197="","",BX197*2%)</f>
        <v/>
      </c>
      <c r="CY197" s="15" t="str">
        <f>IF(CS197="","",AI197/B197)</f>
        <v/>
      </c>
      <c r="CZ197" s="2"/>
      <c r="DA197" s="41" t="str">
        <f>IF(CS197="","",B197-CZ197)</f>
        <v/>
      </c>
      <c r="DB197" s="2"/>
      <c r="DC197" s="192" t="str">
        <f>IF(CS197="","",IF(CS197="","",DB197-C197))</f>
        <v/>
      </c>
      <c r="DD197" s="40"/>
      <c r="DE197" s="16" t="str">
        <f>IF(CS197="","",10%-DD197)</f>
        <v/>
      </c>
      <c r="DF197" s="2" t="str">
        <f>IF(CS197="","",CU197*AI197)</f>
        <v/>
      </c>
      <c r="DG197" s="14" t="str">
        <f>IF(CS197="","",IF(DA197&gt;2,2*DA197*CT197*CY197,DA197*CT197*CY197))</f>
        <v/>
      </c>
      <c r="DH197" s="2" t="str">
        <f>IF(CS197="","",IF(DA197&gt;2,2*(DA197-2*CT197*CY197),0))</f>
        <v/>
      </c>
      <c r="DI197" s="192" t="str">
        <f>IF(CS197="","",IF(DC197&gt;0,DC197*0.5*CT197,0))</f>
        <v/>
      </c>
      <c r="DJ197" s="2" t="str">
        <f>IF(CS197="","",IF(DE197&lt;0,DE197*CT197*AI197*1%,0))</f>
        <v/>
      </c>
      <c r="DK197" s="15" t="str">
        <f>IF(CS197="","",SUM(DF197:DJ197))</f>
        <v/>
      </c>
      <c r="DL197" s="2"/>
      <c r="DM197" s="2"/>
      <c r="DN197" s="15" t="str">
        <f>IF(CS197="","",SUM(DK197:DL197))</f>
        <v/>
      </c>
      <c r="DO197" s="14" t="str">
        <f>IF(CS197="","",BJ197*AI197-DN197)</f>
        <v/>
      </c>
      <c r="DP197" s="14" t="str">
        <f>IF(CS197="","",AZ197+CQ197)</f>
        <v/>
      </c>
      <c r="DQ197" s="15" t="str">
        <f>IF(CS197="","",IF((DP197-DO197)&gt;0,DP197-DO197,""))</f>
        <v/>
      </c>
      <c r="DR197" s="15" t="str">
        <f>IF(CS197="","",IF((DO197-DP197)&gt;0,(DO197-DP197),""))</f>
        <v/>
      </c>
      <c r="DS197" s="2" t="str">
        <f>IF(CS197="","",IF(DQ197="",H197,"VALENCY"))</f>
        <v/>
      </c>
      <c r="DT197" s="2" t="str">
        <f>IF(DN197="","",IF(DN197&gt;0,"CN", "DN"))</f>
        <v/>
      </c>
      <c r="DU197" s="2"/>
      <c r="DV197" s="2"/>
      <c r="DW197" s="2"/>
      <c r="DX197" s="2"/>
      <c r="DY197" s="2" t="s">
        <v>230</v>
      </c>
      <c r="DZ197" s="2"/>
      <c r="EA197" s="2" t="str">
        <f>IF(CS197="","",
   MIN(0,(IF(DA197&gt;2,2,1)*DA197*CT197*CY197))
)</f>
        <v/>
      </c>
      <c r="EB197" s="2"/>
      <c r="EC197" s="2"/>
      <c r="ED197" s="2"/>
      <c r="EE197" s="3"/>
      <c r="EF197" s="7"/>
      <c r="EG197" s="3"/>
      <c r="EH197" s="3" t="s">
        <v>759</v>
      </c>
      <c r="EI197" s="3"/>
      <c r="EJ197" s="189"/>
      <c r="EK197" s="4"/>
      <c r="EL197" s="9"/>
      <c r="EM197" s="9"/>
      <c r="EN197" s="189">
        <f>EK197*EJ197</f>
        <v>0</v>
      </c>
      <c r="EO197" s="9"/>
      <c r="EP197" s="8"/>
      <c r="EQ197" s="4"/>
      <c r="ER197" s="4"/>
      <c r="ES197" s="7"/>
      <c r="ET197" s="7"/>
      <c r="EU197" s="6"/>
      <c r="EV197" s="2" t="str">
        <f t="shared" si="428"/>
        <v>Yet to load</v>
      </c>
      <c r="EW197" s="189"/>
      <c r="EX197" s="189" t="e">
        <f>EW197/BJ197</f>
        <v>#DIV/0!</v>
      </c>
      <c r="EY197" s="24"/>
      <c r="EZ197" s="24"/>
      <c r="FA197" s="2"/>
      <c r="FB197" s="24"/>
      <c r="FC197" s="193"/>
      <c r="FD197" s="189">
        <f>FC197*BJ197</f>
        <v>0</v>
      </c>
      <c r="FE197" s="52"/>
      <c r="FF197" s="52"/>
      <c r="FG197" s="49"/>
      <c r="FH197" s="49"/>
      <c r="FI197" s="49"/>
      <c r="FJ197" s="49"/>
      <c r="FK197" s="49"/>
      <c r="FL197" s="49">
        <f>IFERROR(EZ197-BY197,"")</f>
        <v>0</v>
      </c>
      <c r="FM197" s="180">
        <f>IFERROR(BM197-FB197,"")</f>
        <v>0</v>
      </c>
      <c r="FN197" s="49"/>
      <c r="FO197" s="49"/>
      <c r="FP197" s="49"/>
      <c r="FQ197" s="49"/>
      <c r="FR197" s="49"/>
      <c r="FS197" s="34">
        <f>Y197</f>
        <v>20010484</v>
      </c>
      <c r="FT197" s="34">
        <f>AA197</f>
        <v>32016492</v>
      </c>
      <c r="FU197" s="3"/>
      <c r="FV197" s="3"/>
      <c r="FW197" s="3"/>
      <c r="FX197" s="3"/>
      <c r="FY197" s="3"/>
      <c r="FZ197" s="3"/>
      <c r="GA197" s="3"/>
      <c r="GB197" s="4"/>
      <c r="GC197" s="3"/>
      <c r="GD197" s="182"/>
      <c r="GE197" s="3"/>
      <c r="GF197" s="3"/>
      <c r="GG197" s="3"/>
      <c r="GH197" s="3"/>
      <c r="GI197" s="3"/>
      <c r="GJ197" s="3"/>
      <c r="GK197" s="3"/>
      <c r="GL197" s="3"/>
      <c r="GM197" s="3"/>
      <c r="GN197" s="3"/>
    </row>
    <row r="198" spans="1:197">
      <c r="EH198" s="2"/>
    </row>
  </sheetData>
  <autoFilter ref="A2:FJ197" xr:uid="{C32F9BD4-FA75-4CF8-A37D-9AE451CA1813}"/>
  <pageMargins left="0.7" right="0.7" top="0.75" bottom="0.75" header="0.3" footer="0.3"/>
  <pageSetup paperSize="8" scale="10" fitToHeight="0" orientation="landscape" blackAndWhite="1" r:id="rId1"/>
  <drawing r:id="rId2"/>
  <legacyDrawing r:id="rId3"/>
  <controls>
    <mc:AlternateContent xmlns:mc="http://schemas.openxmlformats.org/markup-compatibility/2006">
      <mc:Choice Requires="x14">
        <control shapeId="1040" r:id="rId4" name="Control 16">
          <controlPr defaultSize="0" r:id="rId5">
            <anchor moveWithCells="1">
              <from>
                <xdr:col>119</xdr:col>
                <xdr:colOff>1778000</xdr:colOff>
                <xdr:row>197</xdr:row>
                <xdr:rowOff>19050</xdr:rowOff>
              </from>
              <to>
                <xdr:col>120</xdr:col>
                <xdr:colOff>0</xdr:colOff>
                <xdr:row>197</xdr:row>
                <xdr:rowOff>203200</xdr:rowOff>
              </to>
            </anchor>
          </controlPr>
        </control>
      </mc:Choice>
      <mc:Fallback>
        <control shapeId="1040" r:id="rId4" name="Control 1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5496-415C-44D4-A6FE-5ED711E4B3F4}">
  <dimension ref="A1:L101"/>
  <sheetViews>
    <sheetView topLeftCell="C1" workbookViewId="0">
      <selection activeCell="G2" sqref="G2:G101"/>
    </sheetView>
  </sheetViews>
  <sheetFormatPr defaultRowHeight="15" customHeight="1"/>
  <cols>
    <col min="1" max="1" width="36.28515625" bestFit="1" customWidth="1"/>
    <col min="2" max="2" width="13.85546875" style="64" bestFit="1" customWidth="1"/>
    <col min="3" max="3" width="44.85546875" bestFit="1" customWidth="1"/>
    <col min="4" max="4" width="49.28515625" bestFit="1" customWidth="1"/>
    <col min="5" max="6" width="14.140625" bestFit="1" customWidth="1"/>
    <col min="7" max="7" width="6.5703125" bestFit="1" customWidth="1"/>
    <col min="8" max="8" width="10.5703125" customWidth="1"/>
    <col min="9" max="9" width="13.7109375" bestFit="1" customWidth="1"/>
    <col min="10" max="10" width="27" bestFit="1" customWidth="1"/>
    <col min="11" max="11" width="23.140625" bestFit="1" customWidth="1"/>
    <col min="12" max="12" width="21.140625" bestFit="1" customWidth="1"/>
    <col min="13" max="14" width="9.140625" bestFit="1" customWidth="1"/>
  </cols>
  <sheetData>
    <row r="1" spans="1:12" ht="14.45">
      <c r="A1" s="455" t="s">
        <v>913</v>
      </c>
      <c r="B1" s="455" t="s">
        <v>914</v>
      </c>
      <c r="C1" s="456" t="s">
        <v>915</v>
      </c>
      <c r="D1" s="457">
        <f ca="1">'MIS 2026'!W2</f>
        <v>46172</v>
      </c>
      <c r="E1" s="456" t="s">
        <v>916</v>
      </c>
      <c r="F1" s="456" t="s">
        <v>48</v>
      </c>
      <c r="G1" s="456" t="s">
        <v>917</v>
      </c>
      <c r="H1" s="456" t="s">
        <v>34</v>
      </c>
      <c r="I1" s="456" t="s">
        <v>918</v>
      </c>
      <c r="J1" s="456" t="s">
        <v>919</v>
      </c>
      <c r="K1" s="456" t="s">
        <v>920</v>
      </c>
      <c r="L1" s="456" t="s">
        <v>921</v>
      </c>
    </row>
    <row r="2" spans="1:12" ht="14.45">
      <c r="A2" s="454" t="str">
        <f>IF(B2="","",_xlfn.XLOOKUP(B2,'MIS 2026'!$AA$3:$AA$895,'MIS 2026'!$A$3:$A$895))</f>
        <v>OBL Scan Recd, Nego Pending</v>
      </c>
      <c r="B2" s="458" t="str" cm="1">
        <f t="array" ref="B2:B92">_xlfn.UNIQUE(_xlfn._xlws.FILTER('MIS 2026'!$AA$3:$AA$895,'MIS 2026'!W3:W895&lt;&gt;""))</f>
        <v>32015806-1</v>
      </c>
      <c r="C2" s="459" t="str">
        <f>IF(B2="","",_xlfn.XLOOKUP(B2,'MIS 2026'!$AA$3:$AA$895,'MIS 2026'!$AB$3:$AB$895))</f>
        <v>INDIA ENTERPRISES</v>
      </c>
      <c r="D2" s="459" t="str">
        <f>IF(B2="","",_xlfn.XLOOKUP(B2,'MIS 2026'!$AA$3:$AA$895,'MIS 2026'!$W$3:$W$895))</f>
        <v>OBL COURRIER PENDING</v>
      </c>
      <c r="E2" s="458" t="str">
        <f>IF(B2="","",_xlfn.XLOOKUP(B2,'MIS 2026'!$AA$3:$AA$895,'MIS 2026'!$BI$3:$BI$895))</f>
        <v>MEDULG632861</v>
      </c>
      <c r="F2" s="460">
        <f>IF(B2="","",_xlfn.XLOOKUP(B2,'MIS 2026'!$AA$3:$AA$895,'MIS 2026'!$AD$3:$AD$895))</f>
        <v>46157</v>
      </c>
      <c r="G2" s="460">
        <f>IF(B2="","",_xlfn.XLOOKUP(B2,'MIS 2026'!$AA$3:$AA$895,'MIS 2026'!$BM$3:$BM$895))</f>
        <v>46158</v>
      </c>
      <c r="H2" s="460">
        <f>IF(B2="","",_xlfn.XLOOKUP(B2,'MIS 2026'!$AA$3:$AA$895,'MIS 2026'!$BO$3:$BO$895))</f>
        <v>46193</v>
      </c>
      <c r="I2" s="458" t="str">
        <f>IF(B2="","",_xlfn.XLOOKUP(B2,'MIS 2026'!$AA$3:$AA$895,'MIS 2026'!$I$3:$I$895))</f>
        <v>NIGERIA(SAKI)</v>
      </c>
      <c r="J2" s="458" t="str">
        <f>IF(B2="","",_xlfn.XLOOKUP(B2,'MIS 2026'!$AA$3:$AA$895,'MIS 2026'!$P$3:$P$895))</f>
        <v>OBL in Origin - NIGERIA(SAKI)</v>
      </c>
      <c r="K2" s="458" t="str">
        <f>IF(B2="","",_xlfn.XLOOKUP(B2,'MIS 2026'!$AA$3:$AA$895,'MIS 2026'!$R$3:$R$895))</f>
        <v>No CERTS Yet</v>
      </c>
      <c r="L2" s="458" t="str">
        <f>IF(B2="","",_xlfn.XLOOKUP(B2,'MIS 2026'!$AA$3:$AA$895,'MIS 2026'!$S$3:$S$895))</f>
        <v/>
      </c>
    </row>
    <row r="3" spans="1:12" ht="14.45">
      <c r="A3" s="454" t="str">
        <f>IF(B3="","",_xlfn.XLOOKUP(B3,'MIS 2026'!$AA$3:$AA$895,'MIS 2026'!$A$3:$A$895))</f>
        <v>Sailed, OBL &amp; Certs Pending</v>
      </c>
      <c r="B3" s="458" t="str">
        <v>32015806-2</v>
      </c>
      <c r="C3" s="459" t="str">
        <f>IF(B3="","",_xlfn.XLOOKUP(B3,'MIS 2026'!$AA$3:$AA$895,'MIS 2026'!$AB$3:$AB$895))</f>
        <v>INDIA ENTERPRISES</v>
      </c>
      <c r="D3" s="459" t="str">
        <f>IF(B3="","",_xlfn.XLOOKUP(B3,'MIS 2026'!$AA$3:$AA$895,'MIS 2026'!$W$3:$W$895))</f>
        <v>OBL EXPECTED 25/5</v>
      </c>
      <c r="E3" s="458" t="str">
        <f>IF(B3="","",_xlfn.XLOOKUP(B3,'MIS 2026'!$AA$3:$AA$895,'MIS 2026'!$BI$3:$BI$895))</f>
        <v>MEDULG632812</v>
      </c>
      <c r="F3" s="460">
        <f>IF(B3="","",_xlfn.XLOOKUP(B3,'MIS 2026'!$AA$3:$AA$895,'MIS 2026'!$AD$3:$AD$895))</f>
        <v>46157</v>
      </c>
      <c r="G3" s="460">
        <f>IF(B3="","",_xlfn.XLOOKUP(B3,'MIS 2026'!$AA$3:$AA$895,'MIS 2026'!$BM$3:$BM$895))</f>
        <v>46158</v>
      </c>
      <c r="H3" s="460">
        <f>IF(B3="","",_xlfn.XLOOKUP(B3,'MIS 2026'!$AA$3:$AA$895,'MIS 2026'!$BO$3:$BO$895))</f>
        <v>46193</v>
      </c>
      <c r="I3" s="458" t="str">
        <f>IF(B3="","",_xlfn.XLOOKUP(B3,'MIS 2026'!$AA$3:$AA$895,'MIS 2026'!$I$3:$I$895))</f>
        <v>NIGERIA(SAKI)</v>
      </c>
      <c r="J3" s="458" t="str">
        <f>IF(B3="","",_xlfn.XLOOKUP(B3,'MIS 2026'!$AA$3:$AA$895,'MIS 2026'!$P$3:$P$895))</f>
        <v>No OBL Yet</v>
      </c>
      <c r="K3" s="458" t="str">
        <f>IF(B3="","",_xlfn.XLOOKUP(B3,'MIS 2026'!$AA$3:$AA$895,'MIS 2026'!$R$3:$R$895))</f>
        <v>No CERTS Yet</v>
      </c>
      <c r="L3" s="458" t="str">
        <f>IF(B3="","",_xlfn.XLOOKUP(B3,'MIS 2026'!$AA$3:$AA$895,'MIS 2026'!$S$3:$S$895))</f>
        <v/>
      </c>
    </row>
    <row r="4" spans="1:12" ht="14.45">
      <c r="A4" s="454" t="str">
        <f>IF(B4="","",_xlfn.XLOOKUP(B4,'MIS 2026'!$AA$3:$AA$895,'MIS 2026'!$A$3:$A$895))</f>
        <v xml:space="preserve"> Final Pmt Recd , FNF Pending</v>
      </c>
      <c r="B4" s="458">
        <v>32015286</v>
      </c>
      <c r="C4" s="459" t="str">
        <f>IF(B4="","",_xlfn.XLOOKUP(B4,'MIS 2026'!$AA$3:$AA$895,'MIS 2026'!$AB$3:$AB$895))</f>
        <v>MOI COMMODITIES INDIA PVT LTD</v>
      </c>
      <c r="D4" s="459" t="str">
        <f>IF(B4="","",_xlfn.XLOOKUP(B4,'MIS 2026'!$AA$3:$AA$895,'MIS 2026'!$W$3:$W$895))</f>
        <v>PAYMENT PENDING-CERTS WILL REACH 2ND JUNE</v>
      </c>
      <c r="E4" s="458" t="str">
        <f>IF(B4="","",_xlfn.XLOOKUP(B4,'MIS 2026'!$AA$3:$AA$895,'MIS 2026'!$BI$3:$BI$895))</f>
        <v>ONEYTEMG00307500</v>
      </c>
      <c r="F4" s="460">
        <f>IF(B4="","",_xlfn.XLOOKUP(B4,'MIS 2026'!$AA$3:$AA$895,'MIS 2026'!$AD$3:$AD$895))</f>
        <v>46127</v>
      </c>
      <c r="G4" s="460">
        <f>IF(B4="","",_xlfn.XLOOKUP(B4,'MIS 2026'!$AA$3:$AA$895,'MIS 2026'!$BM$3:$BM$895))</f>
        <v>46125</v>
      </c>
      <c r="H4" s="460">
        <f>IF(B4="","",_xlfn.XLOOKUP(B4,'MIS 2026'!$AA$3:$AA$895,'MIS 2026'!$BO$3:$BO$895))</f>
        <v>46163</v>
      </c>
      <c r="I4" s="458" t="str">
        <f>IF(B4="","",_xlfn.XLOOKUP(B4,'MIS 2026'!$AA$3:$AA$895,'MIS 2026'!$I$3:$I$895))</f>
        <v>BURKINA FASO</v>
      </c>
      <c r="J4" s="458" t="str">
        <f>IF(B4="","",_xlfn.XLOOKUP(B4,'MIS 2026'!$AA$3:$AA$895,'MIS 2026'!$P$3:$P$895))</f>
        <v>OBL In Destination - INDIA</v>
      </c>
      <c r="K4" s="458" t="str">
        <f>IF(B4="","",_xlfn.XLOOKUP(B4,'MIS 2026'!$AA$3:$AA$895,'MIS 2026'!$R$3:$R$895))</f>
        <v>CERT in Transit to -INDIA</v>
      </c>
      <c r="L4" s="458" t="str">
        <f>IF(B4="","",_xlfn.XLOOKUP(B4,'MIS 2026'!$AA$3:$AA$895,'MIS 2026'!$S$3:$S$895))</f>
        <v>Docs in Buyer's Nego Bank</v>
      </c>
    </row>
    <row r="5" spans="1:12" ht="14.45">
      <c r="A5" s="454" t="str">
        <f>IF(B5="","",_xlfn.XLOOKUP(B5,'MIS 2026'!$AA$3:$AA$895,'MIS 2026'!$A$3:$A$895))</f>
        <v xml:space="preserve"> Final Pmt Recd , FNF Pending</v>
      </c>
      <c r="B5" s="458">
        <v>32014391</v>
      </c>
      <c r="C5" s="459" t="str">
        <f>IF(B5="","",_xlfn.XLOOKUP(B5,'MIS 2026'!$AA$3:$AA$895,'MIS 2026'!$AB$3:$AB$895))</f>
        <v>SRI VIJAYALAXMI CASHEW INDUSTRIES</v>
      </c>
      <c r="D5" s="459" t="str">
        <f>IF(B5="","",_xlfn.XLOOKUP(B5,'MIS 2026'!$AA$3:$AA$895,'MIS 2026'!$W$3:$W$895))</f>
        <v>PAYMENT PENDING-EXPECTED THIS WEEK - NEED TO TALK WITH TRADER</v>
      </c>
      <c r="E5" s="458" t="str">
        <f>IF(B5="","",_xlfn.XLOOKUP(B5,'MIS 2026'!$AA$3:$AA$895,'MIS 2026'!$BI$3:$BI$895))</f>
        <v>MEDULG626988</v>
      </c>
      <c r="F5" s="460">
        <f>IF(B5="","",_xlfn.XLOOKUP(B5,'MIS 2026'!$AA$3:$AA$895,'MIS 2026'!$AD$3:$AD$895))</f>
        <v>46112</v>
      </c>
      <c r="G5" s="460">
        <f>IF(B5="","",_xlfn.XLOOKUP(B5,'MIS 2026'!$AA$3:$AA$895,'MIS 2026'!$BM$3:$BM$895))</f>
        <v>46110</v>
      </c>
      <c r="H5" s="460">
        <f>IF(B5="","",_xlfn.XLOOKUP(B5,'MIS 2026'!$AA$3:$AA$895,'MIS 2026'!$BO$3:$BO$895))</f>
        <v>46160</v>
      </c>
      <c r="I5" s="458" t="str">
        <f>IF(B5="","",_xlfn.XLOOKUP(B5,'MIS 2026'!$AA$3:$AA$895,'MIS 2026'!$I$3:$I$895))</f>
        <v>NIGERIA(OGB)</v>
      </c>
      <c r="J5" s="458" t="str">
        <f>IF(B5="","",_xlfn.XLOOKUP(B5,'MIS 2026'!$AA$3:$AA$895,'MIS 2026'!$P$3:$P$895))</f>
        <v>OBL In Destination - INDIA</v>
      </c>
      <c r="K5" s="458" t="str">
        <f>IF(B5="","",_xlfn.XLOOKUP(B5,'MIS 2026'!$AA$3:$AA$895,'MIS 2026'!$R$3:$R$895))</f>
        <v>CERTS in Destination - INDIA</v>
      </c>
      <c r="L5" s="458" t="str">
        <f>IF(B5="","",_xlfn.XLOOKUP(B5,'MIS 2026'!$AA$3:$AA$895,'MIS 2026'!$S$3:$S$895))</f>
        <v>Docs in Buyer's Nego Bank</v>
      </c>
    </row>
    <row r="6" spans="1:12" ht="14.45">
      <c r="A6" s="454" t="str">
        <f>IF(B6="","",_xlfn.XLOOKUP(B6,'MIS 2026'!$AA$3:$AA$895,'MIS 2026'!$A$3:$A$895))</f>
        <v>Exp Dox Presented to Bank, Pmt Pending</v>
      </c>
      <c r="B6" s="458">
        <v>32014578</v>
      </c>
      <c r="C6" s="459" t="str">
        <f>IF(B6="","",_xlfn.XLOOKUP(B6,'MIS 2026'!$AA$3:$AA$895,'MIS 2026'!$AB$3:$AB$895))</f>
        <v>VALENCY AGRO //HSS//SABAH ENTERPRISES</v>
      </c>
      <c r="D6" s="459" t="str">
        <f>IF(B6="","",_xlfn.XLOOKUP(B6,'MIS 2026'!$AA$3:$AA$895,'MIS 2026'!$W$3:$W$895))</f>
        <v>CARGO YET TO CLEAR-HSS PAYMENT PENDING</v>
      </c>
      <c r="E6" s="458" t="str">
        <f>IF(B6="","",_xlfn.XLOOKUP(B6,'MIS 2026'!$AA$3:$AA$895,'MIS 2026'!$BI$3:$BI$895))</f>
        <v>ONEYLOSG01235800</v>
      </c>
      <c r="F6" s="460">
        <f>IF(B6="","",_xlfn.XLOOKUP(B6,'MIS 2026'!$AA$3:$AA$895,'MIS 2026'!$AD$3:$AD$895))</f>
        <v>46112</v>
      </c>
      <c r="G6" s="460">
        <f>IF(B6="","",_xlfn.XLOOKUP(B6,'MIS 2026'!$AA$3:$AA$895,'MIS 2026'!$BM$3:$BM$895))</f>
        <v>46108</v>
      </c>
      <c r="H6" s="460">
        <f>IF(B6="","",_xlfn.XLOOKUP(B6,'MIS 2026'!$AA$3:$AA$895,'MIS 2026'!$BO$3:$BO$895))</f>
        <v>46157</v>
      </c>
      <c r="I6" s="458" t="str">
        <f>IF(B6="","",_xlfn.XLOOKUP(B6,'MIS 2026'!$AA$3:$AA$895,'MIS 2026'!$I$3:$I$895))</f>
        <v>NIGERIA(OGB)</v>
      </c>
      <c r="J6" s="458" t="str">
        <f>IF(B6="","",_xlfn.XLOOKUP(B6,'MIS 2026'!$AA$3:$AA$895,'MIS 2026'!$P$3:$P$895))</f>
        <v>OBL In Destination - INDIA</v>
      </c>
      <c r="K6" s="458" t="str">
        <f>IF(B6="","",_xlfn.XLOOKUP(B6,'MIS 2026'!$AA$3:$AA$895,'MIS 2026'!$R$3:$R$895))</f>
        <v>CERTS in Destination - INDIA</v>
      </c>
      <c r="L6" s="458" t="str">
        <f>IF(B6="","",_xlfn.XLOOKUP(B6,'MIS 2026'!$AA$3:$AA$895,'MIS 2026'!$S$3:$S$895))</f>
        <v>Docs in Buyer's Nego Bank</v>
      </c>
    </row>
    <row r="7" spans="1:12" ht="14.45">
      <c r="A7" s="454" t="str">
        <f>IF(B7="","",_xlfn.XLOOKUP(B7,'MIS 2026'!$AA$3:$AA$895,'MIS 2026'!$A$3:$A$895))</f>
        <v>Sailed, OBL &amp; Certs Pending</v>
      </c>
      <c r="B7" s="458">
        <v>32015058</v>
      </c>
      <c r="C7" s="459" t="str">
        <f>IF(B7="","",_xlfn.XLOOKUP(B7,'MIS 2026'!$AA$3:$AA$895,'MIS 2026'!$AB$3:$AB$895))</f>
        <v xml:space="preserve">THAO NGUYEN COMPANY LIMITED  </v>
      </c>
      <c r="D7" s="459" t="str">
        <f>IF(B7="","",_xlfn.XLOOKUP(B7,'MIS 2026'!$AA$3:$AA$895,'MIS 2026'!$W$3:$W$895))</f>
        <v>NTT - OBL PRINTING ISSUE IN SIG, ETA ERROR</v>
      </c>
      <c r="E7" s="458" t="str">
        <f>IF(B7="","",_xlfn.XLOOKUP(B7,'MIS 2026'!$AA$3:$AA$895,'MIS 2026'!$BI$3:$BI$895))</f>
        <v>ONEYABJG00281500</v>
      </c>
      <c r="F7" s="460">
        <f>IF(B7="","",_xlfn.XLOOKUP(B7,'MIS 2026'!$AA$3:$AA$895,'MIS 2026'!$AD$3:$AD$895))</f>
        <v>46173</v>
      </c>
      <c r="G7" s="460">
        <f>IF(B7="","",_xlfn.XLOOKUP(B7,'MIS 2026'!$AA$3:$AA$895,'MIS 2026'!$BM$3:$BM$895))</f>
        <v>46159</v>
      </c>
      <c r="H7" s="460">
        <f>IF(B7="","",_xlfn.XLOOKUP(B7,'MIS 2026'!$AA$3:$AA$895,'MIS 2026'!$BO$3:$BO$895))</f>
        <v>46178</v>
      </c>
      <c r="I7" s="458" t="str">
        <f>IF(B7="","",_xlfn.XLOOKUP(B7,'MIS 2026'!$AA$3:$AA$895,'MIS 2026'!$I$3:$I$895))</f>
        <v>IVC</v>
      </c>
      <c r="J7" s="458" t="str">
        <f>IF(B7="","",_xlfn.XLOOKUP(B7,'MIS 2026'!$AA$3:$AA$895,'MIS 2026'!$P$3:$P$895))</f>
        <v>No OBL Yet</v>
      </c>
      <c r="K7" s="458" t="str">
        <f>IF(B7="","",_xlfn.XLOOKUP(B7,'MIS 2026'!$AA$3:$AA$895,'MIS 2026'!$R$3:$R$895))</f>
        <v>No CERTS Yet</v>
      </c>
      <c r="L7" s="458" t="str">
        <f>IF(B7="","",_xlfn.XLOOKUP(B7,'MIS 2026'!$AA$3:$AA$895,'MIS 2026'!$S$3:$S$895))</f>
        <v/>
      </c>
    </row>
    <row r="8" spans="1:12" ht="14.45">
      <c r="A8" s="454" t="str">
        <f>IF(B8="","",_xlfn.XLOOKUP(B8,'MIS 2026'!$AA$3:$AA$895,'MIS 2026'!$A$3:$A$895))</f>
        <v>SI Sent, Shipment Awaited</v>
      </c>
      <c r="B8" s="458">
        <v>32016123</v>
      </c>
      <c r="C8" s="459" t="str">
        <f>IF(B8="","",_xlfn.XLOOKUP(B8,'MIS 2026'!$AA$3:$AA$895,'MIS 2026'!$AB$3:$AB$895))</f>
        <v>RED RIVER FOODS</v>
      </c>
      <c r="D8" s="459" t="str">
        <f>IF(B8="","",_xlfn.XLOOKUP(B8,'MIS 2026'!$AA$3:$AA$895,'MIS 2026'!$W$3:$W$895))</f>
        <v>NTT - NEED TO TAKE ADDENDUM, LDS IS DELAYED</v>
      </c>
      <c r="E8" s="458">
        <f>IF(B8="","",_xlfn.XLOOKUP(B8,'MIS 2026'!$AA$3:$AA$895,'MIS 2026'!$BI$3:$BI$895))</f>
        <v>0</v>
      </c>
      <c r="F8" s="460">
        <f>IF(B8="","",_xlfn.XLOOKUP(B8,'MIS 2026'!$AA$3:$AA$895,'MIS 2026'!$AD$3:$AD$895))</f>
        <v>46142</v>
      </c>
      <c r="G8" s="460">
        <f>IF(B8="","",_xlfn.XLOOKUP(B8,'MIS 2026'!$AA$3:$AA$895,'MIS 2026'!$BM$3:$BM$895))</f>
        <v>0</v>
      </c>
      <c r="H8" s="460">
        <f>IF(B8="","",_xlfn.XLOOKUP(B8,'MIS 2026'!$AA$3:$AA$895,'MIS 2026'!$BO$3:$BO$895))</f>
        <v>0</v>
      </c>
      <c r="I8" s="458" t="str">
        <f>IF(B8="","",_xlfn.XLOOKUP(B8,'MIS 2026'!$AA$3:$AA$895,'MIS 2026'!$I$3:$I$895))</f>
        <v>GAMBIA</v>
      </c>
      <c r="J8" s="458" t="str">
        <f>IF(B8="","",_xlfn.XLOOKUP(B8,'MIS 2026'!$AA$3:$AA$895,'MIS 2026'!$P$3:$P$895))</f>
        <v>No OBL Yet</v>
      </c>
      <c r="K8" s="458" t="str">
        <f>IF(B8="","",_xlfn.XLOOKUP(B8,'MIS 2026'!$AA$3:$AA$895,'MIS 2026'!$R$3:$R$895))</f>
        <v>No CERTS Yet</v>
      </c>
      <c r="L8" s="458" t="str">
        <f>IF(B8="","",_xlfn.XLOOKUP(B8,'MIS 2026'!$AA$3:$AA$895,'MIS 2026'!$S$3:$S$895))</f>
        <v/>
      </c>
    </row>
    <row r="9" spans="1:12" ht="14.45">
      <c r="A9" s="454" t="str">
        <f>IF(B9="","",_xlfn.XLOOKUP(B9,'MIS 2026'!$AA$3:$AA$895,'MIS 2026'!$A$3:$A$895))</f>
        <v>Exp Dox Presented to Bank, Pmt Pending</v>
      </c>
      <c r="B9" s="458">
        <v>32016346</v>
      </c>
      <c r="C9" s="459" t="str">
        <f>IF(B9="","",_xlfn.XLOOKUP(B9,'MIS 2026'!$AA$3:$AA$895,'MIS 2026'!$AB$3:$AB$895))</f>
        <v>Valency Agro (Processing)</v>
      </c>
      <c r="D9" s="459" t="str">
        <f>IF(B9="","",_xlfn.XLOOKUP(B9,'MIS 2026'!$AA$3:$AA$895,'MIS 2026'!$W$3:$W$895))</f>
        <v>CARGO CLEARANCE UNDER PROCESS</v>
      </c>
      <c r="E9" s="458" t="str">
        <f>IF(B9="","",_xlfn.XLOOKUP(B9,'MIS 2026'!$AA$3:$AA$895,'MIS 2026'!$BI$3:$BI$895))</f>
        <v>MEDUTM435789</v>
      </c>
      <c r="F9" s="460">
        <f>IF(B9="","",_xlfn.XLOOKUP(B9,'MIS 2026'!$AA$3:$AA$895,'MIS 2026'!$AD$3:$AD$895))</f>
        <v>46142</v>
      </c>
      <c r="G9" s="460">
        <f>IF(B9="","",_xlfn.XLOOKUP(B9,'MIS 2026'!$AA$3:$AA$895,'MIS 2026'!$BM$3:$BM$895))</f>
        <v>46107</v>
      </c>
      <c r="H9" s="460">
        <f>IF(B9="","",_xlfn.XLOOKUP(B9,'MIS 2026'!$AA$3:$AA$895,'MIS 2026'!$BO$3:$BO$895))</f>
        <v>46160</v>
      </c>
      <c r="I9" s="458" t="str">
        <f>IF(B9="","",_xlfn.XLOOKUP(B9,'MIS 2026'!$AA$3:$AA$895,'MIS 2026'!$I$3:$I$895))</f>
        <v>GHANA</v>
      </c>
      <c r="J9" s="458" t="str">
        <f>IF(B9="","",_xlfn.XLOOKUP(B9,'MIS 2026'!$AA$3:$AA$895,'MIS 2026'!$P$3:$P$895))</f>
        <v>OBL In Destination - INDIA</v>
      </c>
      <c r="K9" s="458" t="str">
        <f>IF(B9="","",_xlfn.XLOOKUP(B9,'MIS 2026'!$AA$3:$AA$895,'MIS 2026'!$R$3:$R$895))</f>
        <v>CERTS in Destination - INDIA</v>
      </c>
      <c r="L9" s="458" t="str">
        <f>IF(B9="","",_xlfn.XLOOKUP(B9,'MIS 2026'!$AA$3:$AA$895,'MIS 2026'!$S$3:$S$895))</f>
        <v>Docs in Buyer's Nego Bank</v>
      </c>
    </row>
    <row r="10" spans="1:12" ht="14.45">
      <c r="A10" s="454" t="str">
        <f>IF(B10="","",_xlfn.XLOOKUP(B10,'MIS 2026'!$AA$3:$AA$895,'MIS 2026'!$A$3:$A$895))</f>
        <v>Sailed, OBL &amp; Certs Pending</v>
      </c>
      <c r="B10" s="458">
        <v>32014998</v>
      </c>
      <c r="C10" s="459" t="str">
        <f>IF(B10="","",_xlfn.XLOOKUP(B10,'MIS 2026'!$AA$3:$AA$895,'MIS 2026'!$AB$3:$AB$895))</f>
        <v xml:space="preserve">THAO NGUYEN COMPANY LIMITED  </v>
      </c>
      <c r="D10" s="459" t="str">
        <f>IF(B10="","",_xlfn.XLOOKUP(B10,'MIS 2026'!$AA$3:$AA$895,'MIS 2026'!$W$3:$W$895))</f>
        <v>NTT - OBL PRINTING ISSUE IN SIG, ETA ERROR</v>
      </c>
      <c r="E10" s="458" t="str">
        <f>IF(B10="","",_xlfn.XLOOKUP(B10,'MIS 2026'!$AA$3:$AA$895,'MIS 2026'!$BI$3:$BI$895))</f>
        <v>ONEYABJG00282600</v>
      </c>
      <c r="F10" s="460">
        <f>IF(B10="","",_xlfn.XLOOKUP(B10,'MIS 2026'!$AA$3:$AA$895,'MIS 2026'!$AD$3:$AD$895))</f>
        <v>46173</v>
      </c>
      <c r="G10" s="460">
        <f>IF(B10="","",_xlfn.XLOOKUP(B10,'MIS 2026'!$AA$3:$AA$895,'MIS 2026'!$BM$3:$BM$895))</f>
        <v>46159</v>
      </c>
      <c r="H10" s="460">
        <f>IF(B10="","",_xlfn.XLOOKUP(B10,'MIS 2026'!$AA$3:$AA$895,'MIS 2026'!$BO$3:$BO$895))</f>
        <v>46178</v>
      </c>
      <c r="I10" s="458" t="str">
        <f>IF(B10="","",_xlfn.XLOOKUP(B10,'MIS 2026'!$AA$3:$AA$895,'MIS 2026'!$I$3:$I$895))</f>
        <v>IVC</v>
      </c>
      <c r="J10" s="458" t="str">
        <f>IF(B10="","",_xlfn.XLOOKUP(B10,'MIS 2026'!$AA$3:$AA$895,'MIS 2026'!$P$3:$P$895))</f>
        <v>No OBL Yet</v>
      </c>
      <c r="K10" s="458" t="str">
        <f>IF(B10="","",_xlfn.XLOOKUP(B10,'MIS 2026'!$AA$3:$AA$895,'MIS 2026'!$R$3:$R$895))</f>
        <v>No CERTS Yet</v>
      </c>
      <c r="L10" s="458" t="str">
        <f>IF(B10="","",_xlfn.XLOOKUP(B10,'MIS 2026'!$AA$3:$AA$895,'MIS 2026'!$S$3:$S$895))</f>
        <v/>
      </c>
    </row>
    <row r="11" spans="1:12" ht="14.45">
      <c r="A11" s="454" t="str">
        <f>IF(B11="","",_xlfn.XLOOKUP(B11,'MIS 2026'!$AA$3:$AA$895,'MIS 2026'!$A$3:$A$895))</f>
        <v>SI Sent, Shipment Awaited</v>
      </c>
      <c r="B11" s="458">
        <v>32016244</v>
      </c>
      <c r="C11" s="459" t="str">
        <f>IF(B11="","",_xlfn.XLOOKUP(B11,'MIS 2026'!$AA$3:$AA$895,'MIS 2026'!$AB$3:$AB$895))</f>
        <v>INDIA ENTERPRISES</v>
      </c>
      <c r="D11" s="459" t="str">
        <f>IF(B11="","",_xlfn.XLOOKUP(B11,'MIS 2026'!$AA$3:$AA$895,'MIS 2026'!$W$3:$W$895))</f>
        <v>NTT - NEED TO TAKE ADDENDUM, LDS IS DELAYED</v>
      </c>
      <c r="E11" s="458">
        <f>IF(B11="","",_xlfn.XLOOKUP(B11,'MIS 2026'!$AA$3:$AA$895,'MIS 2026'!$BI$3:$BI$895))</f>
        <v>0</v>
      </c>
      <c r="F11" s="460">
        <f>IF(B11="","",_xlfn.XLOOKUP(B11,'MIS 2026'!$AA$3:$AA$895,'MIS 2026'!$AD$3:$AD$895))</f>
        <v>46142</v>
      </c>
      <c r="G11" s="460">
        <f>IF(B11="","",_xlfn.XLOOKUP(B11,'MIS 2026'!$AA$3:$AA$895,'MIS 2026'!$BM$3:$BM$895))</f>
        <v>0</v>
      </c>
      <c r="H11" s="460">
        <f>IF(B11="","",_xlfn.XLOOKUP(B11,'MIS 2026'!$AA$3:$AA$895,'MIS 2026'!$BO$3:$BO$895))</f>
        <v>0</v>
      </c>
      <c r="I11" s="458" t="str">
        <f>IF(B11="","",_xlfn.XLOOKUP(B11,'MIS 2026'!$AA$3:$AA$895,'MIS 2026'!$I$3:$I$895))</f>
        <v>BURKINA FASO</v>
      </c>
      <c r="J11" s="458" t="str">
        <f>IF(B11="","",_xlfn.XLOOKUP(B11,'MIS 2026'!$AA$3:$AA$895,'MIS 2026'!$P$3:$P$895))</f>
        <v>No OBL Yet</v>
      </c>
      <c r="K11" s="458" t="str">
        <f>IF(B11="","",_xlfn.XLOOKUP(B11,'MIS 2026'!$AA$3:$AA$895,'MIS 2026'!$R$3:$R$895))</f>
        <v>No CERTS Yet</v>
      </c>
      <c r="L11" s="458" t="str">
        <f>IF(B11="","",_xlfn.XLOOKUP(B11,'MIS 2026'!$AA$3:$AA$895,'MIS 2026'!$S$3:$S$895))</f>
        <v/>
      </c>
    </row>
    <row r="12" spans="1:12" ht="14.45">
      <c r="A12" s="454" t="str">
        <f>IF(B12="","",_xlfn.XLOOKUP(B12,'MIS 2026'!$AA$3:$AA$895,'MIS 2026'!$A$3:$A$895))</f>
        <v>Sailed, OBL &amp; Certs Pending</v>
      </c>
      <c r="B12" s="458" t="str">
        <v>32016289-1</v>
      </c>
      <c r="C12" s="459" t="str">
        <f>IF(B12="","",_xlfn.XLOOKUP(B12,'MIS 2026'!$AA$3:$AA$895,'MIS 2026'!$AB$3:$AB$895))</f>
        <v xml:space="preserve">VIET PHI AGRICULTURE JOINT 
STOCK COMPANY </v>
      </c>
      <c r="D12" s="459" t="str">
        <f>IF(B12="","",_xlfn.XLOOKUP(B12,'MIS 2026'!$AA$3:$AA$895,'MIS 2026'!$W$3:$W$895))</f>
        <v>NTT - OBL PRINTING ISSUE IN SIG , ETA 5/7</v>
      </c>
      <c r="E12" s="458" t="str">
        <f>IF(B12="","",_xlfn.XLOOKUP(B12,'MIS 2026'!$AA$3:$AA$895,'MIS 2026'!$BI$3:$BI$895))</f>
        <v>HLCUAB1260401247</v>
      </c>
      <c r="F12" s="460">
        <f>IF(B12="","",_xlfn.XLOOKUP(B12,'MIS 2026'!$AA$3:$AA$895,'MIS 2026'!$AD$3:$AD$895))</f>
        <v>46173</v>
      </c>
      <c r="G12" s="460">
        <f>IF(B12="","",_xlfn.XLOOKUP(B12,'MIS 2026'!$AA$3:$AA$895,'MIS 2026'!$BM$3:$BM$895))</f>
        <v>46163</v>
      </c>
      <c r="H12" s="460">
        <f>IF(B12="","",_xlfn.XLOOKUP(B12,'MIS 2026'!$AA$3:$AA$895,'MIS 2026'!$BO$3:$BO$895))</f>
        <v>46208</v>
      </c>
      <c r="I12" s="458" t="str">
        <f>IF(B12="","",_xlfn.XLOOKUP(B12,'MIS 2026'!$AA$3:$AA$895,'MIS 2026'!$I$3:$I$895))</f>
        <v>IVC</v>
      </c>
      <c r="J12" s="458" t="str">
        <f>IF(B12="","",_xlfn.XLOOKUP(B12,'MIS 2026'!$AA$3:$AA$895,'MIS 2026'!$P$3:$P$895))</f>
        <v>No OBL Yet</v>
      </c>
      <c r="K12" s="458" t="str">
        <f>IF(B12="","",_xlfn.XLOOKUP(B12,'MIS 2026'!$AA$3:$AA$895,'MIS 2026'!$R$3:$R$895))</f>
        <v>No CERTS Yet</v>
      </c>
      <c r="L12" s="458" t="str">
        <f>IF(B12="","",_xlfn.XLOOKUP(B12,'MIS 2026'!$AA$3:$AA$895,'MIS 2026'!$S$3:$S$895))</f>
        <v/>
      </c>
    </row>
    <row r="13" spans="1:12" ht="14.45">
      <c r="A13" s="454" t="str">
        <f>IF(B13="","",_xlfn.XLOOKUP(B13,'MIS 2026'!$AA$3:$AA$895,'MIS 2026'!$A$3:$A$895))</f>
        <v>Sailed, OBL &amp; Certs Pending</v>
      </c>
      <c r="B13" s="458" t="str">
        <v>32016289-2</v>
      </c>
      <c r="C13" s="459" t="str">
        <f>IF(B13="","",_xlfn.XLOOKUP(B13,'MIS 2026'!$AA$3:$AA$895,'MIS 2026'!$AB$3:$AB$895))</f>
        <v xml:space="preserve">VIET PHI AGRICULTURE JOINT 
STOCK COMPANY </v>
      </c>
      <c r="D13" s="459" t="str">
        <f>IF(B13="","",_xlfn.XLOOKUP(B13,'MIS 2026'!$AA$3:$AA$895,'MIS 2026'!$W$3:$W$895))</f>
        <v>NTT - OBL PRINTING ISSUE IN SIG , ETA 5/7</v>
      </c>
      <c r="E13" s="458" t="str">
        <f>IF(B13="","",_xlfn.XLOOKUP(B13,'MIS 2026'!$AA$3:$AA$895,'MIS 2026'!$BI$3:$BI$895))</f>
        <v>HLCUAB1260401258</v>
      </c>
      <c r="F13" s="460">
        <f>IF(B13="","",_xlfn.XLOOKUP(B13,'MIS 2026'!$AA$3:$AA$895,'MIS 2026'!$AD$3:$AD$895))</f>
        <v>46173</v>
      </c>
      <c r="G13" s="460">
        <f>IF(B13="","",_xlfn.XLOOKUP(B13,'MIS 2026'!$AA$3:$AA$895,'MIS 2026'!$BM$3:$BM$895))</f>
        <v>46163</v>
      </c>
      <c r="H13" s="460">
        <f>IF(B13="","",_xlfn.XLOOKUP(B13,'MIS 2026'!$AA$3:$AA$895,'MIS 2026'!$BO$3:$BO$895))</f>
        <v>46208</v>
      </c>
      <c r="I13" s="458" t="str">
        <f>IF(B13="","",_xlfn.XLOOKUP(B13,'MIS 2026'!$AA$3:$AA$895,'MIS 2026'!$I$3:$I$895))</f>
        <v>IVC</v>
      </c>
      <c r="J13" s="458" t="str">
        <f>IF(B13="","",_xlfn.XLOOKUP(B13,'MIS 2026'!$AA$3:$AA$895,'MIS 2026'!$P$3:$P$895))</f>
        <v>No OBL Yet</v>
      </c>
      <c r="K13" s="458" t="str">
        <f>IF(B13="","",_xlfn.XLOOKUP(B13,'MIS 2026'!$AA$3:$AA$895,'MIS 2026'!$R$3:$R$895))</f>
        <v>No CERTS Yet</v>
      </c>
      <c r="L13" s="458" t="str">
        <f>IF(B13="","",_xlfn.XLOOKUP(B13,'MIS 2026'!$AA$3:$AA$895,'MIS 2026'!$S$3:$S$895))</f>
        <v/>
      </c>
    </row>
    <row r="14" spans="1:12" ht="14.45">
      <c r="A14" s="454" t="str">
        <f>IF(B14="","",_xlfn.XLOOKUP(B14,'MIS 2026'!$AA$3:$AA$895,'MIS 2026'!$A$3:$A$895))</f>
        <v>Sailed, OBL &amp; Certs Pending</v>
      </c>
      <c r="B14" s="458" t="str">
        <v>32016289-3</v>
      </c>
      <c r="C14" s="459" t="str">
        <f>IF(B14="","",_xlfn.XLOOKUP(B14,'MIS 2026'!$AA$3:$AA$895,'MIS 2026'!$AB$3:$AB$895))</f>
        <v xml:space="preserve">VIET PHI AGRICULTURE JOINT 
STOCK COMPANY </v>
      </c>
      <c r="D14" s="459" t="str">
        <f>IF(B14="","",_xlfn.XLOOKUP(B14,'MIS 2026'!$AA$3:$AA$895,'MIS 2026'!$W$3:$W$895))</f>
        <v>NTT - OBL PRINTING ISSUE IN SIG, ETA 12/7</v>
      </c>
      <c r="E14" s="458" t="str">
        <f>IF(B14="","",_xlfn.XLOOKUP(B14,'MIS 2026'!$AA$3:$AA$895,'MIS 2026'!$BI$3:$BI$895))</f>
        <v>HLCUAB1260400752</v>
      </c>
      <c r="F14" s="460">
        <f>IF(B14="","",_xlfn.XLOOKUP(B14,'MIS 2026'!$AA$3:$AA$895,'MIS 2026'!$AD$3:$AD$895))</f>
        <v>46173</v>
      </c>
      <c r="G14" s="460">
        <f>IF(B14="","",_xlfn.XLOOKUP(B14,'MIS 2026'!$AA$3:$AA$895,'MIS 2026'!$BM$3:$BM$895))</f>
        <v>46163</v>
      </c>
      <c r="H14" s="460">
        <f>IF(B14="","",_xlfn.XLOOKUP(B14,'MIS 2026'!$AA$3:$AA$895,'MIS 2026'!$BO$3:$BO$895))</f>
        <v>46215</v>
      </c>
      <c r="I14" s="458" t="str">
        <f>IF(B14="","",_xlfn.XLOOKUP(B14,'MIS 2026'!$AA$3:$AA$895,'MIS 2026'!$I$3:$I$895))</f>
        <v>IVC</v>
      </c>
      <c r="J14" s="458" t="str">
        <f>IF(B14="","",_xlfn.XLOOKUP(B14,'MIS 2026'!$AA$3:$AA$895,'MIS 2026'!$P$3:$P$895))</f>
        <v>No OBL Yet</v>
      </c>
      <c r="K14" s="458" t="str">
        <f>IF(B14="","",_xlfn.XLOOKUP(B14,'MIS 2026'!$AA$3:$AA$895,'MIS 2026'!$R$3:$R$895))</f>
        <v>No CERTS Yet</v>
      </c>
      <c r="L14" s="458" t="str">
        <f>IF(B14="","",_xlfn.XLOOKUP(B14,'MIS 2026'!$AA$3:$AA$895,'MIS 2026'!$S$3:$S$895))</f>
        <v/>
      </c>
    </row>
    <row r="15" spans="1:12" ht="14.45">
      <c r="A15" s="454" t="str">
        <f>IF(B15="","",_xlfn.XLOOKUP(B15,'MIS 2026'!$AA$3:$AA$895,'MIS 2026'!$A$3:$A$895))</f>
        <v>SI Sent, Shipment Awaited</v>
      </c>
      <c r="B15" s="458">
        <v>32014461</v>
      </c>
      <c r="C15" s="459" t="str">
        <f>IF(B15="","",_xlfn.XLOOKUP(B15,'MIS 2026'!$AA$3:$AA$895,'MIS 2026'!$AB$3:$AB$895))</f>
        <v>ST. GREGORIOUS CASHEW</v>
      </c>
      <c r="D15" s="459" t="str">
        <f>IF(B15="","",_xlfn.XLOOKUP(B15,'MIS 2026'!$AA$3:$AA$895,'MIS 2026'!$W$3:$W$895))</f>
        <v>DRAFT BL RCVD 23/5</v>
      </c>
      <c r="E15" s="458">
        <f>IF(B15="","",_xlfn.XLOOKUP(B15,'MIS 2026'!$AA$3:$AA$895,'MIS 2026'!$BI$3:$BI$895))</f>
        <v>268716278</v>
      </c>
      <c r="F15" s="460">
        <f>IF(B15="","",_xlfn.XLOOKUP(B15,'MIS 2026'!$AA$3:$AA$895,'MIS 2026'!$AD$3:$AD$895))</f>
        <v>46142</v>
      </c>
      <c r="G15" s="460">
        <f>IF(B15="","",_xlfn.XLOOKUP(B15,'MIS 2026'!$AA$3:$AA$895,'MIS 2026'!$BM$3:$BM$895))</f>
        <v>0</v>
      </c>
      <c r="H15" s="460">
        <f>IF(B15="","",_xlfn.XLOOKUP(B15,'MIS 2026'!$AA$3:$AA$895,'MIS 2026'!$BO$3:$BO$895))</f>
        <v>0</v>
      </c>
      <c r="I15" s="458" t="str">
        <f>IF(B15="","",_xlfn.XLOOKUP(B15,'MIS 2026'!$AA$3:$AA$895,'MIS 2026'!$I$3:$I$895))</f>
        <v>IVC</v>
      </c>
      <c r="J15" s="458" t="str">
        <f>IF(B15="","",_xlfn.XLOOKUP(B15,'MIS 2026'!$AA$3:$AA$895,'MIS 2026'!$P$3:$P$895))</f>
        <v>Draft Rcvd</v>
      </c>
      <c r="K15" s="458" t="str">
        <f>IF(B15="","",_xlfn.XLOOKUP(B15,'MIS 2026'!$AA$3:$AA$895,'MIS 2026'!$R$3:$R$895))</f>
        <v>No CERTS Yet</v>
      </c>
      <c r="L15" s="458" t="str">
        <f>IF(B15="","",_xlfn.XLOOKUP(B15,'MIS 2026'!$AA$3:$AA$895,'MIS 2026'!$S$3:$S$895))</f>
        <v/>
      </c>
    </row>
    <row r="16" spans="1:12" ht="14.45">
      <c r="A16" s="454" t="str">
        <f>IF(B16="","",_xlfn.XLOOKUP(B16,'MIS 2026'!$AA$3:$AA$895,'MIS 2026'!$A$3:$A$895))</f>
        <v>Stuffed, Yet to Sail</v>
      </c>
      <c r="B16" s="458">
        <v>32014450</v>
      </c>
      <c r="C16" s="459" t="str">
        <f>IF(B16="","",_xlfn.XLOOKUP(B16,'MIS 2026'!$AA$3:$AA$895,'MIS 2026'!$AB$3:$AB$895))</f>
        <v>ST. PAULS CASHEW FACTORY</v>
      </c>
      <c r="D16" s="459" t="str">
        <f>IF(B16="","",_xlfn.XLOOKUP(B16,'MIS 2026'!$AA$3:$AA$895,'MIS 2026'!$W$3:$W$895))</f>
        <v>DRAFT BL APPROVED 25/5</v>
      </c>
      <c r="E16" s="458">
        <f>IF(B16="","",_xlfn.XLOOKUP(B16,'MIS 2026'!$AA$3:$AA$895,'MIS 2026'!$BI$3:$BI$895))</f>
        <v>268715415</v>
      </c>
      <c r="F16" s="460">
        <f>IF(B16="","",_xlfn.XLOOKUP(B16,'MIS 2026'!$AA$3:$AA$895,'MIS 2026'!$AD$3:$AD$895))</f>
        <v>46142</v>
      </c>
      <c r="G16" s="460">
        <f>IF(B16="","",_xlfn.XLOOKUP(B16,'MIS 2026'!$AA$3:$AA$895,'MIS 2026'!$BM$3:$BM$895))</f>
        <v>0</v>
      </c>
      <c r="H16" s="460">
        <f>IF(B16="","",_xlfn.XLOOKUP(B16,'MIS 2026'!$AA$3:$AA$895,'MIS 2026'!$BO$3:$BO$895))</f>
        <v>46189</v>
      </c>
      <c r="I16" s="458" t="str">
        <f>IF(B16="","",_xlfn.XLOOKUP(B16,'MIS 2026'!$AA$3:$AA$895,'MIS 2026'!$I$3:$I$895))</f>
        <v>IVC</v>
      </c>
      <c r="J16" s="458" t="str">
        <f>IF(B16="","",_xlfn.XLOOKUP(B16,'MIS 2026'!$AA$3:$AA$895,'MIS 2026'!$P$3:$P$895))</f>
        <v>Draft Rcvd</v>
      </c>
      <c r="K16" s="458" t="str">
        <f>IF(B16="","",_xlfn.XLOOKUP(B16,'MIS 2026'!$AA$3:$AA$895,'MIS 2026'!$R$3:$R$895))</f>
        <v>No CERTS Yet</v>
      </c>
      <c r="L16" s="458" t="str">
        <f>IF(B16="","",_xlfn.XLOOKUP(B16,'MIS 2026'!$AA$3:$AA$895,'MIS 2026'!$S$3:$S$895))</f>
        <v/>
      </c>
    </row>
    <row r="17" spans="1:12" ht="14.45">
      <c r="A17" s="454" t="str">
        <f>IF(B17="","",_xlfn.XLOOKUP(B17,'MIS 2026'!$AA$3:$AA$895,'MIS 2026'!$A$3:$A$895))</f>
        <v>Exp Dox Presented to Bank, Pmt Pending</v>
      </c>
      <c r="B17" s="458" t="str">
        <v>32014448-2</v>
      </c>
      <c r="C17" s="459" t="str">
        <f>IF(B17="","",_xlfn.XLOOKUP(B17,'MIS 2026'!$AA$3:$AA$895,'MIS 2026'!$AB$3:$AB$895))</f>
        <v>Valency Agro (Processing)</v>
      </c>
      <c r="D17" s="459" t="str">
        <f>IF(B17="","",_xlfn.XLOOKUP(B17,'MIS 2026'!$AA$3:$AA$895,'MIS 2026'!$W$3:$W$895))</f>
        <v>CLEARING UNDER PROCESS</v>
      </c>
      <c r="E17" s="458" t="str">
        <f>IF(B17="","",_xlfn.XLOOKUP(B17,'MIS 2026'!$AA$3:$AA$895,'MIS 2026'!$BI$3:$BI$895))</f>
        <v>MEDULG620841</v>
      </c>
      <c r="F17" s="460">
        <f>IF(B17="","",_xlfn.XLOOKUP(B17,'MIS 2026'!$AA$3:$AA$895,'MIS 2026'!$AD$3:$AD$895))</f>
        <v>46112</v>
      </c>
      <c r="G17" s="460">
        <f>IF(B17="","",_xlfn.XLOOKUP(B17,'MIS 2026'!$AA$3:$AA$895,'MIS 2026'!$BM$3:$BM$895))</f>
        <v>46100</v>
      </c>
      <c r="H17" s="460">
        <f>IF(B17="","",_xlfn.XLOOKUP(B17,'MIS 2026'!$AA$3:$AA$895,'MIS 2026'!$BO$3:$BO$895))</f>
        <v>46162</v>
      </c>
      <c r="I17" s="458" t="str">
        <f>IF(B17="","",_xlfn.XLOOKUP(B17,'MIS 2026'!$AA$3:$AA$895,'MIS 2026'!$I$3:$I$895))</f>
        <v>NIGERIA(OGB)</v>
      </c>
      <c r="J17" s="458" t="str">
        <f>IF(B17="","",_xlfn.XLOOKUP(B17,'MIS 2026'!$AA$3:$AA$895,'MIS 2026'!$P$3:$P$895))</f>
        <v>OBL In Destination - INDIA</v>
      </c>
      <c r="K17" s="458" t="str">
        <f>IF(B17="","",_xlfn.XLOOKUP(B17,'MIS 2026'!$AA$3:$AA$895,'MIS 2026'!$R$3:$R$895))</f>
        <v>CERTS in Destination - INDIA</v>
      </c>
      <c r="L17" s="458" t="str">
        <f>IF(B17="","",_xlfn.XLOOKUP(B17,'MIS 2026'!$AA$3:$AA$895,'MIS 2026'!$S$3:$S$895))</f>
        <v>Docs in Buyer's Nego Bank</v>
      </c>
    </row>
    <row r="18" spans="1:12" ht="14.45">
      <c r="A18" s="454" t="str">
        <f>IF(B18="","",_xlfn.XLOOKUP(B18,'MIS 2026'!$AA$3:$AA$895,'MIS 2026'!$A$3:$A$895))</f>
        <v>Exp Dox Presented to Bank, Pmt Pending</v>
      </c>
      <c r="B18" s="458" t="str">
        <v>32014448-4</v>
      </c>
      <c r="C18" s="459" t="str">
        <f>IF(B18="","",_xlfn.XLOOKUP(B18,'MIS 2026'!$AA$3:$AA$895,'MIS 2026'!$AB$3:$AB$895))</f>
        <v>Valency Agro (Processing)</v>
      </c>
      <c r="D18" s="459" t="str">
        <f>IF(B18="","",_xlfn.XLOOKUP(B18,'MIS 2026'!$AA$3:$AA$895,'MIS 2026'!$W$3:$W$895))</f>
        <v>CLEARING UNDER PROCESS</v>
      </c>
      <c r="E18" s="458" t="str">
        <f>IF(B18="","",_xlfn.XLOOKUP(B18,'MIS 2026'!$AA$3:$AA$895,'MIS 2026'!$BI$3:$BI$895))</f>
        <v>MEDULG628075</v>
      </c>
      <c r="F18" s="460">
        <f>IF(B18="","",_xlfn.XLOOKUP(B18,'MIS 2026'!$AA$3:$AA$895,'MIS 2026'!$AD$3:$AD$895))</f>
        <v>46112</v>
      </c>
      <c r="G18" s="460">
        <f>IF(B18="","",_xlfn.XLOOKUP(B18,'MIS 2026'!$AA$3:$AA$895,'MIS 2026'!$BM$3:$BM$895))</f>
        <v>46106</v>
      </c>
      <c r="H18" s="460">
        <f>IF(B18="","",_xlfn.XLOOKUP(B18,'MIS 2026'!$AA$3:$AA$895,'MIS 2026'!$BO$3:$BO$895))</f>
        <v>46162</v>
      </c>
      <c r="I18" s="458" t="str">
        <f>IF(B18="","",_xlfn.XLOOKUP(B18,'MIS 2026'!$AA$3:$AA$895,'MIS 2026'!$I$3:$I$895))</f>
        <v>NIGERIA(OGB)</v>
      </c>
      <c r="J18" s="458" t="str">
        <f>IF(B18="","",_xlfn.XLOOKUP(B18,'MIS 2026'!$AA$3:$AA$895,'MIS 2026'!$P$3:$P$895))</f>
        <v>OBL In Destination - INDIA</v>
      </c>
      <c r="K18" s="458" t="str">
        <f>IF(B18="","",_xlfn.XLOOKUP(B18,'MIS 2026'!$AA$3:$AA$895,'MIS 2026'!$R$3:$R$895))</f>
        <v>CERTS in Destination - INDIA</v>
      </c>
      <c r="L18" s="458" t="str">
        <f>IF(B18="","",_xlfn.XLOOKUP(B18,'MIS 2026'!$AA$3:$AA$895,'MIS 2026'!$S$3:$S$895))</f>
        <v>Docs in Buyer's Nego Bank</v>
      </c>
    </row>
    <row r="19" spans="1:12" ht="14.45">
      <c r="A19" s="454" t="str">
        <f>IF(B19="","",_xlfn.XLOOKUP(B19,'MIS 2026'!$AA$3:$AA$895,'MIS 2026'!$A$3:$A$895))</f>
        <v>SI Sent, Shipment Awaited</v>
      </c>
      <c r="B19" s="458">
        <v>32016284</v>
      </c>
      <c r="C19" s="459" t="str">
        <f>IF(B19="","",_xlfn.XLOOKUP(B19,'MIS 2026'!$AA$3:$AA$895,'MIS 2026'!$AB$3:$AB$895))</f>
        <v>VIET AGRO PTE LTD</v>
      </c>
      <c r="D19" s="459" t="str">
        <f>IF(B19="","",_xlfn.XLOOKUP(B19,'MIS 2026'!$AA$3:$AA$895,'MIS 2026'!$W$3:$W$895))</f>
        <v>NTT - NEED TO TAKE ADDENDUM, LDS IS DELAYED, PACKING LIST IS SHARED WITH BUYER</v>
      </c>
      <c r="E19" s="458">
        <f>IF(B19="","",_xlfn.XLOOKUP(B19,'MIS 2026'!$AA$3:$AA$895,'MIS 2026'!$BI$3:$BI$895))</f>
        <v>0</v>
      </c>
      <c r="F19" s="460">
        <f>IF(B19="","",_xlfn.XLOOKUP(B19,'MIS 2026'!$AA$3:$AA$895,'MIS 2026'!$AD$3:$AD$895))</f>
        <v>46142</v>
      </c>
      <c r="G19" s="460">
        <f>IF(B19="","",_xlfn.XLOOKUP(B19,'MIS 2026'!$AA$3:$AA$895,'MIS 2026'!$BM$3:$BM$895))</f>
        <v>0</v>
      </c>
      <c r="H19" s="460">
        <f>IF(B19="","",_xlfn.XLOOKUP(B19,'MIS 2026'!$AA$3:$AA$895,'MIS 2026'!$BO$3:$BO$895))</f>
        <v>0</v>
      </c>
      <c r="I19" s="458" t="str">
        <f>IF(B19="","",_xlfn.XLOOKUP(B19,'MIS 2026'!$AA$3:$AA$895,'MIS 2026'!$I$3:$I$895))</f>
        <v>BURKINA FASO</v>
      </c>
      <c r="J19" s="458" t="str">
        <f>IF(B19="","",_xlfn.XLOOKUP(B19,'MIS 2026'!$AA$3:$AA$895,'MIS 2026'!$P$3:$P$895))</f>
        <v>No OBL Yet</v>
      </c>
      <c r="K19" s="458" t="str">
        <f>IF(B19="","",_xlfn.XLOOKUP(B19,'MIS 2026'!$AA$3:$AA$895,'MIS 2026'!$R$3:$R$895))</f>
        <v>No CERTS Yet</v>
      </c>
      <c r="L19" s="458" t="str">
        <f>IF(B19="","",_xlfn.XLOOKUP(B19,'MIS 2026'!$AA$3:$AA$895,'MIS 2026'!$S$3:$S$895))</f>
        <v/>
      </c>
    </row>
    <row r="20" spans="1:12" ht="14.45">
      <c r="A20" s="454" t="str">
        <f>IF(B20="","",_xlfn.XLOOKUP(B20,'MIS 2026'!$AA$3:$AA$895,'MIS 2026'!$A$3:$A$895))</f>
        <v>Sailed, OBL &amp; Certs Pending</v>
      </c>
      <c r="B20" s="458" t="str">
        <v>32016289-4</v>
      </c>
      <c r="C20" s="459" t="str">
        <f>IF(B20="","",_xlfn.XLOOKUP(B20,'MIS 2026'!$AA$3:$AA$895,'MIS 2026'!$AB$3:$AB$895))</f>
        <v xml:space="preserve">VIET PHI AGRICULTURE JOINT 
STOCK COMPANY </v>
      </c>
      <c r="D20" s="459" t="str">
        <f>IF(B20="","",_xlfn.XLOOKUP(B20,'MIS 2026'!$AA$3:$AA$895,'MIS 2026'!$W$3:$W$895))</f>
        <v>NTT - OBL PRINTING ISSUE IN SIG , ETA 5/7</v>
      </c>
      <c r="E20" s="458" t="str">
        <f>IF(B20="","",_xlfn.XLOOKUP(B20,'MIS 2026'!$AA$3:$AA$895,'MIS 2026'!$BI$3:$BI$895))</f>
        <v>HLCUAB1260400774</v>
      </c>
      <c r="F20" s="460">
        <f>IF(B20="","",_xlfn.XLOOKUP(B20,'MIS 2026'!$AA$3:$AA$895,'MIS 2026'!$AD$3:$AD$895))</f>
        <v>46173</v>
      </c>
      <c r="G20" s="460">
        <f>IF(B20="","",_xlfn.XLOOKUP(B20,'MIS 2026'!$AA$3:$AA$895,'MIS 2026'!$BM$3:$BM$895))</f>
        <v>46163</v>
      </c>
      <c r="H20" s="460">
        <f>IF(B20="","",_xlfn.XLOOKUP(B20,'MIS 2026'!$AA$3:$AA$895,'MIS 2026'!$BO$3:$BO$895))</f>
        <v>46208</v>
      </c>
      <c r="I20" s="458" t="str">
        <f>IF(B20="","",_xlfn.XLOOKUP(B20,'MIS 2026'!$AA$3:$AA$895,'MIS 2026'!$I$3:$I$895))</f>
        <v>IVC</v>
      </c>
      <c r="J20" s="458" t="str">
        <f>IF(B20="","",_xlfn.XLOOKUP(B20,'MIS 2026'!$AA$3:$AA$895,'MIS 2026'!$P$3:$P$895))</f>
        <v>No OBL Yet</v>
      </c>
      <c r="K20" s="458" t="str">
        <f>IF(B20="","",_xlfn.XLOOKUP(B20,'MIS 2026'!$AA$3:$AA$895,'MIS 2026'!$R$3:$R$895))</f>
        <v>No CERTS Yet</v>
      </c>
      <c r="L20" s="458" t="str">
        <f>IF(B20="","",_xlfn.XLOOKUP(B20,'MIS 2026'!$AA$3:$AA$895,'MIS 2026'!$S$3:$S$895))</f>
        <v/>
      </c>
    </row>
    <row r="21" spans="1:12" ht="14.45">
      <c r="A21" s="454" t="str">
        <f>IF(B21="","",_xlfn.XLOOKUP(B21,'MIS 2026'!$AA$3:$AA$895,'MIS 2026'!$A$3:$A$895))</f>
        <v>Sailed, OBL &amp; Certs Pending</v>
      </c>
      <c r="B21" s="458" t="str">
        <v>TBA 18</v>
      </c>
      <c r="C21" s="459" t="str">
        <f>IF(B21="","",_xlfn.XLOOKUP(B21,'MIS 2026'!$AA$3:$AA$895,'MIS 2026'!$AB$3:$AB$895))</f>
        <v>VALENCY VIETNAM UNSOLD</v>
      </c>
      <c r="D21" s="459" t="str">
        <f>IF(B21="","",_xlfn.XLOOKUP(B21,'MIS 2026'!$AA$3:$AA$895,'MIS 2026'!$W$3:$W$895))</f>
        <v>NTT - UNSOLD VIETNAM ETA: 5/7</v>
      </c>
      <c r="E21" s="458" t="str">
        <f>IF(B21="","",_xlfn.XLOOKUP(B21,'MIS 2026'!$AA$3:$AA$895,'MIS 2026'!$BI$3:$BI$895))</f>
        <v xml:space="preserve">HLCUAB1260401269 </v>
      </c>
      <c r="F21" s="460">
        <f>IF(B21="","",_xlfn.XLOOKUP(B21,'MIS 2026'!$AA$3:$AA$895,'MIS 2026'!$AD$3:$AD$895))</f>
        <v>46173</v>
      </c>
      <c r="G21" s="460">
        <f>IF(B21="","",_xlfn.XLOOKUP(B21,'MIS 2026'!$AA$3:$AA$895,'MIS 2026'!$BM$3:$BM$895))</f>
        <v>46163</v>
      </c>
      <c r="H21" s="460">
        <f>IF(B21="","",_xlfn.XLOOKUP(B21,'MIS 2026'!$AA$3:$AA$895,'MIS 2026'!$BO$3:$BO$895))</f>
        <v>46215</v>
      </c>
      <c r="I21" s="458" t="str">
        <f>IF(B21="","",_xlfn.XLOOKUP(B21,'MIS 2026'!$AA$3:$AA$895,'MIS 2026'!$I$3:$I$895))</f>
        <v>IVC</v>
      </c>
      <c r="J21" s="458" t="str">
        <f>IF(B21="","",_xlfn.XLOOKUP(B21,'MIS 2026'!$AA$3:$AA$895,'MIS 2026'!$P$3:$P$895))</f>
        <v>Draft Rcvd</v>
      </c>
      <c r="K21" s="458" t="str">
        <f>IF(B21="","",_xlfn.XLOOKUP(B21,'MIS 2026'!$AA$3:$AA$895,'MIS 2026'!$R$3:$R$895))</f>
        <v>No CERTS Yet</v>
      </c>
      <c r="L21" s="458">
        <f>IF(B21="","",_xlfn.XLOOKUP(B21,'MIS 2026'!$AA$3:$AA$895,'MIS 2026'!$S$3:$S$895))</f>
        <v>0</v>
      </c>
    </row>
    <row r="22" spans="1:12" ht="14.45">
      <c r="A22" s="454" t="str">
        <f>IF(B22="","",_xlfn.XLOOKUP(B22,'MIS 2026'!$AA$3:$AA$895,'MIS 2026'!$A$3:$A$895))</f>
        <v>Exp Dox Presented to Bank, Pmt Pending</v>
      </c>
      <c r="B22" s="458" t="str">
        <v>32014539-1</v>
      </c>
      <c r="C22" s="459" t="str">
        <f>IF(B22="","",_xlfn.XLOOKUP(B22,'MIS 2026'!$AA$3:$AA$895,'MIS 2026'!$AB$3:$AB$895))</f>
        <v>ST. PAULS CASHEW FACTORY</v>
      </c>
      <c r="D22" s="459" t="str">
        <f>IF(B22="","",_xlfn.XLOOKUP(B22,'MIS 2026'!$AA$3:$AA$895,'MIS 2026'!$W$3:$W$895))</f>
        <v>DHL PENDING</v>
      </c>
      <c r="E22" s="458">
        <f>IF(B22="","",_xlfn.XLOOKUP(B22,'MIS 2026'!$AA$3:$AA$895,'MIS 2026'!$BI$3:$BI$895))</f>
        <v>268715714</v>
      </c>
      <c r="F22" s="460">
        <f>IF(B22="","",_xlfn.XLOOKUP(B22,'MIS 2026'!$AA$3:$AA$895,'MIS 2026'!$AD$3:$AD$895))</f>
        <v>46142</v>
      </c>
      <c r="G22" s="460">
        <f>IF(B22="","",_xlfn.XLOOKUP(B22,'MIS 2026'!$AA$3:$AA$895,'MIS 2026'!$BM$3:$BM$895))</f>
        <v>46152</v>
      </c>
      <c r="H22" s="460">
        <f>IF(B22="","",_xlfn.XLOOKUP(B22,'MIS 2026'!$AA$3:$AA$895,'MIS 2026'!$BO$3:$BO$895))</f>
        <v>46175</v>
      </c>
      <c r="I22" s="458" t="str">
        <f>IF(B22="","",_xlfn.XLOOKUP(B22,'MIS 2026'!$AA$3:$AA$895,'MIS 2026'!$I$3:$I$895))</f>
        <v>IVC</v>
      </c>
      <c r="J22" s="458" t="str">
        <f>IF(B22="","",_xlfn.XLOOKUP(B22,'MIS 2026'!$AA$3:$AA$895,'MIS 2026'!$P$3:$P$895))</f>
        <v>OBL in Transit with Nego Docs - INDIA</v>
      </c>
      <c r="K22" s="458" t="str">
        <f>IF(B22="","",_xlfn.XLOOKUP(B22,'MIS 2026'!$AA$3:$AA$895,'MIS 2026'!$R$3:$R$895))</f>
        <v>CERTS in Destination - INDIA</v>
      </c>
      <c r="L22" s="458" t="str">
        <f>IF(B22="","",_xlfn.XLOOKUP(B22,'MIS 2026'!$AA$3:$AA$895,'MIS 2026'!$S$3:$S$895))</f>
        <v>Docs in Our Nego Bank</v>
      </c>
    </row>
    <row r="23" spans="1:12" ht="14.45">
      <c r="A23" s="454" t="str">
        <f>IF(B23="","",_xlfn.XLOOKUP(B23,'MIS 2026'!$AA$3:$AA$895,'MIS 2026'!$A$3:$A$895))</f>
        <v>Exp Dox Presented to Bank, Pmt Pending</v>
      </c>
      <c r="B23" s="458" t="str">
        <v>32014448-5</v>
      </c>
      <c r="C23" s="459" t="str">
        <f>IF(B23="","",_xlfn.XLOOKUP(B23,'MIS 2026'!$AA$3:$AA$895,'MIS 2026'!$AB$3:$AB$895))</f>
        <v>Valency Agro (Processing)</v>
      </c>
      <c r="D23" s="459">
        <f>IF(B23="","",_xlfn.XLOOKUP(B23,'MIS 2026'!$AA$3:$AA$895,'MIS 2026'!$W$3:$W$895))</f>
        <v>0</v>
      </c>
      <c r="E23" s="458" t="str">
        <f>IF(B23="","",_xlfn.XLOOKUP(B23,'MIS 2026'!$AA$3:$AA$895,'MIS 2026'!$BI$3:$BI$895))</f>
        <v>MEDULG625659</v>
      </c>
      <c r="F23" s="460">
        <f>IF(B23="","",_xlfn.XLOOKUP(B23,'MIS 2026'!$AA$3:$AA$895,'MIS 2026'!$AD$3:$AD$895))</f>
        <v>46112</v>
      </c>
      <c r="G23" s="460">
        <f>IF(B23="","",_xlfn.XLOOKUP(B23,'MIS 2026'!$AA$3:$AA$895,'MIS 2026'!$BM$3:$BM$895))</f>
        <v>46108</v>
      </c>
      <c r="H23" s="460">
        <f>IF(B23="","",_xlfn.XLOOKUP(B23,'MIS 2026'!$AA$3:$AA$895,'MIS 2026'!$BO$3:$BO$895))</f>
        <v>46157</v>
      </c>
      <c r="I23" s="458" t="str">
        <f>IF(B23="","",_xlfn.XLOOKUP(B23,'MIS 2026'!$AA$3:$AA$895,'MIS 2026'!$I$3:$I$895))</f>
        <v>NIGERIA(OGB)</v>
      </c>
      <c r="J23" s="458" t="str">
        <f>IF(B23="","",_xlfn.XLOOKUP(B23,'MIS 2026'!$AA$3:$AA$895,'MIS 2026'!$P$3:$P$895))</f>
        <v>OBL In Destination - INDIA</v>
      </c>
      <c r="K23" s="458" t="str">
        <f>IF(B23="","",_xlfn.XLOOKUP(B23,'MIS 2026'!$AA$3:$AA$895,'MIS 2026'!$R$3:$R$895))</f>
        <v>CERTS in Destination - INDIA</v>
      </c>
      <c r="L23" s="458" t="str">
        <f>IF(B23="","",_xlfn.XLOOKUP(B23,'MIS 2026'!$AA$3:$AA$895,'MIS 2026'!$S$3:$S$895))</f>
        <v>Docs in Buyer's Nego Bank</v>
      </c>
    </row>
    <row r="24" spans="1:12" ht="14.45">
      <c r="A24" s="454" t="str">
        <f>IF(B24="","",_xlfn.XLOOKUP(B24,'MIS 2026'!$AA$3:$AA$895,'MIS 2026'!$A$3:$A$895))</f>
        <v>Sailed, OBL &amp; Certs Pending</v>
      </c>
      <c r="B24" s="458" t="str">
        <v>TBA 19</v>
      </c>
      <c r="C24" s="459" t="str">
        <f>IF(B24="","",_xlfn.XLOOKUP(B24,'MIS 2026'!$AA$3:$AA$895,'MIS 2026'!$AB$3:$AB$895))</f>
        <v>VALENCY VIETNAM UNSOLD</v>
      </c>
      <c r="D24" s="459" t="str">
        <f>IF(B24="","",_xlfn.XLOOKUP(B24,'MIS 2026'!$AA$3:$AA$895,'MIS 2026'!$W$3:$W$895))</f>
        <v>NTT - UNSOLD VIETNAM ETA: 5/7</v>
      </c>
      <c r="E24" s="458" t="str">
        <f>IF(B24="","",_xlfn.XLOOKUP(B24,'MIS 2026'!$AA$3:$AA$895,'MIS 2026'!$BI$3:$BI$895))</f>
        <v>HLCUAB1260401236</v>
      </c>
      <c r="F24" s="460">
        <f>IF(B24="","",_xlfn.XLOOKUP(B24,'MIS 2026'!$AA$3:$AA$895,'MIS 2026'!$AD$3:$AD$895))</f>
        <v>46173</v>
      </c>
      <c r="G24" s="460">
        <f>IF(B24="","",_xlfn.XLOOKUP(B24,'MIS 2026'!$AA$3:$AA$895,'MIS 2026'!$BM$3:$BM$895))</f>
        <v>46163</v>
      </c>
      <c r="H24" s="460">
        <f>IF(B24="","",_xlfn.XLOOKUP(B24,'MIS 2026'!$AA$3:$AA$895,'MIS 2026'!$BO$3:$BO$895))</f>
        <v>46208</v>
      </c>
      <c r="I24" s="458" t="str">
        <f>IF(B24="","",_xlfn.XLOOKUP(B24,'MIS 2026'!$AA$3:$AA$895,'MIS 2026'!$I$3:$I$895))</f>
        <v>IVC</v>
      </c>
      <c r="J24" s="458" t="str">
        <f>IF(B24="","",_xlfn.XLOOKUP(B24,'MIS 2026'!$AA$3:$AA$895,'MIS 2026'!$P$3:$P$895))</f>
        <v>Draft Rcvd</v>
      </c>
      <c r="K24" s="458" t="str">
        <f>IF(B24="","",_xlfn.XLOOKUP(B24,'MIS 2026'!$AA$3:$AA$895,'MIS 2026'!$R$3:$R$895))</f>
        <v>No CERTS Yet</v>
      </c>
      <c r="L24" s="458">
        <f>IF(B24="","",_xlfn.XLOOKUP(B24,'MIS 2026'!$AA$3:$AA$895,'MIS 2026'!$S$3:$S$895))</f>
        <v>0</v>
      </c>
    </row>
    <row r="25" spans="1:12" ht="14.45">
      <c r="A25" s="454" t="str">
        <f>IF(B25="","",_xlfn.XLOOKUP(B25,'MIS 2026'!$AA$3:$AA$895,'MIS 2026'!$A$3:$A$895))</f>
        <v>Sailed, OBL &amp; Certs Pending</v>
      </c>
      <c r="B25" s="458" t="str">
        <v>TBA 20</v>
      </c>
      <c r="C25" s="459" t="str">
        <f>IF(B25="","",_xlfn.XLOOKUP(B25,'MIS 2026'!$AA$3:$AA$895,'MIS 2026'!$AB$3:$AB$895))</f>
        <v>VALENCY VIETNAM UNSOLD</v>
      </c>
      <c r="D25" s="459" t="str">
        <f>IF(B25="","",_xlfn.XLOOKUP(B25,'MIS 2026'!$AA$3:$AA$895,'MIS 2026'!$W$3:$W$895))</f>
        <v>NTT - UNSOLD VIETNAM ETA: 5/7</v>
      </c>
      <c r="E25" s="458" t="str">
        <f>IF(B25="","",_xlfn.XLOOKUP(B25,'MIS 2026'!$AA$3:$AA$895,'MIS 2026'!$BI$3:$BI$895))</f>
        <v xml:space="preserve"> HLCUAB1260400763</v>
      </c>
      <c r="F25" s="460">
        <f>IF(B25="","",_xlfn.XLOOKUP(B25,'MIS 2026'!$AA$3:$AA$895,'MIS 2026'!$AD$3:$AD$895))</f>
        <v>46173</v>
      </c>
      <c r="G25" s="460">
        <f>IF(B25="","",_xlfn.XLOOKUP(B25,'MIS 2026'!$AA$3:$AA$895,'MIS 2026'!$BM$3:$BM$895))</f>
        <v>46163</v>
      </c>
      <c r="H25" s="460">
        <f>IF(B25="","",_xlfn.XLOOKUP(B25,'MIS 2026'!$AA$3:$AA$895,'MIS 2026'!$BO$3:$BO$895))</f>
        <v>46208</v>
      </c>
      <c r="I25" s="458" t="str">
        <f>IF(B25="","",_xlfn.XLOOKUP(B25,'MIS 2026'!$AA$3:$AA$895,'MIS 2026'!$I$3:$I$895))</f>
        <v>IVC</v>
      </c>
      <c r="J25" s="458" t="str">
        <f>IF(B25="","",_xlfn.XLOOKUP(B25,'MIS 2026'!$AA$3:$AA$895,'MIS 2026'!$P$3:$P$895))</f>
        <v>Draft Rcvd</v>
      </c>
      <c r="K25" s="458" t="str">
        <f>IF(B25="","",_xlfn.XLOOKUP(B25,'MIS 2026'!$AA$3:$AA$895,'MIS 2026'!$R$3:$R$895))</f>
        <v>No CERTS Yet</v>
      </c>
      <c r="L25" s="458">
        <f>IF(B25="","",_xlfn.XLOOKUP(B25,'MIS 2026'!$AA$3:$AA$895,'MIS 2026'!$S$3:$S$895))</f>
        <v>0</v>
      </c>
    </row>
    <row r="26" spans="1:12" ht="14.45">
      <c r="A26" s="454" t="str">
        <f>IF(B26="","",_xlfn.XLOOKUP(B26,'MIS 2026'!$AA$3:$AA$895,'MIS 2026'!$A$3:$A$895))</f>
        <v>Exp Dox Presented to Bank, Pmt Pending</v>
      </c>
      <c r="B26" s="458" t="str">
        <v>32014448-1</v>
      </c>
      <c r="C26" s="459" t="str">
        <f>IF(B26="","",_xlfn.XLOOKUP(B26,'MIS 2026'!$AA$3:$AA$895,'MIS 2026'!$AB$3:$AB$895))</f>
        <v>Valency Agro (Processing)</v>
      </c>
      <c r="D26" s="459" t="str">
        <f>IF(B26="","",_xlfn.XLOOKUP(B26,'MIS 2026'!$AA$3:$AA$895,'MIS 2026'!$W$3:$W$895))</f>
        <v>CARGO UNDER CLEARNCE</v>
      </c>
      <c r="E26" s="458" t="str">
        <f>IF(B26="","",_xlfn.XLOOKUP(B26,'MIS 2026'!$AA$3:$AA$895,'MIS 2026'!$BI$3:$BI$895))</f>
        <v>ONEYLOSG01116601</v>
      </c>
      <c r="F26" s="460">
        <f>IF(B26="","",_xlfn.XLOOKUP(B26,'MIS 2026'!$AA$3:$AA$895,'MIS 2026'!$AD$3:$AD$895))</f>
        <v>46112</v>
      </c>
      <c r="G26" s="460">
        <f>IF(B26="","",_xlfn.XLOOKUP(B26,'MIS 2026'!$AA$3:$AA$895,'MIS 2026'!$BM$3:$BM$895))</f>
        <v>46130</v>
      </c>
      <c r="H26" s="460">
        <f>IF(B26="","",_xlfn.XLOOKUP(B26,'MIS 2026'!$AA$3:$AA$895,'MIS 2026'!$BO$3:$BO$895))</f>
        <v>46163</v>
      </c>
      <c r="I26" s="458" t="str">
        <f>IF(B26="","",_xlfn.XLOOKUP(B26,'MIS 2026'!$AA$3:$AA$895,'MIS 2026'!$I$3:$I$895))</f>
        <v>NIGERIA(OGB)</v>
      </c>
      <c r="J26" s="458" t="str">
        <f>IF(B26="","",_xlfn.XLOOKUP(B26,'MIS 2026'!$AA$3:$AA$895,'MIS 2026'!$P$3:$P$895))</f>
        <v>OBL In Destination - INDIA</v>
      </c>
      <c r="K26" s="458" t="str">
        <f>IF(B26="","",_xlfn.XLOOKUP(B26,'MIS 2026'!$AA$3:$AA$895,'MIS 2026'!$R$3:$R$895))</f>
        <v>CERTS in Destination - INDIA</v>
      </c>
      <c r="L26" s="458" t="str">
        <f>IF(B26="","",_xlfn.XLOOKUP(B26,'MIS 2026'!$AA$3:$AA$895,'MIS 2026'!$S$3:$S$895))</f>
        <v>Docs in Buyer's Nego Bank</v>
      </c>
    </row>
    <row r="27" spans="1:12" ht="14.45">
      <c r="A27" s="454" t="str">
        <f>IF(B27="","",_xlfn.XLOOKUP(B27,'MIS 2026'!$AA$3:$AA$895,'MIS 2026'!$A$3:$A$895))</f>
        <v>Exp Dox Presented to Bank, Pmt Pending</v>
      </c>
      <c r="B27" s="458">
        <v>32014413</v>
      </c>
      <c r="C27" s="459" t="str">
        <f>IF(B27="","",_xlfn.XLOOKUP(B27,'MIS 2026'!$AA$3:$AA$895,'MIS 2026'!$AB$3:$AB$895))</f>
        <v>Jagannath Cashew Processing</v>
      </c>
      <c r="D27" s="459" t="str">
        <f>IF(B27="","",_xlfn.XLOOKUP(B27,'MIS 2026'!$AA$3:$AA$895,'MIS 2026'!$W$3:$W$895))</f>
        <v xml:space="preserve">NTT - PAYMENT PENDING, FREE DAYS ISSUE </v>
      </c>
      <c r="E27" s="458" t="str">
        <f>IF(B27="","",_xlfn.XLOOKUP(B27,'MIS 2026'!$AA$3:$AA$895,'MIS 2026'!$BI$3:$BI$895))</f>
        <v>MEDULG628414</v>
      </c>
      <c r="F27" s="460">
        <f>IF(B27="","",_xlfn.XLOOKUP(B27,'MIS 2026'!$AA$3:$AA$895,'MIS 2026'!$AD$3:$AD$895))</f>
        <v>46112</v>
      </c>
      <c r="G27" s="460">
        <f>IF(B27="","",_xlfn.XLOOKUP(B27,'MIS 2026'!$AA$3:$AA$895,'MIS 2026'!$BM$3:$BM$895))</f>
        <v>46108</v>
      </c>
      <c r="H27" s="460">
        <f>IF(B27="","",_xlfn.XLOOKUP(B27,'MIS 2026'!$AA$3:$AA$895,'MIS 2026'!$BO$3:$BO$895))</f>
        <v>46166</v>
      </c>
      <c r="I27" s="458" t="str">
        <f>IF(B27="","",_xlfn.XLOOKUP(B27,'MIS 2026'!$AA$3:$AA$895,'MIS 2026'!$I$3:$I$895))</f>
        <v>NIGERIA(OGB)</v>
      </c>
      <c r="J27" s="458" t="str">
        <f>IF(B27="","",_xlfn.XLOOKUP(B27,'MIS 2026'!$AA$3:$AA$895,'MIS 2026'!$P$3:$P$895))</f>
        <v>OBL In Destination - INDIA</v>
      </c>
      <c r="K27" s="458" t="str">
        <f>IF(B27="","",_xlfn.XLOOKUP(B27,'MIS 2026'!$AA$3:$AA$895,'MIS 2026'!$R$3:$R$895))</f>
        <v>CERTS in Destination - INDIA</v>
      </c>
      <c r="L27" s="458" t="str">
        <f>IF(B27="","",_xlfn.XLOOKUP(B27,'MIS 2026'!$AA$3:$AA$895,'MIS 2026'!$S$3:$S$895))</f>
        <v>Docs in Buyer's Nego Bank</v>
      </c>
    </row>
    <row r="28" spans="1:12" ht="14.45">
      <c r="A28" s="454" t="str">
        <f>IF(B28="","",_xlfn.XLOOKUP(B28,'MIS 2026'!$AA$3:$AA$895,'MIS 2026'!$A$3:$A$895))</f>
        <v xml:space="preserve"> Final Pmt Recd , FNF Pending</v>
      </c>
      <c r="B28" s="458">
        <v>32016124</v>
      </c>
      <c r="C28" s="459" t="str">
        <f>IF(B28="","",_xlfn.XLOOKUP(B28,'MIS 2026'!$AA$3:$AA$895,'MIS 2026'!$AB$3:$AB$895))</f>
        <v>RED RIVER FOODS</v>
      </c>
      <c r="D28" s="459" t="str">
        <f>IF(B28="","",_xlfn.XLOOKUP(B28,'MIS 2026'!$AA$3:$AA$895,'MIS 2026'!$W$3:$W$895))</f>
        <v>NEGO DONE 28/4- AMENDED CERTS COURIERED</v>
      </c>
      <c r="E28" s="458" t="str">
        <f>IF(B28="","",_xlfn.XLOOKUP(B28,'MIS 2026'!$AA$3:$AA$895,'MIS 2026'!$BI$3:$BI$895))</f>
        <v>ONEYTEMG00369600</v>
      </c>
      <c r="F28" s="460">
        <f>IF(B28="","",_xlfn.XLOOKUP(B28,'MIS 2026'!$AA$3:$AA$895,'MIS 2026'!$AD$3:$AD$895))</f>
        <v>46142</v>
      </c>
      <c r="G28" s="460">
        <f>IF(B28="","",_xlfn.XLOOKUP(B28,'MIS 2026'!$AA$3:$AA$895,'MIS 2026'!$BM$3:$BM$895))</f>
        <v>46120</v>
      </c>
      <c r="H28" s="460">
        <f>IF(B28="","",_xlfn.XLOOKUP(B28,'MIS 2026'!$AA$3:$AA$895,'MIS 2026'!$BO$3:$BO$895))</f>
        <v>46166</v>
      </c>
      <c r="I28" s="458" t="str">
        <f>IF(B28="","",_xlfn.XLOOKUP(B28,'MIS 2026'!$AA$3:$AA$895,'MIS 2026'!$I$3:$I$895))</f>
        <v>GHANA</v>
      </c>
      <c r="J28" s="458" t="str">
        <f>IF(B28="","",_xlfn.XLOOKUP(B28,'MIS 2026'!$AA$3:$AA$895,'MIS 2026'!$P$3:$P$895))</f>
        <v>OBL In Destination - VIETNAM</v>
      </c>
      <c r="K28" s="458" t="str">
        <f>IF(B28="","",_xlfn.XLOOKUP(B28,'MIS 2026'!$AA$3:$AA$895,'MIS 2026'!$R$3:$R$895))</f>
        <v>CERTS in Destination - VIETNAM</v>
      </c>
      <c r="L28" s="458" t="str">
        <f>IF(B28="","",_xlfn.XLOOKUP(B28,'MIS 2026'!$AA$3:$AA$895,'MIS 2026'!$S$3:$S$895))</f>
        <v>Docs in Buyer's Nego Bank</v>
      </c>
    </row>
    <row r="29" spans="1:12" ht="14.45">
      <c r="A29" s="454" t="str">
        <f>IF(B29="","",_xlfn.XLOOKUP(B29,'MIS 2026'!$AA$3:$AA$895,'MIS 2026'!$A$3:$A$895))</f>
        <v>Exp Dox Presented to Bank, Pmt Pending</v>
      </c>
      <c r="B29" s="458">
        <v>32014392</v>
      </c>
      <c r="C29" s="459" t="str">
        <f>IF(B29="","",_xlfn.XLOOKUP(B29,'MIS 2026'!$AA$3:$AA$895,'MIS 2026'!$AB$3:$AB$895))</f>
        <v>SSS INTERNATIONAL AGRO</v>
      </c>
      <c r="D29" s="459" t="str">
        <f>IF(B29="","",_xlfn.XLOOKUP(B29,'MIS 2026'!$AA$3:$AA$895,'MIS 2026'!$W$3:$W$895))</f>
        <v xml:space="preserve">NTT - PAYMENT PENDING, FREE DAYS ISSUE </v>
      </c>
      <c r="E29" s="458" t="str">
        <f>IF(B29="","",_xlfn.XLOOKUP(B29,'MIS 2026'!$AA$3:$AA$895,'MIS 2026'!$BI$3:$BI$895))</f>
        <v>MEDULG626996</v>
      </c>
      <c r="F29" s="460">
        <f>IF(B29="","",_xlfn.XLOOKUP(B29,'MIS 2026'!$AA$3:$AA$895,'MIS 2026'!$AD$3:$AD$895))</f>
        <v>46112</v>
      </c>
      <c r="G29" s="460">
        <f>IF(B29="","",_xlfn.XLOOKUP(B29,'MIS 2026'!$AA$3:$AA$895,'MIS 2026'!$BM$3:$BM$895))</f>
        <v>46110</v>
      </c>
      <c r="H29" s="460">
        <f>IF(B29="","",_xlfn.XLOOKUP(B29,'MIS 2026'!$AA$3:$AA$895,'MIS 2026'!$BO$3:$BO$895))</f>
        <v>46165</v>
      </c>
      <c r="I29" s="458" t="str">
        <f>IF(B29="","",_xlfn.XLOOKUP(B29,'MIS 2026'!$AA$3:$AA$895,'MIS 2026'!$I$3:$I$895))</f>
        <v>NIGERIA(OGB)</v>
      </c>
      <c r="J29" s="458" t="str">
        <f>IF(B29="","",_xlfn.XLOOKUP(B29,'MIS 2026'!$AA$3:$AA$895,'MIS 2026'!$P$3:$P$895))</f>
        <v>OBL In Destination - INDIA</v>
      </c>
      <c r="K29" s="458" t="str">
        <f>IF(B29="","",_xlfn.XLOOKUP(B29,'MIS 2026'!$AA$3:$AA$895,'MIS 2026'!$R$3:$R$895))</f>
        <v>CERTS in Destination - INDIA</v>
      </c>
      <c r="L29" s="458" t="str">
        <f>IF(B29="","",_xlfn.XLOOKUP(B29,'MIS 2026'!$AA$3:$AA$895,'MIS 2026'!$S$3:$S$895))</f>
        <v>Docs in Buyer's Nego Bank</v>
      </c>
    </row>
    <row r="30" spans="1:12" ht="14.45">
      <c r="A30" s="454" t="str">
        <f>IF(B30="","",_xlfn.XLOOKUP(B30,'MIS 2026'!$AA$3:$AA$895,'MIS 2026'!$A$3:$A$895))</f>
        <v>Exp Dox Presented to Bank, Pmt Pending</v>
      </c>
      <c r="B30" s="458">
        <v>32015795</v>
      </c>
      <c r="C30" s="459" t="str">
        <f>IF(B30="","",_xlfn.XLOOKUP(B30,'MIS 2026'!$AA$3:$AA$895,'MIS 2026'!$AB$3:$AB$895))</f>
        <v xml:space="preserve">KIEU LOAN COMPANY LIMITED </v>
      </c>
      <c r="D30" s="459" t="str">
        <f>IF(B30="","",_xlfn.XLOOKUP(B30,'MIS 2026'!$AA$3:$AA$895,'MIS 2026'!$W$3:$W$895))</f>
        <v xml:space="preserve">NTT - PAYMENT PENDING
</v>
      </c>
      <c r="E30" s="458" t="str">
        <f>IF(B30="","",_xlfn.XLOOKUP(B30,'MIS 2026'!$AA$3:$AA$895,'MIS 2026'!$BI$3:$BI$895))</f>
        <v>TEM600018300</v>
      </c>
      <c r="F30" s="460">
        <f>IF(B30="","",_xlfn.XLOOKUP(B30,'MIS 2026'!$AA$3:$AA$895,'MIS 2026'!$AD$3:$AD$895))</f>
        <v>46142</v>
      </c>
      <c r="G30" s="460">
        <f>IF(B30="","",_xlfn.XLOOKUP(B30,'MIS 2026'!$AA$3:$AA$895,'MIS 2026'!$BM$3:$BM$895))</f>
        <v>46113</v>
      </c>
      <c r="H30" s="460">
        <f>IF(B30="","",_xlfn.XLOOKUP(B30,'MIS 2026'!$AA$3:$AA$895,'MIS 2026'!$BO$3:$BO$895))</f>
        <v>46168</v>
      </c>
      <c r="I30" s="458" t="str">
        <f>IF(B30="","",_xlfn.XLOOKUP(B30,'MIS 2026'!$AA$3:$AA$895,'MIS 2026'!$I$3:$I$895))</f>
        <v>GHANA</v>
      </c>
      <c r="J30" s="458" t="str">
        <f>IF(B30="","",_xlfn.XLOOKUP(B30,'MIS 2026'!$AA$3:$AA$895,'MIS 2026'!$P$3:$P$895))</f>
        <v>OBL In Destination - VIETNAM</v>
      </c>
      <c r="K30" s="458" t="str">
        <f>IF(B30="","",_xlfn.XLOOKUP(B30,'MIS 2026'!$AA$3:$AA$895,'MIS 2026'!$R$3:$R$895))</f>
        <v>CERTS in Destination - VIETNAM</v>
      </c>
      <c r="L30" s="458" t="str">
        <f>IF(B30="","",_xlfn.XLOOKUP(B30,'MIS 2026'!$AA$3:$AA$895,'MIS 2026'!$S$3:$S$895))</f>
        <v>Docs in Buyer's Nego Bank</v>
      </c>
    </row>
    <row r="31" spans="1:12" ht="14.45">
      <c r="A31" s="454" t="str">
        <f>IF(B31="","",_xlfn.XLOOKUP(B31,'MIS 2026'!$AA$3:$AA$895,'MIS 2026'!$A$3:$A$895))</f>
        <v>Exp Dox Presented to Bank, Pmt Pending</v>
      </c>
      <c r="B31" s="458">
        <v>32016319</v>
      </c>
      <c r="C31" s="459" t="str">
        <f>IF(B31="","",_xlfn.XLOOKUP(B31,'MIS 2026'!$AA$3:$AA$895,'MIS 2026'!$AB$3:$AB$895))</f>
        <v>TERRA NUTS GROUP JOINT STOCK COMPANY</v>
      </c>
      <c r="D31" s="459" t="str">
        <f>IF(B31="","",_xlfn.XLOOKUP(B31,'MIS 2026'!$AA$3:$AA$895,'MIS 2026'!$W$3:$W$895))</f>
        <v xml:space="preserve">NTT - PAYMENT PENDING
</v>
      </c>
      <c r="E31" s="458" t="str">
        <f>IF(B31="","",_xlfn.XLOOKUP(B31,'MIS 2026'!$AA$3:$AA$895,'MIS 2026'!$BI$3:$BI$895))</f>
        <v>TMA0159447</v>
      </c>
      <c r="F31" s="460">
        <f>IF(B31="","",_xlfn.XLOOKUP(B31,'MIS 2026'!$AA$3:$AA$895,'MIS 2026'!$AD$3:$AD$895))</f>
        <v>46142</v>
      </c>
      <c r="G31" s="460">
        <f>IF(B31="","",_xlfn.XLOOKUP(B31,'MIS 2026'!$AA$3:$AA$895,'MIS 2026'!$BM$3:$BM$895))</f>
        <v>46133</v>
      </c>
      <c r="H31" s="460">
        <f>IF(B31="","",_xlfn.XLOOKUP(B31,'MIS 2026'!$AA$3:$AA$895,'MIS 2026'!$BO$3:$BO$895))</f>
        <v>46169</v>
      </c>
      <c r="I31" s="458" t="str">
        <f>IF(B31="","",_xlfn.XLOOKUP(B31,'MIS 2026'!$AA$3:$AA$895,'MIS 2026'!$I$3:$I$895))</f>
        <v>GHANA</v>
      </c>
      <c r="J31" s="458" t="str">
        <f>IF(B31="","",_xlfn.XLOOKUP(B31,'MIS 2026'!$AA$3:$AA$895,'MIS 2026'!$P$3:$P$895))</f>
        <v>OBL In Destination - VIETNAM</v>
      </c>
      <c r="K31" s="458" t="str">
        <f>IF(B31="","",_xlfn.XLOOKUP(B31,'MIS 2026'!$AA$3:$AA$895,'MIS 2026'!$R$3:$R$895))</f>
        <v>CERTS in Destination - VIETNAM</v>
      </c>
      <c r="L31" s="458" t="str">
        <f>IF(B31="","",_xlfn.XLOOKUP(B31,'MIS 2026'!$AA$3:$AA$895,'MIS 2026'!$S$3:$S$895))</f>
        <v>Docs in Buyer's Nego Bank</v>
      </c>
    </row>
    <row r="32" spans="1:12" ht="14.45">
      <c r="A32" s="454" t="str">
        <f>IF(B32="","",_xlfn.XLOOKUP(B32,'MIS 2026'!$AA$3:$AA$895,'MIS 2026'!$A$3:$A$895))</f>
        <v>Exp Dox Presented to Bank, Pmt Pending</v>
      </c>
      <c r="B32" s="458">
        <v>32016295</v>
      </c>
      <c r="C32" s="459" t="str">
        <f>IF(B32="","",_xlfn.XLOOKUP(B32,'MIS 2026'!$AA$3:$AA$895,'MIS 2026'!$AB$3:$AB$895))</f>
        <v xml:space="preserve">VALENCY AGRO //HSS//THE NUT COMPPANY   </v>
      </c>
      <c r="D32" s="459" t="str">
        <f>IF(B32="","",_xlfn.XLOOKUP(B32,'MIS 2026'!$AA$3:$AA$895,'MIS 2026'!$W$3:$W$895))</f>
        <v xml:space="preserve">NTT - PAYMENT PENDING
</v>
      </c>
      <c r="E32" s="458">
        <f>IF(B32="","",_xlfn.XLOOKUP(B32,'MIS 2026'!$AA$3:$AA$895,'MIS 2026'!$BI$3:$BI$895))</f>
        <v>267576176</v>
      </c>
      <c r="F32" s="460">
        <f>IF(B32="","",_xlfn.XLOOKUP(B32,'MIS 2026'!$AA$3:$AA$895,'MIS 2026'!$AD$3:$AD$895))</f>
        <v>46142</v>
      </c>
      <c r="G32" s="460">
        <f>IF(B32="","",_xlfn.XLOOKUP(B32,'MIS 2026'!$AA$3:$AA$895,'MIS 2026'!$BM$3:$BM$895))</f>
        <v>46111</v>
      </c>
      <c r="H32" s="460">
        <f>IF(B32="","",_xlfn.XLOOKUP(B32,'MIS 2026'!$AA$3:$AA$895,'MIS 2026'!$BO$3:$BO$895))</f>
        <v>46171</v>
      </c>
      <c r="I32" s="458" t="str">
        <f>IF(B32="","",_xlfn.XLOOKUP(B32,'MIS 2026'!$AA$3:$AA$895,'MIS 2026'!$I$3:$I$895))</f>
        <v>BURKINA FASO</v>
      </c>
      <c r="J32" s="458" t="str">
        <f>IF(B32="","",_xlfn.XLOOKUP(B32,'MIS 2026'!$AA$3:$AA$895,'MIS 2026'!$P$3:$P$895))</f>
        <v>OBL In Destination - INDIA</v>
      </c>
      <c r="K32" s="458" t="str">
        <f>IF(B32="","",_xlfn.XLOOKUP(B32,'MIS 2026'!$AA$3:$AA$895,'MIS 2026'!$R$3:$R$895))</f>
        <v>CERTS in Destination - INDIA</v>
      </c>
      <c r="L32" s="458" t="str">
        <f>IF(B32="","",_xlfn.XLOOKUP(B32,'MIS 2026'!$AA$3:$AA$895,'MIS 2026'!$S$3:$S$895))</f>
        <v>Docs in Buyer's Nego Bank</v>
      </c>
    </row>
    <row r="33" spans="1:12" ht="14.45">
      <c r="A33" s="454" t="str">
        <f>IF(B33="","",_xlfn.XLOOKUP(B33,'MIS 2026'!$AA$3:$AA$895,'MIS 2026'!$A$3:$A$895))</f>
        <v>Exp Dox Presented to Bank, Pmt Pending</v>
      </c>
      <c r="B33" s="458">
        <v>32015966</v>
      </c>
      <c r="C33" s="459" t="str">
        <f>IF(B33="","",_xlfn.XLOOKUP(B33,'MIS 2026'!$AA$3:$AA$895,'MIS 2026'!$AB$3:$AB$895))</f>
        <v xml:space="preserve">VALENCY AGRO //GST//Himani Cashew   </v>
      </c>
      <c r="D33" s="459" t="str">
        <f>IF(B33="","",_xlfn.XLOOKUP(B33,'MIS 2026'!$AA$3:$AA$895,'MIS 2026'!$W$3:$W$895))</f>
        <v>NTT - LDC&amp;PHYTO PENDING FROM BURKINA</v>
      </c>
      <c r="E33" s="458" t="str">
        <f>IF(B33="","",_xlfn.XLOOKUP(B33,'MIS 2026'!$AA$3:$AA$895,'MIS 2026'!$BI$3:$BI$895))</f>
        <v>MEDUTM440722</v>
      </c>
      <c r="F33" s="460">
        <f>IF(B33="","",_xlfn.XLOOKUP(B33,'MIS 2026'!$AA$3:$AA$895,'MIS 2026'!$AD$3:$AD$895))</f>
        <v>46142</v>
      </c>
      <c r="G33" s="460">
        <f>IF(B33="","",_xlfn.XLOOKUP(B33,'MIS 2026'!$AA$3:$AA$895,'MIS 2026'!$BM$3:$BM$895))</f>
        <v>46143</v>
      </c>
      <c r="H33" s="460">
        <f>IF(B33="","",_xlfn.XLOOKUP(B33,'MIS 2026'!$AA$3:$AA$895,'MIS 2026'!$BO$3:$BO$895))</f>
        <v>46176</v>
      </c>
      <c r="I33" s="458" t="str">
        <f>IF(B33="","",_xlfn.XLOOKUP(B33,'MIS 2026'!$AA$3:$AA$895,'MIS 2026'!$I$3:$I$895))</f>
        <v>BURKINA FASO</v>
      </c>
      <c r="J33" s="458" t="str">
        <f>IF(B33="","",_xlfn.XLOOKUP(B33,'MIS 2026'!$AA$3:$AA$895,'MIS 2026'!$P$3:$P$895))</f>
        <v>OBL in Transit with Nego Docs - INDIA</v>
      </c>
      <c r="K33" s="458" t="str">
        <f>IF(B33="","",_xlfn.XLOOKUP(B33,'MIS 2026'!$AA$3:$AA$895,'MIS 2026'!$R$3:$R$895))</f>
        <v>CERT in Origin - BURKINA FASO</v>
      </c>
      <c r="L33" s="458" t="str">
        <f>IF(B33="","",_xlfn.XLOOKUP(B33,'MIS 2026'!$AA$3:$AA$895,'MIS 2026'!$S$3:$S$895))</f>
        <v>Docs in Our Nego Bank</v>
      </c>
    </row>
    <row r="34" spans="1:12" ht="14.45">
      <c r="A34" s="454" t="str">
        <f>IF(B34="","",_xlfn.XLOOKUP(B34,'MIS 2026'!$AA$3:$AA$895,'MIS 2026'!$A$3:$A$895))</f>
        <v>Exp Dox Presented to Bank, Pmt Pending</v>
      </c>
      <c r="B34" s="458">
        <v>32015794</v>
      </c>
      <c r="C34" s="459" t="str">
        <f>IF(B34="","",_xlfn.XLOOKUP(B34,'MIS 2026'!$AA$3:$AA$895,'MIS 2026'!$AB$3:$AB$895))</f>
        <v>NGOC KHANG</v>
      </c>
      <c r="D34" s="459" t="str">
        <f>IF(B34="","",_xlfn.XLOOKUP(B34,'MIS 2026'!$AA$3:$AA$895,'MIS 2026'!$W$3:$W$895))</f>
        <v>NTT - NEGO DONE 20/5-DHL PENDING. FUMIGATION RCVD 20/5,  COO&amp;PHYTO PENDING - FUMI COURIERED:1474972601</v>
      </c>
      <c r="E34" s="458" t="str">
        <f>IF(B34="","",_xlfn.XLOOKUP(B34,'MIS 2026'!$AA$3:$AA$895,'MIS 2026'!$BI$3:$BI$895))</f>
        <v>TMA0159516</v>
      </c>
      <c r="F34" s="460">
        <f>IF(B34="","",_xlfn.XLOOKUP(B34,'MIS 2026'!$AA$3:$AA$895,'MIS 2026'!$AD$3:$AD$895))</f>
        <v>46142</v>
      </c>
      <c r="G34" s="460">
        <f>IF(B34="","",_xlfn.XLOOKUP(B34,'MIS 2026'!$AA$3:$AA$895,'MIS 2026'!$BM$3:$BM$895))</f>
        <v>46141</v>
      </c>
      <c r="H34" s="460">
        <f>IF(B34="","",_xlfn.XLOOKUP(B34,'MIS 2026'!$AA$3:$AA$895,'MIS 2026'!$BO$3:$BO$895))</f>
        <v>46181</v>
      </c>
      <c r="I34" s="458" t="str">
        <f>IF(B34="","",_xlfn.XLOOKUP(B34,'MIS 2026'!$AA$3:$AA$895,'MIS 2026'!$I$3:$I$895))</f>
        <v>BURKINA FASO</v>
      </c>
      <c r="J34" s="458" t="str">
        <f>IF(B34="","",_xlfn.XLOOKUP(B34,'MIS 2026'!$AA$3:$AA$895,'MIS 2026'!$P$3:$P$895))</f>
        <v>OBL in SIG Office</v>
      </c>
      <c r="K34" s="458" t="str">
        <f>IF(B34="","",_xlfn.XLOOKUP(B34,'MIS 2026'!$AA$3:$AA$895,'MIS 2026'!$R$3:$R$895))</f>
        <v>CERT in Origin - BURKINA FASO</v>
      </c>
      <c r="L34" s="458" t="str">
        <f>IF(B34="","",_xlfn.XLOOKUP(B34,'MIS 2026'!$AA$3:$AA$895,'MIS 2026'!$S$3:$S$895))</f>
        <v>Docs in Transit to Buyer's Nego Bank</v>
      </c>
    </row>
    <row r="35" spans="1:12" ht="14.45">
      <c r="A35" s="454" t="str">
        <f>IF(B35="","",_xlfn.XLOOKUP(B35,'MIS 2026'!$AA$3:$AA$895,'MIS 2026'!$A$3:$A$895))</f>
        <v>Exp Dox Presented to Bank, Pmt Pending</v>
      </c>
      <c r="B35" s="458">
        <v>32016323</v>
      </c>
      <c r="C35" s="459" t="str">
        <f>IF(B35="","",_xlfn.XLOOKUP(B35,'MIS 2026'!$AA$3:$AA$895,'MIS 2026'!$AB$3:$AB$895))</f>
        <v>TERRA NUTS GROUP JOINT STOCK COMPANY</v>
      </c>
      <c r="D35" s="459" t="str">
        <f>IF(B35="","",_xlfn.XLOOKUP(B35,'MIS 2026'!$AA$3:$AA$895,'MIS 2026'!$W$3:$W$895))</f>
        <v>NEGO DONE 20/5-DHL RCVD. FINAL AMENDED CERTS PENDING</v>
      </c>
      <c r="E35" s="458" t="str">
        <f>IF(B35="","",_xlfn.XLOOKUP(B35,'MIS 2026'!$AA$3:$AA$895,'MIS 2026'!$BI$3:$BI$895))</f>
        <v>ONEYTEMG00400600</v>
      </c>
      <c r="F35" s="460">
        <f>IF(B35="","",_xlfn.XLOOKUP(B35,'MIS 2026'!$AA$3:$AA$895,'MIS 2026'!$AD$3:$AD$895))</f>
        <v>46173</v>
      </c>
      <c r="G35" s="460">
        <f>IF(B35="","",_xlfn.XLOOKUP(B35,'MIS 2026'!$AA$3:$AA$895,'MIS 2026'!$BM$3:$BM$895))</f>
        <v>46144</v>
      </c>
      <c r="H35" s="460">
        <f>IF(B35="","",_xlfn.XLOOKUP(B35,'MIS 2026'!$AA$3:$AA$895,'MIS 2026'!$BO$3:$BO$895))</f>
        <v>46178</v>
      </c>
      <c r="I35" s="458" t="str">
        <f>IF(B35="","",_xlfn.XLOOKUP(B35,'MIS 2026'!$AA$3:$AA$895,'MIS 2026'!$I$3:$I$895))</f>
        <v>GHANA</v>
      </c>
      <c r="J35" s="458" t="str">
        <f>IF(B35="","",_xlfn.XLOOKUP(B35,'MIS 2026'!$AA$3:$AA$895,'MIS 2026'!$P$3:$P$895))</f>
        <v>OBL In Destination - VIETNAM</v>
      </c>
      <c r="K35" s="458" t="str">
        <f>IF(B35="","",_xlfn.XLOOKUP(B35,'MIS 2026'!$AA$3:$AA$895,'MIS 2026'!$R$3:$R$895))</f>
        <v>CERT in Origin - GHANA</v>
      </c>
      <c r="L35" s="458" t="str">
        <f>IF(B35="","",_xlfn.XLOOKUP(B35,'MIS 2026'!$AA$3:$AA$895,'MIS 2026'!$S$3:$S$895))</f>
        <v>Docs in Buyer's Nego Bank</v>
      </c>
    </row>
    <row r="36" spans="1:12" ht="14.45">
      <c r="A36" s="454" t="str">
        <f>IF(B36="","",_xlfn.XLOOKUP(B36,'MIS 2026'!$AA$3:$AA$895,'MIS 2026'!$A$3:$A$895))</f>
        <v>Exp Dox Presented to Bank, Pmt Pending</v>
      </c>
      <c r="B36" s="458" t="str">
        <v>32015968-1</v>
      </c>
      <c r="C36" s="459" t="str">
        <f>IF(B36="","",_xlfn.XLOOKUP(B36,'MIS 2026'!$AA$3:$AA$895,'MIS 2026'!$AB$3:$AB$895))</f>
        <v>Valency Agro (Processing)</v>
      </c>
      <c r="D36" s="459" t="str">
        <f>IF(B36="","",_xlfn.XLOOKUP(B36,'MIS 2026'!$AA$3:$AA$895,'MIS 2026'!$W$3:$W$895))</f>
        <v>NEGO DHL PENDING</v>
      </c>
      <c r="E36" s="458" t="str">
        <f>IF(B36="","",_xlfn.XLOOKUP(B36,'MIS 2026'!$AA$3:$AA$895,'MIS 2026'!$BI$3:$BI$895))</f>
        <v>MEDUEY230918</v>
      </c>
      <c r="F36" s="460">
        <f>IF(B36="","",_xlfn.XLOOKUP(B36,'MIS 2026'!$AA$3:$AA$895,'MIS 2026'!$AD$3:$AD$895))</f>
        <v>46142</v>
      </c>
      <c r="G36" s="460">
        <f>IF(B36="","",_xlfn.XLOOKUP(B36,'MIS 2026'!$AA$3:$AA$895,'MIS 2026'!$BM$3:$BM$895))</f>
        <v>46146</v>
      </c>
      <c r="H36" s="460">
        <f>IF(B36="","",_xlfn.XLOOKUP(B36,'MIS 2026'!$AA$3:$AA$895,'MIS 2026'!$BO$3:$BO$895))</f>
        <v>46172</v>
      </c>
      <c r="I36" s="458" t="str">
        <f>IF(B36="","",_xlfn.XLOOKUP(B36,'MIS 2026'!$AA$3:$AA$895,'MIS 2026'!$I$3:$I$895))</f>
        <v>IVC</v>
      </c>
      <c r="J36" s="458" t="str">
        <f>IF(B36="","",_xlfn.XLOOKUP(B36,'MIS 2026'!$AA$3:$AA$895,'MIS 2026'!$P$3:$P$895))</f>
        <v>OBL In Destination - INDIA</v>
      </c>
      <c r="K36" s="458" t="str">
        <f>IF(B36="","",_xlfn.XLOOKUP(B36,'MIS 2026'!$AA$3:$AA$895,'MIS 2026'!$R$3:$R$895))</f>
        <v>CERTS in Destination - INDIA</v>
      </c>
      <c r="L36" s="458" t="str">
        <f>IF(B36="","",_xlfn.XLOOKUP(B36,'MIS 2026'!$AA$3:$AA$895,'MIS 2026'!$S$3:$S$895))</f>
        <v>Docs in Buyer's Nego Bank</v>
      </c>
    </row>
    <row r="37" spans="1:12" ht="14.45">
      <c r="A37" s="454" t="str">
        <f>IF(B37="","",_xlfn.XLOOKUP(B37,'MIS 2026'!$AA$3:$AA$895,'MIS 2026'!$A$3:$A$895))</f>
        <v>Exp Dox Presented to Bank, Pmt Pending</v>
      </c>
      <c r="B37" s="458" t="str">
        <v>32015968-2</v>
      </c>
      <c r="C37" s="459" t="str">
        <f>IF(B37="","",_xlfn.XLOOKUP(B37,'MIS 2026'!$AA$3:$AA$895,'MIS 2026'!$AB$3:$AB$895))</f>
        <v>Valency Agro (Processing)</v>
      </c>
      <c r="D37" s="459" t="str">
        <f>IF(B37="","",_xlfn.XLOOKUP(B37,'MIS 2026'!$AA$3:$AA$895,'MIS 2026'!$W$3:$W$895))</f>
        <v>NEGO DHL PENDING</v>
      </c>
      <c r="E37" s="458" t="str">
        <f>IF(B37="","",_xlfn.XLOOKUP(B37,'MIS 2026'!$AA$3:$AA$895,'MIS 2026'!$BI$3:$BI$895))</f>
        <v>MEDUEY230876</v>
      </c>
      <c r="F37" s="460">
        <f>IF(B37="","",_xlfn.XLOOKUP(B37,'MIS 2026'!$AA$3:$AA$895,'MIS 2026'!$AD$3:$AD$895))</f>
        <v>46142</v>
      </c>
      <c r="G37" s="460">
        <f>IF(B37="","",_xlfn.XLOOKUP(B37,'MIS 2026'!$AA$3:$AA$895,'MIS 2026'!$BM$3:$BM$895))</f>
        <v>46146</v>
      </c>
      <c r="H37" s="460">
        <f>IF(B37="","",_xlfn.XLOOKUP(B37,'MIS 2026'!$AA$3:$AA$895,'MIS 2026'!$BO$3:$BO$895))</f>
        <v>46172</v>
      </c>
      <c r="I37" s="458" t="str">
        <f>IF(B37="","",_xlfn.XLOOKUP(B37,'MIS 2026'!$AA$3:$AA$895,'MIS 2026'!$I$3:$I$895))</f>
        <v>IVC</v>
      </c>
      <c r="J37" s="458" t="str">
        <f>IF(B37="","",_xlfn.XLOOKUP(B37,'MIS 2026'!$AA$3:$AA$895,'MIS 2026'!$P$3:$P$895))</f>
        <v>OBL In Destination - INDIA</v>
      </c>
      <c r="K37" s="458" t="str">
        <f>IF(B37="","",_xlfn.XLOOKUP(B37,'MIS 2026'!$AA$3:$AA$895,'MIS 2026'!$R$3:$R$895))</f>
        <v>CERTS in Destination - INDIA</v>
      </c>
      <c r="L37" s="458" t="str">
        <f>IF(B37="","",_xlfn.XLOOKUP(B37,'MIS 2026'!$AA$3:$AA$895,'MIS 2026'!$S$3:$S$895))</f>
        <v>Docs in Buyer's Nego Bank</v>
      </c>
    </row>
    <row r="38" spans="1:12" ht="14.45">
      <c r="A38" s="454" t="str">
        <f>IF(B38="","",_xlfn.XLOOKUP(B38,'MIS 2026'!$AA$3:$AA$895,'MIS 2026'!$A$3:$A$895))</f>
        <v>Sailed, OBL &amp; Certs Pending</v>
      </c>
      <c r="B38" s="458" t="str">
        <v>32015124-1</v>
      </c>
      <c r="C38" s="459" t="str">
        <f>IF(B38="","",_xlfn.XLOOKUP(B38,'MIS 2026'!$AA$3:$AA$895,'MIS 2026'!$AB$3:$AB$895))</f>
        <v>VALENCY AGRO //HSS//Ashik Traders</v>
      </c>
      <c r="D38" s="459" t="str">
        <f>IF(B38="","",_xlfn.XLOOKUP(B38,'MIS 2026'!$AA$3:$AA$895,'MIS 2026'!$W$3:$W$895))</f>
        <v>NTT - NEED TO TAKE ADDENDUM, LDS IS DELAYED
OBL PENDING FROM FOB SUPPLIER, FINAL CERT PENDING (ALKEMAL)</v>
      </c>
      <c r="E38" s="458" t="str">
        <f>IF(B38="","",_xlfn.XLOOKUP(B38,'MIS 2026'!$AA$3:$AA$895,'MIS 2026'!$BI$3:$BI$895))</f>
        <v>MEDUCN099865</v>
      </c>
      <c r="F38" s="460">
        <f>IF(B38="","",_xlfn.XLOOKUP(B38,'MIS 2026'!$AA$3:$AA$895,'MIS 2026'!$AD$3:$AD$895))</f>
        <v>46112</v>
      </c>
      <c r="G38" s="460">
        <f>IF(B38="","",_xlfn.XLOOKUP(B38,'MIS 2026'!$AA$3:$AA$895,'MIS 2026'!$BM$3:$BM$895))</f>
        <v>46150</v>
      </c>
      <c r="H38" s="460">
        <f>IF(B38="","",_xlfn.XLOOKUP(B38,'MIS 2026'!$AA$3:$AA$895,'MIS 2026'!$BO$3:$BO$895))</f>
        <v>46205</v>
      </c>
      <c r="I38" s="458" t="str">
        <f>IF(B38="","",_xlfn.XLOOKUP(B38,'MIS 2026'!$AA$3:$AA$895,'MIS 2026'!$I$3:$I$895))</f>
        <v>GUINEA CONAKRY-BOKE</v>
      </c>
      <c r="J38" s="458" t="str">
        <f>IF(B38="","",_xlfn.XLOOKUP(B38,'MIS 2026'!$AA$3:$AA$895,'MIS 2026'!$P$3:$P$895))</f>
        <v>Draft Rcvd</v>
      </c>
      <c r="K38" s="458" t="str">
        <f>IF(B38="","",_xlfn.XLOOKUP(B38,'MIS 2026'!$AA$3:$AA$895,'MIS 2026'!$R$3:$R$895))</f>
        <v>No CERTS Yet</v>
      </c>
      <c r="L38" s="458" t="str">
        <f>IF(B38="","",_xlfn.XLOOKUP(B38,'MIS 2026'!$AA$3:$AA$895,'MIS 2026'!$S$3:$S$895))</f>
        <v/>
      </c>
    </row>
    <row r="39" spans="1:12" ht="14.45">
      <c r="A39" s="454" t="str">
        <f>IF(B39="","",_xlfn.XLOOKUP(B39,'MIS 2026'!$AA$3:$AA$895,'MIS 2026'!$A$3:$A$895))</f>
        <v>Sailed, OBL &amp; Certs Pending</v>
      </c>
      <c r="B39" s="458" t="str">
        <v>32015124-2</v>
      </c>
      <c r="C39" s="459" t="str">
        <f>IF(B39="","",_xlfn.XLOOKUP(B39,'MIS 2026'!$AA$3:$AA$895,'MIS 2026'!$AB$3:$AB$895))</f>
        <v>VALENCY AGRO //HSS//Ashik Traders</v>
      </c>
      <c r="D39" s="459" t="str">
        <f>IF(B39="","",_xlfn.XLOOKUP(B39,'MIS 2026'!$AA$3:$AA$895,'MIS 2026'!$W$3:$W$895))</f>
        <v>NTT - NEED TO TAKE ADDENDUM, LDS IS DELAYED
OBL PENDING FROM FOB SUPPLIER, FINAL CERT PENDING (ALKEMAL)</v>
      </c>
      <c r="E39" s="458" t="str">
        <f>IF(B39="","",_xlfn.XLOOKUP(B39,'MIS 2026'!$AA$3:$AA$895,'MIS 2026'!$BI$3:$BI$895))</f>
        <v>MEDUCN101273</v>
      </c>
      <c r="F39" s="460">
        <f>IF(B39="","",_xlfn.XLOOKUP(B39,'MIS 2026'!$AA$3:$AA$895,'MIS 2026'!$AD$3:$AD$895))</f>
        <v>46112</v>
      </c>
      <c r="G39" s="460">
        <f>IF(B39="","",_xlfn.XLOOKUP(B39,'MIS 2026'!$AA$3:$AA$895,'MIS 2026'!$BM$3:$BM$895))</f>
        <v>46166</v>
      </c>
      <c r="H39" s="460">
        <f>IF(B39="","",_xlfn.XLOOKUP(B39,'MIS 2026'!$AA$3:$AA$895,'MIS 2026'!$BO$3:$BO$895))</f>
        <v>46204</v>
      </c>
      <c r="I39" s="458" t="str">
        <f>IF(B39="","",_xlfn.XLOOKUP(B39,'MIS 2026'!$AA$3:$AA$895,'MIS 2026'!$I$3:$I$895))</f>
        <v>GUINEA CONAKRY-BOKE</v>
      </c>
      <c r="J39" s="458" t="str">
        <f>IF(B39="","",_xlfn.XLOOKUP(B39,'MIS 2026'!$AA$3:$AA$895,'MIS 2026'!$P$3:$P$895))</f>
        <v>Draft Rcvd</v>
      </c>
      <c r="K39" s="458" t="str">
        <f>IF(B39="","",_xlfn.XLOOKUP(B39,'MIS 2026'!$AA$3:$AA$895,'MIS 2026'!$R$3:$R$895))</f>
        <v>No CERTS Yet</v>
      </c>
      <c r="L39" s="458" t="str">
        <f>IF(B39="","",_xlfn.XLOOKUP(B39,'MIS 2026'!$AA$3:$AA$895,'MIS 2026'!$S$3:$S$895))</f>
        <v/>
      </c>
    </row>
    <row r="40" spans="1:12" ht="14.45">
      <c r="A40" s="454" t="str">
        <f>IF(B40="","",_xlfn.XLOOKUP(B40,'MIS 2026'!$AA$3:$AA$895,'MIS 2026'!$A$3:$A$895))</f>
        <v>Sailed, OBL &amp; Certs Pending</v>
      </c>
      <c r="B40" s="458">
        <v>32015269</v>
      </c>
      <c r="C40" s="459" t="str">
        <f>IF(B40="","",_xlfn.XLOOKUP(B40,'MIS 2026'!$AA$3:$AA$895,'MIS 2026'!$AB$3:$AB$895))</f>
        <v>VALENCY AGRO //HSS//Balaji Cashew</v>
      </c>
      <c r="D40" s="459" t="str">
        <f>IF(B40="","",_xlfn.XLOOKUP(B40,'MIS 2026'!$AA$3:$AA$895,'MIS 2026'!$W$3:$W$895))</f>
        <v>OBL EXPECTED 25/5</v>
      </c>
      <c r="E40" s="458" t="str">
        <f>IF(B40="","",_xlfn.XLOOKUP(B40,'MIS 2026'!$AA$3:$AA$895,'MIS 2026'!$BI$3:$BI$895))</f>
        <v>MEDULG637951</v>
      </c>
      <c r="F40" s="460">
        <f>IF(B40="","",_xlfn.XLOOKUP(B40,'MIS 2026'!$AA$3:$AA$895,'MIS 2026'!$AD$3:$AD$895))</f>
        <v>46142</v>
      </c>
      <c r="G40" s="460">
        <f>IF(B40="","",_xlfn.XLOOKUP(B40,'MIS 2026'!$AA$3:$AA$895,'MIS 2026'!$BM$3:$BM$895))</f>
        <v>46158</v>
      </c>
      <c r="H40" s="460">
        <f>IF(B40="","",_xlfn.XLOOKUP(B40,'MIS 2026'!$AA$3:$AA$895,'MIS 2026'!$BO$3:$BO$895))</f>
        <v>46191</v>
      </c>
      <c r="I40" s="458" t="str">
        <f>IF(B40="","",_xlfn.XLOOKUP(B40,'MIS 2026'!$AA$3:$AA$895,'MIS 2026'!$I$3:$I$895))</f>
        <v>NIGERIA(SAKI)</v>
      </c>
      <c r="J40" s="458" t="str">
        <f>IF(B40="","",_xlfn.XLOOKUP(B40,'MIS 2026'!$AA$3:$AA$895,'MIS 2026'!$P$3:$P$895))</f>
        <v>No OBL Yet</v>
      </c>
      <c r="K40" s="458" t="str">
        <f>IF(B40="","",_xlfn.XLOOKUP(B40,'MIS 2026'!$AA$3:$AA$895,'MIS 2026'!$R$3:$R$895))</f>
        <v>No CERTS Yet</v>
      </c>
      <c r="L40" s="458" t="str">
        <f>IF(B40="","",_xlfn.XLOOKUP(B40,'MIS 2026'!$AA$3:$AA$895,'MIS 2026'!$S$3:$S$895))</f>
        <v/>
      </c>
    </row>
    <row r="41" spans="1:12" ht="14.45">
      <c r="A41" s="454" t="str">
        <f>IF(B41="","",_xlfn.XLOOKUP(B41,'MIS 2026'!$AA$3:$AA$895,'MIS 2026'!$A$3:$A$895))</f>
        <v>Stuffed, Yet to Sail</v>
      </c>
      <c r="B41" s="458" t="str">
        <v>TBA 11</v>
      </c>
      <c r="C41" s="459" t="str">
        <f>IF(B41="","",_xlfn.XLOOKUP(B41,'MIS 2026'!$AA$3:$AA$895,'MIS 2026'!$AB$3:$AB$895))</f>
        <v>VALENCY AGRO UNSOLD</v>
      </c>
      <c r="D41" s="459" t="str">
        <f>IF(B41="","",_xlfn.XLOOKUP(B41,'MIS 2026'!$AA$3:$AA$895,'MIS 2026'!$W$3:$W$895))</f>
        <v>SOB EXPECTED 17/5-PENDING OBL &amp; CERTS</v>
      </c>
      <c r="E41" s="458" t="str">
        <f>IF(B41="","",_xlfn.XLOOKUP(B41,'MIS 2026'!$AA$3:$AA$895,'MIS 2026'!$BI$3:$BI$895))</f>
        <v>MEDULG632572</v>
      </c>
      <c r="F41" s="460">
        <f>IF(B41="","",_xlfn.XLOOKUP(B41,'MIS 2026'!$AA$3:$AA$895,'MIS 2026'!$AD$3:$AD$895))</f>
        <v>46142</v>
      </c>
      <c r="G41" s="460">
        <f>IF(B41="","",_xlfn.XLOOKUP(B41,'MIS 2026'!$AA$3:$AA$895,'MIS 2026'!$BM$3:$BM$895))</f>
        <v>0</v>
      </c>
      <c r="H41" s="460">
        <f>IF(B41="","",_xlfn.XLOOKUP(B41,'MIS 2026'!$AA$3:$AA$895,'MIS 2026'!$BO$3:$BO$895))</f>
        <v>46200</v>
      </c>
      <c r="I41" s="458" t="str">
        <f>IF(B41="","",_xlfn.XLOOKUP(B41,'MIS 2026'!$AA$3:$AA$895,'MIS 2026'!$I$3:$I$895))</f>
        <v>NIGERIA(OGB)</v>
      </c>
      <c r="J41" s="458" t="str">
        <f>IF(B41="","",_xlfn.XLOOKUP(B41,'MIS 2026'!$AA$3:$AA$895,'MIS 2026'!$P$3:$P$895))</f>
        <v>No OBL Yet</v>
      </c>
      <c r="K41" s="458" t="str">
        <f>IF(B41="","",_xlfn.XLOOKUP(B41,'MIS 2026'!$AA$3:$AA$895,'MIS 2026'!$R$3:$R$895))</f>
        <v>No CERTS Yet</v>
      </c>
      <c r="L41" s="458" t="str">
        <f>IF(B41="","",_xlfn.XLOOKUP(B41,'MIS 2026'!$AA$3:$AA$895,'MIS 2026'!$S$3:$S$895))</f>
        <v/>
      </c>
    </row>
    <row r="42" spans="1:12" ht="14.45">
      <c r="A42" s="454" t="str">
        <f>IF(B42="","",_xlfn.XLOOKUP(B42,'MIS 2026'!$AA$3:$AA$895,'MIS 2026'!$A$3:$A$895))</f>
        <v>Exp Dox Presented to Bank, Pmt Pending</v>
      </c>
      <c r="B42" s="458" t="str">
        <v>32015968-3</v>
      </c>
      <c r="C42" s="459" t="str">
        <f>IF(B42="","",_xlfn.XLOOKUP(B42,'MIS 2026'!$AA$3:$AA$895,'MIS 2026'!$AB$3:$AB$895))</f>
        <v>Valency Agro (Processing)</v>
      </c>
      <c r="D42" s="459" t="str">
        <f>IF(B42="","",_xlfn.XLOOKUP(B42,'MIS 2026'!$AA$3:$AA$895,'MIS 2026'!$W$3:$W$895))</f>
        <v>NEGO DHL PENDING</v>
      </c>
      <c r="E42" s="458" t="str">
        <f>IF(B42="","",_xlfn.XLOOKUP(B42,'MIS 2026'!$AA$3:$AA$895,'MIS 2026'!$BI$3:$BI$895))</f>
        <v>MEDUEY230793</v>
      </c>
      <c r="F42" s="460">
        <f>IF(B42="","",_xlfn.XLOOKUP(B42,'MIS 2026'!$AA$3:$AA$895,'MIS 2026'!$AD$3:$AD$895))</f>
        <v>46142</v>
      </c>
      <c r="G42" s="460">
        <f>IF(B42="","",_xlfn.XLOOKUP(B42,'MIS 2026'!$AA$3:$AA$895,'MIS 2026'!$BM$3:$BM$895))</f>
        <v>46146</v>
      </c>
      <c r="H42" s="460">
        <f>IF(B42="","",_xlfn.XLOOKUP(B42,'MIS 2026'!$AA$3:$AA$895,'MIS 2026'!$BO$3:$BO$895))</f>
        <v>46172</v>
      </c>
      <c r="I42" s="458" t="str">
        <f>IF(B42="","",_xlfn.XLOOKUP(B42,'MIS 2026'!$AA$3:$AA$895,'MIS 2026'!$I$3:$I$895))</f>
        <v>IVC</v>
      </c>
      <c r="J42" s="458" t="str">
        <f>IF(B42="","",_xlfn.XLOOKUP(B42,'MIS 2026'!$AA$3:$AA$895,'MIS 2026'!$P$3:$P$895))</f>
        <v>OBL In Destination - INDIA</v>
      </c>
      <c r="K42" s="458" t="str">
        <f>IF(B42="","",_xlfn.XLOOKUP(B42,'MIS 2026'!$AA$3:$AA$895,'MIS 2026'!$R$3:$R$895))</f>
        <v>CERTS in Destination - INDIA</v>
      </c>
      <c r="L42" s="458" t="str">
        <f>IF(B42="","",_xlfn.XLOOKUP(B42,'MIS 2026'!$AA$3:$AA$895,'MIS 2026'!$S$3:$S$895))</f>
        <v>Docs in Buyer's Nego Bank</v>
      </c>
    </row>
    <row r="43" spans="1:12" ht="14.45">
      <c r="A43" s="454" t="str">
        <f>IF(B43="","",_xlfn.XLOOKUP(B43,'MIS 2026'!$AA$3:$AA$895,'MIS 2026'!$A$3:$A$895))</f>
        <v>Stuffed, Yet to Sail</v>
      </c>
      <c r="B43" s="458">
        <v>32016443</v>
      </c>
      <c r="C43" s="459" t="str">
        <f>IF(B43="","",_xlfn.XLOOKUP(B43,'MIS 2026'!$AA$3:$AA$895,'MIS 2026'!$AB$3:$AB$895))</f>
        <v>Valency Agro (Processing)</v>
      </c>
      <c r="D43" s="459" t="str">
        <f>IF(B43="","",_xlfn.XLOOKUP(B43,'MIS 2026'!$AA$3:$AA$895,'MIS 2026'!$W$3:$W$895))</f>
        <v>SOB EXPECTED 17/5-PENDING OBL &amp; CERTS-NEED TO ISSE CONTRACT TO FACTORY @1483</v>
      </c>
      <c r="E43" s="458" t="str">
        <f>IF(B43="","",_xlfn.XLOOKUP(B43,'MIS 2026'!$AA$3:$AA$895,'MIS 2026'!$BI$3:$BI$895))</f>
        <v>MEDULG638603</v>
      </c>
      <c r="F43" s="460">
        <f>IF(B43="","",_xlfn.XLOOKUP(B43,'MIS 2026'!$AA$3:$AA$895,'MIS 2026'!$AD$3:$AD$895))</f>
        <v>46142</v>
      </c>
      <c r="G43" s="460">
        <f>IF(B43="","",_xlfn.XLOOKUP(B43,'MIS 2026'!$AA$3:$AA$895,'MIS 2026'!$BM$3:$BM$895))</f>
        <v>0</v>
      </c>
      <c r="H43" s="460">
        <f>IF(B43="","",_xlfn.XLOOKUP(B43,'MIS 2026'!$AA$3:$AA$895,'MIS 2026'!$BO$3:$BO$895))</f>
        <v>46200</v>
      </c>
      <c r="I43" s="458" t="str">
        <f>IF(B43="","",_xlfn.XLOOKUP(B43,'MIS 2026'!$AA$3:$AA$895,'MIS 2026'!$I$3:$I$895))</f>
        <v>NIGERIA(OGB)</v>
      </c>
      <c r="J43" s="458" t="str">
        <f>IF(B43="","",_xlfn.XLOOKUP(B43,'MIS 2026'!$AA$3:$AA$895,'MIS 2026'!$P$3:$P$895))</f>
        <v>No OBL Yet</v>
      </c>
      <c r="K43" s="458" t="str">
        <f>IF(B43="","",_xlfn.XLOOKUP(B43,'MIS 2026'!$AA$3:$AA$895,'MIS 2026'!$R$3:$R$895))</f>
        <v>No CERTS Yet</v>
      </c>
      <c r="L43" s="458" t="str">
        <f>IF(B43="","",_xlfn.XLOOKUP(B43,'MIS 2026'!$AA$3:$AA$895,'MIS 2026'!$S$3:$S$895))</f>
        <v/>
      </c>
    </row>
    <row r="44" spans="1:12" ht="14.45">
      <c r="A44" s="454" t="str">
        <f>IF(B44="","",_xlfn.XLOOKUP(B44,'MIS 2026'!$AA$3:$AA$895,'MIS 2026'!$A$3:$A$895))</f>
        <v>Sailed, OBL &amp; Certs Pending</v>
      </c>
      <c r="B44" s="458">
        <v>32016296</v>
      </c>
      <c r="C44" s="459" t="str">
        <f>IF(B44="","",_xlfn.XLOOKUP(B44,'MIS 2026'!$AA$3:$AA$895,'MIS 2026'!$AB$3:$AB$895))</f>
        <v>VALENCY AGRO/GST/REHAN CASHEW PROCESSING</v>
      </c>
      <c r="D44" s="459" t="str">
        <f>IF(B44="","",_xlfn.XLOOKUP(B44,'MIS 2026'!$AA$3:$AA$895,'MIS 2026'!$W$3:$W$895))</f>
        <v>NTT - NEED TO TAKE ADDENDUM, LDS IS DELAYED</v>
      </c>
      <c r="E44" s="458" t="str">
        <f>IF(B44="","",_xlfn.XLOOKUP(B44,'MIS 2026'!$AA$3:$AA$895,'MIS 2026'!$BI$3:$BI$895))</f>
        <v>MEDULO441793</v>
      </c>
      <c r="F44" s="460">
        <f>IF(B44="","",_xlfn.XLOOKUP(B44,'MIS 2026'!$AA$3:$AA$895,'MIS 2026'!$AD$3:$AD$895))</f>
        <v>46142</v>
      </c>
      <c r="G44" s="460">
        <f>IF(B44="","",_xlfn.XLOOKUP(B44,'MIS 2026'!$AA$3:$AA$895,'MIS 2026'!$BM$3:$BM$895))</f>
        <v>46178</v>
      </c>
      <c r="H44" s="460">
        <f>IF(B44="","",_xlfn.XLOOKUP(B44,'MIS 2026'!$AA$3:$AA$895,'MIS 2026'!$BO$3:$BO$895))</f>
        <v>46204</v>
      </c>
      <c r="I44" s="458" t="str">
        <f>IF(B44="","",_xlfn.XLOOKUP(B44,'MIS 2026'!$AA$3:$AA$895,'MIS 2026'!$I$3:$I$895))</f>
        <v>BURKINA FASO</v>
      </c>
      <c r="J44" s="458" t="str">
        <f>IF(B44="","",_xlfn.XLOOKUP(B44,'MIS 2026'!$AA$3:$AA$895,'MIS 2026'!$P$3:$P$895))</f>
        <v>Draft Rcvd</v>
      </c>
      <c r="K44" s="458" t="str">
        <f>IF(B44="","",_xlfn.XLOOKUP(B44,'MIS 2026'!$AA$3:$AA$895,'MIS 2026'!$R$3:$R$895))</f>
        <v>No CERTS Yet</v>
      </c>
      <c r="L44" s="458" t="str">
        <f>IF(B44="","",_xlfn.XLOOKUP(B44,'MIS 2026'!$AA$3:$AA$895,'MIS 2026'!$S$3:$S$895))</f>
        <v/>
      </c>
    </row>
    <row r="45" spans="1:12" ht="14.45">
      <c r="A45" s="454" t="str">
        <f>IF(B45="","",_xlfn.XLOOKUP(B45,'MIS 2026'!$AA$3:$AA$895,'MIS 2026'!$A$3:$A$895))</f>
        <v>Sailed, OBL &amp; Certs Pending</v>
      </c>
      <c r="B45" s="458" t="str">
        <v>TBA 01</v>
      </c>
      <c r="C45" s="481" t="str">
        <f>IF(B45="","",_xlfn.XLOOKUP(B45,'MIS 2026'!$AA$3:$AA$895,'MIS 2026'!$AB$3:$AB$895))</f>
        <v>VALENCY VIETNAM UNSOLD</v>
      </c>
      <c r="D45" s="481" t="str">
        <f>IF(B45="","",_xlfn.XLOOKUP(B45,'MIS 2026'!$AA$3:$AA$895,'MIS 2026'!$W$3:$W$895))</f>
        <v>NTT -VIETNAM UNSOLD, ETA:18/6</v>
      </c>
      <c r="E45" s="482" t="str">
        <f>IF(B45="","",_xlfn.XLOOKUP(B45,'MIS 2026'!$AA$3:$AA$895,'MIS 2026'!$BI$3:$BI$895))</f>
        <v>MEDULG630568</v>
      </c>
      <c r="F45" s="483">
        <f>IF(B45="","",_xlfn.XLOOKUP(B45,'MIS 2026'!$AA$3:$AA$895,'MIS 2026'!$AD$3:$AD$895))</f>
        <v>46142</v>
      </c>
      <c r="G45" s="460">
        <f>IF(B45="","",_xlfn.XLOOKUP(B45,'MIS 2026'!$AA$3:$AA$895,'MIS 2026'!$BM$3:$BM$895))</f>
        <v>46158</v>
      </c>
      <c r="H45" s="483">
        <f>IF(B45="","",_xlfn.XLOOKUP(B45,'MIS 2026'!$AA$3:$AA$895,'MIS 2026'!$BO$3:$BO$895))</f>
        <v>46191</v>
      </c>
      <c r="I45" s="458" t="str">
        <f>IF(B45="","",_xlfn.XLOOKUP(B45,'MIS 2026'!$AA$3:$AA$895,'MIS 2026'!$I$3:$I$895))</f>
        <v>NIGERIA(OGB)</v>
      </c>
      <c r="J45" s="458" t="str">
        <f>IF(B45="","",_xlfn.XLOOKUP(B45,'MIS 2026'!$AA$3:$AA$895,'MIS 2026'!$P$3:$P$895))</f>
        <v>No OBL Yet</v>
      </c>
      <c r="K45" s="458" t="str">
        <f>IF(B45="","",_xlfn.XLOOKUP(B45,'MIS 2026'!$AA$3:$AA$895,'MIS 2026'!$R$3:$R$895))</f>
        <v>No CERTS Yet</v>
      </c>
      <c r="L45" s="458" t="str">
        <f>IF(B45="","",_xlfn.XLOOKUP(B45,'MIS 2026'!$AA$3:$AA$895,'MIS 2026'!$S$3:$S$895))</f>
        <v/>
      </c>
    </row>
    <row r="46" spans="1:12" ht="14.45">
      <c r="A46" s="454" t="str">
        <f>IF(B46="","",_xlfn.XLOOKUP(B46,'MIS 2026'!$AA$3:$AA$895,'MIS 2026'!$A$3:$A$895))</f>
        <v>OBL Scan Recd, Nego Pending</v>
      </c>
      <c r="B46" s="458" t="str">
        <v>TBA 02</v>
      </c>
      <c r="C46" s="459" t="str">
        <f>IF(B46="","",_xlfn.XLOOKUP(B46,'MIS 2026'!$AA$3:$AA$895,'MIS 2026'!$AB$3:$AB$895))</f>
        <v>VALENCY VIETNAM UNSOLD</v>
      </c>
      <c r="D46" s="459" t="str">
        <f>IF(B46="","",_xlfn.XLOOKUP(B46,'MIS 2026'!$AA$3:$AA$895,'MIS 2026'!$W$3:$W$895))</f>
        <v>OBL RCVD-CERTS PENDING -ALLOCATED HUONG CUY</v>
      </c>
      <c r="E46" s="458" t="str">
        <f>IF(B46="","",_xlfn.XLOOKUP(B46,'MIS 2026'!$AA$3:$AA$895,'MIS 2026'!$BI$3:$BI$895))</f>
        <v>MEDULG628505</v>
      </c>
      <c r="F46" s="460">
        <f>IF(B46="","",_xlfn.XLOOKUP(B46,'MIS 2026'!$AA$3:$AA$895,'MIS 2026'!$AD$3:$AD$895))</f>
        <v>46142</v>
      </c>
      <c r="G46" s="460">
        <f>IF(B46="","",_xlfn.XLOOKUP(B46,'MIS 2026'!$AA$3:$AA$895,'MIS 2026'!$BM$3:$BM$895))</f>
        <v>46134</v>
      </c>
      <c r="H46" s="460">
        <f>IF(B46="","",_xlfn.XLOOKUP(B46,'MIS 2026'!$AA$3:$AA$895,'MIS 2026'!$BO$3:$BO$895))</f>
        <v>46190</v>
      </c>
      <c r="I46" s="458" t="str">
        <f>IF(B46="","",_xlfn.XLOOKUP(B46,'MIS 2026'!$AA$3:$AA$895,'MIS 2026'!$I$3:$I$895))</f>
        <v>NIGERIA(OGB)</v>
      </c>
      <c r="J46" s="458" t="str">
        <f>IF(B46="","",_xlfn.XLOOKUP(B46,'MIS 2026'!$AA$3:$AA$895,'MIS 2026'!$P$3:$P$895))</f>
        <v>OBL in Origin - NIGERIA(OGB)</v>
      </c>
      <c r="K46" s="458" t="str">
        <f>IF(B46="","",_xlfn.XLOOKUP(B46,'MIS 2026'!$AA$3:$AA$895,'MIS 2026'!$R$3:$R$895))</f>
        <v>No CERTS Yet</v>
      </c>
      <c r="L46" s="458" t="str">
        <f>IF(B46="","",_xlfn.XLOOKUP(B46,'MIS 2026'!$AA$3:$AA$895,'MIS 2026'!$S$3:$S$895))</f>
        <v/>
      </c>
    </row>
    <row r="47" spans="1:12" ht="14.45">
      <c r="A47" s="454" t="str">
        <f>IF(B47="","",_xlfn.XLOOKUP(B47,'MIS 2026'!$AA$3:$AA$895,'MIS 2026'!$A$3:$A$895))</f>
        <v>Sailed, OBL &amp; Certs Pending</v>
      </c>
      <c r="B47" s="458" t="str">
        <v>TBA 04</v>
      </c>
      <c r="C47" s="459" t="str">
        <f>IF(B47="","",_xlfn.XLOOKUP(B47,'MIS 2026'!$AA$3:$AA$895,'MIS 2026'!$AB$3:$AB$895))</f>
        <v>VALENCY VIETNAM UNSOLD</v>
      </c>
      <c r="D47" s="459" t="str">
        <f>IF(B47="","",_xlfn.XLOOKUP(B47,'MIS 2026'!$AA$3:$AA$895,'MIS 2026'!$W$3:$W$895))</f>
        <v>NTT -VIETNAM UNSOLD, ETA:26/6</v>
      </c>
      <c r="E47" s="458" t="str">
        <f>IF(B47="","",_xlfn.XLOOKUP(B47,'MIS 2026'!$AA$3:$AA$895,'MIS 2026'!$BI$3:$BI$895))</f>
        <v>ONEYLOSG02030900</v>
      </c>
      <c r="F47" s="460">
        <f>IF(B47="","",_xlfn.XLOOKUP(B47,'MIS 2026'!$AA$3:$AA$895,'MIS 2026'!$AD$3:$AD$895))</f>
        <v>46142</v>
      </c>
      <c r="G47" s="460">
        <f>IF(B47="","",_xlfn.XLOOKUP(B47,'MIS 2026'!$AA$3:$AA$895,'MIS 2026'!$BM$3:$BM$895))</f>
        <v>46167</v>
      </c>
      <c r="H47" s="460">
        <f>IF(B47="","",_xlfn.XLOOKUP(B47,'MIS 2026'!$AA$3:$AA$895,'MIS 2026'!$BO$3:$BO$895))</f>
        <v>46199</v>
      </c>
      <c r="I47" s="458" t="str">
        <f>IF(B47="","",_xlfn.XLOOKUP(B47,'MIS 2026'!$AA$3:$AA$895,'MIS 2026'!$I$3:$I$895))</f>
        <v>NIGERIA(OGB)</v>
      </c>
      <c r="J47" s="458" t="str">
        <f>IF(B47="","",_xlfn.XLOOKUP(B47,'MIS 2026'!$AA$3:$AA$895,'MIS 2026'!$P$3:$P$895))</f>
        <v>No OBL Yet</v>
      </c>
      <c r="K47" s="458" t="str">
        <f>IF(B47="","",_xlfn.XLOOKUP(B47,'MIS 2026'!$AA$3:$AA$895,'MIS 2026'!$R$3:$R$895))</f>
        <v>No CERTS Yet</v>
      </c>
      <c r="L47" s="458" t="str">
        <f>IF(B47="","",_xlfn.XLOOKUP(B47,'MIS 2026'!$AA$3:$AA$895,'MIS 2026'!$S$3:$S$895))</f>
        <v/>
      </c>
    </row>
    <row r="48" spans="1:12" ht="14.45">
      <c r="A48" s="454" t="str">
        <f>IF(B48="","",_xlfn.XLOOKUP(B48,'MIS 2026'!$AA$3:$AA$895,'MIS 2026'!$A$3:$A$895))</f>
        <v>Sailed, OBL &amp; Certs Pending</v>
      </c>
      <c r="B48" s="458" t="str">
        <v>TBA 05</v>
      </c>
      <c r="C48" s="459" t="str">
        <f>IF(B48="","",_xlfn.XLOOKUP(B48,'MIS 2026'!$AA$3:$AA$895,'MIS 2026'!$AB$3:$AB$895))</f>
        <v>VALENCY VIETNAM UNSOLD</v>
      </c>
      <c r="D48" s="459" t="str">
        <f>IF(B48="","",_xlfn.XLOOKUP(B48,'MIS 2026'!$AA$3:$AA$895,'MIS 2026'!$W$3:$W$895))</f>
        <v>NTT -VIETNAM UNSOLD, ETA:26/6</v>
      </c>
      <c r="E48" s="458" t="str">
        <f>IF(B48="","",_xlfn.XLOOKUP(B48,'MIS 2026'!$AA$3:$AA$895,'MIS 2026'!$BI$3:$BI$895))</f>
        <v>ONEYLOSG02033500</v>
      </c>
      <c r="F48" s="460">
        <f>IF(B48="","",_xlfn.XLOOKUP(B48,'MIS 2026'!$AA$3:$AA$895,'MIS 2026'!$AD$3:$AD$895))</f>
        <v>46142</v>
      </c>
      <c r="G48" s="460">
        <f>IF(B48="","",_xlfn.XLOOKUP(B48,'MIS 2026'!$AA$3:$AA$895,'MIS 2026'!$BM$3:$BM$895))</f>
        <v>46167</v>
      </c>
      <c r="H48" s="460">
        <f>IF(B48="","",_xlfn.XLOOKUP(B48,'MIS 2026'!$AA$3:$AA$895,'MIS 2026'!$BO$3:$BO$895))</f>
        <v>46199</v>
      </c>
      <c r="I48" s="458" t="str">
        <f>IF(B48="","",_xlfn.XLOOKUP(B48,'MIS 2026'!$AA$3:$AA$895,'MIS 2026'!$I$3:$I$895))</f>
        <v>NIGERIA(OGB)</v>
      </c>
      <c r="J48" s="458" t="str">
        <f>IF(B48="","",_xlfn.XLOOKUP(B48,'MIS 2026'!$AA$3:$AA$895,'MIS 2026'!$P$3:$P$895))</f>
        <v>No OBL Yet</v>
      </c>
      <c r="K48" s="458" t="str">
        <f>IF(B48="","",_xlfn.XLOOKUP(B48,'MIS 2026'!$AA$3:$AA$895,'MIS 2026'!$R$3:$R$895))</f>
        <v>No CERTS Yet</v>
      </c>
      <c r="L48" s="458" t="str">
        <f>IF(B48="","",_xlfn.XLOOKUP(B48,'MIS 2026'!$AA$3:$AA$895,'MIS 2026'!$S$3:$S$895))</f>
        <v/>
      </c>
    </row>
    <row r="49" spans="1:12" ht="14.45">
      <c r="A49" s="454" t="str">
        <f>IF(B49="","",_xlfn.XLOOKUP(B49,'MIS 2026'!$AA$3:$AA$895,'MIS 2026'!$A$3:$A$895))</f>
        <v>Sailed, OBL &amp; Certs Pending</v>
      </c>
      <c r="B49" s="458" t="str">
        <v>TBA 06</v>
      </c>
      <c r="C49" s="459" t="str">
        <f>IF(B49="","",_xlfn.XLOOKUP(B49,'MIS 2026'!$AA$3:$AA$895,'MIS 2026'!$AB$3:$AB$895))</f>
        <v>VALENCY VIETNAM UNSOLD</v>
      </c>
      <c r="D49" s="459" t="str">
        <f>IF(B49="","",_xlfn.XLOOKUP(B49,'MIS 2026'!$AA$3:$AA$895,'MIS 2026'!$W$3:$W$895))</f>
        <v>NTT - UNSOLD CARGO ETA:10/7</v>
      </c>
      <c r="E49" s="458" t="str">
        <f>IF(B49="","",_xlfn.XLOOKUP(B49,'MIS 2026'!$AA$3:$AA$895,'MIS 2026'!$BI$3:$BI$895))</f>
        <v>TMA0159717B</v>
      </c>
      <c r="F49" s="460">
        <f>IF(B49="","",_xlfn.XLOOKUP(B49,'MIS 2026'!$AA$3:$AA$895,'MIS 2026'!$AD$3:$AD$895))</f>
        <v>46173</v>
      </c>
      <c r="G49" s="460">
        <f>IF(B49="","",_xlfn.XLOOKUP(B49,'MIS 2026'!$AA$3:$AA$895,'MIS 2026'!$BM$3:$BM$895))</f>
        <v>46167</v>
      </c>
      <c r="H49" s="460">
        <f>IF(B49="","",_xlfn.XLOOKUP(B49,'MIS 2026'!$AA$3:$AA$895,'MIS 2026'!$BO$3:$BO$895))</f>
        <v>46213</v>
      </c>
      <c r="I49" s="458" t="str">
        <f>IF(B49="","",_xlfn.XLOOKUP(B49,'MIS 2026'!$AA$3:$AA$895,'MIS 2026'!$I$3:$I$895))</f>
        <v>GHANA</v>
      </c>
      <c r="J49" s="458" t="str">
        <f>IF(B49="","",_xlfn.XLOOKUP(B49,'MIS 2026'!$AA$3:$AA$895,'MIS 2026'!$P$3:$P$895))</f>
        <v>Draft Rcvd</v>
      </c>
      <c r="K49" s="458" t="str">
        <f>IF(B49="","",_xlfn.XLOOKUP(B49,'MIS 2026'!$AA$3:$AA$895,'MIS 2026'!$R$3:$R$895))</f>
        <v>No CERTS Yet</v>
      </c>
      <c r="L49" s="458" t="str">
        <f>IF(B49="","",_xlfn.XLOOKUP(B49,'MIS 2026'!$AA$3:$AA$895,'MIS 2026'!$S$3:$S$895))</f>
        <v/>
      </c>
    </row>
    <row r="50" spans="1:12" ht="14.45">
      <c r="A50" s="454" t="str">
        <f>IF(B50="","",_xlfn.XLOOKUP(B50,'MIS 2026'!$AA$3:$AA$895,'MIS 2026'!$A$3:$A$895))</f>
        <v>Sailed, OBL &amp; Certs Pending</v>
      </c>
      <c r="B50" s="458" t="str">
        <v>TBA 07</v>
      </c>
      <c r="C50" s="459" t="str">
        <f>IF(B50="","",_xlfn.XLOOKUP(B50,'MIS 2026'!$AA$3:$AA$895,'MIS 2026'!$AB$3:$AB$895))</f>
        <v>VALENCY VIETNAM UNSOLD</v>
      </c>
      <c r="D50" s="459" t="str">
        <f>IF(B50="","",_xlfn.XLOOKUP(B50,'MIS 2026'!$AA$3:$AA$895,'MIS 2026'!$W$3:$W$895))</f>
        <v>NTT - UNSOLD CARGO ETA:10/7</v>
      </c>
      <c r="E50" s="458" t="str">
        <f>IF(B50="","",_xlfn.XLOOKUP(B50,'MIS 2026'!$AA$3:$AA$895,'MIS 2026'!$BI$3:$BI$895))</f>
        <v>TMA0159717A</v>
      </c>
      <c r="F50" s="460">
        <f>IF(B50="","",_xlfn.XLOOKUP(B50,'MIS 2026'!$AA$3:$AA$895,'MIS 2026'!$AD$3:$AD$895))</f>
        <v>46173</v>
      </c>
      <c r="G50" s="460">
        <f>IF(B50="","",_xlfn.XLOOKUP(B50,'MIS 2026'!$AA$3:$AA$895,'MIS 2026'!$BM$3:$BM$895))</f>
        <v>46167</v>
      </c>
      <c r="H50" s="460">
        <f>IF(B50="","",_xlfn.XLOOKUP(B50,'MIS 2026'!$AA$3:$AA$895,'MIS 2026'!$BO$3:$BO$895))</f>
        <v>46213</v>
      </c>
      <c r="I50" s="458" t="str">
        <f>IF(B50="","",_xlfn.XLOOKUP(B50,'MIS 2026'!$AA$3:$AA$895,'MIS 2026'!$I$3:$I$895))</f>
        <v>GHANA</v>
      </c>
      <c r="J50" s="458" t="str">
        <f>IF(B50="","",_xlfn.XLOOKUP(B50,'MIS 2026'!$AA$3:$AA$895,'MIS 2026'!$P$3:$P$895))</f>
        <v>Draft Rcvd</v>
      </c>
      <c r="K50" s="458" t="str">
        <f>IF(B50="","",_xlfn.XLOOKUP(B50,'MIS 2026'!$AA$3:$AA$895,'MIS 2026'!$R$3:$R$895))</f>
        <v>No CERTS Yet</v>
      </c>
      <c r="L50" s="458" t="str">
        <f>IF(B50="","",_xlfn.XLOOKUP(B50,'MIS 2026'!$AA$3:$AA$895,'MIS 2026'!$S$3:$S$895))</f>
        <v/>
      </c>
    </row>
    <row r="51" spans="1:12" ht="14.45">
      <c r="A51" s="454" t="str">
        <f>IF(B51="","",_xlfn.XLOOKUP(B51,'MIS 2026'!$AA$3:$AA$895,'MIS 2026'!$A$3:$A$895))</f>
        <v>SI Sent, Shipment Awaited</v>
      </c>
      <c r="B51" s="458">
        <v>32016285</v>
      </c>
      <c r="C51" s="459" t="str">
        <f>IF(B51="","",_xlfn.XLOOKUP(B51,'MIS 2026'!$AA$3:$AA$895,'MIS 2026'!$AB$3:$AB$895))</f>
        <v>VIET AGRO PTE LTD</v>
      </c>
      <c r="D51" s="459" t="str">
        <f>IF(B51="","",_xlfn.XLOOKUP(B51,'MIS 2026'!$AA$3:$AA$895,'MIS 2026'!$W$3:$W$895))</f>
        <v>NTT - NEED TO TAKE ADDENDUM, LDS IS DELAYED</v>
      </c>
      <c r="E51" s="458">
        <f>IF(B51="","",_xlfn.XLOOKUP(B51,'MIS 2026'!$AA$3:$AA$895,'MIS 2026'!$BI$3:$BI$895))</f>
        <v>0</v>
      </c>
      <c r="F51" s="460">
        <f>IF(B51="","",_xlfn.XLOOKUP(B51,'MIS 2026'!$AA$3:$AA$895,'MIS 2026'!$AD$3:$AD$895))</f>
        <v>46157</v>
      </c>
      <c r="G51" s="460">
        <f>IF(B51="","",_xlfn.XLOOKUP(B51,'MIS 2026'!$AA$3:$AA$895,'MIS 2026'!$BM$3:$BM$895))</f>
        <v>0</v>
      </c>
      <c r="H51" s="460">
        <f>IF(B51="","",_xlfn.XLOOKUP(B51,'MIS 2026'!$AA$3:$AA$895,'MIS 2026'!$BO$3:$BO$895))</f>
        <v>0</v>
      </c>
      <c r="I51" s="458" t="str">
        <f>IF(B51="","",_xlfn.XLOOKUP(B51,'MIS 2026'!$AA$3:$AA$895,'MIS 2026'!$I$3:$I$895))</f>
        <v>GUINEA CONAKRY-BOKE</v>
      </c>
      <c r="J51" s="458" t="str">
        <f>IF(B51="","",_xlfn.XLOOKUP(B51,'MIS 2026'!$AA$3:$AA$895,'MIS 2026'!$P$3:$P$895))</f>
        <v>No OBL Yet</v>
      </c>
      <c r="K51" s="458" t="str">
        <f>IF(B51="","",_xlfn.XLOOKUP(B51,'MIS 2026'!$AA$3:$AA$895,'MIS 2026'!$R$3:$R$895))</f>
        <v>No CERTS Yet</v>
      </c>
      <c r="L51" s="458" t="str">
        <f>IF(B51="","",_xlfn.XLOOKUP(B51,'MIS 2026'!$AA$3:$AA$895,'MIS 2026'!$S$3:$S$895))</f>
        <v/>
      </c>
    </row>
    <row r="52" spans="1:12" ht="14.45">
      <c r="A52" s="454" t="str">
        <f>IF(B52="","",_xlfn.XLOOKUP(B52,'MIS 2026'!$AA$3:$AA$895,'MIS 2026'!$A$3:$A$895))</f>
        <v>Stuffed, Yet to Sail</v>
      </c>
      <c r="B52" s="458">
        <v>32015796</v>
      </c>
      <c r="C52" s="459" t="str">
        <f>IF(B52="","",_xlfn.XLOOKUP(B52,'MIS 2026'!$AA$3:$AA$895,'MIS 2026'!$AB$3:$AB$895))</f>
        <v xml:space="preserve">KIEU LOAN CO., LTD  </v>
      </c>
      <c r="D52" s="459" t="str">
        <f>IF(B52="","",_xlfn.XLOOKUP(B52,'MIS 2026'!$AA$3:$AA$895,'MIS 2026'!$W$3:$W$895))</f>
        <v>DRAFT MBL RCVD-DRAFT HBL SENT TO BUYER 20/5</v>
      </c>
      <c r="E52" s="458" t="str">
        <f>IF(B52="","",_xlfn.XLOOKUP(B52,'MIS 2026'!$AA$3:$AA$895,'MIS 2026'!$BI$3:$BI$895))</f>
        <v>HLCUAB1260400785</v>
      </c>
      <c r="F52" s="460">
        <f>IF(B52="","",_xlfn.XLOOKUP(B52,'MIS 2026'!$AA$3:$AA$895,'MIS 2026'!$AD$3:$AD$895))</f>
        <v>46173</v>
      </c>
      <c r="G52" s="460">
        <f>IF(B52="","",_xlfn.XLOOKUP(B52,'MIS 2026'!$AA$3:$AA$895,'MIS 2026'!$BM$3:$BM$895))</f>
        <v>0</v>
      </c>
      <c r="H52" s="460">
        <f>IF(B52="","",_xlfn.XLOOKUP(B52,'MIS 2026'!$AA$3:$AA$895,'MIS 2026'!$BO$3:$BO$895))</f>
        <v>46215</v>
      </c>
      <c r="I52" s="458" t="str">
        <f>IF(B52="","",_xlfn.XLOOKUP(B52,'MIS 2026'!$AA$3:$AA$895,'MIS 2026'!$I$3:$I$895))</f>
        <v>IVC</v>
      </c>
      <c r="J52" s="458" t="str">
        <f>IF(B52="","",_xlfn.XLOOKUP(B52,'MIS 2026'!$AA$3:$AA$895,'MIS 2026'!$P$3:$P$895))</f>
        <v>Draft Rcvd</v>
      </c>
      <c r="K52" s="458" t="str">
        <f>IF(B52="","",_xlfn.XLOOKUP(B52,'MIS 2026'!$AA$3:$AA$895,'MIS 2026'!$R$3:$R$895))</f>
        <v>No CERTS Yet</v>
      </c>
      <c r="L52" s="458" t="str">
        <f>IF(B52="","",_xlfn.XLOOKUP(B52,'MIS 2026'!$AA$3:$AA$895,'MIS 2026'!$S$3:$S$895))</f>
        <v/>
      </c>
    </row>
    <row r="53" spans="1:12" ht="14.45">
      <c r="A53" s="454" t="str">
        <f>IF(B53="","",_xlfn.XLOOKUP(B53,'MIS 2026'!$AA$3:$AA$895,'MIS 2026'!$A$3:$A$895))</f>
        <v>SI Sent, Shipment Awaited</v>
      </c>
      <c r="B53" s="458">
        <v>32016278</v>
      </c>
      <c r="C53" s="459" t="str">
        <f>IF(B53="","",_xlfn.XLOOKUP(B53,'MIS 2026'!$AA$3:$AA$895,'MIS 2026'!$AB$3:$AB$895))</f>
        <v>RED RIVER FOODS</v>
      </c>
      <c r="D53" s="459" t="str">
        <f>IF(B53="","",_xlfn.XLOOKUP(B53,'MIS 2026'!$AA$3:$AA$895,'MIS 2026'!$W$3:$W$895))</f>
        <v>NTT - NEED TO TAKE ADDENDUM, LDS IS DELAYED</v>
      </c>
      <c r="E53" s="458">
        <f>IF(B53="","",_xlfn.XLOOKUP(B53,'MIS 2026'!$AA$3:$AA$895,'MIS 2026'!$BI$3:$BI$895))</f>
        <v>0</v>
      </c>
      <c r="F53" s="460">
        <f>IF(B53="","",_xlfn.XLOOKUP(B53,'MIS 2026'!$AA$3:$AA$895,'MIS 2026'!$AD$3:$AD$895))</f>
        <v>46173</v>
      </c>
      <c r="G53" s="460">
        <f>IF(B53="","",_xlfn.XLOOKUP(B53,'MIS 2026'!$AA$3:$AA$895,'MIS 2026'!$BM$3:$BM$895))</f>
        <v>0</v>
      </c>
      <c r="H53" s="460">
        <f>IF(B53="","",_xlfn.XLOOKUP(B53,'MIS 2026'!$AA$3:$AA$895,'MIS 2026'!$BO$3:$BO$895))</f>
        <v>0</v>
      </c>
      <c r="I53" s="458" t="str">
        <f>IF(B53="","",_xlfn.XLOOKUP(B53,'MIS 2026'!$AA$3:$AA$895,'MIS 2026'!$I$3:$I$895))</f>
        <v>IVC</v>
      </c>
      <c r="J53" s="458" t="str">
        <f>IF(B53="","",_xlfn.XLOOKUP(B53,'MIS 2026'!$AA$3:$AA$895,'MIS 2026'!$P$3:$P$895))</f>
        <v>No OBL Yet</v>
      </c>
      <c r="K53" s="458" t="str">
        <f>IF(B53="","",_xlfn.XLOOKUP(B53,'MIS 2026'!$AA$3:$AA$895,'MIS 2026'!$R$3:$R$895))</f>
        <v>No CERTS Yet</v>
      </c>
      <c r="L53" s="458" t="str">
        <f>IF(B53="","",_xlfn.XLOOKUP(B53,'MIS 2026'!$AA$3:$AA$895,'MIS 2026'!$S$3:$S$895))</f>
        <v/>
      </c>
    </row>
    <row r="54" spans="1:12" ht="14.45">
      <c r="A54" s="454" t="str">
        <f>IF(B54="","",_xlfn.XLOOKUP(B54,'MIS 2026'!$AA$3:$AA$895,'MIS 2026'!$A$3:$A$895))</f>
        <v>SI Sent, Shipment Awaited</v>
      </c>
      <c r="B54" s="458">
        <v>32016329</v>
      </c>
      <c r="C54" s="459" t="str">
        <f>IF(B54="","",_xlfn.XLOOKUP(B54,'MIS 2026'!$AA$3:$AA$895,'MIS 2026'!$AB$3:$AB$895))</f>
        <v>RED RIVER FOODS</v>
      </c>
      <c r="D54" s="459" t="str">
        <f>IF(B54="","",_xlfn.XLOOKUP(B54,'MIS 2026'!$AA$3:$AA$895,'MIS 2026'!$W$3:$W$895))</f>
        <v>NTT - NEED TO TAKE ADDENDUM, LDS IS DELAYED</v>
      </c>
      <c r="E54" s="458">
        <f>IF(B54="","",_xlfn.XLOOKUP(B54,'MIS 2026'!$AA$3:$AA$895,'MIS 2026'!$BI$3:$BI$895))</f>
        <v>0</v>
      </c>
      <c r="F54" s="460">
        <f>IF(B54="","",_xlfn.XLOOKUP(B54,'MIS 2026'!$AA$3:$AA$895,'MIS 2026'!$AD$3:$AD$895))</f>
        <v>46173</v>
      </c>
      <c r="G54" s="460">
        <f>IF(B54="","",_xlfn.XLOOKUP(B54,'MIS 2026'!$AA$3:$AA$895,'MIS 2026'!$BM$3:$BM$895))</f>
        <v>0</v>
      </c>
      <c r="H54" s="460">
        <f>IF(B54="","",_xlfn.XLOOKUP(B54,'MIS 2026'!$AA$3:$AA$895,'MIS 2026'!$BO$3:$BO$895))</f>
        <v>0</v>
      </c>
      <c r="I54" s="458" t="str">
        <f>IF(B54="","",_xlfn.XLOOKUP(B54,'MIS 2026'!$AA$3:$AA$895,'MIS 2026'!$I$3:$I$895))</f>
        <v>GAMBIA</v>
      </c>
      <c r="J54" s="458" t="str">
        <f>IF(B54="","",_xlfn.XLOOKUP(B54,'MIS 2026'!$AA$3:$AA$895,'MIS 2026'!$P$3:$P$895))</f>
        <v>No OBL Yet</v>
      </c>
      <c r="K54" s="458" t="str">
        <f>IF(B54="","",_xlfn.XLOOKUP(B54,'MIS 2026'!$AA$3:$AA$895,'MIS 2026'!$R$3:$R$895))</f>
        <v>No CERTS Yet</v>
      </c>
      <c r="L54" s="458" t="str">
        <f>IF(B54="","",_xlfn.XLOOKUP(B54,'MIS 2026'!$AA$3:$AA$895,'MIS 2026'!$S$3:$S$895))</f>
        <v/>
      </c>
    </row>
    <row r="55" spans="1:12" ht="14.45">
      <c r="A55" s="454" t="str">
        <f>IF(B55="","",_xlfn.XLOOKUP(B55,'MIS 2026'!$AA$3:$AA$895,'MIS 2026'!$A$3:$A$895))</f>
        <v>SI Sent, Shipment Awaited</v>
      </c>
      <c r="B55" s="458" t="str">
        <v>TBA 08</v>
      </c>
      <c r="C55" s="459" t="str">
        <f>IF(B55="","",_xlfn.XLOOKUP(B55,'MIS 2026'!$AA$3:$AA$895,'MIS 2026'!$AB$3:$AB$895))</f>
        <v>VALENCY AGRO UNSOLD</v>
      </c>
      <c r="D55" s="459" t="str">
        <f>IF(B55="","",_xlfn.XLOOKUP(B55,'MIS 2026'!$AA$3:$AA$895,'MIS 2026'!$W$3:$W$895))</f>
        <v>UNSOLD BURKINA TO TUTICORIN-EBKG16677211</v>
      </c>
      <c r="E55" s="458">
        <f>IF(B55="","",_xlfn.XLOOKUP(B55,'MIS 2026'!$AA$3:$AA$895,'MIS 2026'!$BI$3:$BI$895))</f>
        <v>0</v>
      </c>
      <c r="F55" s="460">
        <f>IF(B55="","",_xlfn.XLOOKUP(B55,'MIS 2026'!$AA$3:$AA$895,'MIS 2026'!$AD$3:$AD$895))</f>
        <v>46173</v>
      </c>
      <c r="G55" s="460">
        <f>IF(B55="","",_xlfn.XLOOKUP(B55,'MIS 2026'!$AA$3:$AA$895,'MIS 2026'!$BM$3:$BM$895))</f>
        <v>0</v>
      </c>
      <c r="H55" s="460">
        <f>IF(B55="","",_xlfn.XLOOKUP(B55,'MIS 2026'!$AA$3:$AA$895,'MIS 2026'!$BO$3:$BO$895))</f>
        <v>0</v>
      </c>
      <c r="I55" s="458" t="str">
        <f>IF(B55="","",_xlfn.XLOOKUP(B55,'MIS 2026'!$AA$3:$AA$895,'MIS 2026'!$I$3:$I$895))</f>
        <v>BURKINA FASO</v>
      </c>
      <c r="J55" s="458" t="str">
        <f>IF(B55="","",_xlfn.XLOOKUP(B55,'MIS 2026'!$AA$3:$AA$895,'MIS 2026'!$P$3:$P$895))</f>
        <v>No OBL Yet</v>
      </c>
      <c r="K55" s="458" t="str">
        <f>IF(B55="","",_xlfn.XLOOKUP(B55,'MIS 2026'!$AA$3:$AA$895,'MIS 2026'!$R$3:$R$895))</f>
        <v>No CERTS Yet</v>
      </c>
      <c r="L55" s="458" t="str">
        <f>IF(B55="","",_xlfn.XLOOKUP(B55,'MIS 2026'!$AA$3:$AA$895,'MIS 2026'!$S$3:$S$895))</f>
        <v/>
      </c>
    </row>
    <row r="56" spans="1:12" ht="14.45">
      <c r="A56" s="454" t="str">
        <f>IF(B56="","",_xlfn.XLOOKUP(B56,'MIS 2026'!$AA$3:$AA$895,'MIS 2026'!$A$3:$A$895))</f>
        <v>SI Sent, Shipment Awaited</v>
      </c>
      <c r="B56" s="458" t="str">
        <v>TBA 17</v>
      </c>
      <c r="C56" s="459" t="str">
        <f>IF(B56="","",_xlfn.XLOOKUP(B56,'MIS 2026'!$AA$3:$AA$895,'MIS 2026'!$AB$3:$AB$895))</f>
        <v>VALENCY VIETNAM UNSOLD</v>
      </c>
      <c r="D56" s="459" t="str">
        <f>IF(B56="","",_xlfn.XLOOKUP(B56,'MIS 2026'!$AA$3:$AA$895,'MIS 2026'!$W$3:$W$895))</f>
        <v>UNSOLD BURKINA TO VIETNAM</v>
      </c>
      <c r="E56" s="458">
        <f>IF(B56="","",_xlfn.XLOOKUP(B56,'MIS 2026'!$AA$3:$AA$895,'MIS 2026'!$BI$3:$BI$895))</f>
        <v>0</v>
      </c>
      <c r="F56" s="460">
        <f>IF(B56="","",_xlfn.XLOOKUP(B56,'MIS 2026'!$AA$3:$AA$895,'MIS 2026'!$AD$3:$AD$895))</f>
        <v>46173</v>
      </c>
      <c r="G56" s="460">
        <f>IF(B56="","",_xlfn.XLOOKUP(B56,'MIS 2026'!$AA$3:$AA$895,'MIS 2026'!$BM$3:$BM$895))</f>
        <v>0</v>
      </c>
      <c r="H56" s="460">
        <f>IF(B56="","",_xlfn.XLOOKUP(B56,'MIS 2026'!$AA$3:$AA$895,'MIS 2026'!$BO$3:$BO$895))</f>
        <v>0</v>
      </c>
      <c r="I56" s="458" t="str">
        <f>IF(B56="","",_xlfn.XLOOKUP(B56,'MIS 2026'!$AA$3:$AA$895,'MIS 2026'!$I$3:$I$895))</f>
        <v>BURKINA FASO</v>
      </c>
      <c r="J56" s="458" t="str">
        <f>IF(B56="","",_xlfn.XLOOKUP(B56,'MIS 2026'!$AA$3:$AA$895,'MIS 2026'!$P$3:$P$895))</f>
        <v>No OBL Yet</v>
      </c>
      <c r="K56" s="458" t="str">
        <f>IF(B56="","",_xlfn.XLOOKUP(B56,'MIS 2026'!$AA$3:$AA$895,'MIS 2026'!$R$3:$R$895))</f>
        <v>No CERTS Yet</v>
      </c>
      <c r="L56" s="458" t="str">
        <f>IF(B56="","",_xlfn.XLOOKUP(B56,'MIS 2026'!$AA$3:$AA$895,'MIS 2026'!$S$3:$S$895))</f>
        <v/>
      </c>
    </row>
    <row r="57" spans="1:12" ht="14.45">
      <c r="A57" s="454" t="str">
        <f>IF(B57="","",_xlfn.XLOOKUP(B57,'MIS 2026'!$AA$3:$AA$895,'MIS 2026'!$A$3:$A$895))</f>
        <v>Stuffed, Yet to Sail</v>
      </c>
      <c r="B57" s="458" t="str">
        <v>TBA 13</v>
      </c>
      <c r="C57" s="459" t="str">
        <f>IF(B57="","",_xlfn.XLOOKUP(B57,'MIS 2026'!$AA$3:$AA$895,'MIS 2026'!$AB$3:$AB$895))</f>
        <v>VALENCY AGRO UNSOLD</v>
      </c>
      <c r="D57" s="459" t="str">
        <f>IF(B57="","",_xlfn.XLOOKUP(B57,'MIS 2026'!$AA$3:$AA$895,'MIS 2026'!$W$3:$W$895))</f>
        <v xml:space="preserve">UNSOLD 100MT TO TUTICORIN-LOSG02185600 -DRAFT BL APPROVED 20/5
</v>
      </c>
      <c r="E57" s="458" t="str">
        <f>IF(B57="","",_xlfn.XLOOKUP(B57,'MIS 2026'!$AA$3:$AA$895,'MIS 2026'!$BI$3:$BI$895))</f>
        <v>ONEYLOSG02180800</v>
      </c>
      <c r="F57" s="460">
        <f>IF(B57="","",_xlfn.XLOOKUP(B57,'MIS 2026'!$AA$3:$AA$895,'MIS 2026'!$AD$3:$AD$895))</f>
        <v>46173</v>
      </c>
      <c r="G57" s="460">
        <f>IF(B57="","",_xlfn.XLOOKUP(B57,'MIS 2026'!$AA$3:$AA$895,'MIS 2026'!$BM$3:$BM$895))</f>
        <v>0</v>
      </c>
      <c r="H57" s="460">
        <f>IF(B57="","",_xlfn.XLOOKUP(B57,'MIS 2026'!$AA$3:$AA$895,'MIS 2026'!$BO$3:$BO$895))</f>
        <v>46218</v>
      </c>
      <c r="I57" s="458" t="str">
        <f>IF(B57="","",_xlfn.XLOOKUP(B57,'MIS 2026'!$AA$3:$AA$895,'MIS 2026'!$I$3:$I$895))</f>
        <v>NIGERIA(SAKI)</v>
      </c>
      <c r="J57" s="458" t="str">
        <f>IF(B57="","",_xlfn.XLOOKUP(B57,'MIS 2026'!$AA$3:$AA$895,'MIS 2026'!$P$3:$P$895))</f>
        <v>Draft Rcvd</v>
      </c>
      <c r="K57" s="458" t="str">
        <f>IF(B57="","",_xlfn.XLOOKUP(B57,'MIS 2026'!$AA$3:$AA$895,'MIS 2026'!$R$3:$R$895))</f>
        <v>No CERTS Yet</v>
      </c>
      <c r="L57" s="458" t="str">
        <f>IF(B57="","",_xlfn.XLOOKUP(B57,'MIS 2026'!$AA$3:$AA$895,'MIS 2026'!$S$3:$S$895))</f>
        <v/>
      </c>
    </row>
    <row r="58" spans="1:12" ht="14.45">
      <c r="A58" s="454" t="str">
        <f>IF(B58="","",_xlfn.XLOOKUP(B58,'MIS 2026'!$AA$3:$AA$895,'MIS 2026'!$A$3:$A$895))</f>
        <v>Stuffed, Yet to Sail</v>
      </c>
      <c r="B58" s="458" t="str">
        <v>TBA 14</v>
      </c>
      <c r="C58" s="459" t="str">
        <f>IF(B58="","",_xlfn.XLOOKUP(B58,'MIS 2026'!$AA$3:$AA$895,'MIS 2026'!$AB$3:$AB$895))</f>
        <v>VALENCY AGRO UNSOLD</v>
      </c>
      <c r="D58" s="459" t="str">
        <f>IF(B58="","",_xlfn.XLOOKUP(B58,'MIS 2026'!$AA$3:$AA$895,'MIS 2026'!$W$3:$W$895))</f>
        <v xml:space="preserve">UNSOLD 100MT TO TUTICORIN-LOSG02185600 -DRAFT BL APPROVED 20/5
</v>
      </c>
      <c r="E58" s="458" t="str">
        <f>IF(B58="","",_xlfn.XLOOKUP(B58,'MIS 2026'!$AA$3:$AA$895,'MIS 2026'!$BI$3:$BI$895))</f>
        <v>ONEYLOSG02181900</v>
      </c>
      <c r="F58" s="460">
        <f>IF(B58="","",_xlfn.XLOOKUP(B58,'MIS 2026'!$AA$3:$AA$895,'MIS 2026'!$AD$3:$AD$895))</f>
        <v>46173</v>
      </c>
      <c r="G58" s="460">
        <f>IF(B58="","",_xlfn.XLOOKUP(B58,'MIS 2026'!$AA$3:$AA$895,'MIS 2026'!$BM$3:$BM$895))</f>
        <v>0</v>
      </c>
      <c r="H58" s="460">
        <f>IF(B58="","",_xlfn.XLOOKUP(B58,'MIS 2026'!$AA$3:$AA$895,'MIS 2026'!$BO$3:$BO$895))</f>
        <v>46218</v>
      </c>
      <c r="I58" s="458" t="str">
        <f>IF(B58="","",_xlfn.XLOOKUP(B58,'MIS 2026'!$AA$3:$AA$895,'MIS 2026'!$I$3:$I$895))</f>
        <v>NIGERIA(SAKI)</v>
      </c>
      <c r="J58" s="458" t="str">
        <f>IF(B58="","",_xlfn.XLOOKUP(B58,'MIS 2026'!$AA$3:$AA$895,'MIS 2026'!$P$3:$P$895))</f>
        <v>No OBL Yet</v>
      </c>
      <c r="K58" s="458" t="str">
        <f>IF(B58="","",_xlfn.XLOOKUP(B58,'MIS 2026'!$AA$3:$AA$895,'MIS 2026'!$R$3:$R$895))</f>
        <v>No CERTS Yet</v>
      </c>
      <c r="L58" s="458" t="str">
        <f>IF(B58="","",_xlfn.XLOOKUP(B58,'MIS 2026'!$AA$3:$AA$895,'MIS 2026'!$S$3:$S$895))</f>
        <v/>
      </c>
    </row>
    <row r="59" spans="1:12" ht="14.45">
      <c r="A59" s="454" t="str">
        <f>IF(B59="","",_xlfn.XLOOKUP(B59,'MIS 2026'!$AA$3:$AA$895,'MIS 2026'!$A$3:$A$895))</f>
        <v>Stuffed, Yet to Sail</v>
      </c>
      <c r="B59" s="458" t="str">
        <v>TBA 15</v>
      </c>
      <c r="C59" s="459" t="str">
        <f>IF(B59="","",_xlfn.XLOOKUP(B59,'MIS 2026'!$AA$3:$AA$895,'MIS 2026'!$AB$3:$AB$895))</f>
        <v>VALENCY AGRO UNSOLD</v>
      </c>
      <c r="D59" s="459" t="str">
        <f>IF(B59="","",_xlfn.XLOOKUP(B59,'MIS 2026'!$AA$3:$AA$895,'MIS 2026'!$W$3:$W$895))</f>
        <v xml:space="preserve">UNSOLD 100MT TO TUTICORIN-LOSG02185600 -DRAFT BL APPROVED 20/5
</v>
      </c>
      <c r="E59" s="458" t="str">
        <f>IF(B59="","",_xlfn.XLOOKUP(B59,'MIS 2026'!$AA$3:$AA$895,'MIS 2026'!$BI$3:$BI$895))</f>
        <v>ONEYLOSG02185600</v>
      </c>
      <c r="F59" s="460">
        <f>IF(B59="","",_xlfn.XLOOKUP(B59,'MIS 2026'!$AA$3:$AA$895,'MIS 2026'!$AD$3:$AD$895))</f>
        <v>46173</v>
      </c>
      <c r="G59" s="460">
        <f>IF(B59="","",_xlfn.XLOOKUP(B59,'MIS 2026'!$AA$3:$AA$895,'MIS 2026'!$BM$3:$BM$895))</f>
        <v>0</v>
      </c>
      <c r="H59" s="460">
        <f>IF(B59="","",_xlfn.XLOOKUP(B59,'MIS 2026'!$AA$3:$AA$895,'MIS 2026'!$BO$3:$BO$895))</f>
        <v>46224</v>
      </c>
      <c r="I59" s="458" t="str">
        <f>IF(B59="","",_xlfn.XLOOKUP(B59,'MIS 2026'!$AA$3:$AA$895,'MIS 2026'!$I$3:$I$895))</f>
        <v>NIGERIA(SAKI)</v>
      </c>
      <c r="J59" s="458" t="str">
        <f>IF(B59="","",_xlfn.XLOOKUP(B59,'MIS 2026'!$AA$3:$AA$895,'MIS 2026'!$P$3:$P$895))</f>
        <v>Draft Rcvd</v>
      </c>
      <c r="K59" s="458" t="str">
        <f>IF(B59="","",_xlfn.XLOOKUP(B59,'MIS 2026'!$AA$3:$AA$895,'MIS 2026'!$R$3:$R$895))</f>
        <v>No CERTS Yet</v>
      </c>
      <c r="L59" s="458" t="str">
        <f>IF(B59="","",_xlfn.XLOOKUP(B59,'MIS 2026'!$AA$3:$AA$895,'MIS 2026'!$S$3:$S$895))</f>
        <v/>
      </c>
    </row>
    <row r="60" spans="1:12" ht="14.45">
      <c r="A60" s="454" t="str">
        <f>IF(B60="","",_xlfn.XLOOKUP(B60,'MIS 2026'!$AA$3:$AA$895,'MIS 2026'!$A$3:$A$895))</f>
        <v>SI Sent, Shipment Awaited</v>
      </c>
      <c r="B60" s="458">
        <v>32016315</v>
      </c>
      <c r="C60" s="459" t="str">
        <f>IF(B60="","",_xlfn.XLOOKUP(B60,'MIS 2026'!$AA$3:$AA$895,'MIS 2026'!$AB$3:$AB$895))</f>
        <v xml:space="preserve">VIET PHI AGRICULTURE JOINT 
STOCK COMPANY </v>
      </c>
      <c r="D60" s="459" t="str">
        <f>IF(B60="","",_xlfn.XLOOKUP(B60,'MIS 2026'!$AA$3:$AA$895,'MIS 2026'!$W$3:$W$895))</f>
        <v>SI PENDING</v>
      </c>
      <c r="E60" s="458">
        <f>IF(B60="","",_xlfn.XLOOKUP(B60,'MIS 2026'!$AA$3:$AA$895,'MIS 2026'!$BI$3:$BI$895))</f>
        <v>0</v>
      </c>
      <c r="F60" s="460">
        <f>IF(B60="","",_xlfn.XLOOKUP(B60,'MIS 2026'!$AA$3:$AA$895,'MIS 2026'!$AD$3:$AD$895))</f>
        <v>46188</v>
      </c>
      <c r="G60" s="460">
        <f>IF(B60="","",_xlfn.XLOOKUP(B60,'MIS 2026'!$AA$3:$AA$895,'MIS 2026'!$BM$3:$BM$895))</f>
        <v>0</v>
      </c>
      <c r="H60" s="460">
        <f>IF(B60="","",_xlfn.XLOOKUP(B60,'MIS 2026'!$AA$3:$AA$895,'MIS 2026'!$BO$3:$BO$895))</f>
        <v>0</v>
      </c>
      <c r="I60" s="458" t="str">
        <f>IF(B60="","",_xlfn.XLOOKUP(B60,'MIS 2026'!$AA$3:$AA$895,'MIS 2026'!$I$3:$I$895))</f>
        <v>IVC</v>
      </c>
      <c r="J60" s="458" t="str">
        <f>IF(B60="","",_xlfn.XLOOKUP(B60,'MIS 2026'!$AA$3:$AA$895,'MIS 2026'!$P$3:$P$895))</f>
        <v>No OBL Yet</v>
      </c>
      <c r="K60" s="458" t="str">
        <f>IF(B60="","",_xlfn.XLOOKUP(B60,'MIS 2026'!$AA$3:$AA$895,'MIS 2026'!$R$3:$R$895))</f>
        <v>No CERTS Yet</v>
      </c>
      <c r="L60" s="458" t="str">
        <f>IF(B60="","",_xlfn.XLOOKUP(B60,'MIS 2026'!$AA$3:$AA$895,'MIS 2026'!$S$3:$S$895))</f>
        <v/>
      </c>
    </row>
    <row r="61" spans="1:12" ht="14.45">
      <c r="A61" s="454" t="str">
        <f>IF(B61="","",_xlfn.XLOOKUP(B61,'MIS 2026'!$AA$3:$AA$895,'MIS 2026'!$A$3:$A$895))</f>
        <v>SI Sent, Shipment Awaited</v>
      </c>
      <c r="B61" s="458">
        <v>32016355</v>
      </c>
      <c r="C61" s="459" t="str">
        <f>IF(B61="","",_xlfn.XLOOKUP(B61,'MIS 2026'!$AA$3:$AA$895,'MIS 2026'!$AB$3:$AB$895))</f>
        <v xml:space="preserve">THAO NGUYEN COMPANY LIMITED  </v>
      </c>
      <c r="D61" s="459" t="str">
        <f>IF(B61="","",_xlfn.XLOOKUP(B61,'MIS 2026'!$AA$3:$AA$895,'MIS 2026'!$W$3:$W$895))</f>
        <v>SI PENDING</v>
      </c>
      <c r="E61" s="458">
        <f>IF(B61="","",_xlfn.XLOOKUP(B61,'MIS 2026'!$AA$3:$AA$895,'MIS 2026'!$BI$3:$BI$895))</f>
        <v>0</v>
      </c>
      <c r="F61" s="460">
        <f>IF(B61="","",_xlfn.XLOOKUP(B61,'MIS 2026'!$AA$3:$AA$895,'MIS 2026'!$AD$3:$AD$895))</f>
        <v>46203</v>
      </c>
      <c r="G61" s="460">
        <f>IF(B61="","",_xlfn.XLOOKUP(B61,'MIS 2026'!$AA$3:$AA$895,'MIS 2026'!$BM$3:$BM$895))</f>
        <v>0</v>
      </c>
      <c r="H61" s="460">
        <f>IF(B61="","",_xlfn.XLOOKUP(B61,'MIS 2026'!$AA$3:$AA$895,'MIS 2026'!$BO$3:$BO$895))</f>
        <v>0</v>
      </c>
      <c r="I61" s="458" t="str">
        <f>IF(B61="","",_xlfn.XLOOKUP(B61,'MIS 2026'!$AA$3:$AA$895,'MIS 2026'!$I$3:$I$895))</f>
        <v>IVC</v>
      </c>
      <c r="J61" s="458" t="str">
        <f>IF(B61="","",_xlfn.XLOOKUP(B61,'MIS 2026'!$AA$3:$AA$895,'MIS 2026'!$P$3:$P$895))</f>
        <v>No OBL Yet</v>
      </c>
      <c r="K61" s="458" t="str">
        <f>IF(B61="","",_xlfn.XLOOKUP(B61,'MIS 2026'!$AA$3:$AA$895,'MIS 2026'!$R$3:$R$895))</f>
        <v>No CERTS Yet</v>
      </c>
      <c r="L61" s="458" t="str">
        <f>IF(B61="","",_xlfn.XLOOKUP(B61,'MIS 2026'!$AA$3:$AA$895,'MIS 2026'!$S$3:$S$895))</f>
        <v/>
      </c>
    </row>
    <row r="62" spans="1:12" ht="14.45">
      <c r="A62" s="454" t="str">
        <f>IF(B62="","",_xlfn.XLOOKUP(B62,'MIS 2026'!$AA$3:$AA$895,'MIS 2026'!$A$3:$A$895))</f>
        <v>Exp Dox Presented to Bank, Pmt Pending</v>
      </c>
      <c r="B62" s="458" t="str">
        <v>32015968-4</v>
      </c>
      <c r="C62" s="459" t="str">
        <f>IF(B62="","",_xlfn.XLOOKUP(B62,'MIS 2026'!$AA$3:$AA$895,'MIS 2026'!$AB$3:$AB$895))</f>
        <v>Valency Agro (Processing)</v>
      </c>
      <c r="D62" s="459" t="str">
        <f>IF(B62="","",_xlfn.XLOOKUP(B62,'MIS 2026'!$AA$3:$AA$895,'MIS 2026'!$W$3:$W$895))</f>
        <v>DHL RCVD</v>
      </c>
      <c r="E62" s="458" t="str">
        <f>IF(B62="","",_xlfn.XLOOKUP(B62,'MIS 2026'!$AA$3:$AA$895,'MIS 2026'!$BI$3:$BI$895))</f>
        <v>268599953</v>
      </c>
      <c r="F62" s="460">
        <f>IF(B62="","",_xlfn.XLOOKUP(B62,'MIS 2026'!$AA$3:$AA$895,'MIS 2026'!$AD$3:$AD$895))</f>
        <v>46142</v>
      </c>
      <c r="G62" s="460">
        <f>IF(B62="","",_xlfn.XLOOKUP(B62,'MIS 2026'!$AA$3:$AA$895,'MIS 2026'!$BM$3:$BM$895))</f>
        <v>46152</v>
      </c>
      <c r="H62" s="460">
        <f>IF(B62="","",_xlfn.XLOOKUP(B62,'MIS 2026'!$AA$3:$AA$895,'MIS 2026'!$BO$3:$BO$895))</f>
        <v>46180</v>
      </c>
      <c r="I62" s="458" t="str">
        <f>IF(B62="","",_xlfn.XLOOKUP(B62,'MIS 2026'!$AA$3:$AA$895,'MIS 2026'!$I$3:$I$895))</f>
        <v>IVC</v>
      </c>
      <c r="J62" s="458" t="str">
        <f>IF(B62="","",_xlfn.XLOOKUP(B62,'MIS 2026'!$AA$3:$AA$895,'MIS 2026'!$P$3:$P$895))</f>
        <v>OBL in Transit with Nego Docs - INDIA</v>
      </c>
      <c r="K62" s="458" t="str">
        <f>IF(B62="","",_xlfn.XLOOKUP(B62,'MIS 2026'!$AA$3:$AA$895,'MIS 2026'!$R$3:$R$895))</f>
        <v>CERTS in Destination - INDIA</v>
      </c>
      <c r="L62" s="458" t="str">
        <f>IF(B62="","",_xlfn.XLOOKUP(B62,'MIS 2026'!$AA$3:$AA$895,'MIS 2026'!$S$3:$S$895))</f>
        <v>Docs in Transit to Buyer's Nego Bank</v>
      </c>
    </row>
    <row r="63" spans="1:12" ht="14.45">
      <c r="A63" s="454" t="str">
        <f>IF(B63="","",_xlfn.XLOOKUP(B63,'MIS 2026'!$AA$3:$AA$895,'MIS 2026'!$A$3:$A$895))</f>
        <v>SI Sent, Shipment Awaited</v>
      </c>
      <c r="B63" s="458">
        <v>32016364</v>
      </c>
      <c r="C63" s="459" t="str">
        <f>IF(B63="","",_xlfn.XLOOKUP(B63,'MIS 2026'!$AA$3:$AA$895,'MIS 2026'!$AB$3:$AB$895))</f>
        <v>HOANG SON I JOINT STOCK COMPANY LIMITED</v>
      </c>
      <c r="D63" s="459" t="str">
        <f>IF(B63="","",_xlfn.XLOOKUP(B63,'MIS 2026'!$AA$3:$AA$895,'MIS 2026'!$W$3:$W$895))</f>
        <v>SI PENDING</v>
      </c>
      <c r="E63" s="458">
        <f>IF(B63="","",_xlfn.XLOOKUP(B63,'MIS 2026'!$AA$3:$AA$895,'MIS 2026'!$BI$3:$BI$895))</f>
        <v>0</v>
      </c>
      <c r="F63" s="460">
        <f>IF(B63="","",_xlfn.XLOOKUP(B63,'MIS 2026'!$AA$3:$AA$895,'MIS 2026'!$AD$3:$AD$895))</f>
        <v>46203</v>
      </c>
      <c r="G63" s="460">
        <f>IF(B63="","",_xlfn.XLOOKUP(B63,'MIS 2026'!$AA$3:$AA$895,'MIS 2026'!$BM$3:$BM$895))</f>
        <v>0</v>
      </c>
      <c r="H63" s="460">
        <f>IF(B63="","",_xlfn.XLOOKUP(B63,'MIS 2026'!$AA$3:$AA$895,'MIS 2026'!$BO$3:$BO$895))</f>
        <v>0</v>
      </c>
      <c r="I63" s="458" t="str">
        <f>IF(B63="","",_xlfn.XLOOKUP(B63,'MIS 2026'!$AA$3:$AA$895,'MIS 2026'!$I$3:$I$895))</f>
        <v>IVC</v>
      </c>
      <c r="J63" s="458" t="str">
        <f>IF(B63="","",_xlfn.XLOOKUP(B63,'MIS 2026'!$AA$3:$AA$895,'MIS 2026'!$P$3:$P$895))</f>
        <v>No OBL Yet</v>
      </c>
      <c r="K63" s="458" t="str">
        <f>IF(B63="","",_xlfn.XLOOKUP(B63,'MIS 2026'!$AA$3:$AA$895,'MIS 2026'!$R$3:$R$895))</f>
        <v>No CERTS Yet</v>
      </c>
      <c r="L63" s="458">
        <f>IF(B63="","",_xlfn.XLOOKUP(B63,'MIS 2026'!$AA$3:$AA$895,'MIS 2026'!$S$3:$S$895))</f>
        <v>0</v>
      </c>
    </row>
    <row r="64" spans="1:12" ht="14.45">
      <c r="A64" s="454" t="e">
        <f>IF(B64="","",_xlfn.XLOOKUP(B64,'MIS 2026'!$AA$3:$AA$895,'MIS 2026'!$A$3:$A$895))</f>
        <v>#N/A</v>
      </c>
      <c r="B64" s="458">
        <v>0</v>
      </c>
      <c r="C64" s="459" t="e">
        <f>IF(B64="","",_xlfn.XLOOKUP(B64,'MIS 2026'!$AA$3:$AA$895,'MIS 2026'!$AB$3:$AB$895))</f>
        <v>#N/A</v>
      </c>
      <c r="D64" s="459" t="e">
        <f>IF(B64="","",_xlfn.XLOOKUP(B64,'MIS 2026'!$AA$3:$AA$895,'MIS 2026'!$W$3:$W$895))</f>
        <v>#N/A</v>
      </c>
      <c r="E64" s="458" t="e">
        <f>IF(B64="","",_xlfn.XLOOKUP(B64,'MIS 2026'!$AA$3:$AA$895,'MIS 2026'!$BI$3:$BI$895))</f>
        <v>#N/A</v>
      </c>
      <c r="F64" s="460" t="e">
        <f>IF(B64="","",_xlfn.XLOOKUP(B64,'MIS 2026'!$AA$3:$AA$895,'MIS 2026'!$AD$3:$AD$895))</f>
        <v>#N/A</v>
      </c>
      <c r="G64" s="460" t="e">
        <f>IF(B64="","",_xlfn.XLOOKUP(B64,'MIS 2026'!$AA$3:$AA$895,'MIS 2026'!$BM$3:$BM$895))</f>
        <v>#N/A</v>
      </c>
      <c r="H64" s="460" t="e">
        <f>IF(B64="","",_xlfn.XLOOKUP(B64,'MIS 2026'!$AA$3:$AA$895,'MIS 2026'!$BO$3:$BO$895))</f>
        <v>#N/A</v>
      </c>
      <c r="I64" s="458" t="e">
        <f>IF(B64="","",_xlfn.XLOOKUP(B64,'MIS 2026'!$AA$3:$AA$895,'MIS 2026'!$I$3:$I$895))</f>
        <v>#N/A</v>
      </c>
      <c r="J64" s="458" t="e">
        <f>IF(B64="","",_xlfn.XLOOKUP(B64,'MIS 2026'!$AA$3:$AA$895,'MIS 2026'!$P$3:$P$895))</f>
        <v>#N/A</v>
      </c>
      <c r="K64" s="458" t="e">
        <f>IF(B64="","",_xlfn.XLOOKUP(B64,'MIS 2026'!$AA$3:$AA$895,'MIS 2026'!$R$3:$R$895))</f>
        <v>#N/A</v>
      </c>
      <c r="L64" s="458" t="e">
        <f>IF(B64="","",_xlfn.XLOOKUP(B64,'MIS 2026'!$AA$3:$AA$895,'MIS 2026'!$S$3:$S$895))</f>
        <v>#N/A</v>
      </c>
    </row>
    <row r="65" spans="1:12" ht="14.45">
      <c r="A65" s="454" t="str">
        <f>IF(B65="","",_xlfn.XLOOKUP(B65,'MIS 2026'!$AA$3:$AA$895,'MIS 2026'!$A$3:$A$895))</f>
        <v>Sailed, OBL &amp; Certs Pending</v>
      </c>
      <c r="B65" s="458" t="str">
        <v>TBA 16</v>
      </c>
      <c r="C65" s="459" t="str">
        <f>IF(B65="","",_xlfn.XLOOKUP(B65,'MIS 2026'!$AA$3:$AA$895,'MIS 2026'!$AB$3:$AB$895))</f>
        <v>VALENCY AGRO UNSOLD</v>
      </c>
      <c r="D65" s="459" t="str">
        <f>IF(B65="","",_xlfn.XLOOKUP(B65,'MIS 2026'!$AA$3:$AA$895,'MIS 2026'!$W$3:$W$895))</f>
        <v>NTT - AGRO UNSOLD ETA:26/6</v>
      </c>
      <c r="E65" s="458">
        <f>IF(B65="","",_xlfn.XLOOKUP(B65,'MIS 2026'!$AA$3:$AA$895,'MIS 2026'!$BI$3:$BI$895))</f>
        <v>270340532</v>
      </c>
      <c r="F65" s="460">
        <f>IF(B65="","",_xlfn.XLOOKUP(B65,'MIS 2026'!$AA$3:$AA$895,'MIS 2026'!$AD$3:$AD$895))</f>
        <v>46173</v>
      </c>
      <c r="G65" s="460">
        <f>IF(B65="","",_xlfn.XLOOKUP(B65,'MIS 2026'!$AA$3:$AA$895,'MIS 2026'!$BM$3:$BM$895))</f>
        <v>46167</v>
      </c>
      <c r="H65" s="460">
        <f>IF(B65="","",_xlfn.XLOOKUP(B65,'MIS 2026'!$AA$3:$AA$895,'MIS 2026'!$BO$3:$BO$895))</f>
        <v>46199</v>
      </c>
      <c r="I65" s="458" t="str">
        <f>IF(B65="","",_xlfn.XLOOKUP(B65,'MIS 2026'!$AA$3:$AA$895,'MIS 2026'!$I$3:$I$895))</f>
        <v>BURKINA FASO</v>
      </c>
      <c r="J65" s="458" t="str">
        <f>IF(B65="","",_xlfn.XLOOKUP(B65,'MIS 2026'!$AA$3:$AA$895,'MIS 2026'!$P$3:$P$895))</f>
        <v>Draft Rcvd</v>
      </c>
      <c r="K65" s="458" t="str">
        <f>IF(B65="","",_xlfn.XLOOKUP(B65,'MIS 2026'!$AA$3:$AA$895,'MIS 2026'!$R$3:$R$895))</f>
        <v>No CERTS Yet</v>
      </c>
      <c r="L65" s="458" t="str">
        <f>IF(B65="","",_xlfn.XLOOKUP(B65,'MIS 2026'!$AA$3:$AA$895,'MIS 2026'!$S$3:$S$895))</f>
        <v/>
      </c>
    </row>
    <row r="66" spans="1:12" ht="14.45">
      <c r="A66" s="454" t="str">
        <f>IF(B66="","",_xlfn.XLOOKUP(B66,'MIS 2026'!$AA$3:$AA$895,'MIS 2026'!$A$3:$A$895))</f>
        <v>SI Sent, Shipment Awaited</v>
      </c>
      <c r="B66" s="458">
        <v>32016412</v>
      </c>
      <c r="C66" s="459" t="str">
        <f>IF(B66="","",_xlfn.XLOOKUP(B66,'MIS 2026'!$AA$3:$AA$895,'MIS 2026'!$AB$3:$AB$895))</f>
        <v>TERRA NUTS GROUP JOINT STOCK COMPANY</v>
      </c>
      <c r="D66" s="459" t="str">
        <f>IF(B66="","",_xlfn.XLOOKUP(B66,'MIS 2026'!$AA$3:$AA$895,'MIS 2026'!$W$3:$W$895))</f>
        <v>PENDING ADVANCE</v>
      </c>
      <c r="E66" s="458">
        <f>IF(B66="","",_xlfn.XLOOKUP(B66,'MIS 2026'!$AA$3:$AA$895,'MIS 2026'!$BI$3:$BI$895))</f>
        <v>0</v>
      </c>
      <c r="F66" s="460">
        <f>IF(B66="","",_xlfn.XLOOKUP(B66,'MIS 2026'!$AA$3:$AA$895,'MIS 2026'!$AD$3:$AD$895))</f>
        <v>46203</v>
      </c>
      <c r="G66" s="460">
        <f>IF(B66="","",_xlfn.XLOOKUP(B66,'MIS 2026'!$AA$3:$AA$895,'MIS 2026'!$BM$3:$BM$895))</f>
        <v>0</v>
      </c>
      <c r="H66" s="460">
        <f>IF(B66="","",_xlfn.XLOOKUP(B66,'MIS 2026'!$AA$3:$AA$895,'MIS 2026'!$BO$3:$BO$895))</f>
        <v>0</v>
      </c>
      <c r="I66" s="458" t="str">
        <f>IF(B66="","",_xlfn.XLOOKUP(B66,'MIS 2026'!$AA$3:$AA$895,'MIS 2026'!$I$3:$I$895))</f>
        <v>IVC</v>
      </c>
      <c r="J66" s="458" t="str">
        <f>IF(B66="","",_xlfn.XLOOKUP(B66,'MIS 2026'!$AA$3:$AA$895,'MIS 2026'!$P$3:$P$895))</f>
        <v>No OBL Yet</v>
      </c>
      <c r="K66" s="458" t="str">
        <f>IF(B66="","",_xlfn.XLOOKUP(B66,'MIS 2026'!$AA$3:$AA$895,'MIS 2026'!$R$3:$R$895))</f>
        <v>No CERTS Yet</v>
      </c>
      <c r="L66" s="458">
        <f>IF(B66="","",_xlfn.XLOOKUP(B66,'MIS 2026'!$AA$3:$AA$895,'MIS 2026'!$S$3:$S$895))</f>
        <v>0</v>
      </c>
    </row>
    <row r="67" spans="1:12" ht="14.45">
      <c r="A67" s="454" t="str">
        <f>IF(B67="","",_xlfn.XLOOKUP(B67,'MIS 2026'!$AA$3:$AA$895,'MIS 2026'!$A$3:$A$895))</f>
        <v>Stuffed, Yet to Sail</v>
      </c>
      <c r="B67" s="458">
        <v>32016404</v>
      </c>
      <c r="C67" s="459" t="str">
        <f>IF(B67="","",_xlfn.XLOOKUP(B67,'MIS 2026'!$AA$3:$AA$895,'MIS 2026'!$AB$3:$AB$895))</f>
        <v>BACH HY ONE MEMBER COMPANY LTD</v>
      </c>
      <c r="D67" s="459" t="str">
        <f>IF(B67="","",_xlfn.XLOOKUP(B67,'MIS 2026'!$AA$3:$AA$895,'MIS 2026'!$W$3:$W$895))</f>
        <v>2 BL,S WILL BE COMBINED</v>
      </c>
      <c r="E67" s="458" t="str">
        <f>IF(B67="","",_xlfn.XLOOKUP(B67,'MIS 2026'!$AA$3:$AA$895,'MIS 2026'!$BI$3:$BI$895))</f>
        <v>MEDUCN102743</v>
      </c>
      <c r="F67" s="460">
        <f>IF(B67="","",_xlfn.XLOOKUP(B67,'MIS 2026'!$AA$3:$AA$895,'MIS 2026'!$AD$3:$AD$895))</f>
        <v>46203</v>
      </c>
      <c r="G67" s="460">
        <f>IF(B67="","",_xlfn.XLOOKUP(B67,'MIS 2026'!$AA$3:$AA$895,'MIS 2026'!$BM$3:$BM$895))</f>
        <v>0</v>
      </c>
      <c r="H67" s="460">
        <f>IF(B67="","",_xlfn.XLOOKUP(B67,'MIS 2026'!$AA$3:$AA$895,'MIS 2026'!$BO$3:$BO$895))</f>
        <v>0</v>
      </c>
      <c r="I67" s="458" t="str">
        <f>IF(B67="","",_xlfn.XLOOKUP(B67,'MIS 2026'!$AA$3:$AA$895,'MIS 2026'!$I$3:$I$895))</f>
        <v>GUINEA CONAKRY-BOKE</v>
      </c>
      <c r="J67" s="458" t="str">
        <f>IF(B67="","",_xlfn.XLOOKUP(B67,'MIS 2026'!$AA$3:$AA$895,'MIS 2026'!$P$3:$P$895))</f>
        <v>No OBL Yet</v>
      </c>
      <c r="K67" s="458" t="str">
        <f>IF(B67="","",_xlfn.XLOOKUP(B67,'MIS 2026'!$AA$3:$AA$895,'MIS 2026'!$R$3:$R$895))</f>
        <v>No CERTS Yet</v>
      </c>
      <c r="L67" s="458" t="str">
        <f>IF(B67="","",_xlfn.XLOOKUP(B67,'MIS 2026'!$AA$3:$AA$895,'MIS 2026'!$S$3:$S$895))</f>
        <v/>
      </c>
    </row>
    <row r="68" spans="1:12" ht="14.45">
      <c r="A68" s="454" t="str">
        <f>IF(B68="","",_xlfn.XLOOKUP(B68,'MIS 2026'!$AA$3:$AA$895,'MIS 2026'!$A$3:$A$895))</f>
        <v>SI Sent, Shipment Awaited</v>
      </c>
      <c r="B68" s="458" t="str">
        <v>RCN/2026/1003</v>
      </c>
      <c r="C68" s="459" t="str">
        <f>IF(B68="","",_xlfn.XLOOKUP(B68,'MIS 2026'!$AA$3:$AA$895,'MIS 2026'!$AB$3:$AB$895))</f>
        <v>INTERSNACK CASHEW COMPANY PTE LTD</v>
      </c>
      <c r="D68" s="459" t="str">
        <f>IF(B68="","",_xlfn.XLOOKUP(B68,'MIS 2026'!$AA$3:$AA$895,'MIS 2026'!$W$3:$W$895))</f>
        <v>MANUAL CONTRACT ISSUED-KYC PENDING</v>
      </c>
      <c r="E68" s="458">
        <f>IF(B68="","",_xlfn.XLOOKUP(B68,'MIS 2026'!$AA$3:$AA$895,'MIS 2026'!$BI$3:$BI$895))</f>
        <v>0</v>
      </c>
      <c r="F68" s="460">
        <f>IF(B68="","",_xlfn.XLOOKUP(B68,'MIS 2026'!$AA$3:$AA$895,'MIS 2026'!$AD$3:$AD$895))</f>
        <v>46218</v>
      </c>
      <c r="G68" s="460">
        <f>IF(B68="","",_xlfn.XLOOKUP(B68,'MIS 2026'!$AA$3:$AA$895,'MIS 2026'!$BM$3:$BM$895))</f>
        <v>0</v>
      </c>
      <c r="H68" s="460">
        <f>IF(B68="","",_xlfn.XLOOKUP(B68,'MIS 2026'!$AA$3:$AA$895,'MIS 2026'!$BO$3:$BO$895))</f>
        <v>0</v>
      </c>
      <c r="I68" s="458" t="str">
        <f>IF(B68="","",_xlfn.XLOOKUP(B68,'MIS 2026'!$AA$3:$AA$895,'MIS 2026'!$I$3:$I$895))</f>
        <v>BISSAU</v>
      </c>
      <c r="J68" s="458" t="str">
        <f>IF(B68="","",_xlfn.XLOOKUP(B68,'MIS 2026'!$AA$3:$AA$895,'MIS 2026'!$P$3:$P$895))</f>
        <v>No OBL Yet</v>
      </c>
      <c r="K68" s="458" t="str">
        <f>IF(B68="","",_xlfn.XLOOKUP(B68,'MIS 2026'!$AA$3:$AA$895,'MIS 2026'!$R$3:$R$895))</f>
        <v>No CERTS Yet</v>
      </c>
      <c r="L68" s="458" t="str">
        <f>IF(B68="","",_xlfn.XLOOKUP(B68,'MIS 2026'!$AA$3:$AA$895,'MIS 2026'!$S$3:$S$895))</f>
        <v/>
      </c>
    </row>
    <row r="69" spans="1:12" ht="14.45">
      <c r="A69" s="454" t="str">
        <f>IF(B69="","",_xlfn.XLOOKUP(B69,'MIS 2026'!$AA$3:$AA$895,'MIS 2026'!$A$3:$A$895))</f>
        <v>SI Sent, Shipment Awaited</v>
      </c>
      <c r="B69" s="458">
        <v>32016367</v>
      </c>
      <c r="C69" s="459" t="str">
        <f>IF(B69="","",_xlfn.XLOOKUP(B69,'MIS 2026'!$AA$3:$AA$895,'MIS 2026'!$AB$3:$AB$895))</f>
        <v>SHREE KRISHNAANUGRAHA AGRO PRIVATE LIMITED</v>
      </c>
      <c r="D69" s="459" t="str">
        <f>IF(B69="","",_xlfn.XLOOKUP(B69,'MIS 2026'!$AA$3:$AA$895,'MIS 2026'!$W$3:$W$895))</f>
        <v>PENDING ADVANCE (19/5)</v>
      </c>
      <c r="E69" s="458">
        <f>IF(B69="","",_xlfn.XLOOKUP(B69,'MIS 2026'!$AA$3:$AA$895,'MIS 2026'!$BI$3:$BI$895))</f>
        <v>0</v>
      </c>
      <c r="F69" s="460">
        <f>IF(B69="","",_xlfn.XLOOKUP(B69,'MIS 2026'!$AA$3:$AA$895,'MIS 2026'!$AD$3:$AD$895))</f>
        <v>46234</v>
      </c>
      <c r="G69" s="460">
        <f>IF(B69="","",_xlfn.XLOOKUP(B69,'MIS 2026'!$AA$3:$AA$895,'MIS 2026'!$BM$3:$BM$895))</f>
        <v>0</v>
      </c>
      <c r="H69" s="460">
        <f>IF(B69="","",_xlfn.XLOOKUP(B69,'MIS 2026'!$AA$3:$AA$895,'MIS 2026'!$BO$3:$BO$895))</f>
        <v>0</v>
      </c>
      <c r="I69" s="458" t="str">
        <f>IF(B69="","",_xlfn.XLOOKUP(B69,'MIS 2026'!$AA$3:$AA$895,'MIS 2026'!$I$3:$I$895))</f>
        <v>BISSAU</v>
      </c>
      <c r="J69" s="458" t="str">
        <f>IF(B69="","",_xlfn.XLOOKUP(B69,'MIS 2026'!$AA$3:$AA$895,'MIS 2026'!$P$3:$P$895))</f>
        <v>No OBL Yet</v>
      </c>
      <c r="K69" s="458" t="str">
        <f>IF(B69="","",_xlfn.XLOOKUP(B69,'MIS 2026'!$AA$3:$AA$895,'MIS 2026'!$R$3:$R$895))</f>
        <v>No CERTS Yet</v>
      </c>
      <c r="L69" s="458" t="str">
        <f>IF(B69="","",_xlfn.XLOOKUP(B69,'MIS 2026'!$AA$3:$AA$895,'MIS 2026'!$S$3:$S$895))</f>
        <v/>
      </c>
    </row>
    <row r="70" spans="1:12" ht="14.45">
      <c r="A70" s="454" t="str">
        <f>IF(B70="","",_xlfn.XLOOKUP(B70,'MIS 2026'!$AA$3:$AA$895,'MIS 2026'!$A$3:$A$895))</f>
        <v>SI Sent, Shipment Awaited</v>
      </c>
      <c r="B70" s="458">
        <v>32016368</v>
      </c>
      <c r="C70" s="459" t="str">
        <f>IF(B70="","",_xlfn.XLOOKUP(B70,'MIS 2026'!$AA$3:$AA$895,'MIS 2026'!$AB$3:$AB$895))</f>
        <v>SHREE KRISHNAKRUPA CASHEWS PVT LTD</v>
      </c>
      <c r="D70" s="459" t="str">
        <f>IF(B70="","",_xlfn.XLOOKUP(B70,'MIS 2026'!$AA$3:$AA$895,'MIS 2026'!$W$3:$W$895))</f>
        <v>PENDING ADVANCE (18/5)</v>
      </c>
      <c r="E70" s="458">
        <f>IF(B70="","",_xlfn.XLOOKUP(B70,'MIS 2026'!$AA$3:$AA$895,'MIS 2026'!$BI$3:$BI$895))</f>
        <v>0</v>
      </c>
      <c r="F70" s="460">
        <f>IF(B70="","",_xlfn.XLOOKUP(B70,'MIS 2026'!$AA$3:$AA$895,'MIS 2026'!$AD$3:$AD$895))</f>
        <v>46234</v>
      </c>
      <c r="G70" s="460">
        <f>IF(B70="","",_xlfn.XLOOKUP(B70,'MIS 2026'!$AA$3:$AA$895,'MIS 2026'!$BM$3:$BM$895))</f>
        <v>0</v>
      </c>
      <c r="H70" s="460">
        <f>IF(B70="","",_xlfn.XLOOKUP(B70,'MIS 2026'!$AA$3:$AA$895,'MIS 2026'!$BO$3:$BO$895))</f>
        <v>0</v>
      </c>
      <c r="I70" s="458" t="str">
        <f>IF(B70="","",_xlfn.XLOOKUP(B70,'MIS 2026'!$AA$3:$AA$895,'MIS 2026'!$I$3:$I$895))</f>
        <v>BISSAU</v>
      </c>
      <c r="J70" s="458" t="str">
        <f>IF(B70="","",_xlfn.XLOOKUP(B70,'MIS 2026'!$AA$3:$AA$895,'MIS 2026'!$P$3:$P$895))</f>
        <v>No OBL Yet</v>
      </c>
      <c r="K70" s="458" t="str">
        <f>IF(B70="","",_xlfn.XLOOKUP(B70,'MIS 2026'!$AA$3:$AA$895,'MIS 2026'!$R$3:$R$895))</f>
        <v>No CERTS Yet</v>
      </c>
      <c r="L70" s="458" t="str">
        <f>IF(B70="","",_xlfn.XLOOKUP(B70,'MIS 2026'!$AA$3:$AA$895,'MIS 2026'!$S$3:$S$895))</f>
        <v/>
      </c>
    </row>
    <row r="71" spans="1:12" ht="14.45">
      <c r="A71" s="454" t="str">
        <f>IF(B71="","",_xlfn.XLOOKUP(B71,'MIS 2026'!$AA$3:$AA$895,'MIS 2026'!$A$3:$A$895))</f>
        <v>SI Sent, Shipment Awaited</v>
      </c>
      <c r="B71" s="458">
        <v>32016393</v>
      </c>
      <c r="C71" s="459" t="str">
        <f>IF(B71="","",_xlfn.XLOOKUP(B71,'MIS 2026'!$AA$3:$AA$895,'MIS 2026'!$AB$3:$AB$895))</f>
        <v>SRI NIVAS INDUSTRIES</v>
      </c>
      <c r="D71" s="459" t="str">
        <f>IF(B71="","",_xlfn.XLOOKUP(B71,'MIS 2026'!$AA$3:$AA$895,'MIS 2026'!$W$3:$W$895))</f>
        <v>PENDING ADVANCE (19/5)</v>
      </c>
      <c r="E71" s="458">
        <f>IF(B71="","",_xlfn.XLOOKUP(B71,'MIS 2026'!$AA$3:$AA$895,'MIS 2026'!$BI$3:$BI$895))</f>
        <v>0</v>
      </c>
      <c r="F71" s="460">
        <f>IF(B71="","",_xlfn.XLOOKUP(B71,'MIS 2026'!$AA$3:$AA$895,'MIS 2026'!$AD$3:$AD$895))</f>
        <v>46234</v>
      </c>
      <c r="G71" s="460">
        <f>IF(B71="","",_xlfn.XLOOKUP(B71,'MIS 2026'!$AA$3:$AA$895,'MIS 2026'!$BM$3:$BM$895))</f>
        <v>0</v>
      </c>
      <c r="H71" s="460">
        <f>IF(B71="","",_xlfn.XLOOKUP(B71,'MIS 2026'!$AA$3:$AA$895,'MIS 2026'!$BO$3:$BO$895))</f>
        <v>0</v>
      </c>
      <c r="I71" s="458" t="str">
        <f>IF(B71="","",_xlfn.XLOOKUP(B71,'MIS 2026'!$AA$3:$AA$895,'MIS 2026'!$I$3:$I$895))</f>
        <v>BISSAU</v>
      </c>
      <c r="J71" s="458" t="str">
        <f>IF(B71="","",_xlfn.XLOOKUP(B71,'MIS 2026'!$AA$3:$AA$895,'MIS 2026'!$P$3:$P$895))</f>
        <v>No OBL Yet</v>
      </c>
      <c r="K71" s="458" t="str">
        <f>IF(B71="","",_xlfn.XLOOKUP(B71,'MIS 2026'!$AA$3:$AA$895,'MIS 2026'!$R$3:$R$895))</f>
        <v>No CERTS Yet</v>
      </c>
      <c r="L71" s="458" t="str">
        <f>IF(B71="","",_xlfn.XLOOKUP(B71,'MIS 2026'!$AA$3:$AA$895,'MIS 2026'!$S$3:$S$895))</f>
        <v/>
      </c>
    </row>
    <row r="72" spans="1:12" ht="14.45">
      <c r="A72" s="454" t="str">
        <f>IF(B72="","",_xlfn.XLOOKUP(B72,'MIS 2026'!$AA$3:$AA$895,'MIS 2026'!$A$3:$A$895))</f>
        <v>SI Sent, Shipment Awaited</v>
      </c>
      <c r="B72" s="458" t="str">
        <v>RCN/2026/1002</v>
      </c>
      <c r="C72" s="459" t="str">
        <f>IF(B72="","",_xlfn.XLOOKUP(B72,'MIS 2026'!$AA$3:$AA$895,'MIS 2026'!$AB$3:$AB$895))</f>
        <v>Xuan Teo Co</v>
      </c>
      <c r="D72" s="459" t="str">
        <f>IF(B72="","",_xlfn.XLOOKUP(B72,'MIS 2026'!$AA$3:$AA$895,'MIS 2026'!$W$3:$W$895))</f>
        <v>ADVANCE RCVD 18/5-KYC IN PROCESS</v>
      </c>
      <c r="E72" s="458">
        <f>IF(B72="","",_xlfn.XLOOKUP(B72,'MIS 2026'!$AA$3:$AA$895,'MIS 2026'!$BI$3:$BI$895))</f>
        <v>0</v>
      </c>
      <c r="F72" s="460">
        <f>IF(B72="","",_xlfn.XLOOKUP(B72,'MIS 2026'!$AA$3:$AA$895,'MIS 2026'!$AD$3:$AD$895))</f>
        <v>46234</v>
      </c>
      <c r="G72" s="460">
        <f>IF(B72="","",_xlfn.XLOOKUP(B72,'MIS 2026'!$AA$3:$AA$895,'MIS 2026'!$BM$3:$BM$895))</f>
        <v>0</v>
      </c>
      <c r="H72" s="460">
        <f>IF(B72="","",_xlfn.XLOOKUP(B72,'MIS 2026'!$AA$3:$AA$895,'MIS 2026'!$BO$3:$BO$895))</f>
        <v>0</v>
      </c>
      <c r="I72" s="458" t="str">
        <f>IF(B72="","",_xlfn.XLOOKUP(B72,'MIS 2026'!$AA$3:$AA$895,'MIS 2026'!$I$3:$I$895))</f>
        <v>IVC</v>
      </c>
      <c r="J72" s="458" t="str">
        <f>IF(B72="","",_xlfn.XLOOKUP(B72,'MIS 2026'!$AA$3:$AA$895,'MIS 2026'!$P$3:$P$895))</f>
        <v>No OBL Yet</v>
      </c>
      <c r="K72" s="458" t="str">
        <f>IF(B72="","",_xlfn.XLOOKUP(B72,'MIS 2026'!$AA$3:$AA$895,'MIS 2026'!$R$3:$R$895))</f>
        <v>No CERTS Yet</v>
      </c>
      <c r="L72" s="458">
        <f>IF(B72="","",_xlfn.XLOOKUP(B72,'MIS 2026'!$AA$3:$AA$895,'MIS 2026'!$S$3:$S$895))</f>
        <v>0</v>
      </c>
    </row>
    <row r="73" spans="1:12" ht="14.45">
      <c r="A73" s="454" t="str">
        <f>IF(B73="","",_xlfn.XLOOKUP(B73,'MIS 2026'!$AA$3:$AA$895,'MIS 2026'!$A$3:$A$895))</f>
        <v>SI Sent, Shipment Awaited</v>
      </c>
      <c r="B73" s="458" t="str">
        <v>RCN/2026/1001</v>
      </c>
      <c r="C73" s="459" t="str">
        <f>IF(B73="","",_xlfn.XLOOKUP(B73,'MIS 2026'!$AA$3:$AA$895,'MIS 2026'!$AB$3:$AB$895))</f>
        <v xml:space="preserve">Xuan Teo Co </v>
      </c>
      <c r="D73" s="459" t="str">
        <f>IF(B73="","",_xlfn.XLOOKUP(B73,'MIS 2026'!$AA$3:$AA$895,'MIS 2026'!$W$3:$W$895))</f>
        <v>ADVC RCVD 20/5-KYC IN PROCESS</v>
      </c>
      <c r="E73" s="458">
        <f>IF(B73="","",_xlfn.XLOOKUP(B73,'MIS 2026'!$AA$3:$AA$895,'MIS 2026'!$BI$3:$BI$895))</f>
        <v>0</v>
      </c>
      <c r="F73" s="460">
        <f>IF(B73="","",_xlfn.XLOOKUP(B73,'MIS 2026'!$AA$3:$AA$895,'MIS 2026'!$AD$3:$AD$895))</f>
        <v>46234</v>
      </c>
      <c r="G73" s="460">
        <f>IF(B73="","",_xlfn.XLOOKUP(B73,'MIS 2026'!$AA$3:$AA$895,'MIS 2026'!$BM$3:$BM$895))</f>
        <v>0</v>
      </c>
      <c r="H73" s="460">
        <f>IF(B73="","",_xlfn.XLOOKUP(B73,'MIS 2026'!$AA$3:$AA$895,'MIS 2026'!$BO$3:$BO$895))</f>
        <v>0</v>
      </c>
      <c r="I73" s="458" t="str">
        <f>IF(B73="","",_xlfn.XLOOKUP(B73,'MIS 2026'!$AA$3:$AA$895,'MIS 2026'!$I$3:$I$895))</f>
        <v>IVC</v>
      </c>
      <c r="J73" s="458">
        <f>IF(B73="","",_xlfn.XLOOKUP(B73,'MIS 2026'!$AA$3:$AA$895,'MIS 2026'!$P$3:$P$895))</f>
        <v>0</v>
      </c>
      <c r="K73" s="458" t="str">
        <f>IF(B73="","",_xlfn.XLOOKUP(B73,'MIS 2026'!$AA$3:$AA$895,'MIS 2026'!$R$3:$R$895))</f>
        <v>No CERTS Yet</v>
      </c>
      <c r="L73" s="458">
        <f>IF(B73="","",_xlfn.XLOOKUP(B73,'MIS 2026'!$AA$3:$AA$895,'MIS 2026'!$S$3:$S$895))</f>
        <v>0</v>
      </c>
    </row>
    <row r="74" spans="1:12" ht="14.45">
      <c r="A74" s="454" t="str">
        <f>IF(B74="","",_xlfn.XLOOKUP(B74,'MIS 2026'!$AA$3:$AA$895,'MIS 2026'!$A$3:$A$895))</f>
        <v>Sailed, OBL &amp; Certs Pending</v>
      </c>
      <c r="B74" s="458" t="str">
        <v>32015969-4</v>
      </c>
      <c r="C74" s="459" t="str">
        <f>IF(B74="","",_xlfn.XLOOKUP(B74,'MIS 2026'!$AA$3:$AA$895,'MIS 2026'!$AB$3:$AB$895))</f>
        <v>Valency Agro (Processing)</v>
      </c>
      <c r="D74" s="459" t="str">
        <f>IF(B74="","",_xlfn.XLOOKUP(B74,'MIS 2026'!$AA$3:$AA$895,'MIS 2026'!$W$3:$W$895))</f>
        <v>DRAFT BL RCVD 26/5 SENT TO INDIA TEAM</v>
      </c>
      <c r="E74" s="458">
        <f>IF(B74="","",_xlfn.XLOOKUP(B74,'MIS 2026'!$AA$3:$AA$895,'MIS 2026'!$BI$3:$BI$895))</f>
        <v>268584744</v>
      </c>
      <c r="F74" s="460">
        <f>IF(B74="","",_xlfn.XLOOKUP(B74,'MIS 2026'!$AA$3:$AA$895,'MIS 2026'!$AD$3:$AD$895))</f>
        <v>46142</v>
      </c>
      <c r="G74" s="460">
        <f>IF(B74="","",_xlfn.XLOOKUP(B74,'MIS 2026'!$AA$3:$AA$895,'MIS 2026'!$BM$3:$BM$895))</f>
        <v>46172</v>
      </c>
      <c r="H74" s="460">
        <f>IF(B74="","",_xlfn.XLOOKUP(B74,'MIS 2026'!$AA$3:$AA$895,'MIS 2026'!$BO$3:$BO$895))</f>
        <v>46193</v>
      </c>
      <c r="I74" s="458" t="str">
        <f>IF(B74="","",_xlfn.XLOOKUP(B74,'MIS 2026'!$AA$3:$AA$895,'MIS 2026'!$I$3:$I$895))</f>
        <v>IVC</v>
      </c>
      <c r="J74" s="458" t="str">
        <f>IF(B74="","",_xlfn.XLOOKUP(B74,'MIS 2026'!$AA$3:$AA$895,'MIS 2026'!$P$3:$P$895))</f>
        <v>Draft Rcvd</v>
      </c>
      <c r="K74" s="458" t="str">
        <f>IF(B74="","",_xlfn.XLOOKUP(B74,'MIS 2026'!$AA$3:$AA$895,'MIS 2026'!$R$3:$R$895))</f>
        <v>No CERTS Yet</v>
      </c>
      <c r="L74" s="458" t="str">
        <f>IF(B74="","",_xlfn.XLOOKUP(B74,'MIS 2026'!$AA$3:$AA$895,'MIS 2026'!$S$3:$S$895))</f>
        <v/>
      </c>
    </row>
    <row r="75" spans="1:12" ht="14.45">
      <c r="A75" s="454" t="str">
        <f>IF(B75="","",_xlfn.XLOOKUP(B75,'MIS 2026'!$AA$3:$AA$895,'MIS 2026'!$A$3:$A$895))</f>
        <v>Sailed, OBL &amp; Certs Pending</v>
      </c>
      <c r="B75" s="458" t="str">
        <v>32015969-1</v>
      </c>
      <c r="C75" s="459" t="str">
        <f>IF(B75="","",_xlfn.XLOOKUP(B75,'MIS 2026'!$AA$3:$AA$895,'MIS 2026'!$AB$3:$AB$895))</f>
        <v>Valency Agro (Processing)</v>
      </c>
      <c r="D75" s="459" t="str">
        <f>IF(B75="","",_xlfn.XLOOKUP(B75,'MIS 2026'!$AA$3:$AA$895,'MIS 2026'!$W$3:$W$895))</f>
        <v>DRAFT BL RCVD 21/5 SENT TO INDIA TEAM</v>
      </c>
      <c r="E75" s="458">
        <f>IF(B75="","",_xlfn.XLOOKUP(B75,'MIS 2026'!$AA$3:$AA$895,'MIS 2026'!$BI$3:$BI$895))</f>
        <v>268586303</v>
      </c>
      <c r="F75" s="460">
        <f>IF(B75="","",_xlfn.XLOOKUP(B75,'MIS 2026'!$AA$3:$AA$895,'MIS 2026'!$AD$3:$AD$895))</f>
        <v>46142</v>
      </c>
      <c r="G75" s="460">
        <f>IF(B75="","",_xlfn.XLOOKUP(B75,'MIS 2026'!$AA$3:$AA$895,'MIS 2026'!$BM$3:$BM$895))</f>
        <v>46172</v>
      </c>
      <c r="H75" s="460">
        <f>IF(B75="","",_xlfn.XLOOKUP(B75,'MIS 2026'!$AA$3:$AA$895,'MIS 2026'!$BO$3:$BO$895))</f>
        <v>46193</v>
      </c>
      <c r="I75" s="458" t="str">
        <f>IF(B75="","",_xlfn.XLOOKUP(B75,'MIS 2026'!$AA$3:$AA$895,'MIS 2026'!$I$3:$I$895))</f>
        <v>IVC</v>
      </c>
      <c r="J75" s="458" t="str">
        <f>IF(B75="","",_xlfn.XLOOKUP(B75,'MIS 2026'!$AA$3:$AA$895,'MIS 2026'!$P$3:$P$895))</f>
        <v>Draft Rcvd</v>
      </c>
      <c r="K75" s="458" t="str">
        <f>IF(B75="","",_xlfn.XLOOKUP(B75,'MIS 2026'!$AA$3:$AA$895,'MIS 2026'!$R$3:$R$895))</f>
        <v>No CERTS Yet</v>
      </c>
      <c r="L75" s="458" t="str">
        <f>IF(B75="","",_xlfn.XLOOKUP(B75,'MIS 2026'!$AA$3:$AA$895,'MIS 2026'!$S$3:$S$895))</f>
        <v/>
      </c>
    </row>
    <row r="76" spans="1:12" ht="14.45">
      <c r="A76" s="454" t="str">
        <f>IF(B76="","",_xlfn.XLOOKUP(B76,'MIS 2026'!$AA$3:$AA$895,'MIS 2026'!$A$3:$A$895))</f>
        <v>Sailed, OBL &amp; Certs Pending</v>
      </c>
      <c r="B76" s="458" t="str">
        <v>32015969-2</v>
      </c>
      <c r="C76" s="459" t="str">
        <f>IF(B76="","",_xlfn.XLOOKUP(B76,'MIS 2026'!$AA$3:$AA$895,'MIS 2026'!$AB$3:$AB$895))</f>
        <v>Valency Agro (Processing)</v>
      </c>
      <c r="D76" s="459" t="str">
        <f>IF(B76="","",_xlfn.XLOOKUP(B76,'MIS 2026'!$AA$3:$AA$895,'MIS 2026'!$W$3:$W$895))</f>
        <v>DRAFT BL RCVD 21/5 SENT TO INDIA TEAM</v>
      </c>
      <c r="E76" s="458">
        <f>IF(B76="","",_xlfn.XLOOKUP(B76,'MIS 2026'!$AA$3:$AA$895,'MIS 2026'!$BI$3:$BI$895))</f>
        <v>268589748</v>
      </c>
      <c r="F76" s="460">
        <f>IF(B76="","",_xlfn.XLOOKUP(B76,'MIS 2026'!$AA$3:$AA$895,'MIS 2026'!$AD$3:$AD$895))</f>
        <v>46142</v>
      </c>
      <c r="G76" s="460">
        <f>IF(B76="","",_xlfn.XLOOKUP(B76,'MIS 2026'!$AA$3:$AA$895,'MIS 2026'!$BM$3:$BM$895))</f>
        <v>46172</v>
      </c>
      <c r="H76" s="460">
        <f>IF(B76="","",_xlfn.XLOOKUP(B76,'MIS 2026'!$AA$3:$AA$895,'MIS 2026'!$BO$3:$BO$895))</f>
        <v>46193</v>
      </c>
      <c r="I76" s="458" t="str">
        <f>IF(B76="","",_xlfn.XLOOKUP(B76,'MIS 2026'!$AA$3:$AA$895,'MIS 2026'!$I$3:$I$895))</f>
        <v>IVC</v>
      </c>
      <c r="J76" s="458" t="str">
        <f>IF(B76="","",_xlfn.XLOOKUP(B76,'MIS 2026'!$AA$3:$AA$895,'MIS 2026'!$P$3:$P$895))</f>
        <v>Draft Rcvd</v>
      </c>
      <c r="K76" s="458" t="str">
        <f>IF(B76="","",_xlfn.XLOOKUP(B76,'MIS 2026'!$AA$3:$AA$895,'MIS 2026'!$R$3:$R$895))</f>
        <v>No CERTS Yet</v>
      </c>
      <c r="L76" s="458" t="str">
        <f>IF(B76="","",_xlfn.XLOOKUP(B76,'MIS 2026'!$AA$3:$AA$895,'MIS 2026'!$S$3:$S$895))</f>
        <v/>
      </c>
    </row>
    <row r="77" spans="1:12" ht="14.45">
      <c r="A77" s="454" t="str">
        <f>IF(B77="","",_xlfn.XLOOKUP(B77,'MIS 2026'!$AA$3:$AA$895,'MIS 2026'!$A$3:$A$895))</f>
        <v>Sailed, OBL &amp; Certs Pending</v>
      </c>
      <c r="B77" s="458" t="str">
        <v>32015969-3</v>
      </c>
      <c r="C77" s="459" t="str">
        <f>IF(B77="","",_xlfn.XLOOKUP(B77,'MIS 2026'!$AA$3:$AA$895,'MIS 2026'!$AB$3:$AB$895))</f>
        <v>Valency Agro (Processing)</v>
      </c>
      <c r="D77" s="459" t="str">
        <f>IF(B77="","",_xlfn.XLOOKUP(B77,'MIS 2026'!$AA$3:$AA$895,'MIS 2026'!$W$3:$W$895))</f>
        <v>DRAFT BL RCVD 21/5 SENT TO INDIA TEAM</v>
      </c>
      <c r="E77" s="458">
        <f>IF(B77="","",_xlfn.XLOOKUP(B77,'MIS 2026'!$AA$3:$AA$895,'MIS 2026'!$BI$3:$BI$895))</f>
        <v>268590042</v>
      </c>
      <c r="F77" s="460">
        <f>IF(B77="","",_xlfn.XLOOKUP(B77,'MIS 2026'!$AA$3:$AA$895,'MIS 2026'!$AD$3:$AD$895))</f>
        <v>46142</v>
      </c>
      <c r="G77" s="460">
        <f>IF(B77="","",_xlfn.XLOOKUP(B77,'MIS 2026'!$AA$3:$AA$895,'MIS 2026'!$BM$3:$BM$895))</f>
        <v>46172</v>
      </c>
      <c r="H77" s="460">
        <f>IF(B77="","",_xlfn.XLOOKUP(B77,'MIS 2026'!$AA$3:$AA$895,'MIS 2026'!$BO$3:$BO$895))</f>
        <v>46193</v>
      </c>
      <c r="I77" s="458" t="str">
        <f>IF(B77="","",_xlfn.XLOOKUP(B77,'MIS 2026'!$AA$3:$AA$895,'MIS 2026'!$I$3:$I$895))</f>
        <v>IVC</v>
      </c>
      <c r="J77" s="458" t="str">
        <f>IF(B77="","",_xlfn.XLOOKUP(B77,'MIS 2026'!$AA$3:$AA$895,'MIS 2026'!$P$3:$P$895))</f>
        <v>Draft Rcvd</v>
      </c>
      <c r="K77" s="458" t="str">
        <f>IF(B77="","",_xlfn.XLOOKUP(B77,'MIS 2026'!$AA$3:$AA$895,'MIS 2026'!$R$3:$R$895))</f>
        <v>No CERTS Yet</v>
      </c>
      <c r="L77" s="458" t="str">
        <f>IF(B77="","",_xlfn.XLOOKUP(B77,'MIS 2026'!$AA$3:$AA$895,'MIS 2026'!$S$3:$S$895))</f>
        <v/>
      </c>
    </row>
    <row r="78" spans="1:12" ht="14.45">
      <c r="A78" s="454" t="str">
        <f>IF(B78="","",_xlfn.XLOOKUP(B78,'MIS 2026'!$AA$3:$AA$895,'MIS 2026'!$A$3:$A$895))</f>
        <v>Sailed, OBL &amp; Certs Pending</v>
      </c>
      <c r="B78" s="458" t="str">
        <v>32015969-5</v>
      </c>
      <c r="C78" s="459" t="str">
        <f>IF(B78="","",_xlfn.XLOOKUP(B78,'MIS 2026'!$AA$3:$AA$895,'MIS 2026'!$AB$3:$AB$895))</f>
        <v>Valency Agro (Processing)</v>
      </c>
      <c r="D78" s="459" t="str">
        <f>IF(B78="","",_xlfn.XLOOKUP(B78,'MIS 2026'!$AA$3:$AA$895,'MIS 2026'!$W$3:$W$895))</f>
        <v>DRAFT BL RCVD 26/5 SENT TO INDIA TEAM</v>
      </c>
      <c r="E78" s="458">
        <f>IF(B78="","",_xlfn.XLOOKUP(B78,'MIS 2026'!$AA$3:$AA$895,'MIS 2026'!$BI$3:$BI$895))</f>
        <v>268585803</v>
      </c>
      <c r="F78" s="460">
        <f>IF(B78="","",_xlfn.XLOOKUP(B78,'MIS 2026'!$AA$3:$AA$895,'MIS 2026'!$AD$3:$AD$895))</f>
        <v>46142</v>
      </c>
      <c r="G78" s="460">
        <f>IF(B78="","",_xlfn.XLOOKUP(B78,'MIS 2026'!$AA$3:$AA$895,'MIS 2026'!$BM$3:$BM$895))</f>
        <v>46172</v>
      </c>
      <c r="H78" s="460">
        <f>IF(B78="","",_xlfn.XLOOKUP(B78,'MIS 2026'!$AA$3:$AA$895,'MIS 2026'!$BO$3:$BO$895))</f>
        <v>46193</v>
      </c>
      <c r="I78" s="458" t="str">
        <f>IF(B78="","",_xlfn.XLOOKUP(B78,'MIS 2026'!$AA$3:$AA$895,'MIS 2026'!$I$3:$I$895))</f>
        <v>IVC</v>
      </c>
      <c r="J78" s="458" t="str">
        <f>IF(B78="","",_xlfn.XLOOKUP(B78,'MIS 2026'!$AA$3:$AA$895,'MIS 2026'!$P$3:$P$895))</f>
        <v>Draft Rcvd</v>
      </c>
      <c r="K78" s="458" t="str">
        <f>IF(B78="","",_xlfn.XLOOKUP(B78,'MIS 2026'!$AA$3:$AA$895,'MIS 2026'!$R$3:$R$895))</f>
        <v>No CERTS Yet</v>
      </c>
      <c r="L78" s="458">
        <f>IF(B78="","",_xlfn.XLOOKUP(B78,'MIS 2026'!$AA$3:$AA$895,'MIS 2026'!$S$3:$S$895))</f>
        <v>0</v>
      </c>
    </row>
    <row r="79" spans="1:12" ht="14.45">
      <c r="A79" s="454" t="str">
        <f>IF(B79="","",_xlfn.XLOOKUP(B79,'MIS 2026'!$AA$3:$AA$895,'MIS 2026'!$A$3:$A$895))</f>
        <v>Sailed, OBL &amp; Certs Pending</v>
      </c>
      <c r="B79" s="458" t="str">
        <v>32015969-6</v>
      </c>
      <c r="C79" s="459" t="str">
        <f>IF(B79="","",_xlfn.XLOOKUP(B79,'MIS 2026'!$AA$3:$AA$895,'MIS 2026'!$AB$3:$AB$895))</f>
        <v>Valency Agro (Processing)</v>
      </c>
      <c r="D79" s="459" t="str">
        <f>IF(B79="","",_xlfn.XLOOKUP(B79,'MIS 2026'!$AA$3:$AA$895,'MIS 2026'!$W$3:$W$895))</f>
        <v>DRAFT BL RCVD 26/5 SENT TO INDIA TEAM</v>
      </c>
      <c r="E79" s="458">
        <f>IF(B79="","",_xlfn.XLOOKUP(B79,'MIS 2026'!$AA$3:$AA$895,'MIS 2026'!$BI$3:$BI$895))</f>
        <v>268593044</v>
      </c>
      <c r="F79" s="460">
        <f>IF(B79="","",_xlfn.XLOOKUP(B79,'MIS 2026'!$AA$3:$AA$895,'MIS 2026'!$AD$3:$AD$895))</f>
        <v>46142</v>
      </c>
      <c r="G79" s="460">
        <f>IF(B79="","",_xlfn.XLOOKUP(B79,'MIS 2026'!$AA$3:$AA$895,'MIS 2026'!$BM$3:$BM$895))</f>
        <v>46172</v>
      </c>
      <c r="H79" s="460">
        <f>IF(B79="","",_xlfn.XLOOKUP(B79,'MIS 2026'!$AA$3:$AA$895,'MIS 2026'!$BO$3:$BO$895))</f>
        <v>46193</v>
      </c>
      <c r="I79" s="458" t="str">
        <f>IF(B79="","",_xlfn.XLOOKUP(B79,'MIS 2026'!$AA$3:$AA$895,'MIS 2026'!$I$3:$I$895))</f>
        <v>IVC</v>
      </c>
      <c r="J79" s="458" t="str">
        <f>IF(B79="","",_xlfn.XLOOKUP(B79,'MIS 2026'!$AA$3:$AA$895,'MIS 2026'!$P$3:$P$895))</f>
        <v>Draft Rcvd</v>
      </c>
      <c r="K79" s="458" t="str">
        <f>IF(B79="","",_xlfn.XLOOKUP(B79,'MIS 2026'!$AA$3:$AA$895,'MIS 2026'!$R$3:$R$895))</f>
        <v>No CERTS Yet</v>
      </c>
      <c r="L79" s="458">
        <f>IF(B79="","",_xlfn.XLOOKUP(B79,'MIS 2026'!$AA$3:$AA$895,'MIS 2026'!$S$3:$S$895))</f>
        <v>0</v>
      </c>
    </row>
    <row r="80" spans="1:12" ht="14.45">
      <c r="A80" s="454" t="str">
        <f>IF(B80="","",_xlfn.XLOOKUP(B80,'MIS 2026'!$AA$3:$AA$895,'MIS 2026'!$A$3:$A$895))</f>
        <v>Sailed, OBL &amp; Certs Pending</v>
      </c>
      <c r="B80" s="458" t="str">
        <v>32015968-5</v>
      </c>
      <c r="C80" s="459" t="str">
        <f>IF(B80="","",_xlfn.XLOOKUP(B80,'MIS 2026'!$AA$3:$AA$895,'MIS 2026'!$AB$3:$AB$895))</f>
        <v>Valency Agro (Processing)</v>
      </c>
      <c r="D80" s="459" t="str">
        <f>IF(B80="","",_xlfn.XLOOKUP(B80,'MIS 2026'!$AA$3:$AA$895,'MIS 2026'!$W$3:$W$895))</f>
        <v>DRAFT BL APPROVED 23/5</v>
      </c>
      <c r="E80" s="458">
        <f>IF(B80="","",_xlfn.XLOOKUP(B80,'MIS 2026'!$AA$3:$AA$895,'MIS 2026'!$BI$3:$BI$895))</f>
        <v>268607083</v>
      </c>
      <c r="F80" s="460">
        <f>IF(B80="","",_xlfn.XLOOKUP(B80,'MIS 2026'!$AA$3:$AA$895,'MIS 2026'!$AD$3:$AD$895))</f>
        <v>46142</v>
      </c>
      <c r="G80" s="460">
        <f>IF(B80="","",_xlfn.XLOOKUP(B80,'MIS 2026'!$AA$3:$AA$895,'MIS 2026'!$BM$3:$BM$895))</f>
        <v>46172</v>
      </c>
      <c r="H80" s="460">
        <f>IF(B80="","",_xlfn.XLOOKUP(B80,'MIS 2026'!$AA$3:$AA$895,'MIS 2026'!$BO$3:$BO$895))</f>
        <v>46202</v>
      </c>
      <c r="I80" s="458" t="str">
        <f>IF(B80="","",_xlfn.XLOOKUP(B80,'MIS 2026'!$AA$3:$AA$895,'MIS 2026'!$I$3:$I$895))</f>
        <v>IVC</v>
      </c>
      <c r="J80" s="458" t="str">
        <f>IF(B80="","",_xlfn.XLOOKUP(B80,'MIS 2026'!$AA$3:$AA$895,'MIS 2026'!$P$3:$P$895))</f>
        <v>Draft Rcvd</v>
      </c>
      <c r="K80" s="458" t="str">
        <f>IF(B80="","",_xlfn.XLOOKUP(B80,'MIS 2026'!$AA$3:$AA$895,'MIS 2026'!$R$3:$R$895))</f>
        <v>No CERTS Yet</v>
      </c>
      <c r="L80" s="458" t="str">
        <f>IF(B80="","",_xlfn.XLOOKUP(B80,'MIS 2026'!$AA$3:$AA$895,'MIS 2026'!$S$3:$S$895))</f>
        <v/>
      </c>
    </row>
    <row r="81" spans="1:12" ht="14.45">
      <c r="A81" s="454" t="str">
        <f>IF(B81="","",_xlfn.XLOOKUP(B81,'MIS 2026'!$AA$3:$AA$895,'MIS 2026'!$A$3:$A$895))</f>
        <v>Sailed, OBL &amp; Certs Pending</v>
      </c>
      <c r="B81" s="458" t="str">
        <v>32015968-6</v>
      </c>
      <c r="C81" s="459" t="str">
        <f>IF(B81="","",_xlfn.XLOOKUP(B81,'MIS 2026'!$AA$3:$AA$895,'MIS 2026'!$AB$3:$AB$895))</f>
        <v>Valency Agro (Processing)</v>
      </c>
      <c r="D81" s="459" t="str">
        <f>IF(B81="","",_xlfn.XLOOKUP(B81,'MIS 2026'!$AA$3:$AA$895,'MIS 2026'!$W$3:$W$895))</f>
        <v>DRAFT BL APPROVED 23/5</v>
      </c>
      <c r="E81" s="458">
        <f>IF(B81="","",_xlfn.XLOOKUP(B81,'MIS 2026'!$AA$3:$AA$895,'MIS 2026'!$BI$3:$BI$895))</f>
        <v>268606982</v>
      </c>
      <c r="F81" s="460">
        <f>IF(B81="","",_xlfn.XLOOKUP(B81,'MIS 2026'!$AA$3:$AA$895,'MIS 2026'!$AD$3:$AD$895))</f>
        <v>46142</v>
      </c>
      <c r="G81" s="460">
        <f>IF(B81="","",_xlfn.XLOOKUP(B81,'MIS 2026'!$AA$3:$AA$895,'MIS 2026'!$BM$3:$BM$895))</f>
        <v>46172</v>
      </c>
      <c r="H81" s="460">
        <f>IF(B81="","",_xlfn.XLOOKUP(B81,'MIS 2026'!$AA$3:$AA$895,'MIS 2026'!$BO$3:$BO$895))</f>
        <v>46202</v>
      </c>
      <c r="I81" s="458" t="str">
        <f>IF(B81="","",_xlfn.XLOOKUP(B81,'MIS 2026'!$AA$3:$AA$895,'MIS 2026'!$I$3:$I$895))</f>
        <v>IVC</v>
      </c>
      <c r="J81" s="458" t="str">
        <f>IF(B81="","",_xlfn.XLOOKUP(B81,'MIS 2026'!$AA$3:$AA$895,'MIS 2026'!$P$3:$P$895))</f>
        <v>Draft Rcvd</v>
      </c>
      <c r="K81" s="458" t="str">
        <f>IF(B81="","",_xlfn.XLOOKUP(B81,'MIS 2026'!$AA$3:$AA$895,'MIS 2026'!$R$3:$R$895))</f>
        <v>No CERTS Yet</v>
      </c>
      <c r="L81" s="458" t="str">
        <f>IF(B81="","",_xlfn.XLOOKUP(B81,'MIS 2026'!$AA$3:$AA$895,'MIS 2026'!$S$3:$S$895))</f>
        <v/>
      </c>
    </row>
    <row r="82" spans="1:12" ht="14.45">
      <c r="A82" s="454" t="str">
        <f>IF(B82="","",_xlfn.XLOOKUP(B82,'MIS 2026'!$AA$3:$AA$895,'MIS 2026'!$A$3:$A$895))</f>
        <v>Sailed, OBL &amp; Certs Pending</v>
      </c>
      <c r="B82" s="458" t="str">
        <v>32014540-1</v>
      </c>
      <c r="C82" s="459" t="str">
        <f>IF(B82="","",_xlfn.XLOOKUP(B82,'MIS 2026'!$AA$3:$AA$895,'MIS 2026'!$AB$3:$AB$895))</f>
        <v xml:space="preserve">SHREE KRISHNAPRASAD CASHEWS </v>
      </c>
      <c r="D82" s="459" t="str">
        <f>IF(B82="","",_xlfn.XLOOKUP(B82,'MIS 2026'!$AA$3:$AA$895,'MIS 2026'!$W$3:$W$895))</f>
        <v>DRAFT BL APPROVED 22/5</v>
      </c>
      <c r="E82" s="458">
        <f>IF(B82="","",_xlfn.XLOOKUP(B82,'MIS 2026'!$AA$3:$AA$895,'MIS 2026'!$BI$3:$BI$895))</f>
        <v>267455386</v>
      </c>
      <c r="F82" s="460">
        <f>IF(B82="","",_xlfn.XLOOKUP(B82,'MIS 2026'!$AA$3:$AA$895,'MIS 2026'!$AD$3:$AD$895))</f>
        <v>46142</v>
      </c>
      <c r="G82" s="460">
        <f>IF(B82="","",_xlfn.XLOOKUP(B82,'MIS 2026'!$AA$3:$AA$895,'MIS 2026'!$BM$3:$BM$895))</f>
        <v>46202</v>
      </c>
      <c r="H82" s="460">
        <f>IF(B82="","",_xlfn.XLOOKUP(B82,'MIS 2026'!$AA$3:$AA$895,'MIS 2026'!$BO$3:$BO$895))</f>
        <v>46202</v>
      </c>
      <c r="I82" s="458" t="str">
        <f>IF(B82="","",_xlfn.XLOOKUP(B82,'MIS 2026'!$AA$3:$AA$895,'MIS 2026'!$I$3:$I$895))</f>
        <v>IVC</v>
      </c>
      <c r="J82" s="458" t="str">
        <f>IF(B82="","",_xlfn.XLOOKUP(B82,'MIS 2026'!$AA$3:$AA$895,'MIS 2026'!$P$3:$P$895))</f>
        <v>Draft Rcvd</v>
      </c>
      <c r="K82" s="458" t="str">
        <f>IF(B82="","",_xlfn.XLOOKUP(B82,'MIS 2026'!$AA$3:$AA$895,'MIS 2026'!$R$3:$R$895))</f>
        <v>No CERTS Yet</v>
      </c>
      <c r="L82" s="458" t="str">
        <f>IF(B82="","",_xlfn.XLOOKUP(B82,'MIS 2026'!$AA$3:$AA$895,'MIS 2026'!$S$3:$S$895))</f>
        <v/>
      </c>
    </row>
    <row r="83" spans="1:12" ht="14.45">
      <c r="A83" s="454" t="str">
        <f>IF(B83="","",_xlfn.XLOOKUP(B83,'MIS 2026'!$AA$3:$AA$895,'MIS 2026'!$A$3:$A$895))</f>
        <v>SC Raised, Advance Pending</v>
      </c>
      <c r="B83" s="458">
        <v>32016433</v>
      </c>
      <c r="C83" s="459" t="str">
        <f>IF(B83="","",_xlfn.XLOOKUP(B83,'MIS 2026'!$AA$3:$AA$895,'MIS 2026'!$AB$3:$AB$895))</f>
        <v xml:space="preserve">KIEU LOAN COMPANY LIMITED </v>
      </c>
      <c r="D83" s="459" t="str">
        <f>IF(B83="","",_xlfn.XLOOKUP(B83,'MIS 2026'!$AA$3:$AA$895,'MIS 2026'!$W$3:$W$895))</f>
        <v>PENDING TO SHARE WITH BUYER-ONCE WE GET THE ADVANCE FOR PREVIOUS CONTRACT</v>
      </c>
      <c r="E83" s="458">
        <f>IF(B83="","",_xlfn.XLOOKUP(B83,'MIS 2026'!$AA$3:$AA$895,'MIS 2026'!$BI$3:$BI$895))</f>
        <v>0</v>
      </c>
      <c r="F83" s="460">
        <f>IF(B83="","",_xlfn.XLOOKUP(B83,'MIS 2026'!$AA$3:$AA$895,'MIS 2026'!$AD$3:$AD$895))</f>
        <v>46234</v>
      </c>
      <c r="G83" s="460">
        <f>IF(B83="","",_xlfn.XLOOKUP(B83,'MIS 2026'!$AA$3:$AA$895,'MIS 2026'!$BM$3:$BM$895))</f>
        <v>0</v>
      </c>
      <c r="H83" s="460">
        <f>IF(B83="","",_xlfn.XLOOKUP(B83,'MIS 2026'!$AA$3:$AA$895,'MIS 2026'!$BO$3:$BO$895))</f>
        <v>0</v>
      </c>
      <c r="I83" s="458" t="str">
        <f>IF(B83="","",_xlfn.XLOOKUP(B83,'MIS 2026'!$AA$3:$AA$895,'MIS 2026'!$I$3:$I$895))</f>
        <v>IVC</v>
      </c>
      <c r="J83" s="458" t="str">
        <f>IF(B83="","",_xlfn.XLOOKUP(B83,'MIS 2026'!$AA$3:$AA$895,'MIS 2026'!$P$3:$P$895))</f>
        <v>No OBL Yet</v>
      </c>
      <c r="K83" s="458" t="str">
        <f>IF(B83="","",_xlfn.XLOOKUP(B83,'MIS 2026'!$AA$3:$AA$895,'MIS 2026'!$R$3:$R$895))</f>
        <v>No CERTS Yet</v>
      </c>
      <c r="L83" s="458">
        <f>IF(B83="","",_xlfn.XLOOKUP(B83,'MIS 2026'!$AA$3:$AA$895,'MIS 2026'!$S$3:$S$895))</f>
        <v>0</v>
      </c>
    </row>
    <row r="84" spans="1:12" ht="14.45">
      <c r="A84" s="454" t="str">
        <f>IF(B84="","",_xlfn.XLOOKUP(B84,'MIS 2026'!$AA$3:$AA$895,'MIS 2026'!$A$3:$A$895))</f>
        <v>SC Raised, Advance Pending</v>
      </c>
      <c r="B84" s="458">
        <v>32016434</v>
      </c>
      <c r="C84" s="459" t="str">
        <f>IF(B84="","",_xlfn.XLOOKUP(B84,'MIS 2026'!$AA$3:$AA$895,'MIS 2026'!$AB$3:$AB$895))</f>
        <v xml:space="preserve">KIEU LOAN COMPANY LIMITED </v>
      </c>
      <c r="D84" s="459" t="str">
        <f>IF(B84="","",_xlfn.XLOOKUP(B84,'MIS 2026'!$AA$3:$AA$895,'MIS 2026'!$W$3:$W$895))</f>
        <v>PENDING TO SHARE WITH BUYER-ONCE WE GET THE ADVANCE FOR PREVIOUS CONTRACT</v>
      </c>
      <c r="E84" s="458">
        <f>IF(B84="","",_xlfn.XLOOKUP(B84,'MIS 2026'!$AA$3:$AA$895,'MIS 2026'!$BI$3:$BI$895))</f>
        <v>0</v>
      </c>
      <c r="F84" s="460">
        <f>IF(B84="","",_xlfn.XLOOKUP(B84,'MIS 2026'!$AA$3:$AA$895,'MIS 2026'!$AD$3:$AD$895))</f>
        <v>46234</v>
      </c>
      <c r="G84" s="460">
        <f>IF(B84="","",_xlfn.XLOOKUP(B84,'MIS 2026'!$AA$3:$AA$895,'MIS 2026'!$BM$3:$BM$895))</f>
        <v>0</v>
      </c>
      <c r="H84" s="460">
        <f>IF(B84="","",_xlfn.XLOOKUP(B84,'MIS 2026'!$AA$3:$AA$895,'MIS 2026'!$BO$3:$BO$895))</f>
        <v>0</v>
      </c>
      <c r="I84" s="458" t="str">
        <f>IF(B84="","",_xlfn.XLOOKUP(B84,'MIS 2026'!$AA$3:$AA$895,'MIS 2026'!$I$3:$I$895))</f>
        <v>IVC</v>
      </c>
      <c r="J84" s="458" t="str">
        <f>IF(B84="","",_xlfn.XLOOKUP(B84,'MIS 2026'!$AA$3:$AA$895,'MIS 2026'!$P$3:$P$895))</f>
        <v>No OBL Yet</v>
      </c>
      <c r="K84" s="458" t="str">
        <f>IF(B84="","",_xlfn.XLOOKUP(B84,'MIS 2026'!$AA$3:$AA$895,'MIS 2026'!$R$3:$R$895))</f>
        <v>No CERTS Yet</v>
      </c>
      <c r="L84" s="458">
        <f>IF(B84="","",_xlfn.XLOOKUP(B84,'MIS 2026'!$AA$3:$AA$895,'MIS 2026'!$S$3:$S$895))</f>
        <v>0</v>
      </c>
    </row>
    <row r="85" spans="1:12" ht="14.45">
      <c r="A85" s="454" t="str">
        <f>IF(B85="","",_xlfn.XLOOKUP(B85,'MIS 2026'!$AA$3:$AA$895,'MIS 2026'!$A$3:$A$895))</f>
        <v>SC Raised, Advance Pending</v>
      </c>
      <c r="B85" s="458">
        <v>32016445</v>
      </c>
      <c r="C85" s="459" t="str">
        <f>IF(B85="","",_xlfn.XLOOKUP(B85,'MIS 2026'!$AA$3:$AA$895,'MIS 2026'!$AB$3:$AB$895))</f>
        <v>Hoang Cuong</v>
      </c>
      <c r="D85" s="459" t="str">
        <f>IF(B85="","",_xlfn.XLOOKUP(B85,'MIS 2026'!$AA$3:$AA$895,'MIS 2026'!$W$3:$W$895))</f>
        <v>KYC IN PROCESS</v>
      </c>
      <c r="E85" s="458">
        <f>IF(B85="","",_xlfn.XLOOKUP(B85,'MIS 2026'!$AA$3:$AA$895,'MIS 2026'!$BI$3:$BI$895))</f>
        <v>0</v>
      </c>
      <c r="F85" s="460">
        <f>IF(B85="","",_xlfn.XLOOKUP(B85,'MIS 2026'!$AA$3:$AA$895,'MIS 2026'!$AD$3:$AD$895))</f>
        <v>46173</v>
      </c>
      <c r="G85" s="460">
        <f>IF(B85="","",_xlfn.XLOOKUP(B85,'MIS 2026'!$AA$3:$AA$895,'MIS 2026'!$BM$3:$BM$895))</f>
        <v>0</v>
      </c>
      <c r="H85" s="460">
        <f>IF(B85="","",_xlfn.XLOOKUP(B85,'MIS 2026'!$AA$3:$AA$895,'MIS 2026'!$BO$3:$BO$895))</f>
        <v>0</v>
      </c>
      <c r="I85" s="458" t="str">
        <f>IF(B85="","",_xlfn.XLOOKUP(B85,'MIS 2026'!$AA$3:$AA$895,'MIS 2026'!$I$3:$I$895))</f>
        <v>NIGERIA(OGB)</v>
      </c>
      <c r="J85" s="458" t="str">
        <f>IF(B85="","",_xlfn.XLOOKUP(B85,'MIS 2026'!$AA$3:$AA$895,'MIS 2026'!$P$3:$P$895))</f>
        <v>No OBL Yet</v>
      </c>
      <c r="K85" s="458" t="str">
        <f>IF(B85="","",_xlfn.XLOOKUP(B85,'MIS 2026'!$AA$3:$AA$895,'MIS 2026'!$R$3:$R$895))</f>
        <v>No CERTS Yet</v>
      </c>
      <c r="L85" s="458">
        <f>IF(B85="","",_xlfn.XLOOKUP(B85,'MIS 2026'!$AA$3:$AA$895,'MIS 2026'!$S$3:$S$895))</f>
        <v>0</v>
      </c>
    </row>
    <row r="86" spans="1:12" ht="14.45">
      <c r="A86" s="454" t="str">
        <f>IF(B86="","",_xlfn.XLOOKUP(B86,'MIS 2026'!$AA$3:$AA$895,'MIS 2026'!$A$3:$A$895))</f>
        <v>SC Raised, Advance Pending</v>
      </c>
      <c r="B86" s="458">
        <v>32016436</v>
      </c>
      <c r="C86" s="459" t="str">
        <f>IF(B86="","",_xlfn.XLOOKUP(B86,'MIS 2026'!$AA$3:$AA$895,'MIS 2026'!$AB$3:$AB$895))</f>
        <v xml:space="preserve">KHAI HUNG COMPANY LIMITED </v>
      </c>
      <c r="D86" s="459" t="str">
        <f>IF(B86="","",_xlfn.XLOOKUP(B86,'MIS 2026'!$AA$3:$AA$895,'MIS 2026'!$W$3:$W$895))</f>
        <v>PENDING COUNTERSIGNED + ADVANCE(30/5)</v>
      </c>
      <c r="E86" s="458">
        <f>IF(B86="","",_xlfn.XLOOKUP(B86,'MIS 2026'!$AA$3:$AA$895,'MIS 2026'!$BI$3:$BI$895))</f>
        <v>0</v>
      </c>
      <c r="F86" s="460">
        <f>IF(B86="","",_xlfn.XLOOKUP(B86,'MIS 2026'!$AA$3:$AA$895,'MIS 2026'!$AD$3:$AD$895))</f>
        <v>46203</v>
      </c>
      <c r="G86" s="460">
        <f>IF(B86="","",_xlfn.XLOOKUP(B86,'MIS 2026'!$AA$3:$AA$895,'MIS 2026'!$BM$3:$BM$895))</f>
        <v>0</v>
      </c>
      <c r="H86" s="460">
        <f>IF(B86="","",_xlfn.XLOOKUP(B86,'MIS 2026'!$AA$3:$AA$895,'MIS 2026'!$BO$3:$BO$895))</f>
        <v>0</v>
      </c>
      <c r="I86" s="458" t="str">
        <f>IF(B86="","",_xlfn.XLOOKUP(B86,'MIS 2026'!$AA$3:$AA$895,'MIS 2026'!$I$3:$I$895))</f>
        <v>GHANA</v>
      </c>
      <c r="J86" s="458">
        <f>IF(B86="","",_xlfn.XLOOKUP(B86,'MIS 2026'!$AA$3:$AA$895,'MIS 2026'!$P$3:$P$895))</f>
        <v>0</v>
      </c>
      <c r="K86" s="458">
        <f>IF(B86="","",_xlfn.XLOOKUP(B86,'MIS 2026'!$AA$3:$AA$895,'MIS 2026'!$R$3:$R$895))</f>
        <v>0</v>
      </c>
      <c r="L86" s="458" t="str">
        <f>IF(B86="","",_xlfn.XLOOKUP(B86,'MIS 2026'!$AA$3:$AA$895,'MIS 2026'!$S$3:$S$895))</f>
        <v/>
      </c>
    </row>
    <row r="87" spans="1:12" ht="14.45">
      <c r="A87" s="454" t="str">
        <f>IF(B87="","",_xlfn.XLOOKUP(B87,'MIS 2026'!$AA$3:$AA$895,'MIS 2026'!$A$3:$A$895))</f>
        <v>SC Raised, Advance Pending</v>
      </c>
      <c r="B87" s="458">
        <v>32016437</v>
      </c>
      <c r="C87" s="459" t="str">
        <f>IF(B87="","",_xlfn.XLOOKUP(B87,'MIS 2026'!$AA$3:$AA$895,'MIS 2026'!$AB$3:$AB$895))</f>
        <v xml:space="preserve">KHAI HUNG COMPANY LIMITED </v>
      </c>
      <c r="D87" s="459" t="str">
        <f>IF(B87="","",_xlfn.XLOOKUP(B87,'MIS 2026'!$AA$3:$AA$895,'MIS 2026'!$W$3:$W$895))</f>
        <v>PENDING COUNTERSIGNED + ADVANCE(30/5)</v>
      </c>
      <c r="E87" s="458">
        <f>IF(B87="","",_xlfn.XLOOKUP(B87,'MIS 2026'!$AA$3:$AA$895,'MIS 2026'!$BI$3:$BI$895))</f>
        <v>0</v>
      </c>
      <c r="F87" s="460">
        <f>IF(B87="","",_xlfn.XLOOKUP(B87,'MIS 2026'!$AA$3:$AA$895,'MIS 2026'!$AD$3:$AD$895))</f>
        <v>46203</v>
      </c>
      <c r="G87" s="460">
        <f>IF(B87="","",_xlfn.XLOOKUP(B87,'MIS 2026'!$AA$3:$AA$895,'MIS 2026'!$BM$3:$BM$895))</f>
        <v>0</v>
      </c>
      <c r="H87" s="460">
        <f>IF(B87="","",_xlfn.XLOOKUP(B87,'MIS 2026'!$AA$3:$AA$895,'MIS 2026'!$BO$3:$BO$895))</f>
        <v>0</v>
      </c>
      <c r="I87" s="458" t="str">
        <f>IF(B87="","",_xlfn.XLOOKUP(B87,'MIS 2026'!$AA$3:$AA$895,'MIS 2026'!$I$3:$I$895))</f>
        <v>GHANA</v>
      </c>
      <c r="J87" s="458">
        <f>IF(B87="","",_xlfn.XLOOKUP(B87,'MIS 2026'!$AA$3:$AA$895,'MIS 2026'!$P$3:$P$895))</f>
        <v>0</v>
      </c>
      <c r="K87" s="458">
        <f>IF(B87="","",_xlfn.XLOOKUP(B87,'MIS 2026'!$AA$3:$AA$895,'MIS 2026'!$R$3:$R$895))</f>
        <v>0</v>
      </c>
      <c r="L87" s="458" t="str">
        <f>IF(B87="","",_xlfn.XLOOKUP(B87,'MIS 2026'!$AA$3:$AA$895,'MIS 2026'!$S$3:$S$895))</f>
        <v/>
      </c>
    </row>
    <row r="88" spans="1:12" ht="14.45">
      <c r="A88" s="454" t="str">
        <f>IF(B88="","",_xlfn.XLOOKUP(B88,'MIS 2026'!$AA$3:$AA$895,'MIS 2026'!$A$3:$A$895))</f>
        <v>SC Raised, Advance Pending</v>
      </c>
      <c r="B88" s="458">
        <v>32016438</v>
      </c>
      <c r="C88" s="459" t="str">
        <f>IF(B88="","",_xlfn.XLOOKUP(B88,'MIS 2026'!$AA$3:$AA$895,'MIS 2026'!$AB$3:$AB$895))</f>
        <v>TERRA NUTS GROUP JOINT STOCK COMPANY</v>
      </c>
      <c r="D88" s="459" t="str">
        <f>IF(B88="","",_xlfn.XLOOKUP(B88,'MIS 2026'!$AA$3:$AA$895,'MIS 2026'!$W$3:$W$895))</f>
        <v>PENDING COUNTERSIGNED + ADVANCE(30/5)</v>
      </c>
      <c r="E88" s="458">
        <f>IF(B88="","",_xlfn.XLOOKUP(B88,'MIS 2026'!$AA$3:$AA$895,'MIS 2026'!$BI$3:$BI$895))</f>
        <v>0</v>
      </c>
      <c r="F88" s="460">
        <f>IF(B88="","",_xlfn.XLOOKUP(B88,'MIS 2026'!$AA$3:$AA$895,'MIS 2026'!$AD$3:$AD$895))</f>
        <v>46203</v>
      </c>
      <c r="G88" s="460">
        <f>IF(B88="","",_xlfn.XLOOKUP(B88,'MIS 2026'!$AA$3:$AA$895,'MIS 2026'!$BM$3:$BM$895))</f>
        <v>0</v>
      </c>
      <c r="H88" s="460">
        <f>IF(B88="","",_xlfn.XLOOKUP(B88,'MIS 2026'!$AA$3:$AA$895,'MIS 2026'!$BO$3:$BO$895))</f>
        <v>0</v>
      </c>
      <c r="I88" s="458" t="str">
        <f>IF(B88="","",_xlfn.XLOOKUP(B88,'MIS 2026'!$AA$3:$AA$895,'MIS 2026'!$I$3:$I$895))</f>
        <v>IVC</v>
      </c>
      <c r="J88" s="458" t="str">
        <f>IF(B88="","",_xlfn.XLOOKUP(B88,'MIS 2026'!$AA$3:$AA$895,'MIS 2026'!$P$3:$P$895))</f>
        <v>No OBL Yet</v>
      </c>
      <c r="K88" s="458" t="str">
        <f>IF(B88="","",_xlfn.XLOOKUP(B88,'MIS 2026'!$AA$3:$AA$895,'MIS 2026'!$R$3:$R$895))</f>
        <v>No CERTS Yet</v>
      </c>
      <c r="L88" s="458">
        <f>IF(B88="","",_xlfn.XLOOKUP(B88,'MIS 2026'!$AA$3:$AA$895,'MIS 2026'!$S$3:$S$895))</f>
        <v>0</v>
      </c>
    </row>
    <row r="89" spans="1:12" ht="14.45">
      <c r="A89" s="454" t="str">
        <f>IF(B89="","",_xlfn.XLOOKUP(B89,'MIS 2026'!$AA$3:$AA$895,'MIS 2026'!$A$3:$A$895))</f>
        <v>SC Raised, Advance Pending</v>
      </c>
      <c r="B89" s="458">
        <v>32016491</v>
      </c>
      <c r="C89" s="459" t="str">
        <f>IF(B89="","",_xlfn.XLOOKUP(B89,'MIS 2026'!$AA$3:$AA$895,'MIS 2026'!$AB$3:$AB$895))</f>
        <v>TERRA NUTS GROUP JOINT STOCK COMPANY</v>
      </c>
      <c r="D89" s="459" t="str">
        <f>IF(B89="","",_xlfn.XLOOKUP(B89,'MIS 2026'!$AA$3:$AA$895,'MIS 2026'!$W$3:$W$895))</f>
        <v>PENDING COUNTERSIGNED + ADVANCE(30/5)</v>
      </c>
      <c r="E89" s="458">
        <f>IF(B89="","",_xlfn.XLOOKUP(B89,'MIS 2026'!$AA$3:$AA$895,'MIS 2026'!$BI$3:$BI$895))</f>
        <v>0</v>
      </c>
      <c r="F89" s="460">
        <f>IF(B89="","",_xlfn.XLOOKUP(B89,'MIS 2026'!$AA$3:$AA$895,'MIS 2026'!$AD$3:$AD$895))</f>
        <v>46218</v>
      </c>
      <c r="G89" s="460">
        <f>IF(B89="","",_xlfn.XLOOKUP(B89,'MIS 2026'!$AA$3:$AA$895,'MIS 2026'!$BM$3:$BM$895))</f>
        <v>0</v>
      </c>
      <c r="H89" s="460">
        <f>IF(B89="","",_xlfn.XLOOKUP(B89,'MIS 2026'!$AA$3:$AA$895,'MIS 2026'!$BO$3:$BO$895))</f>
        <v>0</v>
      </c>
      <c r="I89" s="458" t="str">
        <f>IF(B89="","",_xlfn.XLOOKUP(B89,'MIS 2026'!$AA$3:$AA$895,'MIS 2026'!$I$3:$I$895))</f>
        <v>IVC</v>
      </c>
      <c r="J89" s="458" t="str">
        <f>IF(B89="","",_xlfn.XLOOKUP(B89,'MIS 2026'!$AA$3:$AA$895,'MIS 2026'!$P$3:$P$895))</f>
        <v>No OBL Yet</v>
      </c>
      <c r="K89" s="458" t="str">
        <f>IF(B89="","",_xlfn.XLOOKUP(B89,'MIS 2026'!$AA$3:$AA$895,'MIS 2026'!$R$3:$R$895))</f>
        <v>No CERTS Yet</v>
      </c>
      <c r="L89" s="458">
        <f>IF(B89="","",_xlfn.XLOOKUP(B89,'MIS 2026'!$AA$3:$AA$895,'MIS 2026'!$S$3:$S$895))</f>
        <v>0</v>
      </c>
    </row>
    <row r="90" spans="1:12" ht="14.45">
      <c r="A90" s="454" t="str">
        <f>IF(B90="","",_xlfn.XLOOKUP(B90,'MIS 2026'!$AA$3:$AA$895,'MIS 2026'!$A$3:$A$895))</f>
        <v>SC Raised, Advance Pending</v>
      </c>
      <c r="B90" s="458">
        <v>32016439</v>
      </c>
      <c r="C90" s="459" t="str">
        <f>IF(B90="","",_xlfn.XLOOKUP(B90,'MIS 2026'!$AA$3:$AA$895,'MIS 2026'!$AB$3:$AB$895))</f>
        <v>INTIMEX GROUP JOINT STOCK COMPANY</v>
      </c>
      <c r="D90" s="459" t="str">
        <f>IF(B90="","",_xlfn.XLOOKUP(B90,'MIS 2026'!$AA$3:$AA$895,'MIS 2026'!$W$3:$W$895))</f>
        <v>RCVD COUNTERSIGNED + ADVANCE PENDING(30/5)</v>
      </c>
      <c r="E90" s="458">
        <f>IF(B90="","",_xlfn.XLOOKUP(B90,'MIS 2026'!$AA$3:$AA$895,'MIS 2026'!$BI$3:$BI$895))</f>
        <v>0</v>
      </c>
      <c r="F90" s="458"/>
      <c r="G90" s="460">
        <f>IF(B90="","",_xlfn.XLOOKUP(B90,'MIS 2026'!$AA$3:$AA$895,'MIS 2026'!$BM$3:$BM$895))</f>
        <v>0</v>
      </c>
      <c r="H90" s="460">
        <f>IF(B90="","",_xlfn.XLOOKUP(B90,'MIS 2026'!$AA$3:$AA$895,'MIS 2026'!$BO$3:$BO$895))</f>
        <v>0</v>
      </c>
      <c r="I90" s="458" t="str">
        <f>IF(B90="","",_xlfn.XLOOKUP(B90,'MIS 2026'!$AA$3:$AA$895,'MIS 2026'!$I$3:$I$895))</f>
        <v>NIGERIA(OGB)</v>
      </c>
      <c r="J90" s="458" t="str">
        <f>IF(B90="","",_xlfn.XLOOKUP(B90,'MIS 2026'!$AA$3:$AA$895,'MIS 2026'!$P$3:$P$895))</f>
        <v>No OBL Yet</v>
      </c>
      <c r="K90" s="458" t="str">
        <f>IF(B90="","",_xlfn.XLOOKUP(B90,'MIS 2026'!$AA$3:$AA$895,'MIS 2026'!$R$3:$R$895))</f>
        <v>No CERTS Yet</v>
      </c>
      <c r="L90" s="458">
        <f>IF(B90="","",_xlfn.XLOOKUP(B90,'MIS 2026'!$AA$3:$AA$895,'MIS 2026'!$S$3:$S$895))</f>
        <v>0</v>
      </c>
    </row>
    <row r="91" spans="1:12" ht="14.45">
      <c r="A91" s="454" t="str">
        <f>IF(B91="","",_xlfn.XLOOKUP(B91,'MIS 2026'!$AA$3:$AA$895,'MIS 2026'!$A$3:$A$895))</f>
        <v>Sailed, OBL &amp; Certs Pending</v>
      </c>
      <c r="B91" s="458">
        <v>32014591</v>
      </c>
      <c r="C91" s="459" t="str">
        <f>IF(B91="","",_xlfn.XLOOKUP(B91,'MIS 2026'!$AA$3:$AA$895,'MIS 2026'!$AB$3:$AB$895))</f>
        <v>SIDDHI VINAYAKA CASHEW INDUSTRIES</v>
      </c>
      <c r="D91" s="459" t="str">
        <f>IF(B91="","",_xlfn.XLOOKUP(B91,'MIS 2026'!$AA$3:$AA$895,'MIS 2026'!$W$3:$W$895))</f>
        <v>DRAFT BL APPROVED 22/5</v>
      </c>
      <c r="E91" s="458">
        <f>IF(B91="","",_xlfn.XLOOKUP(B91,'MIS 2026'!$AA$3:$AA$895,'MIS 2026'!$BI$3:$BI$895))</f>
        <v>267490088</v>
      </c>
      <c r="F91" s="458"/>
      <c r="G91" s="460">
        <f>IF(B91="","",_xlfn.XLOOKUP(B91,'MIS 2026'!$AA$3:$AA$895,'MIS 2026'!$BM$3:$BM$895))</f>
        <v>46202</v>
      </c>
      <c r="H91" s="460">
        <f>IF(B91="","",_xlfn.XLOOKUP(B91,'MIS 2026'!$AA$3:$AA$895,'MIS 2026'!$BO$3:$BO$895))</f>
        <v>46202</v>
      </c>
      <c r="I91" s="458" t="str">
        <f>IF(B91="","",_xlfn.XLOOKUP(B91,'MIS 2026'!$AA$3:$AA$895,'MIS 2026'!$I$3:$I$895))</f>
        <v>IVC</v>
      </c>
      <c r="J91" s="458" t="str">
        <f>IF(B91="","",_xlfn.XLOOKUP(B91,'MIS 2026'!$AA$3:$AA$895,'MIS 2026'!$P$3:$P$895))</f>
        <v>No OBL Yet</v>
      </c>
      <c r="K91" s="458" t="str">
        <f>IF(B91="","",_xlfn.XLOOKUP(B91,'MIS 2026'!$AA$3:$AA$895,'MIS 2026'!$R$3:$R$895))</f>
        <v>No CERTS Yet</v>
      </c>
      <c r="L91" s="458" t="str">
        <f>IF(B91="","",_xlfn.XLOOKUP(B91,'MIS 2026'!$AA$3:$AA$895,'MIS 2026'!$S$3:$S$895))</f>
        <v/>
      </c>
    </row>
    <row r="92" spans="1:12" ht="14.45">
      <c r="A92" s="454" t="str">
        <f>IF(B92="","",_xlfn.XLOOKUP(B92,'MIS 2026'!$AA$3:$AA$895,'MIS 2026'!$A$3:$A$895))</f>
        <v>SC Raised, Advance Pending</v>
      </c>
      <c r="B92" s="458">
        <v>32016444</v>
      </c>
      <c r="C92" s="459" t="str">
        <f>IF(B92="","",_xlfn.XLOOKUP(B92,'MIS 2026'!$AA$3:$AA$895,'MIS 2026'!$AB$3:$AB$895))</f>
        <v>HOANG KIM CASHEW ONE MEMBER COMPANY LIMITED</v>
      </c>
      <c r="D92" s="459" t="str">
        <f>IF(B92="","",_xlfn.XLOOKUP(B92,'MIS 2026'!$AA$3:$AA$895,'MIS 2026'!$W$3:$W$895))</f>
        <v>AS PER TUYET CONTRACT CANCELLED</v>
      </c>
      <c r="E92" s="458">
        <f>IF(B92="","",_xlfn.XLOOKUP(B92,'MIS 2026'!$AA$3:$AA$895,'MIS 2026'!$BI$3:$BI$895))</f>
        <v>0</v>
      </c>
      <c r="F92" s="458"/>
      <c r="G92" s="460">
        <f>IF(B92="","",_xlfn.XLOOKUP(B92,'MIS 2026'!$AA$3:$AA$895,'MIS 2026'!$BM$3:$BM$895))</f>
        <v>0</v>
      </c>
      <c r="H92" s="460">
        <f>IF(B92="","",_xlfn.XLOOKUP(B92,'MIS 2026'!$AA$3:$AA$895,'MIS 2026'!$BO$3:$BO$895))</f>
        <v>0</v>
      </c>
      <c r="I92" s="458" t="str">
        <f>IF(B92="","",_xlfn.XLOOKUP(B92,'MIS 2026'!$AA$3:$AA$895,'MIS 2026'!$I$3:$I$895))</f>
        <v>IVC</v>
      </c>
      <c r="J92" s="458" t="str">
        <f>IF(B92="","",_xlfn.XLOOKUP(B92,'MIS 2026'!$AA$3:$AA$895,'MIS 2026'!$P$3:$P$895))</f>
        <v>No OBL Yet</v>
      </c>
      <c r="K92" s="458" t="str">
        <f>IF(B92="","",_xlfn.XLOOKUP(B92,'MIS 2026'!$AA$3:$AA$895,'MIS 2026'!$R$3:$R$895))</f>
        <v>No CERTS Yet</v>
      </c>
      <c r="L92" s="458">
        <f>IF(B92="","",_xlfn.XLOOKUP(B92,'MIS 2026'!$AA$3:$AA$895,'MIS 2026'!$S$3:$S$895))</f>
        <v>0</v>
      </c>
    </row>
    <row r="93" spans="1:12" ht="14.45">
      <c r="A93" s="454" t="str">
        <f>IF(B93="","",_xlfn.XLOOKUP(B93,'MIS 2026'!$AA$3:$AA$895,'MIS 2026'!$A$3:$A$895))</f>
        <v/>
      </c>
      <c r="B93" s="458"/>
      <c r="C93" s="459" t="str">
        <f>IF(B93="","",_xlfn.XLOOKUP(B93,'MIS 2026'!$AA$3:$AA$895,'MIS 2026'!$AB$3:$AB$895))</f>
        <v/>
      </c>
      <c r="D93" s="459" t="str">
        <f>IF(B93="","",_xlfn.XLOOKUP(B93,'MIS 2026'!$AA$3:$AA$895,'MIS 2026'!$W$3:$W$895))</f>
        <v/>
      </c>
      <c r="E93" s="458" t="str">
        <f>IF(B93="","",_xlfn.XLOOKUP(B93,'MIS 2026'!$AA$3:$AA$895,'MIS 2026'!$BI$3:$BI$895))</f>
        <v/>
      </c>
      <c r="F93" s="458"/>
      <c r="G93" s="460" t="str">
        <f>IF(B93="","",_xlfn.XLOOKUP(B93,'MIS 2026'!$AA$3:$AA$895,'MIS 2026'!$BM$3:$BM$895))</f>
        <v/>
      </c>
      <c r="H93" s="460" t="str">
        <f>IF(B93="","",_xlfn.XLOOKUP(B93,'MIS 2026'!$AA$3:$AA$895,'MIS 2026'!$BO$3:$BO$895))</f>
        <v/>
      </c>
      <c r="I93" s="458" t="str">
        <f>IF(B93="","",_xlfn.XLOOKUP(B93,'MIS 2026'!$AA$3:$AA$895,'MIS 2026'!$I$3:$I$895))</f>
        <v/>
      </c>
      <c r="J93" s="458" t="str">
        <f>IF(B93="","",_xlfn.XLOOKUP(B93,'MIS 2026'!$AA$3:$AA$895,'MIS 2026'!$P$3:$P$895))</f>
        <v/>
      </c>
      <c r="K93" s="458" t="str">
        <f>IF(B93="","",_xlfn.XLOOKUP(B93,'MIS 2026'!$AA$3:$AA$895,'MIS 2026'!$R$3:$R$895))</f>
        <v/>
      </c>
      <c r="L93" s="458" t="str">
        <f>IF(B93="","",_xlfn.XLOOKUP(B93,'MIS 2026'!$AA$3:$AA$895,'MIS 2026'!$S$3:$S$895))</f>
        <v/>
      </c>
    </row>
    <row r="94" spans="1:12" ht="14.45">
      <c r="A94" s="454" t="str">
        <f>IF(B94="","",_xlfn.XLOOKUP(B94,'MIS 2026'!$AA$3:$AA$895,'MIS 2026'!$A$3:$A$895))</f>
        <v/>
      </c>
      <c r="B94" s="458"/>
      <c r="C94" s="459" t="str">
        <f>IF(B94="","",_xlfn.XLOOKUP(B94,'MIS 2026'!$AA$3:$AA$895,'MIS 2026'!$AB$3:$AB$895))</f>
        <v/>
      </c>
      <c r="D94" s="459" t="str">
        <f>IF(B94="","",_xlfn.XLOOKUP(B94,'MIS 2026'!$AA$3:$AA$895,'MIS 2026'!$W$3:$W$895))</f>
        <v/>
      </c>
      <c r="E94" s="458" t="str">
        <f>IF(B94="","",_xlfn.XLOOKUP(B94,'MIS 2026'!$AA$3:$AA$895,'MIS 2026'!$BI$3:$BI$895))</f>
        <v/>
      </c>
      <c r="F94" s="458"/>
      <c r="G94" s="460" t="str">
        <f>IF(B94="","",_xlfn.XLOOKUP(B94,'MIS 2026'!$AA$3:$AA$895,'MIS 2026'!$BM$3:$BM$895))</f>
        <v/>
      </c>
      <c r="H94" s="460" t="str">
        <f>IF(B94="","",_xlfn.XLOOKUP(B94,'MIS 2026'!$AA$3:$AA$895,'MIS 2026'!$BO$3:$BO$895))</f>
        <v/>
      </c>
      <c r="I94" s="458" t="str">
        <f>IF(B94="","",_xlfn.XLOOKUP(B94,'MIS 2026'!$AA$3:$AA$895,'MIS 2026'!$I$3:$I$895))</f>
        <v/>
      </c>
      <c r="J94" s="458" t="str">
        <f>IF(B94="","",_xlfn.XLOOKUP(B94,'MIS 2026'!$AA$3:$AA$895,'MIS 2026'!$P$3:$P$895))</f>
        <v/>
      </c>
      <c r="K94" s="458" t="str">
        <f>IF(B94="","",_xlfn.XLOOKUP(B94,'MIS 2026'!$AA$3:$AA$895,'MIS 2026'!$R$3:$R$895))</f>
        <v/>
      </c>
      <c r="L94" s="458" t="str">
        <f>IF(B94="","",_xlfn.XLOOKUP(B94,'MIS 2026'!$AA$3:$AA$895,'MIS 2026'!$S$3:$S$895))</f>
        <v/>
      </c>
    </row>
    <row r="95" spans="1:12" ht="14.45">
      <c r="A95" s="454" t="str">
        <f>IF(B95="","",_xlfn.XLOOKUP(B95,'MIS 2026'!$AA$3:$AA$895,'MIS 2026'!$A$3:$A$895))</f>
        <v/>
      </c>
      <c r="B95" s="458"/>
      <c r="C95" s="459" t="str">
        <f>IF(B95="","",_xlfn.XLOOKUP(B95,'MIS 2026'!$AA$3:$AA$895,'MIS 2026'!$AB$3:$AB$895))</f>
        <v/>
      </c>
      <c r="D95" s="459" t="str">
        <f>IF(B95="","",_xlfn.XLOOKUP(B95,'MIS 2026'!$AA$3:$AA$895,'MIS 2026'!$W$3:$W$895))</f>
        <v/>
      </c>
      <c r="E95" s="458" t="str">
        <f>IF(B95="","",_xlfn.XLOOKUP(B95,'MIS 2026'!$AA$3:$AA$895,'MIS 2026'!$BI$3:$BI$895))</f>
        <v/>
      </c>
      <c r="F95" s="458"/>
      <c r="G95" s="460" t="str">
        <f>IF(B95="","",_xlfn.XLOOKUP(B95,'MIS 2026'!$AA$3:$AA$895,'MIS 2026'!$BM$3:$BM$895))</f>
        <v/>
      </c>
      <c r="H95" s="460" t="str">
        <f>IF(B95="","",_xlfn.XLOOKUP(B95,'MIS 2026'!$AA$3:$AA$895,'MIS 2026'!$BO$3:$BO$895))</f>
        <v/>
      </c>
      <c r="I95" s="458" t="str">
        <f>IF(B95="","",_xlfn.XLOOKUP(B95,'MIS 2026'!$AA$3:$AA$895,'MIS 2026'!$I$3:$I$895))</f>
        <v/>
      </c>
      <c r="J95" s="458" t="str">
        <f>IF(B95="","",_xlfn.XLOOKUP(B95,'MIS 2026'!$AA$3:$AA$895,'MIS 2026'!$P$3:$P$895))</f>
        <v/>
      </c>
      <c r="K95" s="458" t="str">
        <f>IF(B95="","",_xlfn.XLOOKUP(B95,'MIS 2026'!$AA$3:$AA$895,'MIS 2026'!$R$3:$R$895))</f>
        <v/>
      </c>
      <c r="L95" s="458" t="str">
        <f>IF(B95="","",_xlfn.XLOOKUP(B95,'MIS 2026'!$AA$3:$AA$895,'MIS 2026'!$S$3:$S$895))</f>
        <v/>
      </c>
    </row>
    <row r="96" spans="1:12" ht="14.45">
      <c r="A96" s="454" t="str">
        <f>IF(B96="","",_xlfn.XLOOKUP(B96,'MIS 2026'!$AA$3:$AA$895,'MIS 2026'!$A$3:$A$895))</f>
        <v/>
      </c>
      <c r="B96" s="458"/>
      <c r="C96" s="459" t="str">
        <f>IF(B96="","",_xlfn.XLOOKUP(B96,'MIS 2026'!$AA$3:$AA$895,'MIS 2026'!$AB$3:$AB$895))</f>
        <v/>
      </c>
      <c r="D96" s="459" t="str">
        <f>IF(B96="","",_xlfn.XLOOKUP(B96,'MIS 2026'!$AA$3:$AA$895,'MIS 2026'!$W$3:$W$895))</f>
        <v/>
      </c>
      <c r="E96" s="458" t="str">
        <f>IF(B96="","",_xlfn.XLOOKUP(B96,'MIS 2026'!$AA$3:$AA$895,'MIS 2026'!$BI$3:$BI$895))</f>
        <v/>
      </c>
      <c r="F96" s="458"/>
      <c r="G96" s="460" t="str">
        <f>IF(B96="","",_xlfn.XLOOKUP(B96,'MIS 2026'!$AA$3:$AA$895,'MIS 2026'!$BM$3:$BM$895))</f>
        <v/>
      </c>
      <c r="H96" s="460" t="str">
        <f>IF(B96="","",_xlfn.XLOOKUP(B96,'MIS 2026'!$AA$3:$AA$895,'MIS 2026'!$BO$3:$BO$895))</f>
        <v/>
      </c>
      <c r="I96" s="458" t="str">
        <f>IF(B96="","",_xlfn.XLOOKUP(B96,'MIS 2026'!$AA$3:$AA$895,'MIS 2026'!$I$3:$I$895))</f>
        <v/>
      </c>
      <c r="J96" s="458" t="str">
        <f>IF(B96="","",_xlfn.XLOOKUP(B96,'MIS 2026'!$AA$3:$AA$895,'MIS 2026'!$P$3:$P$895))</f>
        <v/>
      </c>
      <c r="K96" s="458" t="str">
        <f>IF(B96="","",_xlfn.XLOOKUP(B96,'MIS 2026'!$AA$3:$AA$895,'MIS 2026'!$R$3:$R$895))</f>
        <v/>
      </c>
      <c r="L96" s="458" t="str">
        <f>IF(B96="","",_xlfn.XLOOKUP(B96,'MIS 2026'!$AA$3:$AA$895,'MIS 2026'!$S$3:$S$895))</f>
        <v/>
      </c>
    </row>
    <row r="97" spans="1:12" ht="14.45">
      <c r="A97" s="454" t="str">
        <f>IF(B97="","",_xlfn.XLOOKUP(B97,'MIS 2026'!$AA$3:$AA$895,'MIS 2026'!$A$3:$A$895))</f>
        <v/>
      </c>
      <c r="B97" s="458"/>
      <c r="C97" s="459" t="str">
        <f>IF(B97="","",_xlfn.XLOOKUP(B97,'MIS 2026'!$AA$3:$AA$895,'MIS 2026'!$AB$3:$AB$895))</f>
        <v/>
      </c>
      <c r="D97" s="459" t="str">
        <f>IF(B97="","",_xlfn.XLOOKUP(B97,'MIS 2026'!$AA$3:$AA$895,'MIS 2026'!$W$3:$W$895))</f>
        <v/>
      </c>
      <c r="E97" s="458" t="str">
        <f>IF(B97="","",_xlfn.XLOOKUP(B97,'MIS 2026'!$AA$3:$AA$895,'MIS 2026'!$BI$3:$BI$895))</f>
        <v/>
      </c>
      <c r="F97" s="458"/>
      <c r="G97" s="460" t="str">
        <f>IF(B97="","",_xlfn.XLOOKUP(B97,'MIS 2026'!$AA$3:$AA$895,'MIS 2026'!$BM$3:$BM$895))</f>
        <v/>
      </c>
      <c r="H97" s="460" t="str">
        <f>IF(B97="","",_xlfn.XLOOKUP(B97,'MIS 2026'!$AA$3:$AA$895,'MIS 2026'!$BO$3:$BO$895))</f>
        <v/>
      </c>
      <c r="I97" s="458" t="str">
        <f>IF(B97="","",_xlfn.XLOOKUP(B97,'MIS 2026'!$AA$3:$AA$895,'MIS 2026'!$I$3:$I$895))</f>
        <v/>
      </c>
      <c r="J97" s="458" t="str">
        <f>IF(B97="","",_xlfn.XLOOKUP(B97,'MIS 2026'!$AA$3:$AA$895,'MIS 2026'!$P$3:$P$895))</f>
        <v/>
      </c>
      <c r="K97" s="458" t="str">
        <f>IF(B97="","",_xlfn.XLOOKUP(B97,'MIS 2026'!$AA$3:$AA$895,'MIS 2026'!$R$3:$R$895))</f>
        <v/>
      </c>
      <c r="L97" s="458" t="str">
        <f>IF(B97="","",_xlfn.XLOOKUP(B97,'MIS 2026'!$AA$3:$AA$895,'MIS 2026'!$S$3:$S$895))</f>
        <v/>
      </c>
    </row>
    <row r="98" spans="1:12" ht="14.45">
      <c r="C98" s="451" t="str">
        <f>IF(B98="","",_xlfn.XLOOKUP(B98,'MIS 2026'!$AA$3:$AA$895,'MIS 2026'!$AB$3:$AB$895))</f>
        <v/>
      </c>
      <c r="D98" s="451" t="str">
        <f>IF(B98="","",_xlfn.XLOOKUP(B98,'MIS 2026'!$AA$3:$AA$895,'MIS 2026'!$W$3:$W$895))</f>
        <v/>
      </c>
      <c r="E98" s="452" t="str">
        <f>IF(B98="","",_xlfn.XLOOKUP(B98,'MIS 2026'!$AA$3:$AA$895,'MIS 2026'!$BI$3:$BI$895))</f>
        <v/>
      </c>
      <c r="F98" s="452"/>
      <c r="G98" s="460" t="str">
        <f>IF(B98="","",_xlfn.XLOOKUP(B98,'MIS 2026'!$AA$3:$AA$895,'MIS 2026'!$BM$3:$BM$895))</f>
        <v/>
      </c>
      <c r="H98" s="453" t="str">
        <f>IF(B98="","",_xlfn.XLOOKUP(B98,'MIS 2026'!$AA$3:$AA$895,'MIS 2026'!$BO$3:$BO$895))</f>
        <v/>
      </c>
      <c r="I98" s="452" t="str">
        <f>IF(B98="","",_xlfn.XLOOKUP(B98,'MIS 2026'!$AA$3:$AA$895,'MIS 2026'!$I$3:$I$895))</f>
        <v/>
      </c>
      <c r="J98" s="452" t="str">
        <f>IF(B98="","",_xlfn.XLOOKUP(B98,'MIS 2026'!$AA$3:$AA$895,'MIS 2026'!$P$3:$P$895))</f>
        <v/>
      </c>
      <c r="K98" s="452" t="str">
        <f>IF(B98="","",_xlfn.XLOOKUP(B98,'MIS 2026'!$AA$3:$AA$895,'MIS 2026'!$R$3:$R$895))</f>
        <v/>
      </c>
      <c r="L98" s="452" t="str">
        <f>IF(B98="","",_xlfn.XLOOKUP(B98,'MIS 2026'!$AA$3:$AA$895,'MIS 2026'!$S$3:$S$895))</f>
        <v/>
      </c>
    </row>
    <row r="99" spans="1:12" ht="14.45">
      <c r="C99" s="65" t="str">
        <f>IF(B99="","",_xlfn.XLOOKUP(B99,'MIS 2026'!$AA$3:$AA$895,'MIS 2026'!$AB$3:$AB$895))</f>
        <v/>
      </c>
      <c r="D99" s="65" t="str">
        <f>IF(B99="","",_xlfn.XLOOKUP(B99,'MIS 2026'!$AA$3:$AA$895,'MIS 2026'!$W$3:$W$895))</f>
        <v/>
      </c>
      <c r="E99" s="66" t="str">
        <f>IF(B99="","",_xlfn.XLOOKUP(B99,'MIS 2026'!$AA$3:$AA$895,'MIS 2026'!$BI$3:$BI$895))</f>
        <v/>
      </c>
      <c r="F99" s="66"/>
      <c r="G99" s="460" t="str">
        <f>IF(B99="","",_xlfn.XLOOKUP(B99,'MIS 2026'!$AA$3:$AA$895,'MIS 2026'!$BM$3:$BM$895))</f>
        <v/>
      </c>
      <c r="H99" s="177" t="str">
        <f>IF(B99="","",_xlfn.XLOOKUP(B99,'MIS 2026'!$AA$3:$AA$895,'MIS 2026'!$BO$3:$BO$895))</f>
        <v/>
      </c>
      <c r="I99" s="66" t="str">
        <f>IF(B99="","",_xlfn.XLOOKUP(B99,'MIS 2026'!$AA$3:$AA$895,'MIS 2026'!$I$3:$I$895))</f>
        <v/>
      </c>
      <c r="J99" s="66" t="str">
        <f>IF(B99="","",_xlfn.XLOOKUP(B99,'MIS 2026'!$AA$3:$AA$895,'MIS 2026'!$P$3:$P$895))</f>
        <v/>
      </c>
      <c r="K99" s="66" t="str">
        <f>IF(B99="","",_xlfn.XLOOKUP(B99,'MIS 2026'!$AA$3:$AA$895,'MIS 2026'!$R$3:$R$895))</f>
        <v/>
      </c>
      <c r="L99" s="66" t="str">
        <f>IF(B99="","",_xlfn.XLOOKUP(B99,'MIS 2026'!$AA$3:$AA$895,'MIS 2026'!$S$3:$S$895))</f>
        <v/>
      </c>
    </row>
    <row r="100" spans="1:12" ht="14.45">
      <c r="C100" s="65" t="str">
        <f>IF(B100="","",_xlfn.XLOOKUP(B100,'MIS 2026'!$AA$3:$AA$895,'MIS 2026'!$AB$3:$AB$895))</f>
        <v/>
      </c>
      <c r="D100" s="65" t="str">
        <f>IF(B100="","",_xlfn.XLOOKUP(B100,'MIS 2026'!$AA$3:$AA$895,'MIS 2026'!$W$3:$W$895))</f>
        <v/>
      </c>
      <c r="E100" s="66" t="str">
        <f>IF(B100="","",_xlfn.XLOOKUP(B100,'MIS 2026'!$AA$3:$AA$895,'MIS 2026'!$BI$3:$BI$895))</f>
        <v/>
      </c>
      <c r="F100" s="66"/>
      <c r="G100" s="460" t="str">
        <f>IF(B100="","",_xlfn.XLOOKUP(B100,'MIS 2026'!$AA$3:$AA$895,'MIS 2026'!$BM$3:$BM$895))</f>
        <v/>
      </c>
      <c r="H100" s="177" t="str">
        <f>IF(B100="","",_xlfn.XLOOKUP(B100,'MIS 2026'!$AA$3:$AA$895,'MIS 2026'!$BO$3:$BO$895))</f>
        <v/>
      </c>
      <c r="I100" s="66" t="str">
        <f>IF(B100="","",_xlfn.XLOOKUP(B100,'MIS 2026'!$AA$3:$AA$895,'MIS 2026'!$I$3:$I$895))</f>
        <v/>
      </c>
      <c r="J100" s="66" t="str">
        <f>IF(B100="","",_xlfn.XLOOKUP(B100,'MIS 2026'!$AA$3:$AA$895,'MIS 2026'!$P$3:$P$895))</f>
        <v/>
      </c>
      <c r="K100" s="66" t="str">
        <f>IF(B100="","",_xlfn.XLOOKUP(B100,'MIS 2026'!$AA$3:$AA$895,'MIS 2026'!$R$3:$R$895))</f>
        <v/>
      </c>
      <c r="L100" s="66" t="str">
        <f>IF(B100="","",_xlfn.XLOOKUP(B100,'MIS 2026'!$AA$3:$AA$895,'MIS 2026'!$S$3:$S$895))</f>
        <v/>
      </c>
    </row>
    <row r="101" spans="1:12" ht="14.45">
      <c r="C101" s="65" t="str">
        <f>IF(B101="","",_xlfn.XLOOKUP(B101,'MIS 2026'!$AA$3:$AA$895,'MIS 2026'!$AB$3:$AB$895))</f>
        <v/>
      </c>
      <c r="D101" s="65" t="str">
        <f>IF(B101="","",_xlfn.XLOOKUP(B101,'MIS 2026'!$AA$3:$AA$895,'MIS 2026'!$W$3:$W$895))</f>
        <v/>
      </c>
      <c r="E101" s="66" t="str">
        <f>IF(B101="","",_xlfn.XLOOKUP(B101,'MIS 2026'!$AA$3:$AA$895,'MIS 2026'!$BI$3:$BI$895))</f>
        <v/>
      </c>
      <c r="F101" s="66"/>
      <c r="G101" s="460" t="str">
        <f>IF(B101="","",_xlfn.XLOOKUP(B101,'MIS 2026'!$AA$3:$AA$895,'MIS 2026'!$BM$3:$BM$895))</f>
        <v/>
      </c>
      <c r="H101" s="177" t="str">
        <f>IF(B101="","",_xlfn.XLOOKUP(B101,'MIS 2026'!$AA$3:$AA$895,'MIS 2026'!$BO$3:$BO$895))</f>
        <v/>
      </c>
      <c r="I101" s="66" t="str">
        <f>IF(B101="","",_xlfn.XLOOKUP(B101,'MIS 2026'!$AA$3:$AA$895,'MIS 2026'!$I$3:$I$895))</f>
        <v/>
      </c>
      <c r="J101" s="66" t="str">
        <f>IF(B101="","",_xlfn.XLOOKUP(B101,'MIS 2026'!$AA$3:$AA$895,'MIS 2026'!$P$3:$P$895))</f>
        <v/>
      </c>
      <c r="K101" s="66" t="str">
        <f>IF(B101="","",_xlfn.XLOOKUP(B101,'MIS 2026'!$AA$3:$AA$895,'MIS 2026'!$R$3:$R$895))</f>
        <v/>
      </c>
      <c r="L101" s="66" t="str">
        <f>IF(B101="","",_xlfn.XLOOKUP(B101,'MIS 2026'!$AA$3:$AA$895,'MIS 2026'!$S$3:$S$895))</f>
        <v/>
      </c>
    </row>
  </sheetData>
  <autoFilter ref="A1:L101" xr:uid="{B5765496-415C-44D4-A6FE-5ED711E4B3F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DAA5-63C1-4385-9E87-19B8EBBBB542}">
  <sheetPr codeName="Sheet2"/>
  <dimension ref="A1:CG22"/>
  <sheetViews>
    <sheetView topLeftCell="K1" zoomScale="68" zoomScaleNormal="100" workbookViewId="0">
      <pane ySplit="2" topLeftCell="A10" activePane="bottomLeft" state="frozen"/>
      <selection pane="bottomLeft" activeCell="A13" sqref="A13:XFD13"/>
      <selection activeCell="D1" sqref="D1"/>
    </sheetView>
  </sheetViews>
  <sheetFormatPr defaultColWidth="27.140625" defaultRowHeight="12.95"/>
  <cols>
    <col min="1" max="1" width="12.42578125" style="223" customWidth="1"/>
    <col min="2" max="2" width="9.42578125" style="73" bestFit="1" customWidth="1"/>
    <col min="3" max="3" width="16.28515625" style="71" bestFit="1" customWidth="1"/>
    <col min="4" max="4" width="14.28515625" style="71" bestFit="1" customWidth="1"/>
    <col min="5" max="5" width="28" style="69" bestFit="1" customWidth="1"/>
    <col min="6" max="6" width="18.42578125" style="72" customWidth="1"/>
    <col min="7" max="7" width="26.7109375" style="71" customWidth="1"/>
    <col min="8" max="8" width="35.85546875" style="71" customWidth="1"/>
    <col min="9" max="9" width="28" style="70" bestFit="1" customWidth="1"/>
    <col min="10" max="10" width="17.5703125" style="70" customWidth="1"/>
    <col min="11" max="11" width="18.7109375" style="71" bestFit="1" customWidth="1"/>
    <col min="12" max="12" width="17.5703125" style="71" bestFit="1" customWidth="1"/>
    <col min="13" max="13" width="20.28515625" style="69" bestFit="1" customWidth="1"/>
    <col min="14" max="14" width="18.5703125" style="70" customWidth="1"/>
    <col min="15" max="15" width="22.7109375" style="69" customWidth="1"/>
    <col min="16" max="16" width="44.5703125" style="69" bestFit="1" customWidth="1"/>
    <col min="17" max="17" width="22.7109375" style="69" bestFit="1" customWidth="1"/>
    <col min="18" max="18" width="17.85546875" style="69" bestFit="1" customWidth="1"/>
    <col min="19" max="19" width="10.42578125" style="69" bestFit="1" customWidth="1"/>
    <col min="20" max="20" width="15.7109375" style="69" bestFit="1" customWidth="1"/>
    <col min="21" max="21" width="22.42578125" style="224" hidden="1" customWidth="1"/>
    <col min="22" max="22" width="18.140625" style="69" hidden="1" customWidth="1"/>
    <col min="23" max="23" width="22.140625" style="69" hidden="1" customWidth="1"/>
    <col min="24" max="24" width="18.42578125" style="69" hidden="1" customWidth="1"/>
    <col min="25" max="25" width="15" style="69" hidden="1" customWidth="1"/>
    <col min="26" max="26" width="23.5703125" style="69" hidden="1" customWidth="1"/>
    <col min="27" max="27" width="12.140625" style="241" bestFit="1" customWidth="1"/>
    <col min="28" max="28" width="15.5703125" style="241" customWidth="1"/>
    <col min="29" max="29" width="12.85546875" style="69" bestFit="1" customWidth="1"/>
    <col min="30" max="30" width="14.5703125" style="69" bestFit="1" customWidth="1"/>
    <col min="31" max="35" width="14.5703125" style="69" customWidth="1"/>
    <col min="36" max="36" width="16.42578125" style="69" customWidth="1"/>
    <col min="37" max="37" width="16" style="224" bestFit="1" customWidth="1"/>
    <col min="38" max="38" width="21.28515625" style="69" customWidth="1"/>
    <col min="39" max="39" width="28.28515625" style="69" bestFit="1" customWidth="1"/>
    <col min="40" max="40" width="17.28515625" style="69" bestFit="1" customWidth="1"/>
    <col min="41" max="41" width="21.140625" style="69" bestFit="1" customWidth="1"/>
    <col min="42" max="42" width="21.7109375" style="69" bestFit="1" customWidth="1"/>
    <col min="43" max="43" width="16.42578125" style="69" bestFit="1" customWidth="1"/>
    <col min="44" max="44" width="13.85546875" style="69" bestFit="1" customWidth="1"/>
    <col min="45" max="45" width="14.5703125" style="69" bestFit="1" customWidth="1"/>
    <col min="46" max="47" width="10.28515625" style="69" bestFit="1" customWidth="1"/>
    <col min="48" max="48" width="28.42578125" style="69" bestFit="1" customWidth="1"/>
    <col min="49" max="49" width="24.5703125" style="69" bestFit="1" customWidth="1"/>
    <col min="50" max="50" width="22" style="69" bestFit="1" customWidth="1"/>
    <col min="51" max="51" width="17.140625" style="69" bestFit="1" customWidth="1"/>
    <col min="52" max="52" width="17.42578125" style="69" bestFit="1" customWidth="1"/>
    <col min="53" max="53" width="16.28515625" style="69" bestFit="1" customWidth="1"/>
    <col min="54" max="54" width="19.28515625" style="69" bestFit="1" customWidth="1"/>
    <col min="55" max="55" width="15.7109375" style="69" bestFit="1" customWidth="1"/>
    <col min="56" max="56" width="19.28515625" style="69" bestFit="1" customWidth="1"/>
    <col min="57" max="58" width="13.28515625" style="69" customWidth="1"/>
    <col min="59" max="61" width="25.140625" style="69" bestFit="1" customWidth="1"/>
    <col min="62" max="62" width="18.5703125" style="69" bestFit="1" customWidth="1"/>
    <col min="63" max="63" width="1.42578125" style="69" bestFit="1" customWidth="1"/>
    <col min="64" max="64" width="27.140625" style="69" bestFit="1" customWidth="1"/>
    <col min="65" max="70" width="27.140625" style="69" customWidth="1"/>
    <col min="71" max="71" width="27.140625" style="69" bestFit="1" customWidth="1"/>
    <col min="72" max="82" width="27.140625" style="69" customWidth="1"/>
    <col min="83" max="83" width="27.140625" style="69" bestFit="1"/>
    <col min="84" max="16384" width="27.140625" style="69"/>
  </cols>
  <sheetData>
    <row r="1" spans="1:85" s="96" customFormat="1" ht="15.95">
      <c r="A1" s="104" t="s">
        <v>922</v>
      </c>
      <c r="B1" s="103"/>
      <c r="C1" s="103"/>
      <c r="D1" s="102"/>
      <c r="E1" s="101" t="s">
        <v>923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0" t="s">
        <v>924</v>
      </c>
      <c r="V1" s="99"/>
      <c r="W1" s="99"/>
      <c r="X1" s="97" t="s">
        <v>7</v>
      </c>
      <c r="Y1" s="98"/>
      <c r="Z1" s="97"/>
      <c r="AA1" s="97"/>
      <c r="AB1" s="702" t="s">
        <v>925</v>
      </c>
      <c r="AC1" s="702"/>
      <c r="AD1" s="702"/>
      <c r="AE1" s="248"/>
      <c r="AF1" s="248"/>
      <c r="AG1" s="248"/>
      <c r="AH1" s="248"/>
      <c r="AI1" s="248"/>
      <c r="AJ1" s="248"/>
      <c r="AK1" s="249"/>
      <c r="AL1" s="250"/>
      <c r="AM1" s="250"/>
      <c r="AN1" s="248"/>
      <c r="AO1" s="248"/>
      <c r="AP1" s="248"/>
      <c r="AQ1" s="248"/>
      <c r="AR1" s="248"/>
      <c r="AS1" s="248"/>
      <c r="AT1" s="248"/>
      <c r="AU1" s="251"/>
      <c r="AV1" s="252" t="s">
        <v>926</v>
      </c>
      <c r="AW1" s="253"/>
      <c r="AX1" s="254" t="s">
        <v>927</v>
      </c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5"/>
    </row>
    <row r="2" spans="1:85" s="94" customFormat="1" ht="26.1">
      <c r="A2" s="264" t="s">
        <v>928</v>
      </c>
      <c r="B2" s="264" t="s">
        <v>22</v>
      </c>
      <c r="C2" s="264" t="s">
        <v>929</v>
      </c>
      <c r="D2" s="264" t="s">
        <v>918</v>
      </c>
      <c r="E2" s="264" t="s">
        <v>930</v>
      </c>
      <c r="F2" s="244" t="s">
        <v>931</v>
      </c>
      <c r="G2" s="95" t="s">
        <v>932</v>
      </c>
      <c r="H2" s="95" t="s">
        <v>933</v>
      </c>
      <c r="I2" s="264" t="s">
        <v>934</v>
      </c>
      <c r="J2" s="244" t="s">
        <v>153</v>
      </c>
      <c r="K2" s="264" t="s">
        <v>935</v>
      </c>
      <c r="L2" s="264" t="s">
        <v>155</v>
      </c>
      <c r="M2" s="264" t="s">
        <v>158</v>
      </c>
      <c r="N2" s="264" t="s">
        <v>159</v>
      </c>
      <c r="O2" s="264" t="s">
        <v>936</v>
      </c>
      <c r="P2" s="264" t="s">
        <v>937</v>
      </c>
      <c r="Q2" s="264" t="s">
        <v>938</v>
      </c>
      <c r="R2" s="264" t="s">
        <v>939</v>
      </c>
      <c r="S2" s="264" t="s">
        <v>83</v>
      </c>
      <c r="T2" s="264" t="s">
        <v>30</v>
      </c>
      <c r="U2" s="264" t="s">
        <v>940</v>
      </c>
      <c r="V2" s="264" t="s">
        <v>156</v>
      </c>
      <c r="W2" s="264" t="s">
        <v>157</v>
      </c>
      <c r="X2" s="264" t="s">
        <v>941</v>
      </c>
      <c r="Y2" s="264" t="s">
        <v>942</v>
      </c>
      <c r="Z2" s="264" t="s">
        <v>943</v>
      </c>
      <c r="AA2" s="264" t="s">
        <v>944</v>
      </c>
      <c r="AB2" s="264" t="s">
        <v>945</v>
      </c>
      <c r="AC2" s="264" t="s">
        <v>946</v>
      </c>
      <c r="AD2" s="264" t="s">
        <v>947</v>
      </c>
      <c r="AE2" s="264" t="s">
        <v>948</v>
      </c>
      <c r="AF2" s="264" t="s">
        <v>949</v>
      </c>
      <c r="AG2" s="264" t="s">
        <v>950</v>
      </c>
      <c r="AH2" s="264" t="s">
        <v>951</v>
      </c>
      <c r="AI2" s="264" t="s">
        <v>952</v>
      </c>
      <c r="AJ2" s="264" t="s">
        <v>953</v>
      </c>
      <c r="AK2" s="264" t="s">
        <v>954</v>
      </c>
      <c r="AL2" s="264" t="s">
        <v>955</v>
      </c>
      <c r="AM2" s="264" t="s">
        <v>956</v>
      </c>
      <c r="AN2" s="264" t="s">
        <v>957</v>
      </c>
      <c r="AO2" s="264" t="s">
        <v>958</v>
      </c>
      <c r="AP2" s="264" t="s">
        <v>959</v>
      </c>
      <c r="AQ2" s="264" t="s">
        <v>960</v>
      </c>
      <c r="AR2" s="264" t="s">
        <v>961</v>
      </c>
      <c r="AS2" s="264" t="s">
        <v>962</v>
      </c>
      <c r="AT2" s="264" t="s">
        <v>917</v>
      </c>
      <c r="AU2" s="264" t="s">
        <v>34</v>
      </c>
      <c r="AV2" s="264" t="s">
        <v>963</v>
      </c>
      <c r="AW2" s="264" t="s">
        <v>964</v>
      </c>
      <c r="AX2" s="264" t="s">
        <v>965</v>
      </c>
      <c r="AY2" s="264" t="s">
        <v>112</v>
      </c>
      <c r="AZ2" s="264" t="s">
        <v>118</v>
      </c>
      <c r="BA2" s="264" t="s">
        <v>120</v>
      </c>
      <c r="BB2" s="264" t="s">
        <v>966</v>
      </c>
      <c r="BC2" s="264" t="s">
        <v>124</v>
      </c>
      <c r="BD2" s="264" t="s">
        <v>967</v>
      </c>
      <c r="BE2" s="264"/>
      <c r="BF2" s="264"/>
      <c r="BG2" s="264" t="s">
        <v>968</v>
      </c>
      <c r="BH2" s="264" t="s">
        <v>969</v>
      </c>
      <c r="BI2" s="264" t="s">
        <v>970</v>
      </c>
      <c r="BJ2" s="264" t="s">
        <v>164</v>
      </c>
    </row>
    <row r="3" spans="1:85" ht="26.1" hidden="1">
      <c r="A3" s="91">
        <v>51</v>
      </c>
      <c r="B3" s="86">
        <v>185</v>
      </c>
      <c r="C3" s="90" t="s">
        <v>208</v>
      </c>
      <c r="D3" s="87" t="s">
        <v>278</v>
      </c>
      <c r="E3" s="87">
        <v>4900008774</v>
      </c>
      <c r="F3" s="245">
        <v>46031</v>
      </c>
      <c r="G3" s="82"/>
      <c r="H3" s="82"/>
      <c r="I3" s="87" t="s">
        <v>465</v>
      </c>
      <c r="J3" s="246" t="s">
        <v>216</v>
      </c>
      <c r="K3" s="86">
        <v>200</v>
      </c>
      <c r="L3" s="86">
        <v>1550</v>
      </c>
      <c r="M3" s="83">
        <f t="shared" ref="M3:M6" si="0">L3*K3</f>
        <v>310000</v>
      </c>
      <c r="N3" s="82" t="s">
        <v>216</v>
      </c>
      <c r="O3" s="85" t="s">
        <v>971</v>
      </c>
      <c r="P3" s="85" t="s">
        <v>972</v>
      </c>
      <c r="Q3" s="76">
        <v>46054</v>
      </c>
      <c r="R3" s="83" t="s">
        <v>973</v>
      </c>
      <c r="S3" s="82" t="s">
        <v>278</v>
      </c>
      <c r="T3" s="92" t="s">
        <v>265</v>
      </c>
      <c r="U3" s="80">
        <v>0</v>
      </c>
      <c r="V3" s="77">
        <f t="shared" ref="V3:V10" si="1">U3*K3*L3</f>
        <v>0</v>
      </c>
      <c r="W3" s="76"/>
      <c r="X3" s="77"/>
      <c r="Y3" s="77"/>
      <c r="Z3" s="77"/>
      <c r="AA3" s="74">
        <v>202.654</v>
      </c>
      <c r="AB3" s="74">
        <f>AA3*L3</f>
        <v>314113.7</v>
      </c>
      <c r="AC3" s="74">
        <v>49.672825998993346</v>
      </c>
      <c r="AD3" s="93">
        <v>177.37256111401697</v>
      </c>
      <c r="AE3" s="265">
        <v>9.0510224323230706E-2</v>
      </c>
      <c r="AF3" s="74">
        <f>A3-AC3</f>
        <v>1.3271740010066537</v>
      </c>
      <c r="AG3" s="74">
        <f>B3-AD3</f>
        <v>7.6274388859830253</v>
      </c>
      <c r="AH3" s="74">
        <f>10%-AE3</f>
        <v>9.4897756767692992E-3</v>
      </c>
      <c r="AI3" s="266">
        <f>IF(AF3&gt;2,((L3/A3)*2*AA3)+(L3/A3)*(AF3-2)*AA3,((L3/A3)*AF3*AA3))</f>
        <v>8174.1869803922291</v>
      </c>
      <c r="AJ3" s="269">
        <f>AB3-AI3</f>
        <v>305939.51301960781</v>
      </c>
      <c r="AK3" s="79">
        <v>0.98</v>
      </c>
      <c r="AL3" s="269">
        <f>AJ3*AK3</f>
        <v>299820.72275921563</v>
      </c>
      <c r="AM3" s="78"/>
      <c r="AN3" s="76"/>
      <c r="AO3" s="76"/>
      <c r="AP3" s="76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6"/>
      <c r="BH3" s="76"/>
      <c r="BI3" s="76"/>
      <c r="BJ3" s="75"/>
    </row>
    <row r="4" spans="1:85" ht="26.1" hidden="1">
      <c r="A4" s="256">
        <v>51</v>
      </c>
      <c r="B4" s="257">
        <v>185</v>
      </c>
      <c r="C4" s="258" t="s">
        <v>208</v>
      </c>
      <c r="D4" s="259" t="s">
        <v>278</v>
      </c>
      <c r="E4" s="259">
        <v>4900008821</v>
      </c>
      <c r="F4" s="88">
        <v>46032</v>
      </c>
      <c r="G4" s="82"/>
      <c r="H4" s="230"/>
      <c r="I4" s="259" t="s">
        <v>497</v>
      </c>
      <c r="J4" s="82" t="s">
        <v>232</v>
      </c>
      <c r="K4" s="257">
        <v>200</v>
      </c>
      <c r="L4" s="257">
        <v>1500</v>
      </c>
      <c r="M4" s="229">
        <f t="shared" si="0"/>
        <v>300000</v>
      </c>
      <c r="N4" s="230" t="s">
        <v>232</v>
      </c>
      <c r="O4" s="231" t="s">
        <v>971</v>
      </c>
      <c r="P4" s="231" t="s">
        <v>974</v>
      </c>
      <c r="Q4" s="260" t="s">
        <v>975</v>
      </c>
      <c r="R4" s="229" t="s">
        <v>973</v>
      </c>
      <c r="S4" s="230" t="s">
        <v>278</v>
      </c>
      <c r="T4" s="233" t="s">
        <v>210</v>
      </c>
      <c r="U4" s="261">
        <v>0</v>
      </c>
      <c r="V4" s="262">
        <f t="shared" si="1"/>
        <v>0</v>
      </c>
      <c r="W4" s="236"/>
      <c r="X4" s="262"/>
      <c r="Y4" s="262"/>
      <c r="Z4" s="262"/>
      <c r="AA4" s="263"/>
      <c r="AB4" s="263"/>
      <c r="AC4" s="262"/>
      <c r="AD4" s="262">
        <f>AA4*L4</f>
        <v>0</v>
      </c>
      <c r="AE4" s="262"/>
      <c r="AF4" s="262"/>
      <c r="AG4" s="262"/>
      <c r="AH4" s="262"/>
      <c r="AI4" s="262"/>
      <c r="AJ4" s="262"/>
      <c r="AK4" s="238">
        <v>0.95</v>
      </c>
      <c r="AL4" s="269">
        <f>AK4*AA4*L4</f>
        <v>0</v>
      </c>
      <c r="AM4" s="239"/>
      <c r="AN4" s="236"/>
      <c r="AO4" s="236"/>
      <c r="AP4" s="236"/>
      <c r="AQ4" s="262"/>
      <c r="AR4" s="262"/>
      <c r="AS4" s="262"/>
      <c r="AT4" s="262"/>
      <c r="AU4" s="262"/>
      <c r="AV4" s="262"/>
      <c r="AW4" s="262"/>
      <c r="AX4" s="262"/>
      <c r="AY4" s="262"/>
      <c r="AZ4" s="262"/>
      <c r="BA4" s="262"/>
      <c r="BB4" s="262"/>
      <c r="BC4" s="262"/>
      <c r="BD4" s="262"/>
      <c r="BE4" s="262"/>
      <c r="BF4" s="262"/>
      <c r="BG4" s="236"/>
      <c r="BH4" s="236"/>
      <c r="BI4" s="236"/>
      <c r="BJ4" s="240"/>
    </row>
    <row r="5" spans="1:85" ht="26.1" hidden="1">
      <c r="A5" s="256">
        <v>51</v>
      </c>
      <c r="B5" s="257">
        <v>185</v>
      </c>
      <c r="C5" s="258"/>
      <c r="D5" s="259"/>
      <c r="E5" s="259">
        <v>4900008821</v>
      </c>
      <c r="F5" s="245"/>
      <c r="G5" s="82"/>
      <c r="H5" s="230"/>
      <c r="I5" s="259" t="s">
        <v>497</v>
      </c>
      <c r="J5" s="246"/>
      <c r="K5" s="257">
        <v>300</v>
      </c>
      <c r="L5" s="257">
        <v>1500</v>
      </c>
      <c r="M5" s="229">
        <f t="shared" ref="M5" si="2">L5*K5</f>
        <v>450000</v>
      </c>
      <c r="N5" s="230"/>
      <c r="O5" s="231"/>
      <c r="P5" s="231" t="s">
        <v>976</v>
      </c>
      <c r="Q5" s="260" t="s">
        <v>975</v>
      </c>
      <c r="R5" s="229" t="s">
        <v>973</v>
      </c>
      <c r="S5" s="230" t="s">
        <v>278</v>
      </c>
      <c r="T5" s="233" t="s">
        <v>210</v>
      </c>
      <c r="U5" s="261"/>
      <c r="V5" s="262"/>
      <c r="W5" s="236"/>
      <c r="X5" s="262"/>
      <c r="Y5" s="262"/>
      <c r="Z5" s="262"/>
      <c r="AA5" s="263"/>
      <c r="AB5" s="263"/>
      <c r="AC5" s="262"/>
      <c r="AD5" s="262">
        <f>AA5*L5</f>
        <v>0</v>
      </c>
      <c r="AE5" s="262"/>
      <c r="AF5" s="262"/>
      <c r="AG5" s="262"/>
      <c r="AH5" s="262"/>
      <c r="AI5" s="262"/>
      <c r="AJ5" s="262"/>
      <c r="AK5" s="238">
        <v>0.95</v>
      </c>
      <c r="AL5" s="269">
        <f>AK5*AA5*L5</f>
        <v>0</v>
      </c>
      <c r="AM5" s="239"/>
      <c r="AN5" s="236"/>
      <c r="AO5" s="236"/>
      <c r="AP5" s="236"/>
      <c r="AQ5" s="262"/>
      <c r="AR5" s="262"/>
      <c r="AS5" s="262"/>
      <c r="AT5" s="262"/>
      <c r="AU5" s="262"/>
      <c r="AV5" s="262"/>
      <c r="AW5" s="262"/>
      <c r="AX5" s="262"/>
      <c r="AY5" s="262"/>
      <c r="AZ5" s="262"/>
      <c r="BA5" s="262"/>
      <c r="BB5" s="262"/>
      <c r="BC5" s="262"/>
      <c r="BD5" s="262"/>
      <c r="BE5" s="262"/>
      <c r="BF5" s="262"/>
      <c r="BG5" s="236"/>
      <c r="BH5" s="236"/>
      <c r="BI5" s="236"/>
      <c r="BJ5" s="240"/>
    </row>
    <row r="6" spans="1:85" hidden="1">
      <c r="A6" s="91">
        <v>51</v>
      </c>
      <c r="B6" s="86">
        <v>180</v>
      </c>
      <c r="C6" s="90" t="s">
        <v>208</v>
      </c>
      <c r="D6" s="87" t="s">
        <v>278</v>
      </c>
      <c r="E6" s="89" t="s">
        <v>977</v>
      </c>
      <c r="F6" s="245">
        <v>46041</v>
      </c>
      <c r="G6" s="82"/>
      <c r="H6" s="82"/>
      <c r="I6" s="87" t="s">
        <v>326</v>
      </c>
      <c r="J6" s="246" t="s">
        <v>232</v>
      </c>
      <c r="K6" s="86">
        <v>200</v>
      </c>
      <c r="L6" s="86">
        <v>1500</v>
      </c>
      <c r="M6" s="83">
        <f t="shared" si="0"/>
        <v>300000</v>
      </c>
      <c r="N6" s="82" t="s">
        <v>232</v>
      </c>
      <c r="O6" s="85" t="s">
        <v>971</v>
      </c>
      <c r="P6" s="85" t="s">
        <v>978</v>
      </c>
      <c r="Q6" s="84" t="s">
        <v>975</v>
      </c>
      <c r="R6" s="83" t="s">
        <v>973</v>
      </c>
      <c r="S6" s="82" t="s">
        <v>278</v>
      </c>
      <c r="T6" s="81" t="s">
        <v>979</v>
      </c>
      <c r="U6" s="80">
        <v>0</v>
      </c>
      <c r="V6" s="77">
        <f t="shared" si="1"/>
        <v>0</v>
      </c>
      <c r="W6" s="76"/>
      <c r="X6" s="77"/>
      <c r="Y6" s="77"/>
      <c r="Z6" s="77"/>
      <c r="AA6" s="74">
        <v>206.74</v>
      </c>
      <c r="AB6" s="74">
        <f t="shared" ref="AB6:AB9" si="3">AA6*L6</f>
        <v>310110</v>
      </c>
      <c r="AC6" s="83">
        <v>48.65</v>
      </c>
      <c r="AD6" s="77">
        <v>180.88</v>
      </c>
      <c r="AE6" s="265">
        <v>9.4299999999999995E-2</v>
      </c>
      <c r="AF6" s="74">
        <f t="shared" ref="AF6:AG8" si="4">A6-AC6</f>
        <v>2.3500000000000014</v>
      </c>
      <c r="AG6" s="74">
        <f t="shared" si="4"/>
        <v>-0.87999999999999545</v>
      </c>
      <c r="AH6" s="74">
        <f>10%-AE6</f>
        <v>5.7000000000000106E-3</v>
      </c>
      <c r="AI6" s="266">
        <f>IF(AF6&gt;2,((L6/A6)*2*AA6)+(L6/A6)*(AF6-2)*AA6,((L6/A6)*AF6*AA6))</f>
        <v>14289.382352941186</v>
      </c>
      <c r="AJ6" s="269">
        <f t="shared" ref="AJ6:AJ8" si="5">AB6-AI6</f>
        <v>295820.6176470588</v>
      </c>
      <c r="AK6" s="79">
        <v>0.9</v>
      </c>
      <c r="AL6" s="269">
        <f t="shared" ref="AL6:AL8" si="6">AJ6*AK6</f>
        <v>266238.55588235293</v>
      </c>
      <c r="AM6" s="78"/>
      <c r="AN6" s="76"/>
      <c r="AO6" s="76"/>
      <c r="AP6" s="76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6"/>
      <c r="BH6" s="76"/>
      <c r="BI6" s="76"/>
      <c r="BJ6" s="75"/>
    </row>
    <row r="7" spans="1:85" hidden="1">
      <c r="A7" s="91">
        <v>51</v>
      </c>
      <c r="B7" s="86">
        <v>180</v>
      </c>
      <c r="C7" s="90" t="s">
        <v>208</v>
      </c>
      <c r="D7" s="87" t="s">
        <v>278</v>
      </c>
      <c r="E7" s="89" t="s">
        <v>980</v>
      </c>
      <c r="F7" s="245"/>
      <c r="G7" s="82"/>
      <c r="H7" s="82"/>
      <c r="I7" s="87" t="s">
        <v>326</v>
      </c>
      <c r="J7" s="246"/>
      <c r="K7" s="86">
        <v>300</v>
      </c>
      <c r="L7" s="86">
        <v>1500</v>
      </c>
      <c r="M7" s="83">
        <f t="shared" ref="M7" si="7">L7*K7</f>
        <v>450000</v>
      </c>
      <c r="N7" s="82" t="s">
        <v>232</v>
      </c>
      <c r="O7" s="85" t="s">
        <v>971</v>
      </c>
      <c r="P7" s="85" t="s">
        <v>978</v>
      </c>
      <c r="Q7" s="84" t="s">
        <v>975</v>
      </c>
      <c r="R7" s="83" t="s">
        <v>973</v>
      </c>
      <c r="S7" s="82" t="s">
        <v>278</v>
      </c>
      <c r="T7" s="81" t="s">
        <v>979</v>
      </c>
      <c r="U7" s="80">
        <v>0</v>
      </c>
      <c r="V7" s="77">
        <f t="shared" ref="V7" si="8">U7*K7*L7</f>
        <v>0</v>
      </c>
      <c r="W7" s="76"/>
      <c r="X7" s="77"/>
      <c r="Y7" s="77"/>
      <c r="Z7" s="77"/>
      <c r="AA7" s="74">
        <v>313.33800000000002</v>
      </c>
      <c r="AB7" s="74">
        <f t="shared" si="3"/>
        <v>470007.00000000006</v>
      </c>
      <c r="AC7" s="83">
        <v>49.07</v>
      </c>
      <c r="AD7" s="77">
        <v>180</v>
      </c>
      <c r="AE7" s="265">
        <v>9.1600000000000001E-2</v>
      </c>
      <c r="AF7" s="269">
        <f t="shared" si="4"/>
        <v>1.9299999999999997</v>
      </c>
      <c r="AG7" s="269">
        <f t="shared" si="4"/>
        <v>0</v>
      </c>
      <c r="AH7" s="269">
        <f>10%-AE7</f>
        <v>8.4000000000000047E-3</v>
      </c>
      <c r="AI7" s="266">
        <f>IF(AF7&gt;2,((L7/A7)*2*AA7)+(L7/A7)*(AF7-2)*AA7,((L7/A7)*AF7*AA7))</f>
        <v>17786.539411764705</v>
      </c>
      <c r="AJ7" s="269">
        <f>AB7-AI7</f>
        <v>452220.46058823535</v>
      </c>
      <c r="AK7" s="79">
        <v>0.9</v>
      </c>
      <c r="AL7" s="269">
        <f>AJ7*AK7</f>
        <v>406998.41452941182</v>
      </c>
      <c r="AM7" s="78"/>
      <c r="AN7" s="76"/>
      <c r="AO7" s="76"/>
      <c r="AP7" s="76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6"/>
      <c r="BH7" s="76"/>
      <c r="BI7" s="76"/>
      <c r="BJ7" s="75"/>
    </row>
    <row r="8" spans="1:85" hidden="1">
      <c r="A8" s="194">
        <v>48</v>
      </c>
      <c r="B8" s="195">
        <v>185</v>
      </c>
      <c r="C8" s="145" t="s">
        <v>208</v>
      </c>
      <c r="D8" s="149" t="s">
        <v>278</v>
      </c>
      <c r="E8" s="149">
        <v>4900009264</v>
      </c>
      <c r="F8" s="283">
        <v>46092</v>
      </c>
      <c r="G8" s="82"/>
      <c r="H8" s="82"/>
      <c r="I8" s="149" t="s">
        <v>326</v>
      </c>
      <c r="J8" s="246" t="s">
        <v>232</v>
      </c>
      <c r="K8" s="195">
        <v>200</v>
      </c>
      <c r="L8" s="195">
        <v>1390</v>
      </c>
      <c r="M8" s="83">
        <f t="shared" ref="M8:M14" si="9">L8*K8</f>
        <v>278000</v>
      </c>
      <c r="N8" s="82" t="s">
        <v>232</v>
      </c>
      <c r="O8" s="85" t="s">
        <v>971</v>
      </c>
      <c r="P8" s="85" t="s">
        <v>978</v>
      </c>
      <c r="Q8" s="84" t="s">
        <v>981</v>
      </c>
      <c r="R8" s="83" t="s">
        <v>973</v>
      </c>
      <c r="S8" s="82" t="s">
        <v>278</v>
      </c>
      <c r="T8" s="81" t="s">
        <v>982</v>
      </c>
      <c r="U8" s="199">
        <v>0</v>
      </c>
      <c r="V8" s="200">
        <f t="shared" si="1"/>
        <v>0</v>
      </c>
      <c r="W8" s="76"/>
      <c r="X8" s="200"/>
      <c r="Y8" s="200"/>
      <c r="Z8" s="200"/>
      <c r="AA8" s="201">
        <v>208.27</v>
      </c>
      <c r="AB8" s="74">
        <f t="shared" si="3"/>
        <v>289495.3</v>
      </c>
      <c r="AC8" s="242">
        <v>47.799748643587648</v>
      </c>
      <c r="AD8" s="243">
        <v>183.13292841023673</v>
      </c>
      <c r="AE8" s="265">
        <v>9.4136097373601568E-2</v>
      </c>
      <c r="AF8" s="74">
        <f t="shared" si="4"/>
        <v>0.20025135641235181</v>
      </c>
      <c r="AG8" s="74">
        <f t="shared" si="4"/>
        <v>1.8670715897632704</v>
      </c>
      <c r="AH8" s="74">
        <f>10%-AE8</f>
        <v>5.8639026263984373E-3</v>
      </c>
      <c r="AI8" s="266">
        <f>IF(AF8&gt;2,((L8/A8)*2*AA8)+(L8/A8)*(AF8-2)*AA8,((L8/A8)*AF8*AA8))</f>
        <v>1207.7463854166815</v>
      </c>
      <c r="AJ8" s="269">
        <f t="shared" si="5"/>
        <v>288287.55361458333</v>
      </c>
      <c r="AK8" s="79">
        <v>0.9</v>
      </c>
      <c r="AL8" s="269">
        <f t="shared" si="6"/>
        <v>259458.79825312502</v>
      </c>
      <c r="AM8" s="78"/>
      <c r="AN8" s="76"/>
      <c r="AO8" s="76"/>
      <c r="AP8" s="76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76"/>
      <c r="BH8" s="76"/>
      <c r="BI8" s="76"/>
      <c r="BJ8" s="75"/>
      <c r="BK8" s="202"/>
      <c r="BL8" s="202"/>
      <c r="BM8" s="202"/>
      <c r="BN8" s="202"/>
      <c r="BO8" s="202"/>
      <c r="BP8" s="202"/>
      <c r="BQ8" s="202"/>
      <c r="BR8" s="202"/>
      <c r="BS8" s="202"/>
      <c r="BT8" s="202"/>
      <c r="BU8" s="202"/>
      <c r="BV8" s="202"/>
      <c r="BW8" s="202"/>
      <c r="BX8" s="202"/>
      <c r="BY8" s="202"/>
      <c r="BZ8" s="202"/>
      <c r="CA8" s="202"/>
      <c r="CB8" s="202"/>
      <c r="CC8" s="202"/>
      <c r="CD8" s="202"/>
      <c r="CE8" s="202"/>
    </row>
    <row r="9" spans="1:85" ht="39" hidden="1">
      <c r="A9" s="221">
        <v>49</v>
      </c>
      <c r="B9" s="222">
        <v>185</v>
      </c>
      <c r="C9" s="90" t="s">
        <v>208</v>
      </c>
      <c r="D9" s="87" t="s">
        <v>278</v>
      </c>
      <c r="E9" s="87">
        <v>4900009113</v>
      </c>
      <c r="F9" s="245">
        <v>46065</v>
      </c>
      <c r="G9" s="82"/>
      <c r="H9" s="82"/>
      <c r="I9" s="144" t="s">
        <v>307</v>
      </c>
      <c r="J9" s="246" t="s">
        <v>232</v>
      </c>
      <c r="K9" s="222">
        <v>500</v>
      </c>
      <c r="L9" s="222">
        <v>1600</v>
      </c>
      <c r="M9" s="83">
        <f>L9*K9</f>
        <v>800000</v>
      </c>
      <c r="N9" s="82" t="s">
        <v>232</v>
      </c>
      <c r="O9" s="85" t="s">
        <v>971</v>
      </c>
      <c r="P9" s="85" t="s">
        <v>983</v>
      </c>
      <c r="Q9" s="84" t="s">
        <v>984</v>
      </c>
      <c r="R9" s="83" t="s">
        <v>973</v>
      </c>
      <c r="S9" s="82" t="s">
        <v>278</v>
      </c>
      <c r="T9" s="81" t="s">
        <v>265</v>
      </c>
      <c r="U9" s="80">
        <v>0</v>
      </c>
      <c r="V9" s="200">
        <f t="shared" si="1"/>
        <v>0</v>
      </c>
      <c r="W9" s="76"/>
      <c r="X9" s="200"/>
      <c r="Y9" s="200"/>
      <c r="Z9" s="200"/>
      <c r="AA9" s="220">
        <v>520.28300000000002</v>
      </c>
      <c r="AB9" s="74">
        <f t="shared" si="3"/>
        <v>832452.8</v>
      </c>
      <c r="AC9" s="267">
        <v>49.030061255124622</v>
      </c>
      <c r="AD9" s="268">
        <v>176.22988258313268</v>
      </c>
      <c r="AE9" s="265">
        <v>9.0744890761374083E-2</v>
      </c>
      <c r="AF9" s="74"/>
      <c r="AG9" s="74">
        <f>B9-AD9</f>
        <v>8.7701174168673219</v>
      </c>
      <c r="AH9" s="74">
        <f>10%-AE9</f>
        <v>9.2551092386259221E-3</v>
      </c>
      <c r="AI9" s="266">
        <f>IF(AF9&gt;2,((L9/A9)*2*AA9)+(L9/A9)*(AF9-2)*AA9,((L9/A9)*AF9*AA9))</f>
        <v>0</v>
      </c>
      <c r="AJ9" s="269">
        <f>AB9-AI9</f>
        <v>832452.8</v>
      </c>
      <c r="AK9" s="79">
        <v>0.98</v>
      </c>
      <c r="AL9" s="269">
        <f>AJ9*AK9</f>
        <v>815803.74400000006</v>
      </c>
      <c r="AM9" s="78"/>
      <c r="AN9" s="76"/>
      <c r="AO9" s="76"/>
      <c r="AP9" s="76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76"/>
      <c r="BJ9" s="76"/>
      <c r="BK9" s="247"/>
      <c r="BL9" s="75"/>
    </row>
    <row r="10" spans="1:85" ht="26.1">
      <c r="A10" s="194">
        <v>48</v>
      </c>
      <c r="B10" s="195">
        <v>200</v>
      </c>
      <c r="C10" s="145" t="s">
        <v>208</v>
      </c>
      <c r="D10" s="149" t="s">
        <v>985</v>
      </c>
      <c r="E10" s="149">
        <v>4900009228</v>
      </c>
      <c r="F10" s="196">
        <v>46087</v>
      </c>
      <c r="G10" s="82"/>
      <c r="H10" s="82" t="s">
        <v>986</v>
      </c>
      <c r="I10" s="616" t="s">
        <v>652</v>
      </c>
      <c r="J10" s="82" t="s">
        <v>232</v>
      </c>
      <c r="K10" s="195">
        <v>100</v>
      </c>
      <c r="L10" s="195">
        <v>1275</v>
      </c>
      <c r="M10" s="83">
        <f t="shared" si="9"/>
        <v>127500</v>
      </c>
      <c r="N10" s="82" t="s">
        <v>232</v>
      </c>
      <c r="O10" s="85" t="s">
        <v>971</v>
      </c>
      <c r="P10" s="85" t="s">
        <v>987</v>
      </c>
      <c r="Q10" s="198">
        <v>46082</v>
      </c>
      <c r="R10" s="83" t="s">
        <v>973</v>
      </c>
      <c r="S10" s="149" t="s">
        <v>985</v>
      </c>
      <c r="T10" s="81" t="s">
        <v>346</v>
      </c>
      <c r="U10" s="199">
        <v>0</v>
      </c>
      <c r="V10" s="200">
        <f t="shared" si="1"/>
        <v>0</v>
      </c>
      <c r="W10" s="76"/>
      <c r="X10" s="200"/>
      <c r="Y10" s="200"/>
      <c r="Z10" s="200"/>
      <c r="AA10" s="201"/>
      <c r="AB10" s="201"/>
      <c r="AC10" s="200"/>
      <c r="AD10" s="200">
        <f t="shared" ref="AD10:AD16" si="10">AA10*L10</f>
        <v>0</v>
      </c>
      <c r="AE10" s="200"/>
      <c r="AF10" s="200"/>
      <c r="AG10" s="200"/>
      <c r="AH10" s="200"/>
      <c r="AI10" s="200"/>
      <c r="AJ10" s="200"/>
      <c r="AK10" s="79"/>
      <c r="AL10" s="269"/>
      <c r="AM10" s="78"/>
      <c r="AN10" s="76"/>
      <c r="AO10" s="76"/>
      <c r="AP10" s="76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76"/>
      <c r="BJ10" s="76"/>
      <c r="BK10" s="76"/>
      <c r="BL10" s="75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2"/>
      <c r="CA10" s="202"/>
      <c r="CB10" s="202"/>
      <c r="CC10" s="202"/>
      <c r="CD10" s="202"/>
      <c r="CE10" s="202"/>
      <c r="CF10" s="202"/>
      <c r="CG10" s="202"/>
    </row>
    <row r="11" spans="1:85" ht="26.1" hidden="1">
      <c r="A11" s="194">
        <v>48</v>
      </c>
      <c r="B11" s="195" t="s">
        <v>988</v>
      </c>
      <c r="C11" s="145" t="s">
        <v>208</v>
      </c>
      <c r="D11" s="149" t="s">
        <v>259</v>
      </c>
      <c r="E11" s="149">
        <v>4900009347</v>
      </c>
      <c r="F11" s="196">
        <v>46104</v>
      </c>
      <c r="G11" s="82" t="s">
        <v>989</v>
      </c>
      <c r="H11" s="82"/>
      <c r="I11" s="197" t="s">
        <v>990</v>
      </c>
      <c r="J11" s="82" t="s">
        <v>216</v>
      </c>
      <c r="K11" s="195">
        <v>1000</v>
      </c>
      <c r="L11" s="195">
        <v>1450</v>
      </c>
      <c r="M11" s="83">
        <f t="shared" si="9"/>
        <v>1450000</v>
      </c>
      <c r="N11" s="82" t="s">
        <v>232</v>
      </c>
      <c r="O11" s="85" t="s">
        <v>971</v>
      </c>
      <c r="P11" s="85" t="s">
        <v>991</v>
      </c>
      <c r="Q11" s="198">
        <v>46113</v>
      </c>
      <c r="R11" s="83" t="s">
        <v>973</v>
      </c>
      <c r="S11" s="149" t="s">
        <v>259</v>
      </c>
      <c r="T11" s="81" t="s">
        <v>409</v>
      </c>
      <c r="U11" s="199">
        <v>0</v>
      </c>
      <c r="V11" s="200">
        <f t="shared" ref="V11:V16" si="11">U11*K11*L11</f>
        <v>0</v>
      </c>
      <c r="W11" s="76"/>
      <c r="X11" s="200"/>
      <c r="Y11" s="200"/>
      <c r="Z11" s="200"/>
      <c r="AA11" s="201"/>
      <c r="AB11" s="201"/>
      <c r="AC11" s="200"/>
      <c r="AD11" s="200">
        <f t="shared" si="10"/>
        <v>0</v>
      </c>
      <c r="AE11" s="200"/>
      <c r="AF11" s="200"/>
      <c r="AG11" s="200"/>
      <c r="AH11" s="200"/>
      <c r="AI11" s="200"/>
      <c r="AJ11" s="200"/>
      <c r="AK11" s="79"/>
      <c r="AL11" s="78"/>
      <c r="AM11" s="78"/>
      <c r="AN11" s="76"/>
      <c r="AO11" s="76"/>
      <c r="AP11" s="76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76"/>
      <c r="BJ11" s="76"/>
      <c r="BK11" s="76"/>
      <c r="BL11" s="75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2"/>
    </row>
    <row r="12" spans="1:85" ht="26.1" hidden="1">
      <c r="A12" s="194">
        <v>47</v>
      </c>
      <c r="B12" s="195">
        <v>200</v>
      </c>
      <c r="C12" s="145" t="s">
        <v>208</v>
      </c>
      <c r="D12" s="149" t="s">
        <v>375</v>
      </c>
      <c r="E12" s="149">
        <v>4900009476</v>
      </c>
      <c r="F12" s="196">
        <v>46108</v>
      </c>
      <c r="G12" s="82"/>
      <c r="H12" s="82"/>
      <c r="I12" s="197" t="s">
        <v>382</v>
      </c>
      <c r="J12" s="82" t="s">
        <v>216</v>
      </c>
      <c r="K12" s="195">
        <v>100</v>
      </c>
      <c r="L12" s="195">
        <v>1435</v>
      </c>
      <c r="M12" s="83">
        <f t="shared" si="9"/>
        <v>143500</v>
      </c>
      <c r="N12" s="82" t="s">
        <v>216</v>
      </c>
      <c r="O12" s="85" t="s">
        <v>971</v>
      </c>
      <c r="P12" s="85" t="s">
        <v>992</v>
      </c>
      <c r="Q12" s="198">
        <v>46122</v>
      </c>
      <c r="R12" s="83" t="s">
        <v>973</v>
      </c>
      <c r="S12" s="149" t="s">
        <v>375</v>
      </c>
      <c r="T12" s="81" t="s">
        <v>409</v>
      </c>
      <c r="U12" s="199">
        <v>0</v>
      </c>
      <c r="V12" s="200">
        <f t="shared" si="11"/>
        <v>0</v>
      </c>
      <c r="W12" s="76"/>
      <c r="X12" s="200"/>
      <c r="Y12" s="200"/>
      <c r="Z12" s="200"/>
      <c r="AA12" s="201"/>
      <c r="AB12" s="201"/>
      <c r="AC12" s="200"/>
      <c r="AD12" s="200">
        <f t="shared" si="10"/>
        <v>0</v>
      </c>
      <c r="AE12" s="200"/>
      <c r="AF12" s="200"/>
      <c r="AG12" s="200"/>
      <c r="AH12" s="200"/>
      <c r="AI12" s="200"/>
      <c r="AJ12" s="200"/>
      <c r="AK12" s="79"/>
      <c r="AL12" s="78"/>
      <c r="AM12" s="78"/>
      <c r="AN12" s="76"/>
      <c r="AO12" s="76"/>
      <c r="AP12" s="76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76"/>
      <c r="BJ12" s="76"/>
      <c r="BK12" s="76"/>
      <c r="BL12" s="75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2"/>
    </row>
    <row r="13" spans="1:85" ht="26.1">
      <c r="A13" s="194">
        <v>48</v>
      </c>
      <c r="B13" s="195">
        <v>200</v>
      </c>
      <c r="C13" s="145" t="s">
        <v>208</v>
      </c>
      <c r="D13" s="149" t="s">
        <v>985</v>
      </c>
      <c r="E13" s="149">
        <v>4900009438</v>
      </c>
      <c r="F13" s="196">
        <v>46111</v>
      </c>
      <c r="G13" s="82"/>
      <c r="H13" s="82" t="s">
        <v>986</v>
      </c>
      <c r="I13" s="197" t="s">
        <v>652</v>
      </c>
      <c r="J13" s="82" t="s">
        <v>232</v>
      </c>
      <c r="K13" s="195">
        <v>100</v>
      </c>
      <c r="L13" s="195">
        <v>1290</v>
      </c>
      <c r="M13" s="83">
        <f t="shared" si="9"/>
        <v>129000</v>
      </c>
      <c r="N13" s="82" t="s">
        <v>232</v>
      </c>
      <c r="O13" s="85" t="s">
        <v>971</v>
      </c>
      <c r="P13" s="85" t="s">
        <v>993</v>
      </c>
      <c r="Q13" s="198">
        <v>46142</v>
      </c>
      <c r="R13" s="83" t="s">
        <v>973</v>
      </c>
      <c r="S13" s="149" t="s">
        <v>985</v>
      </c>
      <c r="T13" s="81" t="s">
        <v>994</v>
      </c>
      <c r="U13" s="199">
        <v>0</v>
      </c>
      <c r="V13" s="200">
        <f t="shared" si="11"/>
        <v>0</v>
      </c>
      <c r="W13" s="76"/>
      <c r="X13" s="200"/>
      <c r="Y13" s="200"/>
      <c r="Z13" s="200"/>
      <c r="AA13" s="201"/>
      <c r="AB13" s="201"/>
      <c r="AC13" s="200"/>
      <c r="AD13" s="200">
        <f t="shared" si="10"/>
        <v>0</v>
      </c>
      <c r="AE13" s="200"/>
      <c r="AF13" s="200"/>
      <c r="AG13" s="200"/>
      <c r="AH13" s="200"/>
      <c r="AI13" s="200"/>
      <c r="AJ13" s="200"/>
      <c r="AK13" s="79"/>
      <c r="AL13" s="78"/>
      <c r="AM13" s="78"/>
      <c r="AN13" s="76"/>
      <c r="AO13" s="76"/>
      <c r="AP13" s="76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76"/>
      <c r="BJ13" s="76"/>
      <c r="BK13" s="76"/>
      <c r="BL13" s="75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202"/>
      <c r="CC13" s="202"/>
      <c r="CD13" s="202"/>
      <c r="CE13" s="202"/>
      <c r="CF13" s="202"/>
      <c r="CG13" s="202"/>
    </row>
    <row r="14" spans="1:85" ht="26.1">
      <c r="A14" s="225">
        <v>49</v>
      </c>
      <c r="B14" s="195">
        <v>200</v>
      </c>
      <c r="C14" s="145" t="s">
        <v>208</v>
      </c>
      <c r="D14" s="226" t="s">
        <v>985</v>
      </c>
      <c r="E14" s="226">
        <v>4900009477</v>
      </c>
      <c r="F14" s="196">
        <v>46118</v>
      </c>
      <c r="G14" s="82"/>
      <c r="H14" s="230" t="s">
        <v>995</v>
      </c>
      <c r="I14" s="227" t="s">
        <v>796</v>
      </c>
      <c r="J14" s="82" t="s">
        <v>216</v>
      </c>
      <c r="K14" s="228">
        <v>500</v>
      </c>
      <c r="L14" s="228">
        <v>1510</v>
      </c>
      <c r="M14" s="229">
        <f t="shared" si="9"/>
        <v>755000</v>
      </c>
      <c r="N14" s="230" t="s">
        <v>216</v>
      </c>
      <c r="O14" s="231" t="s">
        <v>971</v>
      </c>
      <c r="P14" s="231" t="s">
        <v>996</v>
      </c>
      <c r="Q14" s="232" t="s">
        <v>816</v>
      </c>
      <c r="R14" s="229" t="s">
        <v>973</v>
      </c>
      <c r="S14" s="226" t="s">
        <v>985</v>
      </c>
      <c r="T14" s="233" t="s">
        <v>994</v>
      </c>
      <c r="U14" s="234">
        <v>0</v>
      </c>
      <c r="V14" s="235">
        <f t="shared" si="11"/>
        <v>0</v>
      </c>
      <c r="W14" s="236"/>
      <c r="X14" s="235"/>
      <c r="Y14" s="235"/>
      <c r="Z14" s="235"/>
      <c r="AA14" s="237"/>
      <c r="AB14" s="237"/>
      <c r="AC14" s="235"/>
      <c r="AD14" s="235">
        <f t="shared" si="10"/>
        <v>0</v>
      </c>
      <c r="AE14" s="235"/>
      <c r="AF14" s="235"/>
      <c r="AG14" s="235"/>
      <c r="AH14" s="235"/>
      <c r="AI14" s="235"/>
      <c r="AJ14" s="235"/>
      <c r="AK14" s="238"/>
      <c r="AL14" s="239"/>
      <c r="AM14" s="239"/>
      <c r="AN14" s="236"/>
      <c r="AO14" s="236"/>
      <c r="AP14" s="236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6"/>
      <c r="BJ14" s="236"/>
      <c r="BK14" s="236"/>
      <c r="BL14" s="240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  <c r="CG14" s="202"/>
    </row>
    <row r="15" spans="1:85" ht="39" hidden="1">
      <c r="A15" s="194">
        <v>46</v>
      </c>
      <c r="B15" s="195">
        <v>200</v>
      </c>
      <c r="C15" s="145" t="s">
        <v>208</v>
      </c>
      <c r="D15" s="149" t="s">
        <v>375</v>
      </c>
      <c r="E15" s="149">
        <v>4900009530</v>
      </c>
      <c r="F15" s="196">
        <v>46108</v>
      </c>
      <c r="G15" s="82"/>
      <c r="H15" s="82"/>
      <c r="I15" s="197" t="s">
        <v>382</v>
      </c>
      <c r="J15" s="82" t="s">
        <v>216</v>
      </c>
      <c r="K15" s="195">
        <v>250</v>
      </c>
      <c r="L15" s="195">
        <v>1425</v>
      </c>
      <c r="M15" s="83">
        <f t="shared" ref="M15" si="12">L15*K15</f>
        <v>356250</v>
      </c>
      <c r="N15" s="82" t="s">
        <v>216</v>
      </c>
      <c r="O15" s="85" t="s">
        <v>971</v>
      </c>
      <c r="P15" s="85" t="s">
        <v>997</v>
      </c>
      <c r="Q15" s="198" t="s">
        <v>998</v>
      </c>
      <c r="R15" s="83" t="s">
        <v>973</v>
      </c>
      <c r="S15" s="149" t="s">
        <v>375</v>
      </c>
      <c r="T15" s="81" t="s">
        <v>409</v>
      </c>
      <c r="U15" s="199">
        <v>0</v>
      </c>
      <c r="V15" s="200">
        <f t="shared" si="11"/>
        <v>0</v>
      </c>
      <c r="W15" s="76"/>
      <c r="X15" s="200"/>
      <c r="Y15" s="200"/>
      <c r="Z15" s="200"/>
      <c r="AA15" s="201"/>
      <c r="AB15" s="201"/>
      <c r="AC15" s="200"/>
      <c r="AD15" s="200">
        <f t="shared" si="10"/>
        <v>0</v>
      </c>
      <c r="AE15" s="200"/>
      <c r="AF15" s="200"/>
      <c r="AG15" s="200"/>
      <c r="AH15" s="200"/>
      <c r="AI15" s="200"/>
      <c r="AJ15" s="200"/>
      <c r="AK15" s="79"/>
      <c r="AL15" s="78"/>
      <c r="AM15" s="78"/>
      <c r="AN15" s="76"/>
      <c r="AO15" s="76"/>
      <c r="AP15" s="76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00"/>
      <c r="BI15" s="76"/>
      <c r="BJ15" s="76"/>
      <c r="BK15" s="76"/>
      <c r="BL15" s="75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202"/>
      <c r="CC15" s="202"/>
      <c r="CD15" s="202"/>
      <c r="CE15" s="202"/>
      <c r="CF15" s="202"/>
      <c r="CG15" s="202"/>
    </row>
    <row r="16" spans="1:85" ht="51.95" hidden="1">
      <c r="A16" s="194">
        <v>46</v>
      </c>
      <c r="B16" s="195">
        <v>175</v>
      </c>
      <c r="C16" s="145" t="s">
        <v>208</v>
      </c>
      <c r="D16" s="149" t="s">
        <v>245</v>
      </c>
      <c r="E16" s="149">
        <v>4900009683</v>
      </c>
      <c r="F16" s="196">
        <v>46108</v>
      </c>
      <c r="G16" s="82" t="s">
        <v>989</v>
      </c>
      <c r="H16" s="82"/>
      <c r="I16" s="197" t="s">
        <v>999</v>
      </c>
      <c r="J16" s="82" t="s">
        <v>216</v>
      </c>
      <c r="K16" s="195">
        <v>100</v>
      </c>
      <c r="L16" s="195">
        <v>1400</v>
      </c>
      <c r="M16" s="83">
        <f t="shared" ref="M16" si="13">L16*K16</f>
        <v>140000</v>
      </c>
      <c r="N16" s="82" t="s">
        <v>216</v>
      </c>
      <c r="O16" s="85" t="s">
        <v>971</v>
      </c>
      <c r="P16" s="85" t="s">
        <v>1000</v>
      </c>
      <c r="Q16" s="198" t="s">
        <v>1001</v>
      </c>
      <c r="R16" s="83" t="s">
        <v>973</v>
      </c>
      <c r="S16" s="149" t="s">
        <v>245</v>
      </c>
      <c r="T16" s="81" t="s">
        <v>409</v>
      </c>
      <c r="U16" s="199">
        <v>0</v>
      </c>
      <c r="V16" s="200">
        <f t="shared" si="11"/>
        <v>0</v>
      </c>
      <c r="W16" s="76"/>
      <c r="X16" s="200"/>
      <c r="Y16" s="200"/>
      <c r="Z16" s="200"/>
      <c r="AA16" s="201"/>
      <c r="AB16" s="201"/>
      <c r="AC16" s="200"/>
      <c r="AD16" s="200">
        <f t="shared" si="10"/>
        <v>0</v>
      </c>
      <c r="AE16" s="200"/>
      <c r="AF16" s="200"/>
      <c r="AG16" s="200"/>
      <c r="AH16" s="200"/>
      <c r="AI16" s="200"/>
      <c r="AJ16" s="200"/>
      <c r="AK16" s="79"/>
      <c r="AL16" s="78"/>
      <c r="AM16" s="78"/>
      <c r="AN16" s="76"/>
      <c r="AO16" s="76"/>
      <c r="AP16" s="76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76"/>
      <c r="BJ16" s="76"/>
      <c r="BK16" s="76"/>
      <c r="BL16" s="75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202"/>
      <c r="CC16" s="202"/>
      <c r="CD16" s="202"/>
      <c r="CE16" s="202"/>
      <c r="CF16" s="202"/>
      <c r="CG16" s="202"/>
    </row>
    <row r="17" spans="1:79">
      <c r="A17" s="225">
        <v>50</v>
      </c>
      <c r="B17" s="195">
        <v>200</v>
      </c>
      <c r="C17" s="145" t="s">
        <v>208</v>
      </c>
      <c r="D17" s="226" t="s">
        <v>985</v>
      </c>
      <c r="E17" s="226" t="s">
        <v>1002</v>
      </c>
      <c r="F17" s="196">
        <v>46153</v>
      </c>
      <c r="G17" s="82"/>
      <c r="H17" s="230" t="s">
        <v>1003</v>
      </c>
      <c r="I17" s="227" t="s">
        <v>817</v>
      </c>
      <c r="J17" s="82" t="s">
        <v>216</v>
      </c>
      <c r="K17" s="228">
        <v>400</v>
      </c>
      <c r="L17" s="228">
        <v>1540</v>
      </c>
      <c r="M17" s="229">
        <f t="shared" ref="M17:M22" si="14">L17*K17</f>
        <v>616000</v>
      </c>
      <c r="N17" s="230" t="s">
        <v>216</v>
      </c>
      <c r="O17" s="231" t="s">
        <v>971</v>
      </c>
      <c r="P17" s="231" t="s">
        <v>1004</v>
      </c>
      <c r="Q17" s="232" t="s">
        <v>502</v>
      </c>
      <c r="R17" s="229" t="s">
        <v>973</v>
      </c>
      <c r="S17" s="226" t="s">
        <v>985</v>
      </c>
      <c r="T17" s="233" t="s">
        <v>994</v>
      </c>
      <c r="U17" s="237"/>
      <c r="V17" s="237"/>
      <c r="W17" s="235"/>
      <c r="X17" s="235" t="e">
        <f t="shared" ref="X17:X22" si="15">U17*E17</f>
        <v>#VALUE!</v>
      </c>
      <c r="Y17" s="235"/>
      <c r="Z17" s="235"/>
      <c r="AA17" s="235"/>
      <c r="AB17" s="235"/>
      <c r="AC17" s="235"/>
      <c r="AD17" s="235"/>
      <c r="AE17" s="238"/>
      <c r="AF17" s="239"/>
      <c r="AG17" s="239"/>
      <c r="AH17" s="236"/>
      <c r="AI17" s="236"/>
      <c r="AJ17" s="236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6"/>
      <c r="BD17" s="236"/>
      <c r="BE17" s="236"/>
      <c r="BF17" s="240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</row>
    <row r="18" spans="1:79" ht="26.1">
      <c r="A18" s="225">
        <v>50</v>
      </c>
      <c r="B18" s="195">
        <v>200</v>
      </c>
      <c r="C18" s="145" t="s">
        <v>208</v>
      </c>
      <c r="D18" s="226" t="s">
        <v>985</v>
      </c>
      <c r="E18" s="226" t="s">
        <v>1005</v>
      </c>
      <c r="F18" s="196">
        <v>46158</v>
      </c>
      <c r="G18" s="82"/>
      <c r="H18" s="230" t="s">
        <v>1006</v>
      </c>
      <c r="I18" s="617" t="s">
        <v>1007</v>
      </c>
      <c r="J18" s="82" t="s">
        <v>216</v>
      </c>
      <c r="K18" s="228">
        <v>50</v>
      </c>
      <c r="L18" s="228">
        <v>1530</v>
      </c>
      <c r="M18" s="229">
        <f t="shared" si="14"/>
        <v>76500</v>
      </c>
      <c r="N18" s="230" t="s">
        <v>216</v>
      </c>
      <c r="O18" s="231" t="s">
        <v>971</v>
      </c>
      <c r="P18" s="231" t="s">
        <v>1008</v>
      </c>
      <c r="Q18" s="232" t="s">
        <v>502</v>
      </c>
      <c r="R18" s="229" t="s">
        <v>973</v>
      </c>
      <c r="S18" s="226" t="s">
        <v>985</v>
      </c>
      <c r="T18" s="233" t="s">
        <v>994</v>
      </c>
      <c r="U18" s="237"/>
      <c r="V18" s="237"/>
      <c r="W18" s="235"/>
      <c r="X18" s="235" t="e">
        <f t="shared" si="15"/>
        <v>#VALUE!</v>
      </c>
      <c r="Y18" s="235"/>
      <c r="Z18" s="235"/>
      <c r="AA18" s="235"/>
      <c r="AB18" s="235"/>
      <c r="AC18" s="235"/>
      <c r="AD18" s="235"/>
      <c r="AE18" s="238"/>
      <c r="AF18" s="239"/>
      <c r="AG18" s="239"/>
      <c r="AH18" s="236"/>
      <c r="AI18" s="236"/>
      <c r="AJ18" s="236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6"/>
      <c r="BD18" s="236"/>
      <c r="BE18" s="236"/>
      <c r="BF18" s="240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</row>
    <row r="19" spans="1:79" ht="26.1">
      <c r="A19" s="225">
        <v>50</v>
      </c>
      <c r="B19" s="195">
        <v>200</v>
      </c>
      <c r="C19" s="145" t="s">
        <v>208</v>
      </c>
      <c r="D19" s="226" t="s">
        <v>985</v>
      </c>
      <c r="E19" s="226" t="s">
        <v>1009</v>
      </c>
      <c r="F19" s="196">
        <v>46158</v>
      </c>
      <c r="G19" s="82"/>
      <c r="H19" s="230" t="s">
        <v>1010</v>
      </c>
      <c r="I19" s="617" t="s">
        <v>1011</v>
      </c>
      <c r="J19" s="82" t="s">
        <v>216</v>
      </c>
      <c r="K19" s="228">
        <v>100</v>
      </c>
      <c r="L19" s="228">
        <v>1530</v>
      </c>
      <c r="M19" s="229">
        <f t="shared" si="14"/>
        <v>153000</v>
      </c>
      <c r="N19" s="230" t="s">
        <v>216</v>
      </c>
      <c r="O19" s="231" t="s">
        <v>971</v>
      </c>
      <c r="P19" s="231" t="s">
        <v>1008</v>
      </c>
      <c r="Q19" s="232" t="s">
        <v>502</v>
      </c>
      <c r="R19" s="229" t="s">
        <v>973</v>
      </c>
      <c r="S19" s="226" t="s">
        <v>985</v>
      </c>
      <c r="T19" s="233" t="s">
        <v>994</v>
      </c>
      <c r="U19" s="237"/>
      <c r="V19" s="237"/>
      <c r="W19" s="235"/>
      <c r="X19" s="235" t="e">
        <f t="shared" si="15"/>
        <v>#VALUE!</v>
      </c>
      <c r="Y19" s="235"/>
      <c r="Z19" s="235"/>
      <c r="AA19" s="235"/>
      <c r="AB19" s="235"/>
      <c r="AC19" s="235"/>
      <c r="AD19" s="235"/>
      <c r="AE19" s="238"/>
      <c r="AF19" s="239"/>
      <c r="AG19" s="239"/>
      <c r="AH19" s="236"/>
      <c r="AI19" s="236"/>
      <c r="AJ19" s="236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6"/>
      <c r="BD19" s="236"/>
      <c r="BE19" s="236"/>
      <c r="BF19" s="240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</row>
    <row r="20" spans="1:79" ht="26.1">
      <c r="A20" s="225">
        <v>50</v>
      </c>
      <c r="B20" s="195">
        <v>200</v>
      </c>
      <c r="C20" s="145" t="s">
        <v>208</v>
      </c>
      <c r="D20" s="226" t="s">
        <v>985</v>
      </c>
      <c r="E20" s="226" t="s">
        <v>1012</v>
      </c>
      <c r="F20" s="196">
        <v>46160</v>
      </c>
      <c r="G20" s="82"/>
      <c r="H20" s="230" t="s">
        <v>1013</v>
      </c>
      <c r="I20" s="227" t="s">
        <v>1014</v>
      </c>
      <c r="J20" s="82" t="s">
        <v>216</v>
      </c>
      <c r="K20" s="228">
        <v>100</v>
      </c>
      <c r="L20" s="228">
        <v>1525</v>
      </c>
      <c r="M20" s="229">
        <f t="shared" si="14"/>
        <v>152500</v>
      </c>
      <c r="N20" s="230" t="s">
        <v>216</v>
      </c>
      <c r="O20" s="231" t="s">
        <v>971</v>
      </c>
      <c r="P20" s="231" t="s">
        <v>1015</v>
      </c>
      <c r="Q20" s="232" t="s">
        <v>502</v>
      </c>
      <c r="R20" s="229" t="s">
        <v>973</v>
      </c>
      <c r="S20" s="226" t="s">
        <v>985</v>
      </c>
      <c r="T20" s="233" t="s">
        <v>994</v>
      </c>
      <c r="U20" s="237"/>
      <c r="V20" s="237"/>
      <c r="W20" s="235"/>
      <c r="X20" s="235" t="e">
        <f t="shared" si="15"/>
        <v>#VALUE!</v>
      </c>
      <c r="Y20" s="235"/>
      <c r="Z20" s="235"/>
      <c r="AA20" s="235"/>
      <c r="AB20" s="235"/>
      <c r="AC20" s="235"/>
      <c r="AD20" s="235"/>
      <c r="AE20" s="238"/>
      <c r="AF20" s="239"/>
      <c r="AG20" s="239"/>
      <c r="AH20" s="236"/>
      <c r="AI20" s="236"/>
      <c r="AJ20" s="236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6"/>
      <c r="BD20" s="236"/>
      <c r="BE20" s="236"/>
      <c r="BF20" s="240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</row>
    <row r="21" spans="1:79" ht="26.1" hidden="1">
      <c r="A21" s="225">
        <v>52</v>
      </c>
      <c r="B21" s="195">
        <v>220</v>
      </c>
      <c r="C21" s="145" t="s">
        <v>208</v>
      </c>
      <c r="D21" s="226" t="s">
        <v>754</v>
      </c>
      <c r="E21" s="226">
        <v>4900009780</v>
      </c>
      <c r="F21" s="196">
        <v>46161</v>
      </c>
      <c r="G21" s="82"/>
      <c r="H21" s="230"/>
      <c r="I21" s="227" t="s">
        <v>1016</v>
      </c>
      <c r="J21" s="82" t="s">
        <v>232</v>
      </c>
      <c r="K21" s="228">
        <v>2000</v>
      </c>
      <c r="L21" s="228">
        <v>1430</v>
      </c>
      <c r="M21" s="229">
        <f t="shared" si="14"/>
        <v>2860000</v>
      </c>
      <c r="N21" s="230" t="s">
        <v>232</v>
      </c>
      <c r="O21" s="231" t="s">
        <v>971</v>
      </c>
      <c r="P21" s="231" t="s">
        <v>1017</v>
      </c>
      <c r="Q21" s="232" t="s">
        <v>1018</v>
      </c>
      <c r="R21" s="229" t="s">
        <v>973</v>
      </c>
      <c r="S21" s="226" t="s">
        <v>1019</v>
      </c>
      <c r="T21" s="233" t="s">
        <v>994</v>
      </c>
      <c r="U21" s="237"/>
      <c r="V21" s="237"/>
      <c r="W21" s="235"/>
      <c r="X21" s="235">
        <f t="shared" si="15"/>
        <v>0</v>
      </c>
      <c r="Y21" s="235"/>
      <c r="Z21" s="235"/>
      <c r="AA21" s="235"/>
      <c r="AB21" s="235"/>
      <c r="AC21" s="235"/>
      <c r="AD21" s="235"/>
      <c r="AE21" s="238"/>
      <c r="AF21" s="239"/>
      <c r="AG21" s="239"/>
      <c r="AH21" s="236"/>
      <c r="AI21" s="236"/>
      <c r="AJ21" s="236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6"/>
      <c r="BD21" s="236"/>
      <c r="BE21" s="236"/>
      <c r="BF21" s="240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</row>
    <row r="22" spans="1:79" ht="26.1" hidden="1">
      <c r="A22" s="225">
        <v>52</v>
      </c>
      <c r="B22" s="195">
        <v>215</v>
      </c>
      <c r="C22" s="145" t="s">
        <v>208</v>
      </c>
      <c r="D22" s="226" t="s">
        <v>908</v>
      </c>
      <c r="E22" s="614" t="s">
        <v>1020</v>
      </c>
      <c r="F22" s="196">
        <v>46165</v>
      </c>
      <c r="G22" s="82"/>
      <c r="H22" s="230"/>
      <c r="I22" s="227" t="s">
        <v>1021</v>
      </c>
      <c r="J22" s="82" t="s">
        <v>216</v>
      </c>
      <c r="K22" s="228">
        <v>200</v>
      </c>
      <c r="L22" s="228">
        <v>1550</v>
      </c>
      <c r="M22" s="229">
        <f t="shared" si="14"/>
        <v>310000</v>
      </c>
      <c r="N22" s="230" t="s">
        <v>216</v>
      </c>
      <c r="O22" s="231" t="s">
        <v>971</v>
      </c>
      <c r="P22" s="231" t="s">
        <v>1022</v>
      </c>
      <c r="Q22" s="232" t="s">
        <v>900</v>
      </c>
      <c r="R22" s="229" t="s">
        <v>973</v>
      </c>
      <c r="S22" s="226" t="s">
        <v>1019</v>
      </c>
      <c r="T22" s="233" t="s">
        <v>1023</v>
      </c>
      <c r="U22" s="237"/>
      <c r="V22" s="237"/>
      <c r="W22" s="235"/>
      <c r="X22" s="235" t="e">
        <f t="shared" si="15"/>
        <v>#VALUE!</v>
      </c>
      <c r="Y22" s="235"/>
      <c r="Z22" s="235"/>
      <c r="AA22" s="235"/>
      <c r="AB22" s="235"/>
      <c r="AC22" s="235"/>
      <c r="AD22" s="235"/>
      <c r="AE22" s="238"/>
      <c r="AF22" s="239"/>
      <c r="AG22" s="239"/>
      <c r="AH22" s="236"/>
      <c r="AI22" s="236"/>
      <c r="AJ22" s="236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6"/>
      <c r="BD22" s="236"/>
      <c r="BE22" s="236"/>
      <c r="BF22" s="240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</row>
  </sheetData>
  <autoFilter ref="A2:BD22" xr:uid="{282FDAA5-63C1-4385-9E87-19B8EBBBB542}"/>
  <mergeCells count="1">
    <mergeCell ref="AB1:AD1"/>
  </mergeCells>
  <conditionalFormatting sqref="E312:E1048576 E1:E2">
    <cfRule type="duplicateValues" dxfId="22" priority="20"/>
  </conditionalFormatting>
  <conditionalFormatting sqref="E312:E1048576">
    <cfRule type="duplicateValues" dxfId="21" priority="19"/>
  </conditionalFormatting>
  <conditionalFormatting sqref="F1:T1">
    <cfRule type="duplicateValues" dxfId="20" priority="13"/>
  </conditionalFormatting>
  <conditionalFormatting sqref="G3:H7">
    <cfRule type="duplicateValues" dxfId="19" priority="1013"/>
  </conditionalFormatting>
  <conditionalFormatting sqref="G8:H8">
    <cfRule type="duplicateValues" dxfId="18" priority="12"/>
  </conditionalFormatting>
  <conditionalFormatting sqref="G9:H9">
    <cfRule type="duplicateValues" dxfId="17" priority="9"/>
  </conditionalFormatting>
  <conditionalFormatting sqref="G10:H16">
    <cfRule type="duplicateValues" dxfId="16" priority="11"/>
  </conditionalFormatting>
  <conditionalFormatting sqref="G17:H22">
    <cfRule type="duplicateValues" dxfId="15" priority="3"/>
  </conditionalFormatting>
  <conditionalFormatting sqref="G23:H27">
    <cfRule type="duplicateValues" dxfId="14" priority="22"/>
  </conditionalFormatting>
  <conditionalFormatting sqref="G28:H42">
    <cfRule type="duplicateValues" dxfId="13" priority="17"/>
  </conditionalFormatting>
  <conditionalFormatting sqref="G43:H175 G177:H311">
    <cfRule type="duplicateValues" dxfId="12" priority="23"/>
  </conditionalFormatting>
  <conditionalFormatting sqref="G176:H176">
    <cfRule type="duplicateValues" dxfId="11" priority="14"/>
  </conditionalFormatting>
  <conditionalFormatting sqref="AC8:AD8">
    <cfRule type="containsText" dxfId="10" priority="5" operator="containsText" text="Wet">
      <formula>NOT(ISERROR(SEARCH("Wet",AC8)))</formula>
    </cfRule>
    <cfRule type="containsText" dxfId="9" priority="6" operator="containsText" text="Wet">
      <formula>NOT(ISERROR(SEARCH("Wet",AC8)))</formula>
    </cfRule>
    <cfRule type="containsText" dxfId="8" priority="7" operator="containsText" text="Semi Dry">
      <formula>NOT(ISERROR(SEARCH("Semi Dry",AC8)))</formula>
    </cfRule>
    <cfRule type="containsText" dxfId="7" priority="8" operator="containsText" text="Dry">
      <formula>NOT(ISERROR(SEARCH("Dry",AC8)))</formula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61</xdr:col>
                <xdr:colOff>590550</xdr:colOff>
                <xdr:row>19</xdr:row>
                <xdr:rowOff>323850</xdr:rowOff>
              </from>
              <to>
                <xdr:col>61</xdr:col>
                <xdr:colOff>768350</xdr:colOff>
                <xdr:row>23</xdr:row>
                <xdr:rowOff>12700</xdr:rowOff>
              </to>
            </anchor>
          </controlPr>
        </control>
      </mc:Choice>
      <mc:Fallback>
        <control shapeId="2049" r:id="rId4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2403-3BB1-458C-8620-4CEFC73D518A}">
  <dimension ref="A1:AJ197"/>
  <sheetViews>
    <sheetView zoomScale="67" workbookViewId="0">
      <pane ySplit="2" topLeftCell="A3" activePane="bottomLeft" state="frozen"/>
      <selection pane="bottomLeft" activeCell="AJ104" sqref="AJ104:AJ105"/>
    </sheetView>
  </sheetViews>
  <sheetFormatPr defaultColWidth="9.140625" defaultRowHeight="12.95"/>
  <cols>
    <col min="1" max="1" width="10.85546875" style="147" bestFit="1" customWidth="1"/>
    <col min="2" max="2" width="13.5703125" style="147" bestFit="1" customWidth="1"/>
    <col min="3" max="3" width="22.85546875" style="147" customWidth="1"/>
    <col min="4" max="4" width="33.5703125" style="147" bestFit="1" customWidth="1"/>
    <col min="5" max="5" width="9.140625" style="147" bestFit="1" customWidth="1"/>
    <col min="6" max="6" width="8.85546875" style="147" bestFit="1" customWidth="1"/>
    <col min="7" max="7" width="14.42578125" style="147" bestFit="1" customWidth="1"/>
    <col min="8" max="8" width="14.140625" style="147" bestFit="1" customWidth="1"/>
    <col min="9" max="9" width="11.5703125" style="147" bestFit="1" customWidth="1"/>
    <col min="10" max="10" width="14.7109375" style="147" customWidth="1"/>
    <col min="11" max="11" width="13.5703125" style="147" bestFit="1" customWidth="1"/>
    <col min="12" max="12" width="10.7109375" style="147" bestFit="1" customWidth="1"/>
    <col min="13" max="13" width="10.85546875" style="147" bestFit="1" customWidth="1"/>
    <col min="14" max="14" width="11.5703125" style="147" bestFit="1" customWidth="1"/>
    <col min="15" max="15" width="29.5703125" style="147" customWidth="1"/>
    <col min="16" max="16" width="12.7109375" style="147" bestFit="1" customWidth="1"/>
    <col min="17" max="18" width="19.28515625" style="147" bestFit="1" customWidth="1"/>
    <col min="19" max="19" width="15.42578125" style="147" customWidth="1"/>
    <col min="20" max="20" width="13.85546875" style="147" bestFit="1" customWidth="1"/>
    <col min="21" max="21" width="16.28515625" style="147" bestFit="1" customWidth="1"/>
    <col min="22" max="22" width="11.140625" style="147" bestFit="1" customWidth="1"/>
    <col min="23" max="23" width="8.28515625" style="147" bestFit="1" customWidth="1"/>
    <col min="24" max="24" width="7.85546875" style="147" bestFit="1" customWidth="1"/>
    <col min="25" max="25" width="12.42578125" style="147" bestFit="1" customWidth="1"/>
    <col min="26" max="26" width="12.5703125" style="147" bestFit="1" customWidth="1"/>
    <col min="27" max="27" width="17" style="147" bestFit="1" customWidth="1"/>
    <col min="28" max="28" width="12.85546875" style="147" bestFit="1" customWidth="1"/>
    <col min="29" max="29" width="63.28515625" style="147" customWidth="1"/>
    <col min="30" max="30" width="19.28515625" style="147" customWidth="1"/>
    <col min="31" max="31" width="9.140625" style="147" bestFit="1" customWidth="1"/>
    <col min="32" max="32" width="13.140625" style="147" bestFit="1" customWidth="1"/>
    <col min="33" max="33" width="17.140625" style="147" bestFit="1" customWidth="1"/>
    <col min="34" max="34" width="32.85546875" style="147" bestFit="1" customWidth="1"/>
    <col min="35" max="35" width="9.140625" style="461" bestFit="1" customWidth="1"/>
    <col min="36" max="36" width="9.140625" style="147" bestFit="1" customWidth="1"/>
    <col min="37" max="37" width="9.140625" style="147" bestFit="1"/>
    <col min="38" max="16384" width="9.140625" style="147"/>
  </cols>
  <sheetData>
    <row r="1" spans="1:36">
      <c r="A1" s="149"/>
      <c r="B1" s="149"/>
      <c r="C1" s="149"/>
      <c r="D1" s="149"/>
      <c r="E1" s="151">
        <f>SUBTOTAL(9,E3:E195)</f>
        <v>45553.106</v>
      </c>
      <c r="F1" s="149"/>
      <c r="G1" s="151">
        <f t="shared" ref="G1:M1" si="0">SUBTOTAL(9,G3:G195)</f>
        <v>8842722.3000000007</v>
      </c>
      <c r="H1" s="151">
        <f t="shared" si="0"/>
        <v>0</v>
      </c>
      <c r="I1" s="151">
        <f t="shared" si="0"/>
        <v>0</v>
      </c>
      <c r="J1" s="465">
        <f t="shared" si="0"/>
        <v>2251278.04</v>
      </c>
      <c r="K1" s="465">
        <f t="shared" si="0"/>
        <v>6591444.2599999998</v>
      </c>
      <c r="L1" s="465">
        <f t="shared" si="0"/>
        <v>0</v>
      </c>
      <c r="M1" s="465">
        <f t="shared" si="0"/>
        <v>0</v>
      </c>
      <c r="N1" s="226"/>
      <c r="O1" s="226"/>
      <c r="P1" s="226"/>
      <c r="Q1" s="226"/>
      <c r="R1" s="226"/>
      <c r="S1" s="226"/>
      <c r="T1" s="465">
        <f>SUBTOTAL(9,T3:T195)</f>
        <v>4192521.0090000001</v>
      </c>
      <c r="U1" s="226"/>
      <c r="V1" s="465">
        <f>SUBTOTAL(9,V3:V195)</f>
        <v>45306.687300000005</v>
      </c>
      <c r="W1" s="226"/>
      <c r="X1" s="226"/>
      <c r="Y1" s="465">
        <f>SUBTOTAL(9,Y3:Y195)</f>
        <v>59901827.8389</v>
      </c>
      <c r="Z1" s="465">
        <f>SUBTOTAL(9,Z3:Z3)</f>
        <v>0</v>
      </c>
      <c r="AA1" s="465">
        <f>SUBTOTAL(9,AA3:AA195)</f>
        <v>56222203.32689999</v>
      </c>
      <c r="AB1" s="226"/>
      <c r="AC1" s="226"/>
      <c r="AD1" s="226"/>
      <c r="AE1" s="226"/>
      <c r="AF1" s="226"/>
      <c r="AG1" s="226"/>
      <c r="AH1" s="466"/>
    </row>
    <row r="2" spans="1:36">
      <c r="A2" s="153" t="s">
        <v>1024</v>
      </c>
      <c r="B2" s="153" t="s">
        <v>1025</v>
      </c>
      <c r="C2" s="153" t="s">
        <v>1026</v>
      </c>
      <c r="D2" s="153" t="s">
        <v>1027</v>
      </c>
      <c r="E2" s="153" t="s">
        <v>50</v>
      </c>
      <c r="F2" s="153" t="s">
        <v>1028</v>
      </c>
      <c r="G2" s="153" t="s">
        <v>1029</v>
      </c>
      <c r="H2" s="153" t="s">
        <v>1030</v>
      </c>
      <c r="I2" s="464" t="s">
        <v>1031</v>
      </c>
      <c r="J2" s="467" t="s">
        <v>162</v>
      </c>
      <c r="K2" s="467" t="s">
        <v>1032</v>
      </c>
      <c r="L2" s="467" t="s">
        <v>1033</v>
      </c>
      <c r="M2" s="467" t="s">
        <v>1034</v>
      </c>
      <c r="N2" s="467" t="s">
        <v>1035</v>
      </c>
      <c r="O2" s="467" t="s">
        <v>1036</v>
      </c>
      <c r="P2" s="467" t="s">
        <v>1037</v>
      </c>
      <c r="Q2" s="468" t="s">
        <v>1038</v>
      </c>
      <c r="R2" s="468" t="s">
        <v>1039</v>
      </c>
      <c r="S2" s="469" t="s">
        <v>1040</v>
      </c>
      <c r="T2" s="467" t="s">
        <v>1041</v>
      </c>
      <c r="U2" s="470" t="s">
        <v>76</v>
      </c>
      <c r="V2" s="469" t="s">
        <v>1042</v>
      </c>
      <c r="W2" s="471" t="s">
        <v>1043</v>
      </c>
      <c r="X2" s="470" t="s">
        <v>34</v>
      </c>
      <c r="Y2" s="469" t="s">
        <v>1044</v>
      </c>
      <c r="Z2" s="469" t="s">
        <v>1045</v>
      </c>
      <c r="AA2" s="469" t="s">
        <v>1046</v>
      </c>
      <c r="AB2" s="470" t="s">
        <v>105</v>
      </c>
      <c r="AC2" s="470" t="s">
        <v>1047</v>
      </c>
      <c r="AD2" s="472" t="s">
        <v>1048</v>
      </c>
      <c r="AE2" s="469" t="s">
        <v>917</v>
      </c>
      <c r="AF2" s="469" t="s">
        <v>1049</v>
      </c>
      <c r="AG2" s="477" t="s">
        <v>1050</v>
      </c>
      <c r="AH2" s="469" t="s">
        <v>1051</v>
      </c>
      <c r="AI2" s="479" t="s">
        <v>1052</v>
      </c>
      <c r="AJ2" s="480" t="s">
        <v>1053</v>
      </c>
    </row>
    <row r="3" spans="1:36">
      <c r="A3" s="149" t="s">
        <v>208</v>
      </c>
      <c r="B3" s="149" t="str">
        <f>'MIS 2026'!EV3</f>
        <v>Export Loan</v>
      </c>
      <c r="C3" s="152">
        <f>'MIS 2026'!F3</f>
        <v>32014425</v>
      </c>
      <c r="D3" s="149" t="str">
        <f>'MIS 2026'!EH3</f>
        <v>Valency Nigeria</v>
      </c>
      <c r="E3" s="151">
        <f>'MIS 2026'!AF3</f>
        <v>100</v>
      </c>
      <c r="F3" s="150">
        <f>'MIS 2026'!EK3</f>
        <v>2010</v>
      </c>
      <c r="G3" s="150">
        <f t="shared" ref="G3" si="1">F3*E3</f>
        <v>201000</v>
      </c>
      <c r="H3" s="149" t="str">
        <f>'MIS 2026'!EL3</f>
        <v>-</v>
      </c>
      <c r="I3" s="148"/>
      <c r="J3" s="473">
        <f>'MIS 2026'!ER3</f>
        <v>0</v>
      </c>
      <c r="K3" s="473">
        <f t="shared" ref="K3" si="2">G3-J3</f>
        <v>201000</v>
      </c>
      <c r="L3" s="473">
        <f>'MIS 2026'!EW3</f>
        <v>0</v>
      </c>
      <c r="M3" s="474">
        <f>IF('MIS 2026'!EZ3&gt;0,'MIS 2026'!EW3,0)</f>
        <v>0</v>
      </c>
      <c r="N3" s="474" t="str">
        <f>'MIS 2026'!I3</f>
        <v>NIGERIA(OGB)</v>
      </c>
      <c r="O3" s="474" t="str">
        <f>'MIS 2026'!H3</f>
        <v>VALENCY AGRO // HSS // ORGANIC FOODS INDIA EXIM</v>
      </c>
      <c r="P3" s="473">
        <f>'MIS 2026'!AI3</f>
        <v>1615</v>
      </c>
      <c r="Q3" s="474" t="str">
        <f>'MIS 2026'!BQ3</f>
        <v xml:space="preserve">TUTICORIN, INDIA </v>
      </c>
      <c r="R3" s="474">
        <f>'MIS 2026'!AM3</f>
        <v>0</v>
      </c>
      <c r="S3" s="474" t="str">
        <f>'MIS 2026'!AL3</f>
        <v>90 DAYS FROM BL DATE</v>
      </c>
      <c r="T3" s="473">
        <f>'MIS 2026'!AZ3</f>
        <v>0</v>
      </c>
      <c r="U3" s="474" t="str">
        <f>IF('MIS 2026'!BI3="","",'MIS 2026'!BI3)</f>
        <v>MEDULG618084</v>
      </c>
      <c r="V3" s="475">
        <f>IF('MIS 2026'!BJ3&gt;0,'MIS 2026'!BJ3,'MIS 2026'!AF3)</f>
        <v>107.05</v>
      </c>
      <c r="W3" s="476">
        <f>IF('MIS 2026'!BM3="","",'MIS 2026'!BM3)</f>
        <v>46090</v>
      </c>
      <c r="X3" s="476">
        <f>IF('MIS 2026'!BO3="","",'MIS 2026'!BO3)</f>
        <v>46143</v>
      </c>
      <c r="Y3" s="473">
        <f t="shared" ref="Y3" si="3">(V3*P3)-T3</f>
        <v>172885.75</v>
      </c>
      <c r="Z3" s="473">
        <f>IF('MIS 2026'!CR3&gt;0,'MIS 2026'!CQ3,0)</f>
        <v>0</v>
      </c>
      <c r="AA3" s="473">
        <f t="shared" ref="AA3" si="4">Y3-Z3</f>
        <v>172885.75</v>
      </c>
      <c r="AB3" s="476">
        <f>IF('MIS 2026'!CM3="","",'MIS 2026'!CM3)</f>
        <v>46126</v>
      </c>
      <c r="AC3" s="476" t="str">
        <f>'MIS 2026'!U3</f>
        <v>Payment by Valency Agro will be done, 90 days after BL date- CARGO CLEARED.</v>
      </c>
      <c r="AD3" s="474">
        <f>IF('MIS 2026'!BF3&gt;0,'MIS 2026'!BF3,"")</f>
        <v>46030</v>
      </c>
      <c r="AE3" s="476">
        <f>IF('MIS 2026'!N3&gt;0,'MIS 2026'!N3,"")</f>
        <v>46090</v>
      </c>
      <c r="AF3" s="474"/>
      <c r="AG3" s="478">
        <f>IF('MIS 2026'!BV3&lt;&gt;0,'MIS 2026'!BV3,"")</f>
        <v>90083238</v>
      </c>
      <c r="AH3" s="474">
        <f>IF('MIS 2026'!F3&lt;&gt;0,'MIS 2026'!F3,"")</f>
        <v>32014425</v>
      </c>
      <c r="AI3" s="463" t="str">
        <f t="shared" ref="AI3" ca="1" si="5">IFERROR(IF(AB3="",TODAY()-W3,""),"")</f>
        <v/>
      </c>
      <c r="AJ3" s="474"/>
    </row>
    <row r="4" spans="1:36">
      <c r="A4" s="149" t="s">
        <v>208</v>
      </c>
      <c r="B4" s="149" t="str">
        <f>'MIS 2026'!EV4</f>
        <v>Final Pmt Recd</v>
      </c>
      <c r="C4" s="152">
        <f>'MIS 2026'!F4</f>
        <v>32013748</v>
      </c>
      <c r="D4" s="149" t="str">
        <f>'MIS 2026'!EH4</f>
        <v>Valency Nigeria</v>
      </c>
      <c r="E4" s="151">
        <f>'MIS 2026'!AF4</f>
        <v>50</v>
      </c>
      <c r="F4" s="150">
        <f>'MIS 2026'!EK4</f>
        <v>2010</v>
      </c>
      <c r="G4" s="150">
        <f t="shared" ref="G4:G35" si="6">F4*E4</f>
        <v>100500</v>
      </c>
      <c r="H4" s="149" t="str">
        <f>'MIS 2026'!EL4</f>
        <v>-</v>
      </c>
      <c r="I4" s="148"/>
      <c r="J4" s="473">
        <f>'MIS 2026'!ER4</f>
        <v>0</v>
      </c>
      <c r="K4" s="473">
        <f t="shared" ref="K4:K35" si="7">G4-J4</f>
        <v>100500</v>
      </c>
      <c r="L4" s="473">
        <f>'MIS 2026'!EW4</f>
        <v>0</v>
      </c>
      <c r="M4" s="474">
        <f>IF('MIS 2026'!EZ4&gt;0,'MIS 2026'!EW4,0)</f>
        <v>0</v>
      </c>
      <c r="N4" s="474" t="str">
        <f>'MIS 2026'!I4</f>
        <v>NIGERIA(OGB)</v>
      </c>
      <c r="O4" s="474" t="str">
        <f>'MIS 2026'!H4</f>
        <v>ST. PAULS CASHEW FACTORY</v>
      </c>
      <c r="P4" s="473">
        <f>'MIS 2026'!AI4</f>
        <v>1610</v>
      </c>
      <c r="Q4" s="474" t="str">
        <f>'MIS 2026'!BQ4</f>
        <v xml:space="preserve">TUTICORIN, INDIA </v>
      </c>
      <c r="R4" s="474">
        <f>'MIS 2026'!AM4</f>
        <v>0</v>
      </c>
      <c r="S4" s="474" t="str">
        <f>'MIS 2026'!AL4</f>
        <v>DP SIGHT</v>
      </c>
      <c r="T4" s="473">
        <f>'MIS 2026'!AZ4</f>
        <v>0</v>
      </c>
      <c r="U4" s="474" t="str">
        <f>IF('MIS 2026'!BI4="","",'MIS 2026'!BI4)</f>
        <v>MEDULG619041</v>
      </c>
      <c r="V4" s="475">
        <f>IF('MIS 2026'!BJ4&gt;0,'MIS 2026'!BJ4,'MIS 2026'!AF4)</f>
        <v>50.45</v>
      </c>
      <c r="W4" s="476">
        <f>IF('MIS 2026'!BM4="","",'MIS 2026'!BM4)</f>
        <v>46099</v>
      </c>
      <c r="X4" s="476">
        <f>IF('MIS 2026'!BO4="","",'MIS 2026'!BO4)</f>
        <v>46158</v>
      </c>
      <c r="Y4" s="473">
        <f t="shared" ref="Y4:Y35" si="8">(V4*P4)-T4</f>
        <v>81224.5</v>
      </c>
      <c r="Z4" s="473">
        <f>IF('MIS 2026'!CR4&gt;0,'MIS 2026'!CQ4,0)</f>
        <v>81224.5</v>
      </c>
      <c r="AA4" s="473">
        <f t="shared" ref="AA4:AA35" si="9">Y4-Z4</f>
        <v>0</v>
      </c>
      <c r="AB4" s="476">
        <f>IF('MIS 2026'!CM4="","",'MIS 2026'!CM4)</f>
        <v>46128</v>
      </c>
      <c r="AC4" s="476" t="str">
        <f>'MIS 2026'!U4</f>
        <v>PAYMENT RCVD 14/5</v>
      </c>
      <c r="AD4" s="474">
        <f>IF('MIS 2026'!BF4&gt;0,'MIS 2026'!BF4,"")</f>
        <v>46030</v>
      </c>
      <c r="AE4" s="476">
        <f>IF('MIS 2026'!N4&gt;0,'MIS 2026'!N4,"")</f>
        <v>46099</v>
      </c>
      <c r="AF4" s="474"/>
      <c r="AG4" s="478">
        <f>IF('MIS 2026'!BV4&lt;&gt;0,'MIS 2026'!BV4,"")</f>
        <v>90083303</v>
      </c>
      <c r="AH4" s="474">
        <f>IF('MIS 2026'!F4&lt;&gt;0,'MIS 2026'!F4,"")</f>
        <v>32013748</v>
      </c>
      <c r="AI4" s="463" t="str">
        <f t="shared" ref="AI4:AI35" ca="1" si="10">IFERROR(IF(AB4="",TODAY()-W4,""),"")</f>
        <v/>
      </c>
      <c r="AJ4" s="474"/>
    </row>
    <row r="5" spans="1:36">
      <c r="A5" s="149" t="s">
        <v>208</v>
      </c>
      <c r="B5" s="149" t="str">
        <f>'MIS 2026'!EV5</f>
        <v>Export Loan</v>
      </c>
      <c r="C5" s="152" t="str">
        <f>'MIS 2026'!F5</f>
        <v>32015281-1</v>
      </c>
      <c r="D5" s="149" t="str">
        <f>'MIS 2026'!EH5</f>
        <v>Valora Exim</v>
      </c>
      <c r="E5" s="151">
        <f>'MIS 2026'!AF5</f>
        <v>100</v>
      </c>
      <c r="F5" s="150">
        <f>'MIS 2026'!EK5</f>
        <v>0</v>
      </c>
      <c r="G5" s="150">
        <f t="shared" si="6"/>
        <v>0</v>
      </c>
      <c r="H5" s="149">
        <f>'MIS 2026'!EL5</f>
        <v>0</v>
      </c>
      <c r="I5" s="148"/>
      <c r="J5" s="473">
        <f>'MIS 2026'!ER5</f>
        <v>0</v>
      </c>
      <c r="K5" s="473">
        <f t="shared" si="7"/>
        <v>0</v>
      </c>
      <c r="L5" s="473">
        <f>'MIS 2026'!EW5</f>
        <v>0</v>
      </c>
      <c r="M5" s="474">
        <f>IF('MIS 2026'!EZ5&gt;0,'MIS 2026'!EW5,0)</f>
        <v>0</v>
      </c>
      <c r="N5" s="474" t="str">
        <f>'MIS 2026'!I5</f>
        <v>GHANA</v>
      </c>
      <c r="O5" s="474" t="str">
        <f>'MIS 2026'!H5</f>
        <v>Valency Agro (Processing)</v>
      </c>
      <c r="P5" s="473">
        <f>'MIS 2026'!AI5</f>
        <v>1585</v>
      </c>
      <c r="Q5" s="474" t="str">
        <f>'MIS 2026'!BQ5</f>
        <v>MUNDRA, INDIA</v>
      </c>
      <c r="R5" s="474">
        <f>'MIS 2026'!AM5</f>
        <v>0</v>
      </c>
      <c r="S5" s="474" t="str">
        <f>'MIS 2026'!AL5</f>
        <v>90 DAYS FROM BL DATE</v>
      </c>
      <c r="T5" s="473">
        <f>'MIS 2026'!AZ5</f>
        <v>0</v>
      </c>
      <c r="U5" s="474" t="str">
        <f>IF('MIS 2026'!BI5="","",'MIS 2026'!BI5)</f>
        <v>TMA0158642</v>
      </c>
      <c r="V5" s="475">
        <f>IF('MIS 2026'!BJ5&gt;0,'MIS 2026'!BJ5,'MIS 2026'!AF5)</f>
        <v>100</v>
      </c>
      <c r="W5" s="476">
        <f>IF('MIS 2026'!BM5="","",'MIS 2026'!BM5)</f>
        <v>46099</v>
      </c>
      <c r="X5" s="476">
        <f>IF('MIS 2026'!BO5="","",'MIS 2026'!BO5)</f>
        <v>46146</v>
      </c>
      <c r="Y5" s="473">
        <f t="shared" si="8"/>
        <v>158500</v>
      </c>
      <c r="Z5" s="473">
        <f>IF('MIS 2026'!CR5&gt;0,'MIS 2026'!CQ5,0)</f>
        <v>0</v>
      </c>
      <c r="AA5" s="473">
        <f t="shared" si="9"/>
        <v>158500</v>
      </c>
      <c r="AB5" s="476">
        <f>IF('MIS 2026'!CM5="","",'MIS 2026'!CM5)</f>
        <v>46126</v>
      </c>
      <c r="AC5" s="476" t="str">
        <f>'MIS 2026'!U5</f>
        <v>Payment by Valency Agro will be done, 90 days after BL date- CARGO CLEARED.</v>
      </c>
      <c r="AD5" s="474">
        <f>IF('MIS 2026'!BF5&gt;0,'MIS 2026'!BF5,"")</f>
        <v>46078</v>
      </c>
      <c r="AE5" s="476">
        <f>IF('MIS 2026'!N5&gt;0,'MIS 2026'!N5,"")</f>
        <v>46099</v>
      </c>
      <c r="AF5" s="474"/>
      <c r="AG5" s="478">
        <f>IF('MIS 2026'!BV5&lt;&gt;0,'MIS 2026'!BV5,"")</f>
        <v>90082901</v>
      </c>
      <c r="AH5" s="474" t="str">
        <f>IF('MIS 2026'!F5&lt;&gt;0,'MIS 2026'!F5,"")</f>
        <v>32015281-1</v>
      </c>
      <c r="AI5" s="463" t="str">
        <f t="shared" ca="1" si="10"/>
        <v/>
      </c>
      <c r="AJ5" s="474"/>
    </row>
    <row r="6" spans="1:36">
      <c r="A6" s="149" t="s">
        <v>208</v>
      </c>
      <c r="B6" s="149" t="str">
        <f>'MIS 2026'!EV6</f>
        <v>Yet to load</v>
      </c>
      <c r="C6" s="152">
        <f>'MIS 2026'!F6</f>
        <v>32014480</v>
      </c>
      <c r="D6" s="149" t="str">
        <f>'MIS 2026'!EH6</f>
        <v xml:space="preserve">VALENCY IVC </v>
      </c>
      <c r="E6" s="151">
        <f>'MIS 2026'!AF6</f>
        <v>100</v>
      </c>
      <c r="F6" s="150">
        <f>'MIS 2026'!EK6</f>
        <v>0</v>
      </c>
      <c r="G6" s="150">
        <f t="shared" si="6"/>
        <v>0</v>
      </c>
      <c r="H6" s="149">
        <f>'MIS 2026'!EL6</f>
        <v>0</v>
      </c>
      <c r="I6" s="148"/>
      <c r="J6" s="473">
        <f>'MIS 2026'!ER6</f>
        <v>0</v>
      </c>
      <c r="K6" s="473">
        <f t="shared" si="7"/>
        <v>0</v>
      </c>
      <c r="L6" s="473">
        <f>'MIS 2026'!EW6</f>
        <v>0</v>
      </c>
      <c r="M6" s="474">
        <f>IF('MIS 2026'!EZ6&gt;0,'MIS 2026'!EW6,0)</f>
        <v>0</v>
      </c>
      <c r="N6" s="474" t="str">
        <f>'MIS 2026'!I6</f>
        <v>IVC</v>
      </c>
      <c r="O6" s="474" t="str">
        <f>'MIS 2026'!H6</f>
        <v>AMITH CASHEWS PVT LTD</v>
      </c>
      <c r="P6" s="473">
        <f>'MIS 2026'!AI6</f>
        <v>1545</v>
      </c>
      <c r="Q6" s="474" t="str">
        <f>'MIS 2026'!BQ6</f>
        <v>MANGALORE, INDIA</v>
      </c>
      <c r="R6" s="474">
        <f>'MIS 2026'!AM6</f>
        <v>0.1</v>
      </c>
      <c r="S6" s="474" t="str">
        <f>'MIS 2026'!AL6</f>
        <v>DP SIGHT</v>
      </c>
      <c r="T6" s="473">
        <f>'MIS 2026'!AZ6</f>
        <v>15450</v>
      </c>
      <c r="U6" s="474" t="str">
        <f>IF('MIS 2026'!BI6="","",'MIS 2026'!BI6)</f>
        <v/>
      </c>
      <c r="V6" s="475">
        <f>IF('MIS 2026'!BJ6&gt;0,'MIS 2026'!BJ6,'MIS 2026'!AF6)</f>
        <v>100</v>
      </c>
      <c r="W6" s="476" t="str">
        <f>IF('MIS 2026'!BM6="","",'MIS 2026'!BM6)</f>
        <v/>
      </c>
      <c r="X6" s="476" t="str">
        <f>IF('MIS 2026'!BO6="","",'MIS 2026'!BO6)</f>
        <v/>
      </c>
      <c r="Y6" s="473">
        <f t="shared" si="8"/>
        <v>139050</v>
      </c>
      <c r="Z6" s="473">
        <f>IF('MIS 2026'!CR6&gt;0,'MIS 2026'!CQ6,0)</f>
        <v>0</v>
      </c>
      <c r="AA6" s="473">
        <f t="shared" si="9"/>
        <v>139050</v>
      </c>
      <c r="AB6" s="476" t="str">
        <f>IF('MIS 2026'!CM6="","",'MIS 2026'!CM6)</f>
        <v/>
      </c>
      <c r="AC6" s="476" t="str">
        <f>'MIS 2026'!U6</f>
        <v xml:space="preserve">267489694
</v>
      </c>
      <c r="AD6" s="474">
        <f>IF('MIS 2026'!BF6&gt;0,'MIS 2026'!BF6,"")</f>
        <v>46083</v>
      </c>
      <c r="AE6" s="476" t="str">
        <f>IF('MIS 2026'!N6&gt;0,'MIS 2026'!N6,"")</f>
        <v/>
      </c>
      <c r="AF6" s="474"/>
      <c r="AG6" s="478" t="str">
        <f>IF('MIS 2026'!BV6&lt;&gt;0,'MIS 2026'!BV6,"")</f>
        <v/>
      </c>
      <c r="AH6" s="474">
        <f>IF('MIS 2026'!F6&lt;&gt;0,'MIS 2026'!F6,"")</f>
        <v>32014480</v>
      </c>
      <c r="AI6" s="463" t="str">
        <f t="shared" ca="1" si="10"/>
        <v/>
      </c>
      <c r="AJ6" s="474"/>
    </row>
    <row r="7" spans="1:36">
      <c r="A7" s="149" t="s">
        <v>208</v>
      </c>
      <c r="B7" s="149" t="str">
        <f>'MIS 2026'!EV7</f>
        <v>Yet to load</v>
      </c>
      <c r="C7" s="152">
        <f>'MIS 2026'!F7</f>
        <v>32014497</v>
      </c>
      <c r="D7" s="149" t="str">
        <f>'MIS 2026'!EH7</f>
        <v xml:space="preserve">VALENCY IVC </v>
      </c>
      <c r="E7" s="151">
        <f>'MIS 2026'!AF7</f>
        <v>200</v>
      </c>
      <c r="F7" s="150">
        <f>'MIS 2026'!EK7</f>
        <v>0</v>
      </c>
      <c r="G7" s="150">
        <f t="shared" si="6"/>
        <v>0</v>
      </c>
      <c r="H7" s="149">
        <f>'MIS 2026'!EL7</f>
        <v>0</v>
      </c>
      <c r="I7" s="148"/>
      <c r="J7" s="473">
        <f>'MIS 2026'!ER7</f>
        <v>0</v>
      </c>
      <c r="K7" s="473">
        <f t="shared" si="7"/>
        <v>0</v>
      </c>
      <c r="L7" s="473">
        <f>'MIS 2026'!EW7</f>
        <v>0</v>
      </c>
      <c r="M7" s="474">
        <f>IF('MIS 2026'!EZ7&gt;0,'MIS 2026'!EW7,0)</f>
        <v>0</v>
      </c>
      <c r="N7" s="474" t="str">
        <f>'MIS 2026'!I7</f>
        <v>IVC</v>
      </c>
      <c r="O7" s="474" t="str">
        <f>'MIS 2026'!H7</f>
        <v>FAVOURITE CASHEWS</v>
      </c>
      <c r="P7" s="473">
        <f>'MIS 2026'!AI7</f>
        <v>1510</v>
      </c>
      <c r="Q7" s="474" t="str">
        <f>'MIS 2026'!BQ7</f>
        <v>MANGALORE, INDIA</v>
      </c>
      <c r="R7" s="474">
        <f>'MIS 2026'!AM7</f>
        <v>0.1</v>
      </c>
      <c r="S7" s="474" t="str">
        <f>'MIS 2026'!AL7</f>
        <v>DP SIGHT</v>
      </c>
      <c r="T7" s="473">
        <f>'MIS 2026'!AZ7</f>
        <v>30200</v>
      </c>
      <c r="U7" s="474">
        <f>IF('MIS 2026'!BI7="","",'MIS 2026'!BI7)</f>
        <v>267489852</v>
      </c>
      <c r="V7" s="475">
        <f>IF('MIS 2026'!BJ7&gt;0,'MIS 2026'!BJ7,'MIS 2026'!AF7)</f>
        <v>200</v>
      </c>
      <c r="W7" s="476" t="str">
        <f>IF('MIS 2026'!BM7="","",'MIS 2026'!BM7)</f>
        <v/>
      </c>
      <c r="X7" s="476">
        <f>IF('MIS 2026'!BO7="","",'MIS 2026'!BO7)</f>
        <v>46202</v>
      </c>
      <c r="Y7" s="473">
        <f t="shared" si="8"/>
        <v>271800</v>
      </c>
      <c r="Z7" s="473">
        <f>IF('MIS 2026'!CR7&gt;0,'MIS 2026'!CQ7,0)</f>
        <v>0</v>
      </c>
      <c r="AA7" s="473">
        <f t="shared" si="9"/>
        <v>271800</v>
      </c>
      <c r="AB7" s="476" t="str">
        <f>IF('MIS 2026'!CM7="","",'MIS 2026'!CM7)</f>
        <v/>
      </c>
      <c r="AC7" s="476" t="str">
        <f>'MIS 2026'!U7</f>
        <v xml:space="preserve">ADVANCE RCVD 10/03- 267489852
</v>
      </c>
      <c r="AD7" s="474">
        <f>IF('MIS 2026'!BF7&gt;0,'MIS 2026'!BF7,"")</f>
        <v>46083</v>
      </c>
      <c r="AE7" s="476" t="str">
        <f>IF('MIS 2026'!N7&gt;0,'MIS 2026'!N7,"")</f>
        <v/>
      </c>
      <c r="AF7" s="474"/>
      <c r="AG7" s="478" t="str">
        <f>IF('MIS 2026'!BV7&lt;&gt;0,'MIS 2026'!BV7,"")</f>
        <v/>
      </c>
      <c r="AH7" s="474">
        <f>IF('MIS 2026'!F7&lt;&gt;0,'MIS 2026'!F7,"")</f>
        <v>32014497</v>
      </c>
      <c r="AI7" s="463" t="str">
        <f t="shared" ca="1" si="10"/>
        <v/>
      </c>
      <c r="AJ7" s="474"/>
    </row>
    <row r="8" spans="1:36">
      <c r="A8" s="149" t="s">
        <v>208</v>
      </c>
      <c r="B8" s="149" t="str">
        <f>'MIS 2026'!EV8</f>
        <v>Nego Pending</v>
      </c>
      <c r="C8" s="152" t="str">
        <f>'MIS 2026'!F8</f>
        <v>32015806-1</v>
      </c>
      <c r="D8" s="149" t="str">
        <f>'MIS 2026'!EH8</f>
        <v>Valency Nigeria</v>
      </c>
      <c r="E8" s="151">
        <f>'MIS 2026'!AF8</f>
        <v>100</v>
      </c>
      <c r="F8" s="150">
        <f>'MIS 2026'!EK8</f>
        <v>0</v>
      </c>
      <c r="G8" s="150">
        <f t="shared" si="6"/>
        <v>0</v>
      </c>
      <c r="H8" s="149">
        <f>'MIS 2026'!EL8</f>
        <v>0</v>
      </c>
      <c r="I8" s="148"/>
      <c r="J8" s="473">
        <f>'MIS 2026'!ER8</f>
        <v>0</v>
      </c>
      <c r="K8" s="473">
        <f t="shared" si="7"/>
        <v>0</v>
      </c>
      <c r="L8" s="473">
        <f>'MIS 2026'!EW8</f>
        <v>0</v>
      </c>
      <c r="M8" s="474">
        <f>IF('MIS 2026'!EZ8&gt;0,'MIS 2026'!EW8,0)</f>
        <v>0</v>
      </c>
      <c r="N8" s="474" t="str">
        <f>'MIS 2026'!I8</f>
        <v>NIGERIA(SAKI)</v>
      </c>
      <c r="O8" s="474" t="str">
        <f>'MIS 2026'!H8</f>
        <v>INDIA ENTERPRISES</v>
      </c>
      <c r="P8" s="473">
        <f>'MIS 2026'!AI8</f>
        <v>1575</v>
      </c>
      <c r="Q8" s="474" t="str">
        <f>'MIS 2026'!BQ8</f>
        <v>MANGALORE, INDIA</v>
      </c>
      <c r="R8" s="474">
        <f>'MIS 2026'!AM8</f>
        <v>0.1</v>
      </c>
      <c r="S8" s="474" t="str">
        <f>'MIS 2026'!AL8</f>
        <v>DP SIGHT</v>
      </c>
      <c r="T8" s="473">
        <f>'MIS 2026'!AZ8</f>
        <v>15750</v>
      </c>
      <c r="U8" s="474" t="str">
        <f>IF('MIS 2026'!BI8="","",'MIS 2026'!BI8)</f>
        <v>MEDULG632861</v>
      </c>
      <c r="V8" s="475">
        <f>IF('MIS 2026'!BJ8&gt;0,'MIS 2026'!BJ8,'MIS 2026'!AF8)</f>
        <v>100.48</v>
      </c>
      <c r="W8" s="476">
        <f>IF('MIS 2026'!BM8="","",'MIS 2026'!BM8)</f>
        <v>46158</v>
      </c>
      <c r="X8" s="476">
        <f>IF('MIS 2026'!BO8="","",'MIS 2026'!BO8)</f>
        <v>46193</v>
      </c>
      <c r="Y8" s="473">
        <f t="shared" si="8"/>
        <v>142506</v>
      </c>
      <c r="Z8" s="473">
        <f>IF('MIS 2026'!CR8&gt;0,'MIS 2026'!CQ8,0)</f>
        <v>0</v>
      </c>
      <c r="AA8" s="473">
        <f t="shared" si="9"/>
        <v>142506</v>
      </c>
      <c r="AB8" s="476" t="str">
        <f>IF('MIS 2026'!CM8="","",'MIS 2026'!CM8)</f>
        <v/>
      </c>
      <c r="AC8" s="476" t="str">
        <f>'MIS 2026'!U8</f>
        <v>OBL RCVD 25/5- CERT PENDING</v>
      </c>
      <c r="AD8" s="474" t="str">
        <f>IF('MIS 2026'!BF8&gt;0,'MIS 2026'!BF8,"")</f>
        <v/>
      </c>
      <c r="AE8" s="476">
        <f>IF('MIS 2026'!N8&gt;0,'MIS 2026'!N8,"")</f>
        <v>46158</v>
      </c>
      <c r="AF8" s="474"/>
      <c r="AG8" s="478" t="str">
        <f>IF('MIS 2026'!BV8&lt;&gt;0,'MIS 2026'!BV8,"")</f>
        <v/>
      </c>
      <c r="AH8" s="474" t="str">
        <f>IF('MIS 2026'!F8&lt;&gt;0,'MIS 2026'!F8,"")</f>
        <v>32015806-1</v>
      </c>
      <c r="AI8" s="463">
        <f t="shared" ca="1" si="10"/>
        <v>14</v>
      </c>
      <c r="AJ8" s="474"/>
    </row>
    <row r="9" spans="1:36">
      <c r="A9" s="149" t="s">
        <v>208</v>
      </c>
      <c r="B9" s="149" t="str">
        <f>'MIS 2026'!EV9</f>
        <v>Yet to load</v>
      </c>
      <c r="C9" s="152" t="str">
        <f>'MIS 2026'!F9</f>
        <v>32015806-2</v>
      </c>
      <c r="D9" s="149" t="str">
        <f>'MIS 2026'!EH9</f>
        <v>Valency Nigeria</v>
      </c>
      <c r="E9" s="151">
        <f>'MIS 2026'!AF9</f>
        <v>100</v>
      </c>
      <c r="F9" s="150">
        <f>'MIS 2026'!EK9</f>
        <v>0</v>
      </c>
      <c r="G9" s="150">
        <f t="shared" si="6"/>
        <v>0</v>
      </c>
      <c r="H9" s="149">
        <f>'MIS 2026'!EL9</f>
        <v>0</v>
      </c>
      <c r="I9" s="148"/>
      <c r="J9" s="473">
        <f>'MIS 2026'!ER9</f>
        <v>0</v>
      </c>
      <c r="K9" s="473">
        <f t="shared" si="7"/>
        <v>0</v>
      </c>
      <c r="L9" s="473">
        <f>'MIS 2026'!EW9</f>
        <v>0</v>
      </c>
      <c r="M9" s="474">
        <f>IF('MIS 2026'!EZ9&gt;0,'MIS 2026'!EW9,0)</f>
        <v>0</v>
      </c>
      <c r="N9" s="474" t="str">
        <f>'MIS 2026'!I9</f>
        <v>NIGERIA(SAKI)</v>
      </c>
      <c r="O9" s="474" t="str">
        <f>'MIS 2026'!H9</f>
        <v>INDIA ENTERPRISES</v>
      </c>
      <c r="P9" s="473">
        <f>'MIS 2026'!AI9</f>
        <v>1575</v>
      </c>
      <c r="Q9" s="474" t="str">
        <f>'MIS 2026'!BQ9</f>
        <v>MANGALORE, INDIA</v>
      </c>
      <c r="R9" s="474">
        <f>'MIS 2026'!AM9</f>
        <v>0.1</v>
      </c>
      <c r="S9" s="474" t="str">
        <f>'MIS 2026'!AL9</f>
        <v>DP SIGHT</v>
      </c>
      <c r="T9" s="473">
        <f>'MIS 2026'!AZ9</f>
        <v>15750</v>
      </c>
      <c r="U9" s="474" t="str">
        <f>IF('MIS 2026'!BI9="","",'MIS 2026'!BI9)</f>
        <v>MEDULG632812</v>
      </c>
      <c r="V9" s="475">
        <f>IF('MIS 2026'!BJ9&gt;0,'MIS 2026'!BJ9,'MIS 2026'!AF9)</f>
        <v>99.989000000000004</v>
      </c>
      <c r="W9" s="476">
        <f>IF('MIS 2026'!BM9="","",'MIS 2026'!BM9)</f>
        <v>46158</v>
      </c>
      <c r="X9" s="476">
        <f>IF('MIS 2026'!BO9="","",'MIS 2026'!BO9)</f>
        <v>46193</v>
      </c>
      <c r="Y9" s="473">
        <f t="shared" si="8"/>
        <v>141732.67500000002</v>
      </c>
      <c r="Z9" s="473">
        <f>IF('MIS 2026'!CR9&gt;0,'MIS 2026'!CQ9,0)</f>
        <v>0</v>
      </c>
      <c r="AA9" s="473">
        <f t="shared" si="9"/>
        <v>141732.67500000002</v>
      </c>
      <c r="AB9" s="476" t="str">
        <f>IF('MIS 2026'!CM9="","",'MIS 2026'!CM9)</f>
        <v/>
      </c>
      <c r="AC9" s="476" t="str">
        <f>'MIS 2026'!U9</f>
        <v>PENDING OBL &amp; CERTS-OBL EXPETCED 25/5</v>
      </c>
      <c r="AD9" s="474" t="str">
        <f>IF('MIS 2026'!BF9&gt;0,'MIS 2026'!BF9,"")</f>
        <v/>
      </c>
      <c r="AE9" s="476">
        <f>IF('MIS 2026'!N9&gt;0,'MIS 2026'!N9,"")</f>
        <v>46158</v>
      </c>
      <c r="AF9" s="474"/>
      <c r="AG9" s="478" t="str">
        <f>IF('MIS 2026'!BV9&lt;&gt;0,'MIS 2026'!BV9,"")</f>
        <v/>
      </c>
      <c r="AH9" s="474" t="str">
        <f>IF('MIS 2026'!F9&lt;&gt;0,'MIS 2026'!F9,"")</f>
        <v>32015806-2</v>
      </c>
      <c r="AI9" s="463">
        <f t="shared" ca="1" si="10"/>
        <v>14</v>
      </c>
      <c r="AJ9" s="474"/>
    </row>
    <row r="10" spans="1:36">
      <c r="A10" s="149" t="s">
        <v>208</v>
      </c>
      <c r="B10" s="149" t="str">
        <f>'MIS 2026'!EV10</f>
        <v>Export Loan</v>
      </c>
      <c r="C10" s="152" t="str">
        <f>'MIS 2026'!F10</f>
        <v>32015281-4</v>
      </c>
      <c r="D10" s="149" t="str">
        <f>'MIS 2026'!EH10</f>
        <v>Valora Exim</v>
      </c>
      <c r="E10" s="151">
        <f>'MIS 2026'!AF10</f>
        <v>100</v>
      </c>
      <c r="F10" s="150">
        <f>'MIS 2026'!EK10</f>
        <v>0</v>
      </c>
      <c r="G10" s="150">
        <f t="shared" si="6"/>
        <v>0</v>
      </c>
      <c r="H10" s="149">
        <f>'MIS 2026'!EL10</f>
        <v>0</v>
      </c>
      <c r="I10" s="148"/>
      <c r="J10" s="473">
        <f>'MIS 2026'!ER10</f>
        <v>0</v>
      </c>
      <c r="K10" s="473">
        <f t="shared" si="7"/>
        <v>0</v>
      </c>
      <c r="L10" s="473">
        <f>'MIS 2026'!EW10</f>
        <v>0</v>
      </c>
      <c r="M10" s="474">
        <f>IF('MIS 2026'!EZ10&gt;0,'MIS 2026'!EW10,0)</f>
        <v>0</v>
      </c>
      <c r="N10" s="474" t="str">
        <f>'MIS 2026'!I10</f>
        <v>GHANA</v>
      </c>
      <c r="O10" s="474" t="str">
        <f>'MIS 2026'!H10</f>
        <v>Valency Agro (Processing)</v>
      </c>
      <c r="P10" s="473">
        <f>'MIS 2026'!AI10</f>
        <v>1585</v>
      </c>
      <c r="Q10" s="474" t="str">
        <f>'MIS 2026'!BQ10</f>
        <v>MUNDRA, INDIA</v>
      </c>
      <c r="R10" s="474">
        <f>'MIS 2026'!AM10</f>
        <v>0</v>
      </c>
      <c r="S10" s="474" t="str">
        <f>'MIS 2026'!AL10</f>
        <v>120 DAYS FROM BL DATE</v>
      </c>
      <c r="T10" s="473">
        <f>'MIS 2026'!AZ10</f>
        <v>0</v>
      </c>
      <c r="U10" s="474" t="str">
        <f>IF('MIS 2026'!BI10="","",'MIS 2026'!BI10)</f>
        <v>ONEYTEMG00306400</v>
      </c>
      <c r="V10" s="475">
        <f>IF('MIS 2026'!BJ10&gt;0,'MIS 2026'!BJ10,'MIS 2026'!AF10)</f>
        <v>103.59</v>
      </c>
      <c r="W10" s="476">
        <f>IF('MIS 2026'!BM10="","",'MIS 2026'!BM10)</f>
        <v>46103</v>
      </c>
      <c r="X10" s="476">
        <f>IF('MIS 2026'!BO10="","",'MIS 2026'!BO10)</f>
        <v>46146</v>
      </c>
      <c r="Y10" s="473">
        <f t="shared" si="8"/>
        <v>164190.15</v>
      </c>
      <c r="Z10" s="473">
        <f>IF('MIS 2026'!CR10&gt;0,'MIS 2026'!CQ10,0)</f>
        <v>0</v>
      </c>
      <c r="AA10" s="473">
        <f t="shared" si="9"/>
        <v>164190.15</v>
      </c>
      <c r="AB10" s="476">
        <f>IF('MIS 2026'!CM10="","",'MIS 2026'!CM10)</f>
        <v>46125</v>
      </c>
      <c r="AC10" s="476" t="str">
        <f>'MIS 2026'!U10</f>
        <v>Payment by Valency Agro will be done, 120 days after BL date- CARGO CLEARED.</v>
      </c>
      <c r="AD10" s="474">
        <f>IF('MIS 2026'!BF10&gt;0,'MIS 2026'!BF10,"")</f>
        <v>46078</v>
      </c>
      <c r="AE10" s="476">
        <f>IF('MIS 2026'!N10&gt;0,'MIS 2026'!N10,"")</f>
        <v>46103</v>
      </c>
      <c r="AF10" s="474"/>
      <c r="AG10" s="478">
        <f>IF('MIS 2026'!BV10&lt;&gt;0,'MIS 2026'!BV10,"")</f>
        <v>90082920</v>
      </c>
      <c r="AH10" s="474" t="str">
        <f>IF('MIS 2026'!F10&lt;&gt;0,'MIS 2026'!F10,"")</f>
        <v>32015281-4</v>
      </c>
      <c r="AI10" s="463" t="str">
        <f t="shared" ca="1" si="10"/>
        <v/>
      </c>
      <c r="AJ10" s="474"/>
    </row>
    <row r="11" spans="1:36">
      <c r="A11" s="149" t="s">
        <v>208</v>
      </c>
      <c r="B11" s="149" t="str">
        <f>'MIS 2026'!EV11</f>
        <v>Final Pmt Recd</v>
      </c>
      <c r="C11" s="152">
        <f>'MIS 2026'!F11</f>
        <v>32015286</v>
      </c>
      <c r="D11" s="149" t="str">
        <f>'MIS 2026'!EH11</f>
        <v>VALORA BURKINA EXIM SARL</v>
      </c>
      <c r="E11" s="151">
        <f>'MIS 2026'!AF11</f>
        <v>200</v>
      </c>
      <c r="F11" s="150">
        <f>'MIS 2026'!EK11</f>
        <v>1200</v>
      </c>
      <c r="G11" s="150">
        <f t="shared" si="6"/>
        <v>240000</v>
      </c>
      <c r="H11" s="149">
        <f>'MIS 2026'!EL11</f>
        <v>0</v>
      </c>
      <c r="I11" s="148"/>
      <c r="J11" s="473">
        <f>'MIS 2026'!ER11</f>
        <v>0</v>
      </c>
      <c r="K11" s="473">
        <f t="shared" si="7"/>
        <v>240000</v>
      </c>
      <c r="L11" s="473">
        <f>'MIS 2026'!EW11</f>
        <v>0</v>
      </c>
      <c r="M11" s="474">
        <f>IF('MIS 2026'!EZ11&gt;0,'MIS 2026'!EW11,0)</f>
        <v>0</v>
      </c>
      <c r="N11" s="474" t="str">
        <f>'MIS 2026'!I11</f>
        <v>BURKINA FASO</v>
      </c>
      <c r="O11" s="474" t="str">
        <f>'MIS 2026'!H11</f>
        <v>MOI COMMODITIES INDIA PVT LTD</v>
      </c>
      <c r="P11" s="473">
        <f>'MIS 2026'!AI11</f>
        <v>1485</v>
      </c>
      <c r="Q11" s="474" t="str">
        <f>'MIS 2026'!BQ11</f>
        <v>MUNDRA, INDIA</v>
      </c>
      <c r="R11" s="474">
        <f>'MIS 2026'!AM11</f>
        <v>0.1</v>
      </c>
      <c r="S11" s="474" t="str">
        <f>'MIS 2026'!AL11</f>
        <v>10% ADVANCE 90%DP AT SIGHT</v>
      </c>
      <c r="T11" s="473">
        <f>'MIS 2026'!AZ11</f>
        <v>29700</v>
      </c>
      <c r="U11" s="474" t="str">
        <f>IF('MIS 2026'!BI11="","",'MIS 2026'!BI11)</f>
        <v>ONEYTEMG00307500</v>
      </c>
      <c r="V11" s="475">
        <f>IF('MIS 2026'!BJ11&gt;0,'MIS 2026'!BJ11,'MIS 2026'!AF11)</f>
        <v>182.57</v>
      </c>
      <c r="W11" s="476">
        <f>IF('MIS 2026'!BM11="","",'MIS 2026'!BM11)</f>
        <v>46125</v>
      </c>
      <c r="X11" s="476">
        <f>IF('MIS 2026'!BO11="","",'MIS 2026'!BO11)</f>
        <v>46163</v>
      </c>
      <c r="Y11" s="473">
        <f t="shared" si="8"/>
        <v>241416.45</v>
      </c>
      <c r="Z11" s="473">
        <f>IF('MIS 2026'!CR11&gt;0,'MIS 2026'!CQ11,0)</f>
        <v>241416.45</v>
      </c>
      <c r="AA11" s="473">
        <f t="shared" si="9"/>
        <v>0</v>
      </c>
      <c r="AB11" s="476">
        <f>IF('MIS 2026'!CM11="","",'MIS 2026'!CM11)</f>
        <v>46146</v>
      </c>
      <c r="AC11" s="476" t="str">
        <f>'MIS 2026'!U11</f>
        <v>PAYMENT RCVD 27/05</v>
      </c>
      <c r="AD11" s="474">
        <f>IF('MIS 2026'!BF11&gt;0,'MIS 2026'!BF11,"")</f>
        <v>46099</v>
      </c>
      <c r="AE11" s="476">
        <f>IF('MIS 2026'!N11&gt;0,'MIS 2026'!N11,"")</f>
        <v>46125</v>
      </c>
      <c r="AF11" s="474"/>
      <c r="AG11" s="478">
        <f>IF('MIS 2026'!BV11&lt;&gt;0,'MIS 2026'!BV11,"")</f>
        <v>90085007</v>
      </c>
      <c r="AH11" s="474">
        <f>IF('MIS 2026'!F11&lt;&gt;0,'MIS 2026'!F11,"")</f>
        <v>32015286</v>
      </c>
      <c r="AI11" s="463" t="str">
        <f t="shared" ca="1" si="10"/>
        <v/>
      </c>
      <c r="AJ11" s="474"/>
    </row>
    <row r="12" spans="1:36">
      <c r="A12" s="149" t="s">
        <v>208</v>
      </c>
      <c r="B12" s="149" t="str">
        <f>'MIS 2026'!EV12</f>
        <v>Export Loan</v>
      </c>
      <c r="C12" s="152" t="str">
        <f>'MIS 2026'!F12</f>
        <v>32014448-3</v>
      </c>
      <c r="D12" s="149" t="str">
        <f>'MIS 2026'!EH12</f>
        <v>LASTBORN GENERAL MERCHANT LTD</v>
      </c>
      <c r="E12" s="506">
        <f>'MIS 2026'!AF12</f>
        <v>105.235</v>
      </c>
      <c r="F12" s="150">
        <f>'MIS 2026'!EK12</f>
        <v>1600</v>
      </c>
      <c r="G12" s="150">
        <f t="shared" si="6"/>
        <v>168376</v>
      </c>
      <c r="H12" s="149">
        <f>'MIS 2026'!EL12</f>
        <v>0</v>
      </c>
      <c r="I12" s="148"/>
      <c r="J12" s="473">
        <f>'MIS 2026'!ER12</f>
        <v>165008.48000000001</v>
      </c>
      <c r="K12" s="473">
        <f t="shared" si="7"/>
        <v>3367.5199999999895</v>
      </c>
      <c r="L12" s="473">
        <f>'MIS 2026'!EW12</f>
        <v>0</v>
      </c>
      <c r="M12" s="474">
        <f>IF('MIS 2026'!EZ12&gt;0,'MIS 2026'!EW12,0)</f>
        <v>0</v>
      </c>
      <c r="N12" s="474" t="str">
        <f>'MIS 2026'!I12</f>
        <v>NIGERIA(OGB)</v>
      </c>
      <c r="O12" s="474" t="str">
        <f>'MIS 2026'!H12</f>
        <v>Valency Agro (Processing)</v>
      </c>
      <c r="P12" s="473">
        <f>'MIS 2026'!AI12</f>
        <v>1683</v>
      </c>
      <c r="Q12" s="474" t="str">
        <f>'MIS 2026'!BQ12</f>
        <v>MANGALORE, INDIA</v>
      </c>
      <c r="R12" s="474">
        <f>'MIS 2026'!AM12</f>
        <v>0</v>
      </c>
      <c r="S12" s="474" t="str">
        <f>'MIS 2026'!AL12</f>
        <v>90 DAYS FROM BL DATE</v>
      </c>
      <c r="T12" s="473">
        <f>'MIS 2026'!AZ12</f>
        <v>0</v>
      </c>
      <c r="U12" s="474" t="str">
        <f>IF('MIS 2026'!BI12="","",'MIS 2026'!BI12)</f>
        <v>MEDULG626012</v>
      </c>
      <c r="V12" s="475">
        <f>IF('MIS 2026'!BJ12&gt;0,'MIS 2026'!BJ12,'MIS 2026'!AF12)</f>
        <v>105.235</v>
      </c>
      <c r="W12" s="476">
        <f>IF('MIS 2026'!BM12="","",'MIS 2026'!BM12)</f>
        <v>46110</v>
      </c>
      <c r="X12" s="476">
        <f>IF('MIS 2026'!BO12="","",'MIS 2026'!BO12)</f>
        <v>46157</v>
      </c>
      <c r="Y12" s="473">
        <f t="shared" si="8"/>
        <v>177110.505</v>
      </c>
      <c r="Z12" s="473">
        <f>IF('MIS 2026'!CR12&gt;0,'MIS 2026'!CQ12,0)</f>
        <v>0</v>
      </c>
      <c r="AA12" s="473">
        <f t="shared" si="9"/>
        <v>177110.505</v>
      </c>
      <c r="AB12" s="476">
        <f>IF('MIS 2026'!CM12="","",'MIS 2026'!CM12)</f>
        <v>46139</v>
      </c>
      <c r="AC12" s="476" t="str">
        <f>'MIS 2026'!U12</f>
        <v>Payment by Valency Agro will be done, 90 days after BL date- CARGO CLEARED.</v>
      </c>
      <c r="AD12" s="474">
        <f>IF('MIS 2026'!BF12&gt;0,'MIS 2026'!BF12,"")</f>
        <v>46073</v>
      </c>
      <c r="AE12" s="476">
        <f>IF('MIS 2026'!N12&gt;0,'MIS 2026'!N12,"")</f>
        <v>46110</v>
      </c>
      <c r="AF12" s="474"/>
      <c r="AG12" s="478">
        <f>IF('MIS 2026'!BV12&lt;&gt;0,'MIS 2026'!BV12,"")</f>
        <v>90084574</v>
      </c>
      <c r="AH12" s="474" t="str">
        <f>IF('MIS 2026'!F12&lt;&gt;0,'MIS 2026'!F12,"")</f>
        <v>32014448-3</v>
      </c>
      <c r="AI12" s="463" t="str">
        <f t="shared" ca="1" si="10"/>
        <v/>
      </c>
      <c r="AJ12" s="474"/>
    </row>
    <row r="13" spans="1:36">
      <c r="A13" s="149" t="s">
        <v>208</v>
      </c>
      <c r="B13" s="149" t="str">
        <f>'MIS 2026'!EV13</f>
        <v>Yet to load</v>
      </c>
      <c r="C13" s="152">
        <f>'MIS 2026'!F13</f>
        <v>32014482</v>
      </c>
      <c r="D13" s="149" t="str">
        <f>'MIS 2026'!EH13</f>
        <v xml:space="preserve">VALENCY IVC </v>
      </c>
      <c r="E13" s="151">
        <f>'MIS 2026'!AF13</f>
        <v>200</v>
      </c>
      <c r="F13" s="150">
        <f>'MIS 2026'!EK13</f>
        <v>0</v>
      </c>
      <c r="G13" s="150">
        <f t="shared" si="6"/>
        <v>0</v>
      </c>
      <c r="H13" s="149">
        <f>'MIS 2026'!EL13</f>
        <v>0</v>
      </c>
      <c r="I13" s="148"/>
      <c r="J13" s="473">
        <f>'MIS 2026'!ER13</f>
        <v>0</v>
      </c>
      <c r="K13" s="473">
        <f t="shared" si="7"/>
        <v>0</v>
      </c>
      <c r="L13" s="473">
        <f>'MIS 2026'!EW13</f>
        <v>0</v>
      </c>
      <c r="M13" s="474">
        <f>IF('MIS 2026'!EZ13&gt;0,'MIS 2026'!EW13,0)</f>
        <v>0</v>
      </c>
      <c r="N13" s="474" t="str">
        <f>'MIS 2026'!I13</f>
        <v>IVC</v>
      </c>
      <c r="O13" s="474" t="str">
        <f>'MIS 2026'!H13</f>
        <v>MADHAVARAYA PRABHU</v>
      </c>
      <c r="P13" s="473">
        <f>'MIS 2026'!AI13</f>
        <v>1545</v>
      </c>
      <c r="Q13" s="474" t="str">
        <f>'MIS 2026'!BQ13</f>
        <v>MANGALORE, INDIA</v>
      </c>
      <c r="R13" s="474">
        <f>'MIS 2026'!AM13</f>
        <v>0</v>
      </c>
      <c r="S13" s="474" t="str">
        <f>'MIS 2026'!AL13</f>
        <v>DP SIGHT</v>
      </c>
      <c r="T13" s="473">
        <f>'MIS 2026'!AZ13</f>
        <v>0</v>
      </c>
      <c r="U13" s="474" t="str">
        <f>IF('MIS 2026'!BI13="","",'MIS 2026'!BI13)</f>
        <v/>
      </c>
      <c r="V13" s="475">
        <f>IF('MIS 2026'!BJ13&gt;0,'MIS 2026'!BJ13,'MIS 2026'!AF13)</f>
        <v>200</v>
      </c>
      <c r="W13" s="476" t="str">
        <f>IF('MIS 2026'!BM13="","",'MIS 2026'!BM13)</f>
        <v/>
      </c>
      <c r="X13" s="476" t="str">
        <f>IF('MIS 2026'!BO13="","",'MIS 2026'!BO13)</f>
        <v/>
      </c>
      <c r="Y13" s="473">
        <f t="shared" si="8"/>
        <v>309000</v>
      </c>
      <c r="Z13" s="473">
        <f>IF('MIS 2026'!CR13&gt;0,'MIS 2026'!CQ13,0)</f>
        <v>0</v>
      </c>
      <c r="AA13" s="473">
        <f t="shared" si="9"/>
        <v>309000</v>
      </c>
      <c r="AB13" s="476" t="str">
        <f>IF('MIS 2026'!CM13="","",'MIS 2026'!CM13)</f>
        <v/>
      </c>
      <c r="AC13" s="476" t="str">
        <f>'MIS 2026'!U13</f>
        <v xml:space="preserve">RCVD COUNTERSIGNED-267489781
267489781-1
</v>
      </c>
      <c r="AD13" s="474">
        <f>IF('MIS 2026'!BF13&gt;0,'MIS 2026'!BF13,"")</f>
        <v>46083</v>
      </c>
      <c r="AE13" s="476" t="str">
        <f>IF('MIS 2026'!N13&gt;0,'MIS 2026'!N13,"")</f>
        <v/>
      </c>
      <c r="AF13" s="474"/>
      <c r="AG13" s="478" t="str">
        <f>IF('MIS 2026'!BV13&lt;&gt;0,'MIS 2026'!BV13,"")</f>
        <v/>
      </c>
      <c r="AH13" s="474">
        <f>IF('MIS 2026'!F13&lt;&gt;0,'MIS 2026'!F13,"")</f>
        <v>32014482</v>
      </c>
      <c r="AI13" s="463" t="str">
        <f t="shared" ca="1" si="10"/>
        <v/>
      </c>
      <c r="AJ13" s="474"/>
    </row>
    <row r="14" spans="1:36">
      <c r="A14" s="149" t="s">
        <v>208</v>
      </c>
      <c r="B14" s="149" t="str">
        <f>'MIS 2026'!EV14</f>
        <v>Export Loan</v>
      </c>
      <c r="C14" s="152" t="str">
        <f>'MIS 2026'!F14</f>
        <v>32014448-5</v>
      </c>
      <c r="D14" s="149" t="str">
        <f>'MIS 2026'!EH14</f>
        <v>LASTBORN GENERAL MERCHANT LTD</v>
      </c>
      <c r="E14" s="506">
        <f>'MIS 2026'!AF14</f>
        <v>104.27</v>
      </c>
      <c r="F14" s="150">
        <f>'MIS 2026'!EK14</f>
        <v>1600</v>
      </c>
      <c r="G14" s="150">
        <f t="shared" si="6"/>
        <v>166832</v>
      </c>
      <c r="H14" s="149">
        <f>'MIS 2026'!EL14</f>
        <v>0</v>
      </c>
      <c r="I14" s="148"/>
      <c r="J14" s="473">
        <f>'MIS 2026'!ER14</f>
        <v>163495.35999999999</v>
      </c>
      <c r="K14" s="473">
        <f t="shared" si="7"/>
        <v>3336.640000000014</v>
      </c>
      <c r="L14" s="473">
        <f>'MIS 2026'!EW14</f>
        <v>0</v>
      </c>
      <c r="M14" s="474">
        <f>IF('MIS 2026'!EZ14&gt;0,'MIS 2026'!EW14,0)</f>
        <v>0</v>
      </c>
      <c r="N14" s="474" t="str">
        <f>'MIS 2026'!I14</f>
        <v>NIGERIA(OGB)</v>
      </c>
      <c r="O14" s="474" t="str">
        <f>'MIS 2026'!H14</f>
        <v>Valency Agro (Processing)</v>
      </c>
      <c r="P14" s="473">
        <f>'MIS 2026'!AI14</f>
        <v>1683</v>
      </c>
      <c r="Q14" s="474" t="str">
        <f>'MIS 2026'!BQ14</f>
        <v>MANGALORE, INDIA</v>
      </c>
      <c r="R14" s="474">
        <f>'MIS 2026'!AM14</f>
        <v>0</v>
      </c>
      <c r="S14" s="474" t="str">
        <f>'MIS 2026'!AL14</f>
        <v>90 DAYS FROM BL DATE</v>
      </c>
      <c r="T14" s="473">
        <f>'MIS 2026'!AZ14</f>
        <v>0</v>
      </c>
      <c r="U14" s="474" t="str">
        <f>IF('MIS 2026'!BI14="","",'MIS 2026'!BI14)</f>
        <v>MEDULG625659</v>
      </c>
      <c r="V14" s="475">
        <f>IF('MIS 2026'!BJ14&gt;0,'MIS 2026'!BJ14,'MIS 2026'!AF14)</f>
        <v>104.27</v>
      </c>
      <c r="W14" s="476">
        <f>IF('MIS 2026'!BM14="","",'MIS 2026'!BM14)</f>
        <v>46108</v>
      </c>
      <c r="X14" s="476">
        <f>IF('MIS 2026'!BO14="","",'MIS 2026'!BO14)</f>
        <v>46157</v>
      </c>
      <c r="Y14" s="473">
        <f t="shared" si="8"/>
        <v>175486.41</v>
      </c>
      <c r="Z14" s="473">
        <f>IF('MIS 2026'!CR14&gt;0,'MIS 2026'!CQ14,0)</f>
        <v>0</v>
      </c>
      <c r="AA14" s="473">
        <f t="shared" si="9"/>
        <v>175486.41</v>
      </c>
      <c r="AB14" s="476">
        <f>IF('MIS 2026'!CM14="","",'MIS 2026'!CM14)</f>
        <v>46139</v>
      </c>
      <c r="AC14" s="476" t="str">
        <f>'MIS 2026'!U14</f>
        <v>Payment by Valency Agro will be done, 90 days after BL date- CARGO CLEARED.</v>
      </c>
      <c r="AD14" s="474">
        <f>IF('MIS 2026'!BF14&gt;0,'MIS 2026'!BF14,"")</f>
        <v>46073</v>
      </c>
      <c r="AE14" s="476">
        <f>IF('MIS 2026'!N14&gt;0,'MIS 2026'!N14,"")</f>
        <v>46108</v>
      </c>
      <c r="AF14" s="474"/>
      <c r="AG14" s="478">
        <f>IF('MIS 2026'!BV14&lt;&gt;0,'MIS 2026'!BV14,"")</f>
        <v>90084573</v>
      </c>
      <c r="AH14" s="474" t="str">
        <f>IF('MIS 2026'!F14&lt;&gt;0,'MIS 2026'!F14,"")</f>
        <v>32014448-5</v>
      </c>
      <c r="AI14" s="463" t="str">
        <f t="shared" ca="1" si="10"/>
        <v/>
      </c>
      <c r="AJ14" s="474"/>
    </row>
    <row r="15" spans="1:36">
      <c r="A15" s="149" t="s">
        <v>208</v>
      </c>
      <c r="B15" s="149" t="str">
        <f>'MIS 2026'!EV15</f>
        <v>Final Pmt Recd</v>
      </c>
      <c r="C15" s="152">
        <f>'MIS 2026'!F15</f>
        <v>32013748</v>
      </c>
      <c r="D15" s="149" t="str">
        <f>'MIS 2026'!EH15</f>
        <v>VALENCY NIGERIA</v>
      </c>
      <c r="E15" s="151">
        <f>'MIS 2026'!AF15</f>
        <v>50</v>
      </c>
      <c r="F15" s="150">
        <f>'MIS 2026'!EK15</f>
        <v>0</v>
      </c>
      <c r="G15" s="150">
        <f t="shared" si="6"/>
        <v>0</v>
      </c>
      <c r="H15" s="149" t="str">
        <f>'MIS 2026'!EL15</f>
        <v>-</v>
      </c>
      <c r="I15" s="148"/>
      <c r="J15" s="473">
        <f>'MIS 2026'!ER15</f>
        <v>0</v>
      </c>
      <c r="K15" s="473">
        <f t="shared" si="7"/>
        <v>0</v>
      </c>
      <c r="L15" s="473">
        <f>'MIS 2026'!EW15</f>
        <v>0</v>
      </c>
      <c r="M15" s="474">
        <f>IF('MIS 2026'!EZ15&gt;0,'MIS 2026'!EW15,0)</f>
        <v>0</v>
      </c>
      <c r="N15" s="474" t="str">
        <f>'MIS 2026'!I15</f>
        <v>NIGERIA(OGB)</v>
      </c>
      <c r="O15" s="474" t="str">
        <f>'MIS 2026'!H15</f>
        <v>ST. PAULS CASHEW FACTORY</v>
      </c>
      <c r="P15" s="473">
        <f>'MIS 2026'!AI15</f>
        <v>1610</v>
      </c>
      <c r="Q15" s="474" t="str">
        <f>'MIS 2026'!BQ15</f>
        <v xml:space="preserve">TUTICORIN, INDIA </v>
      </c>
      <c r="R15" s="474">
        <f>'MIS 2026'!AM15</f>
        <v>0</v>
      </c>
      <c r="S15" s="474" t="str">
        <f>'MIS 2026'!AL15</f>
        <v>DP SIGHT</v>
      </c>
      <c r="T15" s="473">
        <f>'MIS 2026'!AZ15</f>
        <v>0</v>
      </c>
      <c r="U15" s="474" t="str">
        <f>IF('MIS 2026'!BI15="","",'MIS 2026'!BI15)</f>
        <v>MEDULG628059</v>
      </c>
      <c r="V15" s="475">
        <f>IF('MIS 2026'!BJ15&gt;0,'MIS 2026'!BJ15,'MIS 2026'!AF15)</f>
        <v>50.634999999999998</v>
      </c>
      <c r="W15" s="476">
        <f>IF('MIS 2026'!BM15="","",'MIS 2026'!BM15)</f>
        <v>46105</v>
      </c>
      <c r="X15" s="476">
        <f>IF('MIS 2026'!BO15="","",'MIS 2026'!BO15)</f>
        <v>46161</v>
      </c>
      <c r="Y15" s="473">
        <f t="shared" si="8"/>
        <v>81522.349999999991</v>
      </c>
      <c r="Z15" s="473">
        <f>IF('MIS 2026'!CR15&gt;0,'MIS 2026'!CQ15,0)</f>
        <v>81522.349999999991</v>
      </c>
      <c r="AA15" s="473">
        <f t="shared" si="9"/>
        <v>0</v>
      </c>
      <c r="AB15" s="476">
        <f>IF('MIS 2026'!CM15="","",'MIS 2026'!CM15)</f>
        <v>46140</v>
      </c>
      <c r="AC15" s="476" t="str">
        <f>'MIS 2026'!U15</f>
        <v>CERT YET TO REACH DESTINATION, PAYMENT RCVD 14/5</v>
      </c>
      <c r="AD15" s="474">
        <f>IF('MIS 2026'!BF15&gt;0,'MIS 2026'!BF15,"")</f>
        <v>46030</v>
      </c>
      <c r="AE15" s="476">
        <f>IF('MIS 2026'!N15&gt;0,'MIS 2026'!N15,"")</f>
        <v>46105</v>
      </c>
      <c r="AF15" s="474"/>
      <c r="AG15" s="478">
        <f>IF('MIS 2026'!BV15&lt;&gt;0,'MIS 2026'!BV15,"")</f>
        <v>90083900</v>
      </c>
      <c r="AH15" s="474">
        <f>IF('MIS 2026'!F15&lt;&gt;0,'MIS 2026'!F15,"")</f>
        <v>32013748</v>
      </c>
      <c r="AI15" s="463" t="str">
        <f t="shared" ca="1" si="10"/>
        <v/>
      </c>
      <c r="AJ15" s="474"/>
    </row>
    <row r="16" spans="1:36">
      <c r="A16" s="149" t="s">
        <v>208</v>
      </c>
      <c r="B16" s="149" t="str">
        <f>'MIS 2026'!EV16</f>
        <v>Final Pmt Recd</v>
      </c>
      <c r="C16" s="152">
        <f>'MIS 2026'!F16</f>
        <v>32014391</v>
      </c>
      <c r="D16" s="149" t="str">
        <f>'MIS 2026'!EH16</f>
        <v>WAKMAN HERITAGE</v>
      </c>
      <c r="E16" s="151">
        <f>'MIS 2026'!AF16</f>
        <v>104.563</v>
      </c>
      <c r="F16" s="150">
        <f>'MIS 2026'!EK16</f>
        <v>1500</v>
      </c>
      <c r="G16" s="150">
        <f t="shared" si="6"/>
        <v>156844.5</v>
      </c>
      <c r="H16" s="149">
        <f>'MIS 2026'!EL16</f>
        <v>0</v>
      </c>
      <c r="I16" s="148"/>
      <c r="J16" s="473">
        <f>'MIS 2026'!ER16</f>
        <v>141160.05000000002</v>
      </c>
      <c r="K16" s="473">
        <f t="shared" si="7"/>
        <v>15684.449999999983</v>
      </c>
      <c r="L16" s="473">
        <f>'MIS 2026'!EW16</f>
        <v>0</v>
      </c>
      <c r="M16" s="474">
        <f>IF('MIS 2026'!EZ16&gt;0,'MIS 2026'!EW16,0)</f>
        <v>0</v>
      </c>
      <c r="N16" s="474" t="str">
        <f>'MIS 2026'!I16</f>
        <v>NIGERIA(OGB)</v>
      </c>
      <c r="O16" s="474" t="str">
        <f>'MIS 2026'!H16</f>
        <v>SRI VIJAYALAXMI CASHEW INDUSTRIES</v>
      </c>
      <c r="P16" s="473">
        <f>'MIS 2026'!AI16</f>
        <v>1635</v>
      </c>
      <c r="Q16" s="474" t="str">
        <f>'MIS 2026'!BQ16</f>
        <v>MANGALORE, INDIA</v>
      </c>
      <c r="R16" s="474">
        <f>'MIS 2026'!AM16</f>
        <v>0</v>
      </c>
      <c r="S16" s="474" t="str">
        <f>'MIS 2026'!AL16</f>
        <v>DP SIGHT</v>
      </c>
      <c r="T16" s="473">
        <f>'MIS 2026'!AZ16</f>
        <v>0</v>
      </c>
      <c r="U16" s="474" t="str">
        <f>IF('MIS 2026'!BI16="","",'MIS 2026'!BI16)</f>
        <v>MEDULG626988</v>
      </c>
      <c r="V16" s="475">
        <f>IF('MIS 2026'!BJ16&gt;0,'MIS 2026'!BJ16,'MIS 2026'!AF16)</f>
        <v>104.563</v>
      </c>
      <c r="W16" s="476">
        <f>IF('MIS 2026'!BM16="","",'MIS 2026'!BM16)</f>
        <v>46110</v>
      </c>
      <c r="X16" s="476">
        <f>IF('MIS 2026'!BO16="","",'MIS 2026'!BO16)</f>
        <v>46160</v>
      </c>
      <c r="Y16" s="473">
        <f t="shared" si="8"/>
        <v>170960.505</v>
      </c>
      <c r="Z16" s="473">
        <f>IF('MIS 2026'!CR16&gt;0,'MIS 2026'!CQ16,0)</f>
        <v>170960.505</v>
      </c>
      <c r="AA16" s="473">
        <f t="shared" si="9"/>
        <v>0</v>
      </c>
      <c r="AB16" s="476">
        <f>IF('MIS 2026'!CM16="","",'MIS 2026'!CM16)</f>
        <v>46141</v>
      </c>
      <c r="AC16" s="476" t="str">
        <f>'MIS 2026'!U16</f>
        <v>PAYMENT RCVD 21/5</v>
      </c>
      <c r="AD16" s="474">
        <f>IF('MIS 2026'!BF16&gt;0,'MIS 2026'!BF16,"")</f>
        <v>46062</v>
      </c>
      <c r="AE16" s="476">
        <f>IF('MIS 2026'!N16&gt;0,'MIS 2026'!N16,"")</f>
        <v>46110</v>
      </c>
      <c r="AF16" s="474"/>
      <c r="AG16" s="478">
        <f>IF('MIS 2026'!BV16&lt;&gt;0,'MIS 2026'!BV16,"")</f>
        <v>90084810</v>
      </c>
      <c r="AH16" s="474">
        <f>IF('MIS 2026'!F16&lt;&gt;0,'MIS 2026'!F16,"")</f>
        <v>32014391</v>
      </c>
      <c r="AI16" s="463" t="str">
        <f t="shared" ca="1" si="10"/>
        <v/>
      </c>
      <c r="AJ16" s="474"/>
    </row>
    <row r="17" spans="1:36">
      <c r="A17" s="149" t="s">
        <v>208</v>
      </c>
      <c r="B17" s="149" t="str">
        <f>'MIS 2026'!EV17</f>
        <v>Final Pmt Recd</v>
      </c>
      <c r="C17" s="152" t="str">
        <f>'MIS 2026'!F17</f>
        <v>32013750-1</v>
      </c>
      <c r="D17" s="149" t="str">
        <f>'MIS 2026'!EH17</f>
        <v>Valency Nigeria</v>
      </c>
      <c r="E17" s="151">
        <f>'MIS 2026'!AF17</f>
        <v>100</v>
      </c>
      <c r="F17" s="150">
        <f>'MIS 2026'!EK17</f>
        <v>0</v>
      </c>
      <c r="G17" s="150">
        <f t="shared" si="6"/>
        <v>0</v>
      </c>
      <c r="H17" s="149" t="str">
        <f>'MIS 2026'!EL17</f>
        <v>-</v>
      </c>
      <c r="I17" s="148"/>
      <c r="J17" s="473">
        <f>'MIS 2026'!ER17</f>
        <v>0</v>
      </c>
      <c r="K17" s="473">
        <f t="shared" si="7"/>
        <v>0</v>
      </c>
      <c r="L17" s="473">
        <f>'MIS 2026'!EW17</f>
        <v>0</v>
      </c>
      <c r="M17" s="474">
        <f>IF('MIS 2026'!EZ17&gt;0,'MIS 2026'!EW17,0)</f>
        <v>0</v>
      </c>
      <c r="N17" s="474" t="str">
        <f>'MIS 2026'!I17</f>
        <v>NIGERIA(OGB)</v>
      </c>
      <c r="O17" s="474" t="str">
        <f>'MIS 2026'!H17</f>
        <v>MAA TARA TARINI CASHEW INDUSTRIES</v>
      </c>
      <c r="P17" s="473">
        <f>'MIS 2026'!AI17</f>
        <v>1610</v>
      </c>
      <c r="Q17" s="474" t="str">
        <f>'MIS 2026'!BQ17</f>
        <v>GANGAVARAM, INDIA</v>
      </c>
      <c r="R17" s="474">
        <f>'MIS 2026'!AM17</f>
        <v>0.1</v>
      </c>
      <c r="S17" s="474" t="str">
        <f>'MIS 2026'!AL17</f>
        <v>DP SIGHT</v>
      </c>
      <c r="T17" s="473">
        <f>'MIS 2026'!AZ17</f>
        <v>16100</v>
      </c>
      <c r="U17" s="474" t="str">
        <f>IF('MIS 2026'!BI17="","",'MIS 2026'!BI17)</f>
        <v>MEDULG617839</v>
      </c>
      <c r="V17" s="475">
        <f>IF('MIS 2026'!BJ17&gt;0,'MIS 2026'!BJ17,'MIS 2026'!AF17)</f>
        <v>103.6</v>
      </c>
      <c r="W17" s="476">
        <f>IF('MIS 2026'!BM17="","",'MIS 2026'!BM17)</f>
        <v>46099</v>
      </c>
      <c r="X17" s="476">
        <f>IF('MIS 2026'!BO17="","",'MIS 2026'!BO17)</f>
        <v>46161</v>
      </c>
      <c r="Y17" s="473">
        <f t="shared" si="8"/>
        <v>150696</v>
      </c>
      <c r="Z17" s="473">
        <f>IF('MIS 2026'!CR17&gt;0,'MIS 2026'!CQ17,0)</f>
        <v>134016.4</v>
      </c>
      <c r="AA17" s="473">
        <f t="shared" si="9"/>
        <v>16679.600000000006</v>
      </c>
      <c r="AB17" s="476">
        <f>IF('MIS 2026'!CM17="","",'MIS 2026'!CM17)</f>
        <v>46120</v>
      </c>
      <c r="AC17" s="476" t="str">
        <f>'MIS 2026'!U17</f>
        <v>ORIGINAL CERTS COURIERED TO BUYER CHA DHL: 4288510505-NEGO BANK DONE 8TH APRIL- PAYMENT PENDING</v>
      </c>
      <c r="AD17" s="474">
        <f>IF('MIS 2026'!BF17&gt;0,'MIS 2026'!BF17,"")</f>
        <v>46030</v>
      </c>
      <c r="AE17" s="476">
        <f>IF('MIS 2026'!N17&gt;0,'MIS 2026'!N17,"")</f>
        <v>46099</v>
      </c>
      <c r="AF17" s="474"/>
      <c r="AG17" s="478">
        <f>IF('MIS 2026'!BV17&lt;&gt;0,'MIS 2026'!BV17,"")</f>
        <v>90083332</v>
      </c>
      <c r="AH17" s="474" t="str">
        <f>IF('MIS 2026'!F17&lt;&gt;0,'MIS 2026'!F17,"")</f>
        <v>32013750-1</v>
      </c>
      <c r="AI17" s="463" t="str">
        <f t="shared" ca="1" si="10"/>
        <v/>
      </c>
      <c r="AJ17" s="474"/>
    </row>
    <row r="18" spans="1:36">
      <c r="A18" s="149" t="s">
        <v>208</v>
      </c>
      <c r="B18" s="149" t="str">
        <f>'MIS 2026'!EV18</f>
        <v>Final Pmt Recd</v>
      </c>
      <c r="C18" s="152" t="str">
        <f>'MIS 2026'!F18</f>
        <v>32013750-2</v>
      </c>
      <c r="D18" s="149" t="str">
        <f>'MIS 2026'!EH18</f>
        <v>Valency Nigeria</v>
      </c>
      <c r="E18" s="151">
        <f>'MIS 2026'!AF18</f>
        <v>50</v>
      </c>
      <c r="F18" s="150">
        <f>'MIS 2026'!EK18</f>
        <v>0</v>
      </c>
      <c r="G18" s="150">
        <f t="shared" si="6"/>
        <v>0</v>
      </c>
      <c r="H18" s="149" t="str">
        <f>'MIS 2026'!EL18</f>
        <v>-</v>
      </c>
      <c r="I18" s="148"/>
      <c r="J18" s="473">
        <f>'MIS 2026'!ER18</f>
        <v>0</v>
      </c>
      <c r="K18" s="473">
        <f t="shared" si="7"/>
        <v>0</v>
      </c>
      <c r="L18" s="473">
        <f>'MIS 2026'!EW18</f>
        <v>0</v>
      </c>
      <c r="M18" s="474">
        <f>IF('MIS 2026'!EZ18&gt;0,'MIS 2026'!EW18,0)</f>
        <v>0</v>
      </c>
      <c r="N18" s="474" t="str">
        <f>'MIS 2026'!I18</f>
        <v>NIGERIA(OGB)</v>
      </c>
      <c r="O18" s="474" t="str">
        <f>'MIS 2026'!H18</f>
        <v>MAA TARA TARINI CASHEW INDUSTRIES</v>
      </c>
      <c r="P18" s="473">
        <f>'MIS 2026'!AI18</f>
        <v>1610</v>
      </c>
      <c r="Q18" s="474" t="str">
        <f>'MIS 2026'!BQ18</f>
        <v>GANGAVARAM, INDIA</v>
      </c>
      <c r="R18" s="474">
        <f>'MIS 2026'!AM18</f>
        <v>0.1</v>
      </c>
      <c r="S18" s="474" t="str">
        <f>'MIS 2026'!AL18</f>
        <v>DP SIGHT</v>
      </c>
      <c r="T18" s="473">
        <f>'MIS 2026'!AZ18</f>
        <v>8050</v>
      </c>
      <c r="U18" s="474" t="str">
        <f>IF('MIS 2026'!BI18="","",'MIS 2026'!BI18)</f>
        <v>MEDULG618159</v>
      </c>
      <c r="V18" s="475">
        <f>IF('MIS 2026'!BJ18&gt;0,'MIS 2026'!BJ18,'MIS 2026'!AF18)</f>
        <v>50.65</v>
      </c>
      <c r="W18" s="476">
        <f>IF('MIS 2026'!BM18="","",'MIS 2026'!BM18)</f>
        <v>46098</v>
      </c>
      <c r="X18" s="476">
        <f>IF('MIS 2026'!BO18="","",'MIS 2026'!BO18)</f>
        <v>46156</v>
      </c>
      <c r="Y18" s="473">
        <f t="shared" si="8"/>
        <v>73496.5</v>
      </c>
      <c r="Z18" s="473">
        <f>IF('MIS 2026'!CR18&gt;0,'MIS 2026'!CQ18,0)</f>
        <v>65341.849999999991</v>
      </c>
      <c r="AA18" s="473">
        <f t="shared" si="9"/>
        <v>8154.6500000000087</v>
      </c>
      <c r="AB18" s="476">
        <f>IF('MIS 2026'!CM18="","",'MIS 2026'!CM18)</f>
        <v>46120</v>
      </c>
      <c r="AC18" s="476" t="str">
        <f>'MIS 2026'!U18</f>
        <v>OBL SENT SG OFC:6876239156(SHORTSHIPPED 2FCL)-CERTS COURIERED TO BUYER ADDRESS;7144679555-PAYMENT PENDING</v>
      </c>
      <c r="AD18" s="474">
        <f>IF('MIS 2026'!BF18&gt;0,'MIS 2026'!BF18,"")</f>
        <v>46030</v>
      </c>
      <c r="AE18" s="476">
        <f>IF('MIS 2026'!N18&gt;0,'MIS 2026'!N18,"")</f>
        <v>46098</v>
      </c>
      <c r="AF18" s="474"/>
      <c r="AG18" s="478">
        <f>IF('MIS 2026'!BV18&lt;&gt;0,'MIS 2026'!BV18,"")</f>
        <v>90083412</v>
      </c>
      <c r="AH18" s="474" t="str">
        <f>IF('MIS 2026'!F18&lt;&gt;0,'MIS 2026'!F18,"")</f>
        <v>32013750-2</v>
      </c>
      <c r="AI18" s="463" t="str">
        <f t="shared" ca="1" si="10"/>
        <v/>
      </c>
      <c r="AJ18" s="474"/>
    </row>
    <row r="19" spans="1:36">
      <c r="A19" s="149" t="s">
        <v>208</v>
      </c>
      <c r="B19" s="149" t="str">
        <f>'MIS 2026'!EV19</f>
        <v>Export Loan</v>
      </c>
      <c r="C19" s="152">
        <f>'MIS 2026'!F19</f>
        <v>32014578</v>
      </c>
      <c r="D19" s="149" t="str">
        <f>'MIS 2026'!EH19</f>
        <v>VALENCY NIGERIA</v>
      </c>
      <c r="E19" s="151">
        <f>'MIS 2026'!AF19</f>
        <v>100</v>
      </c>
      <c r="F19" s="150">
        <f>'MIS 2026'!EK19</f>
        <v>0</v>
      </c>
      <c r="G19" s="150">
        <f t="shared" si="6"/>
        <v>0</v>
      </c>
      <c r="H19" s="149">
        <f>'MIS 2026'!EL19</f>
        <v>0</v>
      </c>
      <c r="I19" s="148"/>
      <c r="J19" s="473">
        <f>'MIS 2026'!ER19</f>
        <v>0</v>
      </c>
      <c r="K19" s="473">
        <f t="shared" si="7"/>
        <v>0</v>
      </c>
      <c r="L19" s="473">
        <f>'MIS 2026'!EW19</f>
        <v>0</v>
      </c>
      <c r="M19" s="474">
        <f>IF('MIS 2026'!EZ19&gt;0,'MIS 2026'!EW19,0)</f>
        <v>0</v>
      </c>
      <c r="N19" s="474" t="str">
        <f>'MIS 2026'!I19</f>
        <v>NIGERIA(OGB)</v>
      </c>
      <c r="O19" s="474" t="str">
        <f>'MIS 2026'!H19</f>
        <v>VALENCY AGRO //HSS//SABAH ENTERPRISES</v>
      </c>
      <c r="P19" s="473">
        <f>'MIS 2026'!AI19</f>
        <v>1610</v>
      </c>
      <c r="Q19" s="474" t="str">
        <f>'MIS 2026'!BQ19</f>
        <v>TUTICORIN, INDIA</v>
      </c>
      <c r="R19" s="474">
        <f>'MIS 2026'!AM19</f>
        <v>0</v>
      </c>
      <c r="S19" s="474" t="str">
        <f>'MIS 2026'!AL19</f>
        <v>90 DAYS FROM BL DATE</v>
      </c>
      <c r="T19" s="473">
        <f>'MIS 2026'!AZ19</f>
        <v>0</v>
      </c>
      <c r="U19" s="474" t="str">
        <f>IF('MIS 2026'!BI19="","",'MIS 2026'!BI19)</f>
        <v>ONEYLOSG01235800</v>
      </c>
      <c r="V19" s="475">
        <f>IF('MIS 2026'!BJ19&gt;0,'MIS 2026'!BJ19,'MIS 2026'!AF19)</f>
        <v>101.91500000000001</v>
      </c>
      <c r="W19" s="476">
        <f>IF('MIS 2026'!BM19="","",'MIS 2026'!BM19)</f>
        <v>46108</v>
      </c>
      <c r="X19" s="476">
        <f>IF('MIS 2026'!BO19="","",'MIS 2026'!BO19)</f>
        <v>46157</v>
      </c>
      <c r="Y19" s="473">
        <f t="shared" si="8"/>
        <v>164083.15000000002</v>
      </c>
      <c r="Z19" s="473">
        <f>IF('MIS 2026'!CR19&gt;0,'MIS 2026'!CQ19,0)</f>
        <v>0</v>
      </c>
      <c r="AA19" s="473">
        <f t="shared" si="9"/>
        <v>164083.15000000002</v>
      </c>
      <c r="AB19" s="476">
        <f>IF('MIS 2026'!CM19="","",'MIS 2026'!CM19)</f>
        <v>46134</v>
      </c>
      <c r="AC19" s="476" t="str">
        <f>'MIS 2026'!U19</f>
        <v>Payment by Valency Agro will be done, 90 days after BL date- HSS Formalities are done</v>
      </c>
      <c r="AD19" s="474">
        <f>IF('MIS 2026'!BF19&gt;0,'MIS 2026'!BF19,"")</f>
        <v>46078</v>
      </c>
      <c r="AE19" s="476">
        <f>IF('MIS 2026'!N19&gt;0,'MIS 2026'!N19,"")</f>
        <v>46108</v>
      </c>
      <c r="AF19" s="474"/>
      <c r="AG19" s="478">
        <f>IF('MIS 2026'!BV19&lt;&gt;0,'MIS 2026'!BV19,"")</f>
        <v>90083899</v>
      </c>
      <c r="AH19" s="474">
        <f>IF('MIS 2026'!F19&lt;&gt;0,'MIS 2026'!F19,"")</f>
        <v>32014578</v>
      </c>
      <c r="AI19" s="463" t="str">
        <f t="shared" ca="1" si="10"/>
        <v/>
      </c>
      <c r="AJ19" s="474"/>
    </row>
    <row r="20" spans="1:36">
      <c r="A20" s="149" t="s">
        <v>208</v>
      </c>
      <c r="B20" s="149" t="str">
        <f>'MIS 2026'!EV20</f>
        <v>Yet to load</v>
      </c>
      <c r="C20" s="152">
        <f>'MIS 2026'!F20</f>
        <v>32015058</v>
      </c>
      <c r="D20" s="149" t="str">
        <f>'MIS 2026'!EH20</f>
        <v xml:space="preserve">VALENCY IVC </v>
      </c>
      <c r="E20" s="151">
        <f>'MIS 2026'!AF20</f>
        <v>250</v>
      </c>
      <c r="F20" s="150">
        <f>'MIS 2026'!EK20</f>
        <v>0</v>
      </c>
      <c r="G20" s="150">
        <f t="shared" si="6"/>
        <v>0</v>
      </c>
      <c r="H20" s="149">
        <f>'MIS 2026'!EL20</f>
        <v>0</v>
      </c>
      <c r="I20" s="148"/>
      <c r="J20" s="473">
        <f>'MIS 2026'!ER20</f>
        <v>0</v>
      </c>
      <c r="K20" s="473">
        <f t="shared" si="7"/>
        <v>0</v>
      </c>
      <c r="L20" s="473">
        <f>'MIS 2026'!EW20</f>
        <v>0</v>
      </c>
      <c r="M20" s="474">
        <f>IF('MIS 2026'!EZ20&gt;0,'MIS 2026'!EW20,0)</f>
        <v>0</v>
      </c>
      <c r="N20" s="474" t="str">
        <f>'MIS 2026'!I20</f>
        <v>IVC</v>
      </c>
      <c r="O20" s="474" t="str">
        <f>'MIS 2026'!H20</f>
        <v xml:space="preserve">THAO NGUYEN COMPANY LIMITED  </v>
      </c>
      <c r="P20" s="473">
        <f>'MIS 2026'!AI20</f>
        <v>1520</v>
      </c>
      <c r="Q20" s="474" t="str">
        <f>'MIS 2026'!BQ20</f>
        <v>CAT LAI HCMC, Vietnam</v>
      </c>
      <c r="R20" s="474">
        <f>'MIS 2026'!AM20</f>
        <v>0.1</v>
      </c>
      <c r="S20" s="474" t="str">
        <f>'MIS 2026'!AL20</f>
        <v>DP SIGHT</v>
      </c>
      <c r="T20" s="473">
        <f>'MIS 2026'!AZ20</f>
        <v>38000</v>
      </c>
      <c r="U20" s="474" t="str">
        <f>IF('MIS 2026'!BI20="","",'MIS 2026'!BI20)</f>
        <v>ONEYABJG00281500</v>
      </c>
      <c r="V20" s="475">
        <f>IF('MIS 2026'!BJ20&gt;0,'MIS 2026'!BJ20,'MIS 2026'!AF20)</f>
        <v>250</v>
      </c>
      <c r="W20" s="476">
        <f>IF('MIS 2026'!BM20="","",'MIS 2026'!BM20)</f>
        <v>46159</v>
      </c>
      <c r="X20" s="476">
        <f>IF('MIS 2026'!BO20="","",'MIS 2026'!BO20)</f>
        <v>46178</v>
      </c>
      <c r="Y20" s="473">
        <f t="shared" si="8"/>
        <v>342000</v>
      </c>
      <c r="Z20" s="473">
        <f>IF('MIS 2026'!CR20&gt;0,'MIS 2026'!CQ20,0)</f>
        <v>0</v>
      </c>
      <c r="AA20" s="473">
        <f t="shared" si="9"/>
        <v>342000</v>
      </c>
      <c r="AB20" s="476" t="str">
        <f>IF('MIS 2026'!CM20="","",'MIS 2026'!CM20)</f>
        <v/>
      </c>
      <c r="AC20" s="476" t="str">
        <f>'MIS 2026'!U20</f>
        <v>DRAFT HBL CONFIRMED 20/5- OBL PENDING</v>
      </c>
      <c r="AD20" s="474" t="str">
        <f>IF('MIS 2026'!BF20&gt;0,'MIS 2026'!BF20,"")</f>
        <v/>
      </c>
      <c r="AE20" s="476">
        <f>IF('MIS 2026'!N20&gt;0,'MIS 2026'!N20,"")</f>
        <v>46159</v>
      </c>
      <c r="AF20" s="474"/>
      <c r="AG20" s="478" t="str">
        <f>IF('MIS 2026'!BV20&lt;&gt;0,'MIS 2026'!BV20,"")</f>
        <v/>
      </c>
      <c r="AH20" s="474">
        <f>IF('MIS 2026'!F20&lt;&gt;0,'MIS 2026'!F20,"")</f>
        <v>32015058</v>
      </c>
      <c r="AI20" s="463">
        <f t="shared" ca="1" si="10"/>
        <v>13</v>
      </c>
      <c r="AJ20" s="474"/>
    </row>
    <row r="21" spans="1:36">
      <c r="A21" s="149" t="s">
        <v>208</v>
      </c>
      <c r="B21" s="149" t="str">
        <f>'MIS 2026'!EV21</f>
        <v>Yet to load</v>
      </c>
      <c r="C21" s="152">
        <f>'MIS 2026'!F21</f>
        <v>32014495</v>
      </c>
      <c r="D21" s="149" t="str">
        <f>'MIS 2026'!EH21</f>
        <v xml:space="preserve">VALENCY IVC </v>
      </c>
      <c r="E21" s="151">
        <f>'MIS 2026'!AF21</f>
        <v>100</v>
      </c>
      <c r="F21" s="150">
        <f>'MIS 2026'!EK21</f>
        <v>0</v>
      </c>
      <c r="G21" s="150">
        <f t="shared" si="6"/>
        <v>0</v>
      </c>
      <c r="H21" s="149">
        <f>'MIS 2026'!EL21</f>
        <v>0</v>
      </c>
      <c r="I21" s="148"/>
      <c r="J21" s="473">
        <f>'MIS 2026'!ER21</f>
        <v>0</v>
      </c>
      <c r="K21" s="473">
        <f t="shared" si="7"/>
        <v>0</v>
      </c>
      <c r="L21" s="473">
        <f>'MIS 2026'!EW21</f>
        <v>0</v>
      </c>
      <c r="M21" s="474">
        <f>IF('MIS 2026'!EZ21&gt;0,'MIS 2026'!EW21,0)</f>
        <v>0</v>
      </c>
      <c r="N21" s="474" t="str">
        <f>'MIS 2026'!I21</f>
        <v>IVC</v>
      </c>
      <c r="O21" s="474" t="str">
        <f>'MIS 2026'!H21</f>
        <v>MAHALASA EXPORTS</v>
      </c>
      <c r="P21" s="473">
        <f>'MIS 2026'!AI21</f>
        <v>1510</v>
      </c>
      <c r="Q21" s="474" t="str">
        <f>'MIS 2026'!BQ21</f>
        <v>MANGALORE, INDIA</v>
      </c>
      <c r="R21" s="474">
        <f>'MIS 2026'!AM21</f>
        <v>0</v>
      </c>
      <c r="S21" s="474" t="str">
        <f>'MIS 2026'!AL21</f>
        <v>DP SIGHT</v>
      </c>
      <c r="T21" s="473">
        <f>'MIS 2026'!AZ21</f>
        <v>0</v>
      </c>
      <c r="U21" s="474">
        <f>IF('MIS 2026'!BI21="","",'MIS 2026'!BI21)</f>
        <v>267489886</v>
      </c>
      <c r="V21" s="475">
        <f>IF('MIS 2026'!BJ21&gt;0,'MIS 2026'!BJ21,'MIS 2026'!AF21)</f>
        <v>95.4</v>
      </c>
      <c r="W21" s="476" t="str">
        <f>IF('MIS 2026'!BM21="","",'MIS 2026'!BM21)</f>
        <v/>
      </c>
      <c r="X21" s="476">
        <f>IF('MIS 2026'!BO21="","",'MIS 2026'!BO21)</f>
        <v>46202</v>
      </c>
      <c r="Y21" s="473">
        <f t="shared" si="8"/>
        <v>144054</v>
      </c>
      <c r="Z21" s="473">
        <f>IF('MIS 2026'!CR21&gt;0,'MIS 2026'!CQ21,0)</f>
        <v>0</v>
      </c>
      <c r="AA21" s="473">
        <f t="shared" si="9"/>
        <v>144054</v>
      </c>
      <c r="AB21" s="476" t="str">
        <f>IF('MIS 2026'!CM21="","",'MIS 2026'!CM21)</f>
        <v/>
      </c>
      <c r="AC21" s="476" t="str">
        <f>'MIS 2026'!U21</f>
        <v xml:space="preserve">RCVD COUNTERSIGNED-267489886
</v>
      </c>
      <c r="AD21" s="474">
        <f>IF('MIS 2026'!BF21&gt;0,'MIS 2026'!BF21,"")</f>
        <v>46083</v>
      </c>
      <c r="AE21" s="476" t="str">
        <f>IF('MIS 2026'!N21&gt;0,'MIS 2026'!N21,"")</f>
        <v/>
      </c>
      <c r="AF21" s="474"/>
      <c r="AG21" s="478" t="str">
        <f>IF('MIS 2026'!BV21&lt;&gt;0,'MIS 2026'!BV21,"")</f>
        <v/>
      </c>
      <c r="AH21" s="474">
        <f>IF('MIS 2026'!F21&lt;&gt;0,'MIS 2026'!F21,"")</f>
        <v>32014495</v>
      </c>
      <c r="AI21" s="463" t="str">
        <f t="shared" ca="1" si="10"/>
        <v/>
      </c>
      <c r="AJ21" s="474"/>
    </row>
    <row r="22" spans="1:36">
      <c r="A22" s="149" t="s">
        <v>208</v>
      </c>
      <c r="B22" s="149" t="str">
        <f>'MIS 2026'!EV22</f>
        <v>Export Loan</v>
      </c>
      <c r="C22" s="152" t="str">
        <f>'MIS 2026'!F22</f>
        <v>32014448-6</v>
      </c>
      <c r="D22" s="149" t="str">
        <f>'MIS 2026'!EH22</f>
        <v>LASTBORN GENERAL MERCHANT LTD</v>
      </c>
      <c r="E22" s="506">
        <f>'MIS 2026'!AF22</f>
        <v>102.96</v>
      </c>
      <c r="F22" s="150">
        <f>'MIS 2026'!EK22</f>
        <v>1600</v>
      </c>
      <c r="G22" s="150">
        <f t="shared" si="6"/>
        <v>164736</v>
      </c>
      <c r="H22" s="149">
        <f>'MIS 2026'!EL22</f>
        <v>0</v>
      </c>
      <c r="I22" s="148"/>
      <c r="J22" s="473">
        <f>'MIS 2026'!ER22</f>
        <v>161441.28</v>
      </c>
      <c r="K22" s="473">
        <f t="shared" si="7"/>
        <v>3294.7200000000012</v>
      </c>
      <c r="L22" s="473">
        <f>'MIS 2026'!EW22</f>
        <v>0</v>
      </c>
      <c r="M22" s="474">
        <f>IF('MIS 2026'!EZ22&gt;0,'MIS 2026'!EW22,0)</f>
        <v>0</v>
      </c>
      <c r="N22" s="474" t="str">
        <f>'MIS 2026'!I22</f>
        <v>NIGERIA(OGB)</v>
      </c>
      <c r="O22" s="474" t="str">
        <f>'MIS 2026'!H22</f>
        <v>Valency Agro (Processing)</v>
      </c>
      <c r="P22" s="473">
        <f>'MIS 2026'!AI22</f>
        <v>1683</v>
      </c>
      <c r="Q22" s="474" t="str">
        <f>'MIS 2026'!BQ22</f>
        <v>MANGALORE INDIA</v>
      </c>
      <c r="R22" s="474">
        <f>'MIS 2026'!AM22</f>
        <v>0</v>
      </c>
      <c r="S22" s="474" t="str">
        <f>'MIS 2026'!AL22</f>
        <v>90 DAYS FROM BL DATE</v>
      </c>
      <c r="T22" s="473">
        <f>'MIS 2026'!AZ22</f>
        <v>0</v>
      </c>
      <c r="U22" s="474" t="str">
        <f>IF('MIS 2026'!BI22="","",'MIS 2026'!BI22)</f>
        <v>MEDULG622805</v>
      </c>
      <c r="V22" s="475">
        <f>IF('MIS 2026'!BJ22&gt;0,'MIS 2026'!BJ22,'MIS 2026'!AF22)</f>
        <v>102.96</v>
      </c>
      <c r="W22" s="476">
        <f>IF('MIS 2026'!BM22="","",'MIS 2026'!BM22)</f>
        <v>46110</v>
      </c>
      <c r="X22" s="476">
        <f>IF('MIS 2026'!BO22="","",'MIS 2026'!BO22)</f>
        <v>46158</v>
      </c>
      <c r="Y22" s="473">
        <f t="shared" si="8"/>
        <v>173281.68</v>
      </c>
      <c r="Z22" s="473">
        <f>IF('MIS 2026'!CR22&gt;0,'MIS 2026'!CQ22,0)</f>
        <v>0</v>
      </c>
      <c r="AA22" s="473">
        <f t="shared" si="9"/>
        <v>173281.68</v>
      </c>
      <c r="AB22" s="476">
        <f>IF('MIS 2026'!CM22="","",'MIS 2026'!CM22)</f>
        <v>46139</v>
      </c>
      <c r="AC22" s="476" t="str">
        <f>'MIS 2026'!U22</f>
        <v>Payment by Valency Agro will be done, 90 days after BL date- CARGO CLEARED.</v>
      </c>
      <c r="AD22" s="474">
        <f>IF('MIS 2026'!BF22&gt;0,'MIS 2026'!BF22,"")</f>
        <v>46073</v>
      </c>
      <c r="AE22" s="476">
        <f>IF('MIS 2026'!N22&gt;0,'MIS 2026'!N22,"")</f>
        <v>46110</v>
      </c>
      <c r="AF22" s="474"/>
      <c r="AG22" s="478">
        <f>IF('MIS 2026'!BV22&lt;&gt;0,'MIS 2026'!BV22,"")</f>
        <v>90084572</v>
      </c>
      <c r="AH22" s="474" t="str">
        <f>IF('MIS 2026'!F22&lt;&gt;0,'MIS 2026'!F22,"")</f>
        <v>32014448-6</v>
      </c>
      <c r="AI22" s="463" t="str">
        <f t="shared" ca="1" si="10"/>
        <v/>
      </c>
      <c r="AJ22" s="474"/>
    </row>
    <row r="23" spans="1:36">
      <c r="A23" s="149" t="s">
        <v>208</v>
      </c>
      <c r="B23" s="149" t="str">
        <f>'MIS 2026'!EV23</f>
        <v>Yet to load</v>
      </c>
      <c r="C23" s="152">
        <f>'MIS 2026'!F23</f>
        <v>32014496</v>
      </c>
      <c r="D23" s="149" t="str">
        <f>'MIS 2026'!EH23</f>
        <v xml:space="preserve">VALENCY IVC </v>
      </c>
      <c r="E23" s="151">
        <f>'MIS 2026'!AF23</f>
        <v>100</v>
      </c>
      <c r="F23" s="150">
        <f>'MIS 2026'!EK23</f>
        <v>0</v>
      </c>
      <c r="G23" s="150">
        <f t="shared" si="6"/>
        <v>0</v>
      </c>
      <c r="H23" s="149">
        <f>'MIS 2026'!EL23</f>
        <v>0</v>
      </c>
      <c r="I23" s="148"/>
      <c r="J23" s="473">
        <f>'MIS 2026'!ER23</f>
        <v>0</v>
      </c>
      <c r="K23" s="473">
        <f t="shared" si="7"/>
        <v>0</v>
      </c>
      <c r="L23" s="473">
        <f>'MIS 2026'!EW23</f>
        <v>0</v>
      </c>
      <c r="M23" s="474">
        <f>IF('MIS 2026'!EZ23&gt;0,'MIS 2026'!EW23,0)</f>
        <v>0</v>
      </c>
      <c r="N23" s="474" t="str">
        <f>'MIS 2026'!I23</f>
        <v>IVC</v>
      </c>
      <c r="O23" s="474" t="str">
        <f>'MIS 2026'!H23</f>
        <v>MALNAD CASHEWS</v>
      </c>
      <c r="P23" s="473">
        <f>'MIS 2026'!AI23</f>
        <v>1510</v>
      </c>
      <c r="Q23" s="474" t="str">
        <f>'MIS 2026'!BQ23</f>
        <v>MANGALORE, INDIA</v>
      </c>
      <c r="R23" s="474">
        <f>'MIS 2026'!AM23</f>
        <v>0.1</v>
      </c>
      <c r="S23" s="474" t="str">
        <f>'MIS 2026'!AL23</f>
        <v>DP SIGHT</v>
      </c>
      <c r="T23" s="473">
        <f>'MIS 2026'!AZ23</f>
        <v>15100</v>
      </c>
      <c r="U23" s="474">
        <f>IF('MIS 2026'!BI23="","",'MIS 2026'!BI23)</f>
        <v>267490071</v>
      </c>
      <c r="V23" s="475">
        <f>IF('MIS 2026'!BJ23&gt;0,'MIS 2026'!BJ23,'MIS 2026'!AF23)</f>
        <v>100</v>
      </c>
      <c r="W23" s="476" t="str">
        <f>IF('MIS 2026'!BM23="","",'MIS 2026'!BM23)</f>
        <v/>
      </c>
      <c r="X23" s="476">
        <f>IF('MIS 2026'!BO23="","",'MIS 2026'!BO23)</f>
        <v>46202</v>
      </c>
      <c r="Y23" s="473">
        <f t="shared" si="8"/>
        <v>135900</v>
      </c>
      <c r="Z23" s="473">
        <f>IF('MIS 2026'!CR23&gt;0,'MIS 2026'!CQ23,0)</f>
        <v>0</v>
      </c>
      <c r="AA23" s="473">
        <f t="shared" si="9"/>
        <v>135900</v>
      </c>
      <c r="AB23" s="476" t="str">
        <f>IF('MIS 2026'!CM23="","",'MIS 2026'!CM23)</f>
        <v/>
      </c>
      <c r="AC23" s="476" t="str">
        <f>'MIS 2026'!U23</f>
        <v xml:space="preserve">ADVANCE RCVD 27/02-267490071
</v>
      </c>
      <c r="AD23" s="474">
        <f>IF('MIS 2026'!BF23&gt;0,'MIS 2026'!BF23,"")</f>
        <v>46083</v>
      </c>
      <c r="AE23" s="476" t="str">
        <f>IF('MIS 2026'!N23&gt;0,'MIS 2026'!N23,"")</f>
        <v/>
      </c>
      <c r="AF23" s="474"/>
      <c r="AG23" s="478" t="str">
        <f>IF('MIS 2026'!BV23&lt;&gt;0,'MIS 2026'!BV23,"")</f>
        <v/>
      </c>
      <c r="AH23" s="474">
        <f>IF('MIS 2026'!F23&lt;&gt;0,'MIS 2026'!F23,"")</f>
        <v>32014496</v>
      </c>
      <c r="AI23" s="463" t="str">
        <f t="shared" ca="1" si="10"/>
        <v/>
      </c>
      <c r="AJ23" s="474"/>
    </row>
    <row r="24" spans="1:36">
      <c r="A24" s="149" t="s">
        <v>208</v>
      </c>
      <c r="B24" s="149" t="str">
        <f>'MIS 2026'!EV24</f>
        <v>Yet to load</v>
      </c>
      <c r="C24" s="152">
        <f>'MIS 2026'!F24</f>
        <v>32016180</v>
      </c>
      <c r="D24" s="149" t="str">
        <f>'MIS 2026'!EH24</f>
        <v>Valency Nigeria</v>
      </c>
      <c r="E24" s="151">
        <f>'MIS 2026'!AF24</f>
        <v>250</v>
      </c>
      <c r="F24" s="150">
        <f>'MIS 2026'!EK24</f>
        <v>0</v>
      </c>
      <c r="G24" s="150">
        <f t="shared" si="6"/>
        <v>0</v>
      </c>
      <c r="H24" s="149">
        <f>'MIS 2026'!EL24</f>
        <v>0</v>
      </c>
      <c r="I24" s="148"/>
      <c r="J24" s="473">
        <f>'MIS 2026'!ER24</f>
        <v>0</v>
      </c>
      <c r="K24" s="473">
        <f t="shared" si="7"/>
        <v>0</v>
      </c>
      <c r="L24" s="473">
        <f>'MIS 2026'!EW24</f>
        <v>0</v>
      </c>
      <c r="M24" s="474">
        <f>IF('MIS 2026'!EZ24&gt;0,'MIS 2026'!EW24,0)</f>
        <v>0</v>
      </c>
      <c r="N24" s="474" t="str">
        <f>'MIS 2026'!I24</f>
        <v>NIGERIA(SAKI)</v>
      </c>
      <c r="O24" s="474" t="str">
        <f>'MIS 2026'!H24</f>
        <v>QUOC DUY IMPORT EXPORT TRADING PRODUCTION CO., LTD</v>
      </c>
      <c r="P24" s="473">
        <f>'MIS 2026'!AI24</f>
        <v>1590</v>
      </c>
      <c r="Q24" s="474" t="str">
        <f>'MIS 2026'!BQ24</f>
        <v xml:space="preserve"> CAT LAI PORT HCMC, VIETNAM</v>
      </c>
      <c r="R24" s="474">
        <f>'MIS 2026'!AM24</f>
        <v>0.1</v>
      </c>
      <c r="S24" s="474" t="str">
        <f>'MIS 2026'!AL24</f>
        <v>DP SIGHT</v>
      </c>
      <c r="T24" s="473">
        <f>'MIS 2026'!AZ24</f>
        <v>39750</v>
      </c>
      <c r="U24" s="474" t="str">
        <f>IF('MIS 2026'!BI24="","",'MIS 2026'!BI24)</f>
        <v>MEDULG637035</v>
      </c>
      <c r="V24" s="475">
        <f>IF('MIS 2026'!BJ24&gt;0,'MIS 2026'!BJ24,'MIS 2026'!AF24)</f>
        <v>251.768</v>
      </c>
      <c r="W24" s="476" t="str">
        <f>IF('MIS 2026'!BM24="","",'MIS 2026'!BM24)</f>
        <v/>
      </c>
      <c r="X24" s="476">
        <f>IF('MIS 2026'!BO24="","",'MIS 2026'!BO24)</f>
        <v>46198</v>
      </c>
      <c r="Y24" s="473">
        <f t="shared" si="8"/>
        <v>360561.12</v>
      </c>
      <c r="Z24" s="473">
        <f>IF('MIS 2026'!CR24&gt;0,'MIS 2026'!CQ24,0)</f>
        <v>0</v>
      </c>
      <c r="AA24" s="473">
        <f t="shared" si="9"/>
        <v>360561.12</v>
      </c>
      <c r="AB24" s="476" t="str">
        <f>IF('MIS 2026'!CM24="","",'MIS 2026'!CM24)</f>
        <v/>
      </c>
      <c r="AC24" s="476" t="str">
        <f>'MIS 2026'!U24</f>
        <v>SOB EXPECTED 21/5-OBL PENDING-VESSEL IS UNDER OPERTAION</v>
      </c>
      <c r="AD24" s="474">
        <f>IF('MIS 2026'!BF24&gt;0,'MIS 2026'!BF24,"")</f>
        <v>46116</v>
      </c>
      <c r="AE24" s="476" t="str">
        <f>IF('MIS 2026'!N24&gt;0,'MIS 2026'!N24,"")</f>
        <v/>
      </c>
      <c r="AF24" s="474"/>
      <c r="AG24" s="478" t="str">
        <f>IF('MIS 2026'!BV24&lt;&gt;0,'MIS 2026'!BV24,"")</f>
        <v/>
      </c>
      <c r="AH24" s="474">
        <f>IF('MIS 2026'!F24&lt;&gt;0,'MIS 2026'!F24,"")</f>
        <v>32016180</v>
      </c>
      <c r="AI24" s="463" t="str">
        <f t="shared" ca="1" si="10"/>
        <v/>
      </c>
      <c r="AJ24" s="474"/>
    </row>
    <row r="25" spans="1:36">
      <c r="A25" s="149" t="s">
        <v>208</v>
      </c>
      <c r="B25" s="149" t="str">
        <f>'MIS 2026'!EV25</f>
        <v>Yet to load</v>
      </c>
      <c r="C25" s="152">
        <f>'MIS 2026'!F25</f>
        <v>32016123</v>
      </c>
      <c r="D25" s="149" t="str">
        <f>'MIS 2026'!EH25</f>
        <v xml:space="preserve">LS EXIM ENTERPRISE </v>
      </c>
      <c r="E25" s="151">
        <f>'MIS 2026'!AF25</f>
        <v>100</v>
      </c>
      <c r="F25" s="150">
        <f>'MIS 2026'!EK25</f>
        <v>1435</v>
      </c>
      <c r="G25" s="150">
        <f t="shared" si="6"/>
        <v>143500</v>
      </c>
      <c r="H25" s="149">
        <f>'MIS 2026'!EL25</f>
        <v>0</v>
      </c>
      <c r="I25" s="148"/>
      <c r="J25" s="473">
        <f>'MIS 2026'!ER25</f>
        <v>0</v>
      </c>
      <c r="K25" s="473">
        <f t="shared" si="7"/>
        <v>143500</v>
      </c>
      <c r="L25" s="473">
        <f>'MIS 2026'!EW25</f>
        <v>0</v>
      </c>
      <c r="M25" s="474">
        <f>IF('MIS 2026'!EZ25&gt;0,'MIS 2026'!EW25,0)</f>
        <v>0</v>
      </c>
      <c r="N25" s="474" t="str">
        <f>'MIS 2026'!I25</f>
        <v>GAMBIA</v>
      </c>
      <c r="O25" s="474" t="str">
        <f>'MIS 2026'!H25</f>
        <v>RED RIVER FOODS</v>
      </c>
      <c r="P25" s="473">
        <f>'MIS 2026'!AI25</f>
        <v>1535</v>
      </c>
      <c r="Q25" s="474" t="str">
        <f>'MIS 2026'!BQ25</f>
        <v>Qui Nhon, Vietnam</v>
      </c>
      <c r="R25" s="474">
        <f>'MIS 2026'!AM25</f>
        <v>0.1</v>
      </c>
      <c r="S25" s="474" t="str">
        <f>'MIS 2026'!AL25</f>
        <v>DP SIGHT</v>
      </c>
      <c r="T25" s="473">
        <f>'MIS 2026'!AZ25</f>
        <v>15350</v>
      </c>
      <c r="U25" s="474" t="str">
        <f>IF('MIS 2026'!BI25="","",'MIS 2026'!BI25)</f>
        <v/>
      </c>
      <c r="V25" s="475">
        <f>IF('MIS 2026'!BJ25&gt;0,'MIS 2026'!BJ25,'MIS 2026'!AF25)</f>
        <v>100</v>
      </c>
      <c r="W25" s="476" t="str">
        <f>IF('MIS 2026'!BM25="","",'MIS 2026'!BM25)</f>
        <v/>
      </c>
      <c r="X25" s="476" t="str">
        <f>IF('MIS 2026'!BO25="","",'MIS 2026'!BO25)</f>
        <v/>
      </c>
      <c r="Y25" s="473">
        <f t="shared" si="8"/>
        <v>138150</v>
      </c>
      <c r="Z25" s="473">
        <f>IF('MIS 2026'!CR25&gt;0,'MIS 2026'!CQ25,0)</f>
        <v>0</v>
      </c>
      <c r="AA25" s="473">
        <f t="shared" si="9"/>
        <v>138150</v>
      </c>
      <c r="AB25" s="476" t="str">
        <f>IF('MIS 2026'!CM25="","",'MIS 2026'!CM25)</f>
        <v/>
      </c>
      <c r="AC25" s="476" t="str">
        <f>'MIS 2026'!U25</f>
        <v>BOOKING NO: 269388817, ETD 5/6</v>
      </c>
      <c r="AD25" s="474">
        <f>IF('MIS 2026'!BF25&gt;0,'MIS 2026'!BF25,"")</f>
        <v>46113</v>
      </c>
      <c r="AE25" s="476" t="str">
        <f>IF('MIS 2026'!N25&gt;0,'MIS 2026'!N25,"")</f>
        <v/>
      </c>
      <c r="AF25" s="474"/>
      <c r="AG25" s="478" t="str">
        <f>IF('MIS 2026'!BV25&lt;&gt;0,'MIS 2026'!BV25,"")</f>
        <v/>
      </c>
      <c r="AH25" s="474">
        <f>IF('MIS 2026'!F25&lt;&gt;0,'MIS 2026'!F25,"")</f>
        <v>32016123</v>
      </c>
      <c r="AI25" s="463" t="str">
        <f t="shared" ca="1" si="10"/>
        <v/>
      </c>
      <c r="AJ25" s="474"/>
    </row>
    <row r="26" spans="1:36">
      <c r="A26" s="149" t="s">
        <v>208</v>
      </c>
      <c r="B26" s="149" t="str">
        <f>'MIS 2026'!EV26</f>
        <v>Export Loan</v>
      </c>
      <c r="C26" s="152">
        <f>'MIS 2026'!F26</f>
        <v>32016283</v>
      </c>
      <c r="D26" s="149" t="str">
        <f>'MIS 2026'!EH26</f>
        <v>Valora Exim</v>
      </c>
      <c r="E26" s="151">
        <f>'MIS 2026'!AF26</f>
        <v>100</v>
      </c>
      <c r="F26" s="150">
        <f>'MIS 2026'!EK26</f>
        <v>0</v>
      </c>
      <c r="G26" s="150">
        <f t="shared" si="6"/>
        <v>0</v>
      </c>
      <c r="H26" s="149">
        <f>'MIS 2026'!EL26</f>
        <v>0</v>
      </c>
      <c r="I26" s="148"/>
      <c r="J26" s="473">
        <f>'MIS 2026'!ER26</f>
        <v>0</v>
      </c>
      <c r="K26" s="473">
        <f t="shared" si="7"/>
        <v>0</v>
      </c>
      <c r="L26" s="473">
        <f>'MIS 2026'!EW26</f>
        <v>0</v>
      </c>
      <c r="M26" s="474">
        <f>IF('MIS 2026'!EZ26&gt;0,'MIS 2026'!EW26,0)</f>
        <v>0</v>
      </c>
      <c r="N26" s="474" t="str">
        <f>'MIS 2026'!I26</f>
        <v>GHANA</v>
      </c>
      <c r="O26" s="474" t="str">
        <f>'MIS 2026'!H26</f>
        <v xml:space="preserve">VALENCY AGRO //HSS//Jain Cashew Nuts  </v>
      </c>
      <c r="P26" s="473">
        <f>'MIS 2026'!AI26</f>
        <v>1600</v>
      </c>
      <c r="Q26" s="474" t="str">
        <f>'MIS 2026'!BQ26</f>
        <v>TUTICORIN, INDIA</v>
      </c>
      <c r="R26" s="474">
        <f>'MIS 2026'!AM26</f>
        <v>0</v>
      </c>
      <c r="S26" s="474" t="str">
        <f>'MIS 2026'!AL26</f>
        <v>90 DAYS FROM BL DATE</v>
      </c>
      <c r="T26" s="473">
        <f>'MIS 2026'!AZ26</f>
        <v>0</v>
      </c>
      <c r="U26" s="474" t="str">
        <f>IF('MIS 2026'!BI26="","",'MIS 2026'!BI26)</f>
        <v>MEDUTM434741</v>
      </c>
      <c r="V26" s="475">
        <f>IF('MIS 2026'!BJ26&gt;0,'MIS 2026'!BJ26,'MIS 2026'!AF26)</f>
        <v>103.36499999999999</v>
      </c>
      <c r="W26" s="476">
        <f>IF('MIS 2026'!BM26="","",'MIS 2026'!BM26)</f>
        <v>46107</v>
      </c>
      <c r="X26" s="476">
        <f>IF('MIS 2026'!BO26="","",'MIS 2026'!BO26)</f>
        <v>46158</v>
      </c>
      <c r="Y26" s="473">
        <f t="shared" si="8"/>
        <v>165384</v>
      </c>
      <c r="Z26" s="473">
        <f>IF('MIS 2026'!CR26&gt;0,'MIS 2026'!CQ26,0)</f>
        <v>0</v>
      </c>
      <c r="AA26" s="473">
        <f t="shared" si="9"/>
        <v>165384</v>
      </c>
      <c r="AB26" s="476">
        <f>IF('MIS 2026'!CM26="","",'MIS 2026'!CM26)</f>
        <v>46136</v>
      </c>
      <c r="AC26" s="476" t="str">
        <f>'MIS 2026'!U26</f>
        <v>Payment by Valency Agro will be done, 90 days after BL date- HSS Formalities are done(HSS SETTLED)</v>
      </c>
      <c r="AD26" s="474">
        <f>IF('MIS 2026'!BF26&gt;0,'MIS 2026'!BF26,"")</f>
        <v>46105</v>
      </c>
      <c r="AE26" s="476">
        <f>IF('MIS 2026'!N26&gt;0,'MIS 2026'!N26,"")</f>
        <v>46107</v>
      </c>
      <c r="AF26" s="474"/>
      <c r="AG26" s="478">
        <f>IF('MIS 2026'!BV26&lt;&gt;0,'MIS 2026'!BV26,"")</f>
        <v>90084338</v>
      </c>
      <c r="AH26" s="474">
        <f>IF('MIS 2026'!F26&lt;&gt;0,'MIS 2026'!F26,"")</f>
        <v>32016283</v>
      </c>
      <c r="AI26" s="463" t="str">
        <f t="shared" ca="1" si="10"/>
        <v/>
      </c>
      <c r="AJ26" s="474"/>
    </row>
    <row r="27" spans="1:36">
      <c r="A27" s="149" t="s">
        <v>208</v>
      </c>
      <c r="B27" s="149" t="str">
        <f>'MIS 2026'!EV27</f>
        <v>Export Loan</v>
      </c>
      <c r="C27" s="152">
        <f>'MIS 2026'!F27</f>
        <v>32016346</v>
      </c>
      <c r="D27" s="149" t="str">
        <f>'MIS 2026'!EH27</f>
        <v>Valora Exim</v>
      </c>
      <c r="E27" s="151">
        <f>'MIS 2026'!AF27</f>
        <v>100</v>
      </c>
      <c r="F27" s="150">
        <f>'MIS 2026'!EK27</f>
        <v>0</v>
      </c>
      <c r="G27" s="150">
        <f t="shared" si="6"/>
        <v>0</v>
      </c>
      <c r="H27" s="149">
        <f>'MIS 2026'!EL27</f>
        <v>0</v>
      </c>
      <c r="I27" s="148"/>
      <c r="J27" s="473">
        <f>'MIS 2026'!ER27</f>
        <v>0</v>
      </c>
      <c r="K27" s="473">
        <f t="shared" si="7"/>
        <v>0</v>
      </c>
      <c r="L27" s="473">
        <f>'MIS 2026'!EW27</f>
        <v>0</v>
      </c>
      <c r="M27" s="474">
        <f>IF('MIS 2026'!EZ27&gt;0,'MIS 2026'!EW27,0)</f>
        <v>0</v>
      </c>
      <c r="N27" s="474" t="str">
        <f>'MIS 2026'!I27</f>
        <v>GHANA</v>
      </c>
      <c r="O27" s="474" t="str">
        <f>'MIS 2026'!H27</f>
        <v>Valency Agro (Processing)</v>
      </c>
      <c r="P27" s="473">
        <f>'MIS 2026'!AI27</f>
        <v>1526</v>
      </c>
      <c r="Q27" s="474" t="str">
        <f>'MIS 2026'!BQ27</f>
        <v>TUTICORIN, INDIA</v>
      </c>
      <c r="R27" s="474">
        <f>'MIS 2026'!AM27</f>
        <v>0</v>
      </c>
      <c r="S27" s="474" t="str">
        <f>'MIS 2026'!AL27</f>
        <v>90 DAYS FROM BL DATE</v>
      </c>
      <c r="T27" s="473">
        <f>'MIS 2026'!AZ27</f>
        <v>0</v>
      </c>
      <c r="U27" s="474" t="str">
        <f>IF('MIS 2026'!BI27="","",'MIS 2026'!BI27)</f>
        <v>MEDUTM435789</v>
      </c>
      <c r="V27" s="475">
        <f>IF('MIS 2026'!BJ27&gt;0,'MIS 2026'!BJ27,'MIS 2026'!AF27)</f>
        <v>104.2</v>
      </c>
      <c r="W27" s="476">
        <f>IF('MIS 2026'!BM27="","",'MIS 2026'!BM27)</f>
        <v>46107</v>
      </c>
      <c r="X27" s="476">
        <f>IF('MIS 2026'!BO27="","",'MIS 2026'!BO27)</f>
        <v>46160</v>
      </c>
      <c r="Y27" s="473">
        <f t="shared" si="8"/>
        <v>159009.20000000001</v>
      </c>
      <c r="Z27" s="473">
        <f>IF('MIS 2026'!CR27&gt;0,'MIS 2026'!CQ27,0)</f>
        <v>0</v>
      </c>
      <c r="AA27" s="473">
        <f t="shared" si="9"/>
        <v>159009.20000000001</v>
      </c>
      <c r="AB27" s="476">
        <f>IF('MIS 2026'!CM27="","",'MIS 2026'!CM27)</f>
        <v>46148</v>
      </c>
      <c r="AC27" s="476" t="str">
        <f>'MIS 2026'!U27</f>
        <v>Payment by Valency Agro will be done, 90 days after BL date- Clearance under process</v>
      </c>
      <c r="AD27" s="474">
        <f>IF('MIS 2026'!BF27&gt;0,'MIS 2026'!BF27,"")</f>
        <v>46105</v>
      </c>
      <c r="AE27" s="476">
        <f>IF('MIS 2026'!N27&gt;0,'MIS 2026'!N27,"")</f>
        <v>46107</v>
      </c>
      <c r="AF27" s="474"/>
      <c r="AG27" s="478">
        <f>IF('MIS 2026'!BV27&lt;&gt;0,'MIS 2026'!BV27,"")</f>
        <v>90085095</v>
      </c>
      <c r="AH27" s="474">
        <f>IF('MIS 2026'!F27&lt;&gt;0,'MIS 2026'!F27,"")</f>
        <v>32016346</v>
      </c>
      <c r="AI27" s="463" t="str">
        <f t="shared" ca="1" si="10"/>
        <v/>
      </c>
      <c r="AJ27" s="474"/>
    </row>
    <row r="28" spans="1:36">
      <c r="A28" s="149" t="s">
        <v>208</v>
      </c>
      <c r="B28" s="149" t="str">
        <f>'MIS 2026'!EV28</f>
        <v>Yet to load</v>
      </c>
      <c r="C28" s="152">
        <f>'MIS 2026'!F28</f>
        <v>32014998</v>
      </c>
      <c r="D28" s="149" t="str">
        <f>'MIS 2026'!EH28</f>
        <v xml:space="preserve">VALENCY IVC </v>
      </c>
      <c r="E28" s="151">
        <f>'MIS 2026'!AF28</f>
        <v>250</v>
      </c>
      <c r="F28" s="150">
        <f>'MIS 2026'!EK28</f>
        <v>0</v>
      </c>
      <c r="G28" s="150">
        <f t="shared" si="6"/>
        <v>0</v>
      </c>
      <c r="H28" s="149">
        <f>'MIS 2026'!EL28</f>
        <v>0</v>
      </c>
      <c r="I28" s="148"/>
      <c r="J28" s="473">
        <f>'MIS 2026'!ER28</f>
        <v>0</v>
      </c>
      <c r="K28" s="473">
        <f t="shared" si="7"/>
        <v>0</v>
      </c>
      <c r="L28" s="473">
        <f>'MIS 2026'!EW28</f>
        <v>0</v>
      </c>
      <c r="M28" s="474">
        <f>IF('MIS 2026'!EZ28&gt;0,'MIS 2026'!EW28,0)</f>
        <v>0</v>
      </c>
      <c r="N28" s="474" t="str">
        <f>'MIS 2026'!I28</f>
        <v>IVC</v>
      </c>
      <c r="O28" s="474" t="str">
        <f>'MIS 2026'!H28</f>
        <v xml:space="preserve">THAO NGUYEN COMPANY LIMITED  </v>
      </c>
      <c r="P28" s="473">
        <f>'MIS 2026'!AI28</f>
        <v>1515</v>
      </c>
      <c r="Q28" s="474" t="str">
        <f>'MIS 2026'!BQ28</f>
        <v>CAT LAI HCMC, Vietnam</v>
      </c>
      <c r="R28" s="474">
        <f>'MIS 2026'!AM28</f>
        <v>0.1</v>
      </c>
      <c r="S28" s="474" t="str">
        <f>'MIS 2026'!AL28</f>
        <v>DP SIGHT</v>
      </c>
      <c r="T28" s="473">
        <f>'MIS 2026'!AZ28</f>
        <v>37875</v>
      </c>
      <c r="U28" s="474" t="str">
        <f>IF('MIS 2026'!BI28="","",'MIS 2026'!BI28)</f>
        <v>ONEYABJG00282600</v>
      </c>
      <c r="V28" s="475">
        <f>IF('MIS 2026'!BJ28&gt;0,'MIS 2026'!BJ28,'MIS 2026'!AF28)</f>
        <v>250</v>
      </c>
      <c r="W28" s="476">
        <f>IF('MIS 2026'!BM28="","",'MIS 2026'!BM28)</f>
        <v>46159</v>
      </c>
      <c r="X28" s="476">
        <f>IF('MIS 2026'!BO28="","",'MIS 2026'!BO28)</f>
        <v>46178</v>
      </c>
      <c r="Y28" s="473">
        <f t="shared" si="8"/>
        <v>340875</v>
      </c>
      <c r="Z28" s="473">
        <f>IF('MIS 2026'!CR28&gt;0,'MIS 2026'!CQ28,0)</f>
        <v>0</v>
      </c>
      <c r="AA28" s="473">
        <f t="shared" si="9"/>
        <v>340875</v>
      </c>
      <c r="AB28" s="476" t="str">
        <f>IF('MIS 2026'!CM28="","",'MIS 2026'!CM28)</f>
        <v/>
      </c>
      <c r="AC28" s="476" t="str">
        <f>'MIS 2026'!U28</f>
        <v>DRAFT HBL CONFIRMED 20/5- OBL PENDING</v>
      </c>
      <c r="AD28" s="474" t="str">
        <f>IF('MIS 2026'!BF28&gt;0,'MIS 2026'!BF28,"")</f>
        <v/>
      </c>
      <c r="AE28" s="476">
        <f>IF('MIS 2026'!N28&gt;0,'MIS 2026'!N28,"")</f>
        <v>46159</v>
      </c>
      <c r="AF28" s="474"/>
      <c r="AG28" s="478" t="str">
        <f>IF('MIS 2026'!BV28&lt;&gt;0,'MIS 2026'!BV28,"")</f>
        <v/>
      </c>
      <c r="AH28" s="474">
        <f>IF('MIS 2026'!F28&lt;&gt;0,'MIS 2026'!F28,"")</f>
        <v>32014998</v>
      </c>
      <c r="AI28" s="463">
        <f t="shared" ca="1" si="10"/>
        <v>13</v>
      </c>
      <c r="AJ28" s="474"/>
    </row>
    <row r="29" spans="1:36">
      <c r="A29" s="149" t="s">
        <v>208</v>
      </c>
      <c r="B29" s="149" t="str">
        <f>'MIS 2026'!EV29</f>
        <v>Yet to load</v>
      </c>
      <c r="C29" s="152">
        <f>'MIS 2026'!F29</f>
        <v>32016244</v>
      </c>
      <c r="D29" s="149" t="str">
        <f>'MIS 2026'!EH29</f>
        <v>VALORA BURKINA EXIM SARL</v>
      </c>
      <c r="E29" s="151">
        <f>'MIS 2026'!AF29</f>
        <v>100</v>
      </c>
      <c r="F29" s="150">
        <f>'MIS 2026'!EK29</f>
        <v>0</v>
      </c>
      <c r="G29" s="150">
        <f t="shared" si="6"/>
        <v>0</v>
      </c>
      <c r="H29" s="149">
        <f>'MIS 2026'!EL29</f>
        <v>0</v>
      </c>
      <c r="I29" s="148"/>
      <c r="J29" s="473">
        <f>'MIS 2026'!ER29</f>
        <v>0</v>
      </c>
      <c r="K29" s="473">
        <f t="shared" si="7"/>
        <v>0</v>
      </c>
      <c r="L29" s="473">
        <f>'MIS 2026'!EW29</f>
        <v>0</v>
      </c>
      <c r="M29" s="474">
        <f>IF('MIS 2026'!EZ29&gt;0,'MIS 2026'!EW29,0)</f>
        <v>0</v>
      </c>
      <c r="N29" s="474" t="str">
        <f>'MIS 2026'!I29</f>
        <v>BURKINA FASO</v>
      </c>
      <c r="O29" s="474" t="str">
        <f>'MIS 2026'!H29</f>
        <v>INDIA ENTERPRISES</v>
      </c>
      <c r="P29" s="473">
        <f>'MIS 2026'!AI29</f>
        <v>1510</v>
      </c>
      <c r="Q29" s="474" t="str">
        <f>'MIS 2026'!BQ29</f>
        <v>MANGALORE, INDIA</v>
      </c>
      <c r="R29" s="474">
        <f>'MIS 2026'!AM29</f>
        <v>0.1</v>
      </c>
      <c r="S29" s="474" t="str">
        <f>'MIS 2026'!AL29</f>
        <v>DP SIGHT</v>
      </c>
      <c r="T29" s="473">
        <f>'MIS 2026'!AZ29</f>
        <v>15100</v>
      </c>
      <c r="U29" s="474" t="str">
        <f>IF('MIS 2026'!BI29="","",'MIS 2026'!BI29)</f>
        <v/>
      </c>
      <c r="V29" s="475">
        <f>IF('MIS 2026'!BJ29&gt;0,'MIS 2026'!BJ29,'MIS 2026'!AF29)</f>
        <v>100</v>
      </c>
      <c r="W29" s="476" t="str">
        <f>IF('MIS 2026'!BM29="","",'MIS 2026'!BM29)</f>
        <v/>
      </c>
      <c r="X29" s="476" t="str">
        <f>IF('MIS 2026'!BO29="","",'MIS 2026'!BO29)</f>
        <v/>
      </c>
      <c r="Y29" s="473">
        <f t="shared" si="8"/>
        <v>135900</v>
      </c>
      <c r="Z29" s="473">
        <f>IF('MIS 2026'!CR29&gt;0,'MIS 2026'!CQ29,0)</f>
        <v>0</v>
      </c>
      <c r="AA29" s="473">
        <f t="shared" si="9"/>
        <v>135900</v>
      </c>
      <c r="AB29" s="476" t="str">
        <f>IF('MIS 2026'!CM29="","",'MIS 2026'!CM29)</f>
        <v/>
      </c>
      <c r="AC29" s="476" t="str">
        <f>'MIS 2026'!U29</f>
        <v>ADVANCE RECVD 16/4-EBKG16643471- STUFFING THIS WEEK</v>
      </c>
      <c r="AD29" s="474" t="str">
        <f>IF('MIS 2026'!BF29&gt;0,'MIS 2026'!BF29,"")</f>
        <v/>
      </c>
      <c r="AE29" s="476" t="str">
        <f>IF('MIS 2026'!N29&gt;0,'MIS 2026'!N29,"")</f>
        <v/>
      </c>
      <c r="AF29" s="474"/>
      <c r="AG29" s="478" t="str">
        <f>IF('MIS 2026'!BV29&lt;&gt;0,'MIS 2026'!BV29,"")</f>
        <v/>
      </c>
      <c r="AH29" s="474">
        <f>IF('MIS 2026'!F29&lt;&gt;0,'MIS 2026'!F29,"")</f>
        <v>32016244</v>
      </c>
      <c r="AI29" s="463" t="str">
        <f t="shared" ca="1" si="10"/>
        <v/>
      </c>
      <c r="AJ29" s="474"/>
    </row>
    <row r="30" spans="1:36">
      <c r="A30" s="149" t="s">
        <v>208</v>
      </c>
      <c r="B30" s="149" t="str">
        <f>'MIS 2026'!EV30</f>
        <v>Final Pmt Recd</v>
      </c>
      <c r="C30" s="152">
        <f>'MIS 2026'!F30</f>
        <v>32016264</v>
      </c>
      <c r="D30" s="149" t="str">
        <f>'MIS 2026'!EH30</f>
        <v>Valency Nigeria</v>
      </c>
      <c r="E30" s="151">
        <f>'MIS 2026'!AF30</f>
        <v>250</v>
      </c>
      <c r="F30" s="150">
        <f>'MIS 2026'!EK30</f>
        <v>0</v>
      </c>
      <c r="G30" s="150">
        <f t="shared" si="6"/>
        <v>0</v>
      </c>
      <c r="H30" s="149">
        <f>'MIS 2026'!EL30</f>
        <v>0</v>
      </c>
      <c r="I30" s="148"/>
      <c r="J30" s="473">
        <f>'MIS 2026'!ER30</f>
        <v>0</v>
      </c>
      <c r="K30" s="473">
        <f t="shared" si="7"/>
        <v>0</v>
      </c>
      <c r="L30" s="473">
        <f>'MIS 2026'!EW30</f>
        <v>0</v>
      </c>
      <c r="M30" s="474">
        <f>IF('MIS 2026'!EZ30&gt;0,'MIS 2026'!EW30,0)</f>
        <v>0</v>
      </c>
      <c r="N30" s="474" t="str">
        <f>'MIS 2026'!I30</f>
        <v>NIGERIA(OGB)</v>
      </c>
      <c r="O30" s="474" t="str">
        <f>'MIS 2026'!H30</f>
        <v xml:space="preserve">LIEN VIET TRADING </v>
      </c>
      <c r="P30" s="473">
        <f>'MIS 2026'!AI30</f>
        <v>1570</v>
      </c>
      <c r="Q30" s="474" t="str">
        <f>'MIS 2026'!BQ30</f>
        <v>HCMC, VIETNAM</v>
      </c>
      <c r="R30" s="474">
        <f>'MIS 2026'!AM30</f>
        <v>0.1</v>
      </c>
      <c r="S30" s="474" t="str">
        <f>'MIS 2026'!AL30</f>
        <v>10% ADVANCE 88% DP AT SIGHT 2% after vina</v>
      </c>
      <c r="T30" s="473">
        <f>'MIS 2026'!AZ30</f>
        <v>39250</v>
      </c>
      <c r="U30" s="474" t="str">
        <f>IF('MIS 2026'!BI30="","",'MIS 2026'!BI30)</f>
        <v>MEDULG618936</v>
      </c>
      <c r="V30" s="475">
        <f>IF('MIS 2026'!BJ30&gt;0,'MIS 2026'!BJ30,'MIS 2026'!AF30)</f>
        <v>264.197</v>
      </c>
      <c r="W30" s="476">
        <f>IF('MIS 2026'!BM30="","",'MIS 2026'!BM30)</f>
        <v>46099</v>
      </c>
      <c r="X30" s="476">
        <f>IF('MIS 2026'!BO30="","",'MIS 2026'!BO30)</f>
        <v>46161</v>
      </c>
      <c r="Y30" s="473">
        <f t="shared" si="8"/>
        <v>375539.29</v>
      </c>
      <c r="Z30" s="473">
        <f>IF('MIS 2026'!CR30&gt;0,'MIS 2026'!CQ30,0)</f>
        <v>367243.5</v>
      </c>
      <c r="AA30" s="473">
        <f t="shared" si="9"/>
        <v>8295.789999999979</v>
      </c>
      <c r="AB30" s="476">
        <f>IF('MIS 2026'!CM30="","",'MIS 2026'!CM30)</f>
        <v>46149</v>
      </c>
      <c r="AC30" s="476" t="str">
        <f>'MIS 2026'!U30</f>
        <v>PAYMENT RCVD 26/05</v>
      </c>
      <c r="AD30" s="474" t="str">
        <f>IF('MIS 2026'!BF30&gt;0,'MIS 2026'!BF30,"")</f>
        <v/>
      </c>
      <c r="AE30" s="476">
        <f>IF('MIS 2026'!N30&gt;0,'MIS 2026'!N30,"")</f>
        <v>46099</v>
      </c>
      <c r="AF30" s="474"/>
      <c r="AG30" s="478">
        <f>IF('MIS 2026'!BV30&lt;&gt;0,'MIS 2026'!BV30,"")</f>
        <v>90085131</v>
      </c>
      <c r="AH30" s="474">
        <f>IF('MIS 2026'!F30&lt;&gt;0,'MIS 2026'!F30,"")</f>
        <v>32016264</v>
      </c>
      <c r="AI30" s="463" t="str">
        <f t="shared" ca="1" si="10"/>
        <v/>
      </c>
      <c r="AJ30" s="474"/>
    </row>
    <row r="31" spans="1:36">
      <c r="A31" s="149" t="s">
        <v>208</v>
      </c>
      <c r="B31" s="149" t="str">
        <f>'MIS 2026'!EV31</f>
        <v>Yet to load</v>
      </c>
      <c r="C31" s="152">
        <f>'MIS 2026'!F31</f>
        <v>32014499</v>
      </c>
      <c r="D31" s="149" t="str">
        <f>'MIS 2026'!EH31</f>
        <v xml:space="preserve">VALENCY IVC </v>
      </c>
      <c r="E31" s="151">
        <f>'MIS 2026'!AF31</f>
        <v>100</v>
      </c>
      <c r="F31" s="150">
        <f>'MIS 2026'!EK31</f>
        <v>0</v>
      </c>
      <c r="G31" s="150">
        <f t="shared" si="6"/>
        <v>0</v>
      </c>
      <c r="H31" s="149">
        <f>'MIS 2026'!EL31</f>
        <v>0</v>
      </c>
      <c r="I31" s="148"/>
      <c r="J31" s="473">
        <f>'MIS 2026'!ER31</f>
        <v>0</v>
      </c>
      <c r="K31" s="473">
        <f t="shared" si="7"/>
        <v>0</v>
      </c>
      <c r="L31" s="473">
        <f>'MIS 2026'!EW31</f>
        <v>0</v>
      </c>
      <c r="M31" s="474">
        <f>IF('MIS 2026'!EZ31&gt;0,'MIS 2026'!EW31,0)</f>
        <v>0</v>
      </c>
      <c r="N31" s="474" t="str">
        <f>'MIS 2026'!I31</f>
        <v>IVC</v>
      </c>
      <c r="O31" s="474" t="str">
        <f>'MIS 2026'!H31</f>
        <v>SHANKARNARAYANA CASHEWS</v>
      </c>
      <c r="P31" s="473">
        <f>'MIS 2026'!AI31</f>
        <v>1510</v>
      </c>
      <c r="Q31" s="474" t="str">
        <f>'MIS 2026'!BQ31</f>
        <v>MANGALORE, INDIA</v>
      </c>
      <c r="R31" s="474">
        <f>'MIS 2026'!AM31</f>
        <v>0.1</v>
      </c>
      <c r="S31" s="474" t="str">
        <f>'MIS 2026'!AL31</f>
        <v>DP SIGHT</v>
      </c>
      <c r="T31" s="473">
        <f>'MIS 2026'!AZ31</f>
        <v>15100</v>
      </c>
      <c r="U31" s="474">
        <f>IF('MIS 2026'!BI31="","",'MIS 2026'!BI31)</f>
        <v>267490043</v>
      </c>
      <c r="V31" s="475">
        <f>IF('MIS 2026'!BJ31&gt;0,'MIS 2026'!BJ31,'MIS 2026'!AF31)</f>
        <v>100</v>
      </c>
      <c r="W31" s="476" t="str">
        <f>IF('MIS 2026'!BM31="","",'MIS 2026'!BM31)</f>
        <v/>
      </c>
      <c r="X31" s="476">
        <f>IF('MIS 2026'!BO31="","",'MIS 2026'!BO31)</f>
        <v>46202</v>
      </c>
      <c r="Y31" s="473">
        <f t="shared" si="8"/>
        <v>135900</v>
      </c>
      <c r="Z31" s="473">
        <f>IF('MIS 2026'!CR31&gt;0,'MIS 2026'!CQ31,0)</f>
        <v>0</v>
      </c>
      <c r="AA31" s="473">
        <f t="shared" si="9"/>
        <v>135900</v>
      </c>
      <c r="AB31" s="476" t="str">
        <f>IF('MIS 2026'!CM31="","",'MIS 2026'!CM31)</f>
        <v/>
      </c>
      <c r="AC31" s="476" t="str">
        <f>'MIS 2026'!U31</f>
        <v xml:space="preserve">RCVD COUNTERSIGNED + ADVANCE RCVD 26/02-267489943
</v>
      </c>
      <c r="AD31" s="474">
        <f>IF('MIS 2026'!BF31&gt;0,'MIS 2026'!BF31,"")</f>
        <v>46083</v>
      </c>
      <c r="AE31" s="476" t="str">
        <f>IF('MIS 2026'!N31&gt;0,'MIS 2026'!N31,"")</f>
        <v/>
      </c>
      <c r="AF31" s="474"/>
      <c r="AG31" s="478" t="str">
        <f>IF('MIS 2026'!BV31&lt;&gt;0,'MIS 2026'!BV31,"")</f>
        <v/>
      </c>
      <c r="AH31" s="474">
        <f>IF('MIS 2026'!F31&lt;&gt;0,'MIS 2026'!F31,"")</f>
        <v>32014499</v>
      </c>
      <c r="AI31" s="463" t="str">
        <f t="shared" ca="1" si="10"/>
        <v/>
      </c>
      <c r="AJ31" s="474"/>
    </row>
    <row r="32" spans="1:36">
      <c r="A32" s="149" t="s">
        <v>208</v>
      </c>
      <c r="B32" s="149" t="str">
        <f>'MIS 2026'!EV32</f>
        <v>Final Pmt Recd</v>
      </c>
      <c r="C32" s="152" t="str">
        <f>'MIS 2026'!F32</f>
        <v>32015281-2</v>
      </c>
      <c r="D32" s="149" t="str">
        <f>'MIS 2026'!EH32</f>
        <v>Valora Exim</v>
      </c>
      <c r="E32" s="151">
        <f>'MIS 2026'!AF32</f>
        <v>175</v>
      </c>
      <c r="F32" s="150">
        <f>'MIS 2026'!EK32</f>
        <v>0</v>
      </c>
      <c r="G32" s="150">
        <f t="shared" si="6"/>
        <v>0</v>
      </c>
      <c r="H32" s="149">
        <f>'MIS 2026'!EL32</f>
        <v>0</v>
      </c>
      <c r="I32" s="148"/>
      <c r="J32" s="473">
        <f>'MIS 2026'!ER32</f>
        <v>0</v>
      </c>
      <c r="K32" s="473">
        <f t="shared" si="7"/>
        <v>0</v>
      </c>
      <c r="L32" s="473">
        <f>'MIS 2026'!EW32</f>
        <v>0</v>
      </c>
      <c r="M32" s="474">
        <f>IF('MIS 2026'!EZ32&gt;0,'MIS 2026'!EW32,0)</f>
        <v>0</v>
      </c>
      <c r="N32" s="474" t="str">
        <f>'MIS 2026'!I32</f>
        <v>GHANA</v>
      </c>
      <c r="O32" s="474" t="str">
        <f>'MIS 2026'!H32</f>
        <v>Valency Agro (Processing)</v>
      </c>
      <c r="P32" s="473">
        <f>'MIS 2026'!AI32</f>
        <v>1585</v>
      </c>
      <c r="Q32" s="474" t="str">
        <f>'MIS 2026'!BQ32</f>
        <v>MANGALORE, INDIA</v>
      </c>
      <c r="R32" s="474">
        <f>'MIS 2026'!AM32</f>
        <v>0</v>
      </c>
      <c r="S32" s="474" t="str">
        <f>'MIS 2026'!AL32</f>
        <v>DP SIGHT</v>
      </c>
      <c r="T32" s="473">
        <f>'MIS 2026'!AZ32</f>
        <v>0</v>
      </c>
      <c r="U32" s="474">
        <f>IF('MIS 2026'!BI32="","",'MIS 2026'!BI32)</f>
        <v>267377584</v>
      </c>
      <c r="V32" s="475">
        <f>IF('MIS 2026'!BJ32&gt;0,'MIS 2026'!BJ32,'MIS 2026'!AF32)</f>
        <v>177.52</v>
      </c>
      <c r="W32" s="476">
        <f>IF('MIS 2026'!BM32="","",'MIS 2026'!BM32)</f>
        <v>46095</v>
      </c>
      <c r="X32" s="476">
        <f>IF('MIS 2026'!BO32="","",'MIS 2026'!BO32)</f>
        <v>46160</v>
      </c>
      <c r="Y32" s="473">
        <f t="shared" si="8"/>
        <v>281369.2</v>
      </c>
      <c r="Z32" s="473">
        <f>IF('MIS 2026'!CR32&gt;0,'MIS 2026'!CQ32,0)</f>
        <v>281369.2</v>
      </c>
      <c r="AA32" s="473">
        <f t="shared" si="9"/>
        <v>0</v>
      </c>
      <c r="AB32" s="476">
        <f>IF('MIS 2026'!CM32="","",'MIS 2026'!CM32)</f>
        <v>46119</v>
      </c>
      <c r="AC32" s="476" t="str">
        <f>'MIS 2026'!U32</f>
        <v>PAYMENT RCVD 14/05</v>
      </c>
      <c r="AD32" s="474">
        <f>IF('MIS 2026'!BF32&gt;0,'MIS 2026'!BF32,"")</f>
        <v>46078</v>
      </c>
      <c r="AE32" s="476">
        <f>IF('MIS 2026'!N32&gt;0,'MIS 2026'!N32,"")</f>
        <v>46095</v>
      </c>
      <c r="AF32" s="474"/>
      <c r="AG32" s="478">
        <f>IF('MIS 2026'!BV32&lt;&gt;0,'MIS 2026'!BV32,"")</f>
        <v>90082895</v>
      </c>
      <c r="AH32" s="474" t="str">
        <f>IF('MIS 2026'!F32&lt;&gt;0,'MIS 2026'!F32,"")</f>
        <v>32015281-2</v>
      </c>
      <c r="AI32" s="463" t="str">
        <f t="shared" ca="1" si="10"/>
        <v/>
      </c>
      <c r="AJ32" s="474"/>
    </row>
    <row r="33" spans="1:36">
      <c r="A33" s="149" t="s">
        <v>208</v>
      </c>
      <c r="B33" s="149" t="str">
        <f>'MIS 2026'!EV33</f>
        <v>Yet to load</v>
      </c>
      <c r="C33" s="152">
        <f>'MIS 2026'!F33</f>
        <v>32014588</v>
      </c>
      <c r="D33" s="149" t="str">
        <f>'MIS 2026'!EH33</f>
        <v xml:space="preserve">VALENCY IVC </v>
      </c>
      <c r="E33" s="151">
        <f>'MIS 2026'!AF33</f>
        <v>100</v>
      </c>
      <c r="F33" s="150">
        <f>'MIS 2026'!EK33</f>
        <v>0</v>
      </c>
      <c r="G33" s="150">
        <f t="shared" si="6"/>
        <v>0</v>
      </c>
      <c r="H33" s="149">
        <f>'MIS 2026'!EL33</f>
        <v>0</v>
      </c>
      <c r="I33" s="148"/>
      <c r="J33" s="473">
        <f>'MIS 2026'!ER33</f>
        <v>0</v>
      </c>
      <c r="K33" s="473">
        <f t="shared" si="7"/>
        <v>0</v>
      </c>
      <c r="L33" s="473">
        <f>'MIS 2026'!EW33</f>
        <v>0</v>
      </c>
      <c r="M33" s="474">
        <f>IF('MIS 2026'!EZ33&gt;0,'MIS 2026'!EW33,0)</f>
        <v>0</v>
      </c>
      <c r="N33" s="474" t="str">
        <f>'MIS 2026'!I33</f>
        <v>IVC</v>
      </c>
      <c r="O33" s="474" t="str">
        <f>'MIS 2026'!H33</f>
        <v>SHREE KRISHNAKRUPA CASHEWS PVT LTD</v>
      </c>
      <c r="P33" s="473">
        <f>'MIS 2026'!AI33</f>
        <v>1510</v>
      </c>
      <c r="Q33" s="474" t="str">
        <f>'MIS 2026'!BQ33</f>
        <v>MANGALORE, INDIA</v>
      </c>
      <c r="R33" s="474">
        <f>'MIS 2026'!AM33</f>
        <v>0.1</v>
      </c>
      <c r="S33" s="474" t="str">
        <f>'MIS 2026'!AL33</f>
        <v>DP SIGHT</v>
      </c>
      <c r="T33" s="473">
        <f>'MIS 2026'!AZ33</f>
        <v>15100</v>
      </c>
      <c r="U33" s="474">
        <f>IF('MIS 2026'!BI33="","",'MIS 2026'!BI33)</f>
        <v>267490043</v>
      </c>
      <c r="V33" s="475">
        <f>IF('MIS 2026'!BJ33&gt;0,'MIS 2026'!BJ33,'MIS 2026'!AF33)</f>
        <v>100</v>
      </c>
      <c r="W33" s="476" t="str">
        <f>IF('MIS 2026'!BM33="","",'MIS 2026'!BM33)</f>
        <v/>
      </c>
      <c r="X33" s="476" t="str">
        <f>IF('MIS 2026'!BO33="","",'MIS 2026'!BO33)</f>
        <v/>
      </c>
      <c r="Y33" s="473">
        <f t="shared" si="8"/>
        <v>135900</v>
      </c>
      <c r="Z33" s="473">
        <f>IF('MIS 2026'!CR33&gt;0,'MIS 2026'!CQ33,0)</f>
        <v>0</v>
      </c>
      <c r="AA33" s="473">
        <f t="shared" si="9"/>
        <v>135900</v>
      </c>
      <c r="AB33" s="476" t="str">
        <f>IF('MIS 2026'!CM33="","",'MIS 2026'!CM33)</f>
        <v/>
      </c>
      <c r="AC33" s="476" t="str">
        <f>'MIS 2026'!U33</f>
        <v xml:space="preserve">ADVANCE RCVD 02/03-267490043
</v>
      </c>
      <c r="AD33" s="474">
        <f>IF('MIS 2026'!BF33&gt;0,'MIS 2026'!BF33,"")</f>
        <v>46083</v>
      </c>
      <c r="AE33" s="476" t="str">
        <f>IF('MIS 2026'!N33&gt;0,'MIS 2026'!N33,"")</f>
        <v/>
      </c>
      <c r="AF33" s="474"/>
      <c r="AG33" s="478" t="str">
        <f>IF('MIS 2026'!BV33&lt;&gt;0,'MIS 2026'!BV33,"")</f>
        <v/>
      </c>
      <c r="AH33" s="474">
        <f>IF('MIS 2026'!F33&lt;&gt;0,'MIS 2026'!F33,"")</f>
        <v>32014588</v>
      </c>
      <c r="AI33" s="463" t="str">
        <f t="shared" ca="1" si="10"/>
        <v/>
      </c>
      <c r="AJ33" s="474"/>
    </row>
    <row r="34" spans="1:36">
      <c r="A34" s="149" t="s">
        <v>208</v>
      </c>
      <c r="B34" s="149" t="str">
        <f>'MIS 2026'!EV34</f>
        <v>Yet to load</v>
      </c>
      <c r="C34" s="152">
        <f>'MIS 2026'!F34</f>
        <v>32014455</v>
      </c>
      <c r="D34" s="149" t="str">
        <f>'MIS 2026'!EH34</f>
        <v xml:space="preserve">VALENCY IVC </v>
      </c>
      <c r="E34" s="151">
        <f>'MIS 2026'!AF34</f>
        <v>200</v>
      </c>
      <c r="F34" s="150">
        <f>'MIS 2026'!EK34</f>
        <v>0</v>
      </c>
      <c r="G34" s="150">
        <f t="shared" si="6"/>
        <v>0</v>
      </c>
      <c r="H34" s="149">
        <f>'MIS 2026'!EL34</f>
        <v>0</v>
      </c>
      <c r="I34" s="148"/>
      <c r="J34" s="473">
        <f>'MIS 2026'!ER34</f>
        <v>0</v>
      </c>
      <c r="K34" s="473">
        <f t="shared" si="7"/>
        <v>0</v>
      </c>
      <c r="L34" s="473">
        <f>'MIS 2026'!EW34</f>
        <v>0</v>
      </c>
      <c r="M34" s="474">
        <f>IF('MIS 2026'!EZ34&gt;0,'MIS 2026'!EW34,0)</f>
        <v>0</v>
      </c>
      <c r="N34" s="474" t="str">
        <f>'MIS 2026'!I34</f>
        <v>IVC</v>
      </c>
      <c r="O34" s="474" t="str">
        <f>'MIS 2026'!H34</f>
        <v>SREE DEVI CASHEW INDUSTRIES</v>
      </c>
      <c r="P34" s="473">
        <f>'MIS 2026'!AI34</f>
        <v>1565</v>
      </c>
      <c r="Q34" s="474" t="str">
        <f>'MIS 2026'!BQ34</f>
        <v>MANGALORE, INDIA</v>
      </c>
      <c r="R34" s="474">
        <f>'MIS 2026'!AM34</f>
        <v>0</v>
      </c>
      <c r="S34" s="474" t="str">
        <f>'MIS 2026'!AL34</f>
        <v>DP SIGHT</v>
      </c>
      <c r="T34" s="473">
        <f>'MIS 2026'!AZ34</f>
        <v>0</v>
      </c>
      <c r="U34" s="474" t="str">
        <f>IF('MIS 2026'!BI34="","",'MIS 2026'!BI34)</f>
        <v/>
      </c>
      <c r="V34" s="475">
        <f>IF('MIS 2026'!BJ34&gt;0,'MIS 2026'!BJ34,'MIS 2026'!AF34)</f>
        <v>200</v>
      </c>
      <c r="W34" s="476" t="str">
        <f>IF('MIS 2026'!BM34="","",'MIS 2026'!BM34)</f>
        <v/>
      </c>
      <c r="X34" s="476" t="str">
        <f>IF('MIS 2026'!BO34="","",'MIS 2026'!BO34)</f>
        <v/>
      </c>
      <c r="Y34" s="473">
        <f t="shared" si="8"/>
        <v>313000</v>
      </c>
      <c r="Z34" s="473">
        <f>IF('MIS 2026'!CR34&gt;0,'MIS 2026'!CQ34,0)</f>
        <v>0</v>
      </c>
      <c r="AA34" s="473">
        <f t="shared" si="9"/>
        <v>313000</v>
      </c>
      <c r="AB34" s="476" t="str">
        <f>IF('MIS 2026'!CM34="","",'MIS 2026'!CM34)</f>
        <v/>
      </c>
      <c r="AC34" s="476" t="str">
        <f>'MIS 2026'!U34</f>
        <v xml:space="preserve">RCVD COUNTERSIGNED-BUYER WANTS TO DELAY THE SHIPMENT-267489622
&amp; 267489622-1
</v>
      </c>
      <c r="AD34" s="474">
        <f>IF('MIS 2026'!BF34&gt;0,'MIS 2026'!BF34,"")</f>
        <v>46083</v>
      </c>
      <c r="AE34" s="476" t="str">
        <f>IF('MIS 2026'!N34&gt;0,'MIS 2026'!N34,"")</f>
        <v/>
      </c>
      <c r="AF34" s="474"/>
      <c r="AG34" s="478" t="str">
        <f>IF('MIS 2026'!BV34&lt;&gt;0,'MIS 2026'!BV34,"")</f>
        <v/>
      </c>
      <c r="AH34" s="474">
        <f>IF('MIS 2026'!F34&lt;&gt;0,'MIS 2026'!F34,"")</f>
        <v>32014455</v>
      </c>
      <c r="AI34" s="463" t="str">
        <f t="shared" ca="1" si="10"/>
        <v/>
      </c>
      <c r="AJ34" s="474"/>
    </row>
    <row r="35" spans="1:36">
      <c r="A35" s="149" t="s">
        <v>208</v>
      </c>
      <c r="B35" s="149" t="str">
        <f>'MIS 2026'!EV35</f>
        <v>Yet to load</v>
      </c>
      <c r="C35" s="152">
        <f>'MIS 2026'!F35</f>
        <v>32014486</v>
      </c>
      <c r="D35" s="149" t="str">
        <f>'MIS 2026'!EH35</f>
        <v xml:space="preserve">VALENCY IVC </v>
      </c>
      <c r="E35" s="151">
        <f>'MIS 2026'!AF35</f>
        <v>100</v>
      </c>
      <c r="F35" s="150">
        <f>'MIS 2026'!EK35</f>
        <v>0</v>
      </c>
      <c r="G35" s="150">
        <f t="shared" si="6"/>
        <v>0</v>
      </c>
      <c r="H35" s="149">
        <f>'MIS 2026'!EL35</f>
        <v>0</v>
      </c>
      <c r="I35" s="148"/>
      <c r="J35" s="473">
        <f>'MIS 2026'!ER35</f>
        <v>0</v>
      </c>
      <c r="K35" s="473">
        <f t="shared" si="7"/>
        <v>0</v>
      </c>
      <c r="L35" s="473">
        <f>'MIS 2026'!EW35</f>
        <v>0</v>
      </c>
      <c r="M35" s="474">
        <f>IF('MIS 2026'!EZ35&gt;0,'MIS 2026'!EW35,0)</f>
        <v>0</v>
      </c>
      <c r="N35" s="474" t="str">
        <f>'MIS 2026'!I35</f>
        <v>IVC</v>
      </c>
      <c r="O35" s="474" t="str">
        <f>'MIS 2026'!H35</f>
        <v>SRI MAHAGANAPATHI CASHEW INDUSTRIES</v>
      </c>
      <c r="P35" s="473">
        <f>'MIS 2026'!AI35</f>
        <v>1545</v>
      </c>
      <c r="Q35" s="474" t="str">
        <f>'MIS 2026'!BQ35</f>
        <v>MANGALORE, INDIA</v>
      </c>
      <c r="R35" s="474">
        <f>'MIS 2026'!AM35</f>
        <v>0.1</v>
      </c>
      <c r="S35" s="474" t="str">
        <f>'MIS 2026'!AL35</f>
        <v>DP SIGHT</v>
      </c>
      <c r="T35" s="473">
        <f>'MIS 2026'!AZ35</f>
        <v>15450</v>
      </c>
      <c r="U35" s="474" t="str">
        <f>IF('MIS 2026'!BI35="","",'MIS 2026'!BI35)</f>
        <v/>
      </c>
      <c r="V35" s="475">
        <f>IF('MIS 2026'!BJ35&gt;0,'MIS 2026'!BJ35,'MIS 2026'!AF35)</f>
        <v>100</v>
      </c>
      <c r="W35" s="476" t="str">
        <f>IF('MIS 2026'!BM35="","",'MIS 2026'!BM35)</f>
        <v/>
      </c>
      <c r="X35" s="476" t="str">
        <f>IF('MIS 2026'!BO35="","",'MIS 2026'!BO35)</f>
        <v/>
      </c>
      <c r="Y35" s="473">
        <f t="shared" si="8"/>
        <v>139050</v>
      </c>
      <c r="Z35" s="473">
        <f>IF('MIS 2026'!CR35&gt;0,'MIS 2026'!CQ35,0)</f>
        <v>0</v>
      </c>
      <c r="AA35" s="473">
        <f t="shared" si="9"/>
        <v>139050</v>
      </c>
      <c r="AB35" s="476" t="str">
        <f>IF('MIS 2026'!CM35="","",'MIS 2026'!CM35)</f>
        <v/>
      </c>
      <c r="AC35" s="476" t="str">
        <f>'MIS 2026'!U35</f>
        <v xml:space="preserve">ADVANCE RCVD 18/03-267489832
</v>
      </c>
      <c r="AD35" s="474">
        <f>IF('MIS 2026'!BF35&gt;0,'MIS 2026'!BF35,"")</f>
        <v>46083</v>
      </c>
      <c r="AE35" s="476" t="str">
        <f>IF('MIS 2026'!N35&gt;0,'MIS 2026'!N35,"")</f>
        <v/>
      </c>
      <c r="AF35" s="474"/>
      <c r="AG35" s="478" t="str">
        <f>IF('MIS 2026'!BV35&lt;&gt;0,'MIS 2026'!BV35,"")</f>
        <v/>
      </c>
      <c r="AH35" s="474">
        <f>IF('MIS 2026'!F35&lt;&gt;0,'MIS 2026'!F35,"")</f>
        <v>32014486</v>
      </c>
      <c r="AI35" s="463" t="str">
        <f t="shared" ca="1" si="10"/>
        <v/>
      </c>
      <c r="AJ35" s="474"/>
    </row>
    <row r="36" spans="1:36">
      <c r="A36" s="149" t="s">
        <v>208</v>
      </c>
      <c r="B36" s="149" t="str">
        <f>'MIS 2026'!EV36</f>
        <v>Yet to load</v>
      </c>
      <c r="C36" s="152" t="str">
        <f>'MIS 2026'!F36</f>
        <v>32016289-1</v>
      </c>
      <c r="D36" s="149" t="str">
        <f>'MIS 2026'!EH36</f>
        <v xml:space="preserve">VALENCY IVC </v>
      </c>
      <c r="E36" s="151">
        <f>'MIS 2026'!AF36</f>
        <v>250</v>
      </c>
      <c r="F36" s="150">
        <f>'MIS 2026'!EK36</f>
        <v>0</v>
      </c>
      <c r="G36" s="150">
        <f t="shared" ref="G36:G67" si="11">F36*E36</f>
        <v>0</v>
      </c>
      <c r="H36" s="149">
        <f>'MIS 2026'!EL36</f>
        <v>0</v>
      </c>
      <c r="I36" s="148"/>
      <c r="J36" s="473">
        <f>'MIS 2026'!ER36</f>
        <v>0</v>
      </c>
      <c r="K36" s="473">
        <f t="shared" ref="K36:K67" si="12">G36-J36</f>
        <v>0</v>
      </c>
      <c r="L36" s="473">
        <f>'MIS 2026'!EW36</f>
        <v>0</v>
      </c>
      <c r="M36" s="474">
        <f>IF('MIS 2026'!EZ36&gt;0,'MIS 2026'!EW36,0)</f>
        <v>0</v>
      </c>
      <c r="N36" s="474" t="str">
        <f>'MIS 2026'!I36</f>
        <v>IVC</v>
      </c>
      <c r="O36" s="474" t="str">
        <f>'MIS 2026'!H36</f>
        <v xml:space="preserve">VIET PHI AGRICULTURE JOINT 
STOCK COMPANY </v>
      </c>
      <c r="P36" s="473">
        <f>'MIS 2026'!AI36</f>
        <v>1520</v>
      </c>
      <c r="Q36" s="474" t="str">
        <f>'MIS 2026'!BQ36</f>
        <v>HCMC, VIETNAM</v>
      </c>
      <c r="R36" s="474">
        <f>'MIS 2026'!AM36</f>
        <v>0.1</v>
      </c>
      <c r="S36" s="474" t="str">
        <f>'MIS 2026'!AL36</f>
        <v>DP SIGHT</v>
      </c>
      <c r="T36" s="473">
        <f>'MIS 2026'!AZ36</f>
        <v>38000</v>
      </c>
      <c r="U36" s="474" t="str">
        <f>IF('MIS 2026'!BI36="","",'MIS 2026'!BI36)</f>
        <v>HLCUAB1260401247</v>
      </c>
      <c r="V36" s="475">
        <f>IF('MIS 2026'!BJ36&gt;0,'MIS 2026'!BJ36,'MIS 2026'!AF36)</f>
        <v>248.33</v>
      </c>
      <c r="W36" s="476">
        <f>IF('MIS 2026'!BM36="","",'MIS 2026'!BM36)</f>
        <v>46163</v>
      </c>
      <c r="X36" s="476">
        <f>IF('MIS 2026'!BO36="","",'MIS 2026'!BO36)</f>
        <v>46208</v>
      </c>
      <c r="Y36" s="473">
        <f t="shared" ref="Y36:Y67" si="13">(V36*P36)-T36</f>
        <v>339461.60000000003</v>
      </c>
      <c r="Z36" s="473">
        <f>IF('MIS 2026'!CR36&gt;0,'MIS 2026'!CQ36,0)</f>
        <v>0</v>
      </c>
      <c r="AA36" s="473">
        <f t="shared" ref="AA36:AA67" si="14">Y36-Z36</f>
        <v>339461.60000000003</v>
      </c>
      <c r="AB36" s="476" t="str">
        <f>IF('MIS 2026'!CM36="","",'MIS 2026'!CM36)</f>
        <v/>
      </c>
      <c r="AC36" s="476" t="str">
        <f>'MIS 2026'!U36</f>
        <v>DRAFT BL RCVD 20/5,DRAFT HBL SENT TO BUYER 20/5</v>
      </c>
      <c r="AD36" s="474" t="str">
        <f>IF('MIS 2026'!BF36&gt;0,'MIS 2026'!BF36,"")</f>
        <v/>
      </c>
      <c r="AE36" s="476">
        <f>IF('MIS 2026'!N36&gt;0,'MIS 2026'!N36,"")</f>
        <v>46163</v>
      </c>
      <c r="AF36" s="474"/>
      <c r="AG36" s="478" t="str">
        <f>IF('MIS 2026'!BV36&lt;&gt;0,'MIS 2026'!BV36,"")</f>
        <v/>
      </c>
      <c r="AH36" s="474" t="str">
        <f>IF('MIS 2026'!F36&lt;&gt;0,'MIS 2026'!F36,"")</f>
        <v>32016289-1</v>
      </c>
      <c r="AI36" s="463">
        <f t="shared" ref="AI36:AI67" ca="1" si="15">IFERROR(IF(AB36="",TODAY()-W36,""),"")</f>
        <v>9</v>
      </c>
      <c r="AJ36" s="474"/>
    </row>
    <row r="37" spans="1:36">
      <c r="A37" s="149" t="s">
        <v>208</v>
      </c>
      <c r="B37" s="149" t="str">
        <f>'MIS 2026'!EV37</f>
        <v>Yet to load</v>
      </c>
      <c r="C37" s="152" t="str">
        <f>'MIS 2026'!F37</f>
        <v>32016289-2</v>
      </c>
      <c r="D37" s="149" t="str">
        <f>'MIS 2026'!EH37</f>
        <v xml:space="preserve">VALENCY IVC </v>
      </c>
      <c r="E37" s="151">
        <f>'MIS 2026'!AF37</f>
        <v>250</v>
      </c>
      <c r="F37" s="150">
        <f>'MIS 2026'!EK37</f>
        <v>0</v>
      </c>
      <c r="G37" s="150">
        <f t="shared" si="11"/>
        <v>0</v>
      </c>
      <c r="H37" s="149">
        <f>'MIS 2026'!EL37</f>
        <v>0</v>
      </c>
      <c r="I37" s="148"/>
      <c r="J37" s="473">
        <f>'MIS 2026'!ER37</f>
        <v>0</v>
      </c>
      <c r="K37" s="473">
        <f t="shared" si="12"/>
        <v>0</v>
      </c>
      <c r="L37" s="473">
        <f>'MIS 2026'!EW37</f>
        <v>0</v>
      </c>
      <c r="M37" s="474">
        <f>IF('MIS 2026'!EZ37&gt;0,'MIS 2026'!EW37,0)</f>
        <v>0</v>
      </c>
      <c r="N37" s="474" t="str">
        <f>'MIS 2026'!I37</f>
        <v>IVC</v>
      </c>
      <c r="O37" s="474" t="str">
        <f>'MIS 2026'!H37</f>
        <v xml:space="preserve">VIET PHI AGRICULTURE JOINT 
STOCK COMPANY </v>
      </c>
      <c r="P37" s="473">
        <f>'MIS 2026'!AI37</f>
        <v>1520</v>
      </c>
      <c r="Q37" s="474" t="str">
        <f>'MIS 2026'!BQ37</f>
        <v>HCMC, VIETNAM</v>
      </c>
      <c r="R37" s="474">
        <f>'MIS 2026'!AM37</f>
        <v>0.1</v>
      </c>
      <c r="S37" s="474" t="str">
        <f>'MIS 2026'!AL37</f>
        <v>DP SIGHT</v>
      </c>
      <c r="T37" s="473">
        <f>'MIS 2026'!AZ37</f>
        <v>38000</v>
      </c>
      <c r="U37" s="474" t="str">
        <f>IF('MIS 2026'!BI37="","",'MIS 2026'!BI37)</f>
        <v>HLCUAB1260401258</v>
      </c>
      <c r="V37" s="475">
        <f>IF('MIS 2026'!BJ37&gt;0,'MIS 2026'!BJ37,'MIS 2026'!AF37)</f>
        <v>252.18</v>
      </c>
      <c r="W37" s="476">
        <f>IF('MIS 2026'!BM37="","",'MIS 2026'!BM37)</f>
        <v>46163</v>
      </c>
      <c r="X37" s="476">
        <f>IF('MIS 2026'!BO37="","",'MIS 2026'!BO37)</f>
        <v>46208</v>
      </c>
      <c r="Y37" s="473">
        <f t="shared" si="13"/>
        <v>345313.60000000003</v>
      </c>
      <c r="Z37" s="473">
        <f>IF('MIS 2026'!CR37&gt;0,'MIS 2026'!CQ37,0)</f>
        <v>0</v>
      </c>
      <c r="AA37" s="473">
        <f t="shared" si="14"/>
        <v>345313.60000000003</v>
      </c>
      <c r="AB37" s="476" t="str">
        <f>IF('MIS 2026'!CM37="","",'MIS 2026'!CM37)</f>
        <v/>
      </c>
      <c r="AC37" s="476" t="str">
        <f>'MIS 2026'!U37</f>
        <v>DRAFT BL RCVD 20/5,DRAFT HBL REQUEST SENT 21/5</v>
      </c>
      <c r="AD37" s="474" t="str">
        <f>IF('MIS 2026'!BF37&gt;0,'MIS 2026'!BF37,"")</f>
        <v/>
      </c>
      <c r="AE37" s="476">
        <f>IF('MIS 2026'!N37&gt;0,'MIS 2026'!N37,"")</f>
        <v>46163</v>
      </c>
      <c r="AF37" s="474"/>
      <c r="AG37" s="478" t="str">
        <f>IF('MIS 2026'!BV37&lt;&gt;0,'MIS 2026'!BV37,"")</f>
        <v/>
      </c>
      <c r="AH37" s="474" t="str">
        <f>IF('MIS 2026'!F37&lt;&gt;0,'MIS 2026'!F37,"")</f>
        <v>32016289-2</v>
      </c>
      <c r="AI37" s="463">
        <f t="shared" ca="1" si="15"/>
        <v>9</v>
      </c>
      <c r="AJ37" s="474"/>
    </row>
    <row r="38" spans="1:36">
      <c r="A38" s="149" t="s">
        <v>208</v>
      </c>
      <c r="B38" s="149" t="str">
        <f>'MIS 2026'!EV38</f>
        <v>Yet to load</v>
      </c>
      <c r="C38" s="152" t="str">
        <f>'MIS 2026'!F38</f>
        <v>32016289-3</v>
      </c>
      <c r="D38" s="149" t="str">
        <f>'MIS 2026'!EH38</f>
        <v xml:space="preserve">VALENCY IVC </v>
      </c>
      <c r="E38" s="151">
        <f>'MIS 2026'!AF38</f>
        <v>250</v>
      </c>
      <c r="F38" s="150">
        <f>'MIS 2026'!EK38</f>
        <v>0</v>
      </c>
      <c r="G38" s="150">
        <f t="shared" si="11"/>
        <v>0</v>
      </c>
      <c r="H38" s="149">
        <f>'MIS 2026'!EL38</f>
        <v>0</v>
      </c>
      <c r="I38" s="148"/>
      <c r="J38" s="473">
        <f>'MIS 2026'!ER38</f>
        <v>0</v>
      </c>
      <c r="K38" s="473">
        <f t="shared" si="12"/>
        <v>0</v>
      </c>
      <c r="L38" s="473">
        <f>'MIS 2026'!EW38</f>
        <v>0</v>
      </c>
      <c r="M38" s="474">
        <f>IF('MIS 2026'!EZ38&gt;0,'MIS 2026'!EW38,0)</f>
        <v>0</v>
      </c>
      <c r="N38" s="474" t="str">
        <f>'MIS 2026'!I38</f>
        <v>IVC</v>
      </c>
      <c r="O38" s="474" t="str">
        <f>'MIS 2026'!H38</f>
        <v xml:space="preserve">VIET PHI AGRICULTURE JOINT 
STOCK COMPANY </v>
      </c>
      <c r="P38" s="473">
        <f>'MIS 2026'!AI38</f>
        <v>1520</v>
      </c>
      <c r="Q38" s="474" t="str">
        <f>'MIS 2026'!BQ38</f>
        <v>HCMC, VIETNAM</v>
      </c>
      <c r="R38" s="474">
        <f>'MIS 2026'!AM38</f>
        <v>0.1</v>
      </c>
      <c r="S38" s="474" t="str">
        <f>'MIS 2026'!AL38</f>
        <v>DP SIGHT</v>
      </c>
      <c r="T38" s="473">
        <f>'MIS 2026'!AZ38</f>
        <v>38000</v>
      </c>
      <c r="U38" s="474" t="str">
        <f>IF('MIS 2026'!BI38="","",'MIS 2026'!BI38)</f>
        <v>HLCUAB1260400752</v>
      </c>
      <c r="V38" s="475">
        <f>IF('MIS 2026'!BJ38&gt;0,'MIS 2026'!BJ38,'MIS 2026'!AF38)</f>
        <v>244.67</v>
      </c>
      <c r="W38" s="476">
        <f>IF('MIS 2026'!BM38="","",'MIS 2026'!BM38)</f>
        <v>46163</v>
      </c>
      <c r="X38" s="476">
        <f>IF('MIS 2026'!BO38="","",'MIS 2026'!BO38)</f>
        <v>46215</v>
      </c>
      <c r="Y38" s="473">
        <f t="shared" si="13"/>
        <v>333898.39999999997</v>
      </c>
      <c r="Z38" s="473">
        <f>IF('MIS 2026'!CR38&gt;0,'MIS 2026'!CQ38,0)</f>
        <v>0</v>
      </c>
      <c r="AA38" s="473">
        <f t="shared" si="14"/>
        <v>333898.39999999997</v>
      </c>
      <c r="AB38" s="476" t="str">
        <f>IF('MIS 2026'!CM38="","",'MIS 2026'!CM38)</f>
        <v/>
      </c>
      <c r="AC38" s="476" t="str">
        <f>'MIS 2026'!U38</f>
        <v>DRAFT BL RCVD 20/5,HBL DRAFT SENT TO BUYER 20/5</v>
      </c>
      <c r="AD38" s="474" t="str">
        <f>IF('MIS 2026'!BF38&gt;0,'MIS 2026'!BF38,"")</f>
        <v/>
      </c>
      <c r="AE38" s="476">
        <f>IF('MIS 2026'!N38&gt;0,'MIS 2026'!N38,"")</f>
        <v>46163</v>
      </c>
      <c r="AF38" s="474"/>
      <c r="AG38" s="478" t="str">
        <f>IF('MIS 2026'!BV38&lt;&gt;0,'MIS 2026'!BV38,"")</f>
        <v/>
      </c>
      <c r="AH38" s="474" t="str">
        <f>IF('MIS 2026'!F38&lt;&gt;0,'MIS 2026'!F38,"")</f>
        <v>32016289-3</v>
      </c>
      <c r="AI38" s="463">
        <f t="shared" ca="1" si="15"/>
        <v>9</v>
      </c>
      <c r="AJ38" s="474"/>
    </row>
    <row r="39" spans="1:36">
      <c r="A39" s="149" t="s">
        <v>208</v>
      </c>
      <c r="B39" s="149" t="str">
        <f>'MIS 2026'!EV39</f>
        <v>Final Pmt Recd</v>
      </c>
      <c r="C39" s="152" t="str">
        <f>'MIS 2026'!F39</f>
        <v>32015281-3</v>
      </c>
      <c r="D39" s="149" t="str">
        <f>'MIS 2026'!EH39</f>
        <v>Valora Exim</v>
      </c>
      <c r="E39" s="151">
        <f>'MIS 2026'!AF39</f>
        <v>25</v>
      </c>
      <c r="F39" s="150">
        <f>'MIS 2026'!EK39</f>
        <v>0</v>
      </c>
      <c r="G39" s="150">
        <f t="shared" si="11"/>
        <v>0</v>
      </c>
      <c r="H39" s="149">
        <f>'MIS 2026'!EL39</f>
        <v>0</v>
      </c>
      <c r="I39" s="148"/>
      <c r="J39" s="473">
        <f>'MIS 2026'!ER39</f>
        <v>0</v>
      </c>
      <c r="K39" s="473">
        <f t="shared" si="12"/>
        <v>0</v>
      </c>
      <c r="L39" s="473">
        <f>'MIS 2026'!EW39</f>
        <v>0</v>
      </c>
      <c r="M39" s="474">
        <f>IF('MIS 2026'!EZ39&gt;0,'MIS 2026'!EW39,0)</f>
        <v>0</v>
      </c>
      <c r="N39" s="474" t="str">
        <f>'MIS 2026'!I39</f>
        <v>GHANA</v>
      </c>
      <c r="O39" s="474" t="str">
        <f>'MIS 2026'!H39</f>
        <v>Valency Agro (Processing)</v>
      </c>
      <c r="P39" s="473">
        <f>'MIS 2026'!AI39</f>
        <v>1585</v>
      </c>
      <c r="Q39" s="474" t="str">
        <f>'MIS 2026'!BQ39</f>
        <v>MANGALORE, INDIA</v>
      </c>
      <c r="R39" s="474">
        <f>'MIS 2026'!AM39</f>
        <v>0</v>
      </c>
      <c r="S39" s="474" t="str">
        <f>'MIS 2026'!AL39</f>
        <v>DP SIGHT</v>
      </c>
      <c r="T39" s="473">
        <f>'MIS 2026'!AZ39</f>
        <v>0</v>
      </c>
      <c r="U39" s="474">
        <f>IF('MIS 2026'!BI39="","",'MIS 2026'!BI39)</f>
        <v>267603567</v>
      </c>
      <c r="V39" s="475">
        <f>IF('MIS 2026'!BJ39&gt;0,'MIS 2026'!BJ39,'MIS 2026'!AF39)</f>
        <v>25.62</v>
      </c>
      <c r="W39" s="476">
        <f>IF('MIS 2026'!BM39="","",'MIS 2026'!BM39)</f>
        <v>46105</v>
      </c>
      <c r="X39" s="476">
        <f>IF('MIS 2026'!BO39="","",'MIS 2026'!BO39)</f>
        <v>46161</v>
      </c>
      <c r="Y39" s="473">
        <f t="shared" si="13"/>
        <v>40607.700000000004</v>
      </c>
      <c r="Z39" s="473">
        <f>IF('MIS 2026'!CR39&gt;0,'MIS 2026'!CQ39,0)</f>
        <v>40607.700000000004</v>
      </c>
      <c r="AA39" s="473">
        <f t="shared" si="14"/>
        <v>0</v>
      </c>
      <c r="AB39" s="476">
        <f>IF('MIS 2026'!CM39="","",'MIS 2026'!CM39)</f>
        <v>46119</v>
      </c>
      <c r="AC39" s="476" t="str">
        <f>'MIS 2026'!U39</f>
        <v>PAYMENT RCVD 14/05</v>
      </c>
      <c r="AD39" s="474">
        <f>IF('MIS 2026'!BF39&gt;0,'MIS 2026'!BF39,"")</f>
        <v>46078</v>
      </c>
      <c r="AE39" s="476">
        <f>IF('MIS 2026'!N39&gt;0,'MIS 2026'!N39,"")</f>
        <v>46105</v>
      </c>
      <c r="AF39" s="474"/>
      <c r="AG39" s="478">
        <f>IF('MIS 2026'!BV39&lt;&gt;0,'MIS 2026'!BV39,"")</f>
        <v>90082919</v>
      </c>
      <c r="AH39" s="474" t="str">
        <f>IF('MIS 2026'!F39&lt;&gt;0,'MIS 2026'!F39,"")</f>
        <v>32015281-3</v>
      </c>
      <c r="AI39" s="463" t="str">
        <f t="shared" ca="1" si="15"/>
        <v/>
      </c>
      <c r="AJ39" s="474"/>
    </row>
    <row r="40" spans="1:36">
      <c r="A40" s="149" t="s">
        <v>208</v>
      </c>
      <c r="B40" s="149" t="str">
        <f>'MIS 2026'!EV40</f>
        <v>Final Pmt Recd</v>
      </c>
      <c r="C40" s="152">
        <f>'MIS 2026'!F40</f>
        <v>32016277</v>
      </c>
      <c r="D40" s="149" t="str">
        <f>'MIS 2026'!EH40</f>
        <v>Valency Nigeria</v>
      </c>
      <c r="E40" s="151">
        <f>'MIS 2026'!AF40</f>
        <v>200</v>
      </c>
      <c r="F40" s="150">
        <f>'MIS 2026'!EK40</f>
        <v>0</v>
      </c>
      <c r="G40" s="150">
        <f t="shared" si="11"/>
        <v>0</v>
      </c>
      <c r="H40" s="149">
        <f>'MIS 2026'!EL40</f>
        <v>0</v>
      </c>
      <c r="I40" s="148"/>
      <c r="J40" s="473">
        <f>'MIS 2026'!ER40</f>
        <v>0</v>
      </c>
      <c r="K40" s="473">
        <f t="shared" si="12"/>
        <v>0</v>
      </c>
      <c r="L40" s="473">
        <f>'MIS 2026'!EW40</f>
        <v>0</v>
      </c>
      <c r="M40" s="474">
        <f>IF('MIS 2026'!EZ40&gt;0,'MIS 2026'!EW40,0)</f>
        <v>0</v>
      </c>
      <c r="N40" s="474" t="str">
        <f>'MIS 2026'!I40</f>
        <v>NIGERIA(OGB)</v>
      </c>
      <c r="O40" s="474" t="str">
        <f>'MIS 2026'!H40</f>
        <v xml:space="preserve">LIEN VIET TRADING </v>
      </c>
      <c r="P40" s="473">
        <f>'MIS 2026'!AI40</f>
        <v>1580</v>
      </c>
      <c r="Q40" s="474" t="str">
        <f>'MIS 2026'!BQ40</f>
        <v>HCMC, VIETNAM</v>
      </c>
      <c r="R40" s="474">
        <f>'MIS 2026'!AM40</f>
        <v>0.1</v>
      </c>
      <c r="S40" s="474" t="str">
        <f>'MIS 2026'!AL40</f>
        <v>10% ADVANCE 88% DP AT SIGHT 2% after vina</v>
      </c>
      <c r="T40" s="473">
        <f>'MIS 2026'!AZ40</f>
        <v>31600</v>
      </c>
      <c r="U40" s="474" t="str">
        <f>IF('MIS 2026'!BI40="","",'MIS 2026'!BI40)</f>
        <v>MEDULG619470</v>
      </c>
      <c r="V40" s="475">
        <f>IF('MIS 2026'!BJ40&gt;0,'MIS 2026'!BJ40,'MIS 2026'!AF40)</f>
        <v>203.16900000000001</v>
      </c>
      <c r="W40" s="476">
        <f>IF('MIS 2026'!BM40="","",'MIS 2026'!BM40)</f>
        <v>46097</v>
      </c>
      <c r="X40" s="476">
        <f>IF('MIS 2026'!BO40="","",'MIS 2026'!BO40)</f>
        <v>46161</v>
      </c>
      <c r="Y40" s="473">
        <f t="shared" si="13"/>
        <v>289407.02</v>
      </c>
      <c r="Z40" s="473">
        <f>IF('MIS 2026'!CR40&gt;0,'MIS 2026'!CQ40,0)</f>
        <v>282986.88</v>
      </c>
      <c r="AA40" s="473">
        <f t="shared" si="14"/>
        <v>6420.140000000014</v>
      </c>
      <c r="AB40" s="476">
        <f>IF('MIS 2026'!CM40="","",'MIS 2026'!CM40)</f>
        <v>46149</v>
      </c>
      <c r="AC40" s="476" t="str">
        <f>'MIS 2026'!U40</f>
        <v>PAYMENT RCVD 26/05</v>
      </c>
      <c r="AD40" s="474" t="str">
        <f>IF('MIS 2026'!BF40&gt;0,'MIS 2026'!BF40,"")</f>
        <v/>
      </c>
      <c r="AE40" s="476">
        <f>IF('MIS 2026'!N40&gt;0,'MIS 2026'!N40,"")</f>
        <v>46097</v>
      </c>
      <c r="AF40" s="474"/>
      <c r="AG40" s="478">
        <f>IF('MIS 2026'!BV40&lt;&gt;0,'MIS 2026'!BV40,"")</f>
        <v>90085132</v>
      </c>
      <c r="AH40" s="474">
        <f>IF('MIS 2026'!F40&lt;&gt;0,'MIS 2026'!F40,"")</f>
        <v>32016277</v>
      </c>
      <c r="AI40" s="463" t="str">
        <f t="shared" ca="1" si="15"/>
        <v/>
      </c>
      <c r="AJ40" s="474"/>
    </row>
    <row r="41" spans="1:36">
      <c r="A41" s="149" t="s">
        <v>208</v>
      </c>
      <c r="B41" s="149" t="str">
        <f>'MIS 2026'!EV41</f>
        <v>Yet to load</v>
      </c>
      <c r="C41" s="152">
        <f>'MIS 2026'!F41</f>
        <v>32014498</v>
      </c>
      <c r="D41" s="149" t="str">
        <f>'MIS 2026'!EH41</f>
        <v xml:space="preserve">VALENCY IVC </v>
      </c>
      <c r="E41" s="151">
        <f>'MIS 2026'!AF41</f>
        <v>100</v>
      </c>
      <c r="F41" s="150">
        <f>'MIS 2026'!EK41</f>
        <v>0</v>
      </c>
      <c r="G41" s="150">
        <f t="shared" si="11"/>
        <v>0</v>
      </c>
      <c r="H41" s="149">
        <f>'MIS 2026'!EL41</f>
        <v>0</v>
      </c>
      <c r="I41" s="148"/>
      <c r="J41" s="473">
        <f>'MIS 2026'!ER41</f>
        <v>0</v>
      </c>
      <c r="K41" s="473">
        <f t="shared" si="12"/>
        <v>0</v>
      </c>
      <c r="L41" s="473">
        <f>'MIS 2026'!EW41</f>
        <v>0</v>
      </c>
      <c r="M41" s="474">
        <f>IF('MIS 2026'!EZ41&gt;0,'MIS 2026'!EW41,0)</f>
        <v>0</v>
      </c>
      <c r="N41" s="474" t="str">
        <f>'MIS 2026'!I41</f>
        <v>IVC</v>
      </c>
      <c r="O41" s="474" t="str">
        <f>'MIS 2026'!H41</f>
        <v>SRI VIJAYALAXMI CASHEW INDUSTRIES</v>
      </c>
      <c r="P41" s="473">
        <f>'MIS 2026'!AI41</f>
        <v>1505</v>
      </c>
      <c r="Q41" s="474" t="str">
        <f>'MIS 2026'!BQ41</f>
        <v>MANGALORE, INDIA</v>
      </c>
      <c r="R41" s="474">
        <f>'MIS 2026'!AM41</f>
        <v>0</v>
      </c>
      <c r="S41" s="474" t="str">
        <f>'MIS 2026'!AL41</f>
        <v>DP SIGHT</v>
      </c>
      <c r="T41" s="473">
        <f>'MIS 2026'!AZ41</f>
        <v>0</v>
      </c>
      <c r="U41" s="474">
        <f>IF('MIS 2026'!BI41="","",'MIS 2026'!BI41)</f>
        <v>267490003</v>
      </c>
      <c r="V41" s="475">
        <f>IF('MIS 2026'!BJ41&gt;0,'MIS 2026'!BJ41,'MIS 2026'!AF41)</f>
        <v>100</v>
      </c>
      <c r="W41" s="476" t="str">
        <f>IF('MIS 2026'!BM41="","",'MIS 2026'!BM41)</f>
        <v/>
      </c>
      <c r="X41" s="476" t="str">
        <f>IF('MIS 2026'!BO41="","",'MIS 2026'!BO41)</f>
        <v/>
      </c>
      <c r="Y41" s="473">
        <f t="shared" si="13"/>
        <v>150500</v>
      </c>
      <c r="Z41" s="473">
        <f>IF('MIS 2026'!CR41&gt;0,'MIS 2026'!CQ41,0)</f>
        <v>0</v>
      </c>
      <c r="AA41" s="473">
        <f t="shared" si="14"/>
        <v>150500</v>
      </c>
      <c r="AB41" s="476" t="str">
        <f>IF('MIS 2026'!CM41="","",'MIS 2026'!CM41)</f>
        <v/>
      </c>
      <c r="AC41" s="476" t="str">
        <f>'MIS 2026'!U41</f>
        <v xml:space="preserve">RCVD COUNTERSIGNED-267490003
</v>
      </c>
      <c r="AD41" s="474">
        <f>IF('MIS 2026'!BF41&gt;0,'MIS 2026'!BF41,"")</f>
        <v>46083</v>
      </c>
      <c r="AE41" s="476" t="str">
        <f>IF('MIS 2026'!N41&gt;0,'MIS 2026'!N41,"")</f>
        <v/>
      </c>
      <c r="AF41" s="474"/>
      <c r="AG41" s="478" t="str">
        <f>IF('MIS 2026'!BV41&lt;&gt;0,'MIS 2026'!BV41,"")</f>
        <v/>
      </c>
      <c r="AH41" s="474">
        <f>IF('MIS 2026'!F41&lt;&gt;0,'MIS 2026'!F41,"")</f>
        <v>32014498</v>
      </c>
      <c r="AI41" s="463" t="str">
        <f t="shared" ca="1" si="15"/>
        <v/>
      </c>
      <c r="AJ41" s="474"/>
    </row>
    <row r="42" spans="1:36">
      <c r="A42" s="149" t="s">
        <v>208</v>
      </c>
      <c r="B42" s="149" t="str">
        <f>'MIS 2026'!EV42</f>
        <v>Yet to load</v>
      </c>
      <c r="C42" s="152">
        <f>'MIS 2026'!F42</f>
        <v>32014483</v>
      </c>
      <c r="D42" s="149" t="str">
        <f>'MIS 2026'!EH42</f>
        <v xml:space="preserve">VALENCY IVC </v>
      </c>
      <c r="E42" s="151">
        <f>'MIS 2026'!AF42</f>
        <v>200</v>
      </c>
      <c r="F42" s="150">
        <f>'MIS 2026'!EK42</f>
        <v>0</v>
      </c>
      <c r="G42" s="150">
        <f t="shared" si="11"/>
        <v>0</v>
      </c>
      <c r="H42" s="149">
        <f>'MIS 2026'!EL42</f>
        <v>0</v>
      </c>
      <c r="I42" s="148"/>
      <c r="J42" s="473">
        <f>'MIS 2026'!ER42</f>
        <v>0</v>
      </c>
      <c r="K42" s="473">
        <f t="shared" si="12"/>
        <v>0</v>
      </c>
      <c r="L42" s="473">
        <f>'MIS 2026'!EW42</f>
        <v>0</v>
      </c>
      <c r="M42" s="474">
        <f>IF('MIS 2026'!EZ42&gt;0,'MIS 2026'!EW42,0)</f>
        <v>0</v>
      </c>
      <c r="N42" s="474" t="str">
        <f>'MIS 2026'!I42</f>
        <v>IVC</v>
      </c>
      <c r="O42" s="474" t="str">
        <f>'MIS 2026'!H42</f>
        <v>SRI VIJAYALAXMI CASHEW INDUSTRIES</v>
      </c>
      <c r="P42" s="473">
        <f>'MIS 2026'!AI42</f>
        <v>1540</v>
      </c>
      <c r="Q42" s="474" t="str">
        <f>'MIS 2026'!BQ42</f>
        <v>MANGALORE, INDIA</v>
      </c>
      <c r="R42" s="474">
        <f>'MIS 2026'!AM42</f>
        <v>0</v>
      </c>
      <c r="S42" s="474" t="str">
        <f>'MIS 2026'!AL42</f>
        <v>DP SIGHT</v>
      </c>
      <c r="T42" s="473">
        <f>'MIS 2026'!AZ42</f>
        <v>0</v>
      </c>
      <c r="U42" s="474">
        <f>IF('MIS 2026'!BI42="","",'MIS 2026'!BI42)</f>
        <v>269658785</v>
      </c>
      <c r="V42" s="475">
        <f>IF('MIS 2026'!BJ42&gt;0,'MIS 2026'!BJ42,'MIS 2026'!AF42)</f>
        <v>200</v>
      </c>
      <c r="W42" s="476" t="str">
        <f>IF('MIS 2026'!BM42="","",'MIS 2026'!BM42)</f>
        <v/>
      </c>
      <c r="X42" s="476" t="str">
        <f>IF('MIS 2026'!BO42="","",'MIS 2026'!BO42)</f>
        <v/>
      </c>
      <c r="Y42" s="473">
        <f t="shared" si="13"/>
        <v>308000</v>
      </c>
      <c r="Z42" s="473">
        <f>IF('MIS 2026'!CR42&gt;0,'MIS 2026'!CQ42,0)</f>
        <v>0</v>
      </c>
      <c r="AA42" s="473">
        <f t="shared" si="14"/>
        <v>308000</v>
      </c>
      <c r="AB42" s="476" t="str">
        <f>IF('MIS 2026'!CM42="","",'MIS 2026'!CM42)</f>
        <v/>
      </c>
      <c r="AC42" s="476" t="str">
        <f>'MIS 2026'!U42</f>
        <v xml:space="preserve">RCVD COUNTERSIGNED-267489736-1
267489736-2
</v>
      </c>
      <c r="AD42" s="474">
        <f>IF('MIS 2026'!BF42&gt;0,'MIS 2026'!BF42,"")</f>
        <v>46083</v>
      </c>
      <c r="AE42" s="476" t="str">
        <f>IF('MIS 2026'!N42&gt;0,'MIS 2026'!N42,"")</f>
        <v/>
      </c>
      <c r="AF42" s="474"/>
      <c r="AG42" s="478" t="str">
        <f>IF('MIS 2026'!BV42&lt;&gt;0,'MIS 2026'!BV42,"")</f>
        <v/>
      </c>
      <c r="AH42" s="474">
        <f>IF('MIS 2026'!F42&lt;&gt;0,'MIS 2026'!F42,"")</f>
        <v>32014483</v>
      </c>
      <c r="AI42" s="463" t="str">
        <f t="shared" ca="1" si="15"/>
        <v/>
      </c>
      <c r="AJ42" s="474"/>
    </row>
    <row r="43" spans="1:36">
      <c r="A43" s="149" t="s">
        <v>208</v>
      </c>
      <c r="B43" s="149" t="str">
        <f>'MIS 2026'!EV43</f>
        <v>Yet to load</v>
      </c>
      <c r="C43" s="152">
        <f>'MIS 2026'!F43</f>
        <v>32014461</v>
      </c>
      <c r="D43" s="149" t="str">
        <f>'MIS 2026'!EH43</f>
        <v xml:space="preserve">VALENCY IVC </v>
      </c>
      <c r="E43" s="151">
        <f>'MIS 2026'!AF43</f>
        <v>100</v>
      </c>
      <c r="F43" s="150">
        <f>'MIS 2026'!EK43</f>
        <v>0</v>
      </c>
      <c r="G43" s="150">
        <f t="shared" si="11"/>
        <v>0</v>
      </c>
      <c r="H43" s="149">
        <f>'MIS 2026'!EL43</f>
        <v>0</v>
      </c>
      <c r="I43" s="148"/>
      <c r="J43" s="473">
        <f>'MIS 2026'!ER43</f>
        <v>0</v>
      </c>
      <c r="K43" s="473">
        <f t="shared" si="12"/>
        <v>0</v>
      </c>
      <c r="L43" s="473">
        <f>'MIS 2026'!EW43</f>
        <v>0</v>
      </c>
      <c r="M43" s="474">
        <f>IF('MIS 2026'!EZ43&gt;0,'MIS 2026'!EW43,0)</f>
        <v>0</v>
      </c>
      <c r="N43" s="474" t="str">
        <f>'MIS 2026'!I43</f>
        <v>IVC</v>
      </c>
      <c r="O43" s="474" t="str">
        <f>'MIS 2026'!H43</f>
        <v>ST. GREGORIOUS CASHEW</v>
      </c>
      <c r="P43" s="473">
        <f>'MIS 2026'!AI43</f>
        <v>1565</v>
      </c>
      <c r="Q43" s="474" t="str">
        <f>'MIS 2026'!BQ43</f>
        <v>TUTICORIN, INDIA</v>
      </c>
      <c r="R43" s="474">
        <f>'MIS 2026'!AM43</f>
        <v>0</v>
      </c>
      <c r="S43" s="474" t="str">
        <f>'MIS 2026'!AL43</f>
        <v>DP SIGHT</v>
      </c>
      <c r="T43" s="473">
        <f>'MIS 2026'!AZ43</f>
        <v>0</v>
      </c>
      <c r="U43" s="474">
        <f>IF('MIS 2026'!BI43="","",'MIS 2026'!BI43)</f>
        <v>268716278</v>
      </c>
      <c r="V43" s="475">
        <f>IF('MIS 2026'!BJ43&gt;0,'MIS 2026'!BJ43,'MIS 2026'!AF43)</f>
        <v>100</v>
      </c>
      <c r="W43" s="476" t="str">
        <f>IF('MIS 2026'!BM43="","",'MIS 2026'!BM43)</f>
        <v/>
      </c>
      <c r="X43" s="476" t="str">
        <f>IF('MIS 2026'!BO43="","",'MIS 2026'!BO43)</f>
        <v/>
      </c>
      <c r="Y43" s="473">
        <f t="shared" si="13"/>
        <v>156500</v>
      </c>
      <c r="Z43" s="473">
        <f>IF('MIS 2026'!CR43&gt;0,'MIS 2026'!CQ43,0)</f>
        <v>0</v>
      </c>
      <c r="AA43" s="473">
        <f t="shared" si="14"/>
        <v>156500</v>
      </c>
      <c r="AB43" s="476" t="str">
        <f>IF('MIS 2026'!CM43="","",'MIS 2026'!CM43)</f>
        <v/>
      </c>
      <c r="AC43" s="476" t="str">
        <f>'MIS 2026'!U43</f>
        <v>DRAFT BL RCVD 23/5</v>
      </c>
      <c r="AD43" s="474">
        <f>IF('MIS 2026'!BF43&gt;0,'MIS 2026'!BF43,"")</f>
        <v>46083</v>
      </c>
      <c r="AE43" s="476" t="str">
        <f>IF('MIS 2026'!N43&gt;0,'MIS 2026'!N43,"")</f>
        <v/>
      </c>
      <c r="AF43" s="474"/>
      <c r="AG43" s="478" t="str">
        <f>IF('MIS 2026'!BV43&lt;&gt;0,'MIS 2026'!BV43,"")</f>
        <v/>
      </c>
      <c r="AH43" s="474">
        <f>IF('MIS 2026'!F43&lt;&gt;0,'MIS 2026'!F43,"")</f>
        <v>32014461</v>
      </c>
      <c r="AI43" s="463" t="str">
        <f t="shared" ca="1" si="15"/>
        <v/>
      </c>
      <c r="AJ43" s="474"/>
    </row>
    <row r="44" spans="1:36">
      <c r="A44" s="149" t="s">
        <v>208</v>
      </c>
      <c r="B44" s="149" t="str">
        <f>'MIS 2026'!EV44</f>
        <v>Yet to load</v>
      </c>
      <c r="C44" s="152">
        <f>'MIS 2026'!F44</f>
        <v>32014537</v>
      </c>
      <c r="D44" s="149" t="str">
        <f>'MIS 2026'!EH44</f>
        <v xml:space="preserve">VALENCY IVC </v>
      </c>
      <c r="E44" s="151">
        <f>'MIS 2026'!AF44</f>
        <v>400</v>
      </c>
      <c r="F44" s="150">
        <f>'MIS 2026'!EK44</f>
        <v>0</v>
      </c>
      <c r="G44" s="150">
        <f t="shared" si="11"/>
        <v>0</v>
      </c>
      <c r="H44" s="149">
        <f>'MIS 2026'!EL44</f>
        <v>0</v>
      </c>
      <c r="I44" s="148"/>
      <c r="J44" s="473">
        <f>'MIS 2026'!ER44</f>
        <v>0</v>
      </c>
      <c r="K44" s="473">
        <f t="shared" si="12"/>
        <v>0</v>
      </c>
      <c r="L44" s="473">
        <f>'MIS 2026'!EW44</f>
        <v>0</v>
      </c>
      <c r="M44" s="474">
        <f>IF('MIS 2026'!EZ44&gt;0,'MIS 2026'!EW44,0)</f>
        <v>0</v>
      </c>
      <c r="N44" s="474" t="str">
        <f>'MIS 2026'!I44</f>
        <v>IVC</v>
      </c>
      <c r="O44" s="474" t="str">
        <f>'MIS 2026'!H44</f>
        <v>ST. GREGORIOUS CASHEW</v>
      </c>
      <c r="P44" s="473">
        <f>'MIS 2026'!AI44</f>
        <v>1515</v>
      </c>
      <c r="Q44" s="474" t="str">
        <f>'MIS 2026'!BQ44</f>
        <v>COCHIN, INDIA</v>
      </c>
      <c r="R44" s="474">
        <f>'MIS 2026'!AM44</f>
        <v>0</v>
      </c>
      <c r="S44" s="474" t="str">
        <f>'MIS 2026'!AL44</f>
        <v>DP SIGHT</v>
      </c>
      <c r="T44" s="473">
        <f>'MIS 2026'!AZ44</f>
        <v>0</v>
      </c>
      <c r="U44" s="474" t="str">
        <f>IF('MIS 2026'!BI44="","",'MIS 2026'!BI44)</f>
        <v/>
      </c>
      <c r="V44" s="475">
        <f>IF('MIS 2026'!BJ44&gt;0,'MIS 2026'!BJ44,'MIS 2026'!AF44)</f>
        <v>400</v>
      </c>
      <c r="W44" s="476" t="str">
        <f>IF('MIS 2026'!BM44="","",'MIS 2026'!BM44)</f>
        <v/>
      </c>
      <c r="X44" s="476" t="str">
        <f>IF('MIS 2026'!BO44="","",'MIS 2026'!BO44)</f>
        <v/>
      </c>
      <c r="Y44" s="473">
        <f t="shared" si="13"/>
        <v>606000</v>
      </c>
      <c r="Z44" s="473">
        <f>IF('MIS 2026'!CR44&gt;0,'MIS 2026'!CQ44,0)</f>
        <v>0</v>
      </c>
      <c r="AA44" s="473">
        <f t="shared" si="14"/>
        <v>606000</v>
      </c>
      <c r="AB44" s="476" t="str">
        <f>IF('MIS 2026'!CM44="","",'MIS 2026'!CM44)</f>
        <v/>
      </c>
      <c r="AC44" s="476" t="str">
        <f>'MIS 2026'!U44</f>
        <v xml:space="preserve">RCVD COUNTERSIGNED-267465107-1
</v>
      </c>
      <c r="AD44" s="474">
        <f>IF('MIS 2026'!BF44&gt;0,'MIS 2026'!BF44,"")</f>
        <v>46083</v>
      </c>
      <c r="AE44" s="476" t="str">
        <f>IF('MIS 2026'!N44&gt;0,'MIS 2026'!N44,"")</f>
        <v/>
      </c>
      <c r="AF44" s="474"/>
      <c r="AG44" s="478" t="str">
        <f>IF('MIS 2026'!BV44&lt;&gt;0,'MIS 2026'!BV44,"")</f>
        <v/>
      </c>
      <c r="AH44" s="474">
        <f>IF('MIS 2026'!F44&lt;&gt;0,'MIS 2026'!F44,"")</f>
        <v>32014537</v>
      </c>
      <c r="AI44" s="463" t="str">
        <f t="shared" ca="1" si="15"/>
        <v/>
      </c>
      <c r="AJ44" s="474"/>
    </row>
    <row r="45" spans="1:36">
      <c r="A45" s="149" t="s">
        <v>208</v>
      </c>
      <c r="B45" s="149" t="str">
        <f>'MIS 2026'!EV45</f>
        <v>Yet to load</v>
      </c>
      <c r="C45" s="152">
        <f>'MIS 2026'!F45</f>
        <v>32014450</v>
      </c>
      <c r="D45" s="149" t="str">
        <f>'MIS 2026'!EH45</f>
        <v xml:space="preserve">VALENCY IVC </v>
      </c>
      <c r="E45" s="151">
        <f>'MIS 2026'!AF45</f>
        <v>200</v>
      </c>
      <c r="F45" s="150">
        <f>'MIS 2026'!EK45</f>
        <v>0</v>
      </c>
      <c r="G45" s="150">
        <f t="shared" si="11"/>
        <v>0</v>
      </c>
      <c r="H45" s="149">
        <f>'MIS 2026'!EL45</f>
        <v>0</v>
      </c>
      <c r="I45" s="148"/>
      <c r="J45" s="473">
        <f>'MIS 2026'!ER45</f>
        <v>0</v>
      </c>
      <c r="K45" s="473">
        <f t="shared" si="12"/>
        <v>0</v>
      </c>
      <c r="L45" s="473">
        <f>'MIS 2026'!EW45</f>
        <v>0</v>
      </c>
      <c r="M45" s="474">
        <f>IF('MIS 2026'!EZ45&gt;0,'MIS 2026'!EW45,0)</f>
        <v>0</v>
      </c>
      <c r="N45" s="474" t="str">
        <f>'MIS 2026'!I45</f>
        <v>IVC</v>
      </c>
      <c r="O45" s="474" t="str">
        <f>'MIS 2026'!H45</f>
        <v>ST. PAULS CASHEW FACTORY</v>
      </c>
      <c r="P45" s="473">
        <f>'MIS 2026'!AI45</f>
        <v>1560</v>
      </c>
      <c r="Q45" s="474" t="str">
        <f>'MIS 2026'!BQ45</f>
        <v>TUTICORIN, INDIA</v>
      </c>
      <c r="R45" s="474">
        <f>'MIS 2026'!AM45</f>
        <v>0</v>
      </c>
      <c r="S45" s="474" t="str">
        <f>'MIS 2026'!AL45</f>
        <v>DP SIGHT</v>
      </c>
      <c r="T45" s="473">
        <f>'MIS 2026'!AZ45</f>
        <v>0</v>
      </c>
      <c r="U45" s="474">
        <f>IF('MIS 2026'!BI45="","",'MIS 2026'!BI45)</f>
        <v>268715415</v>
      </c>
      <c r="V45" s="475">
        <f>IF('MIS 2026'!BJ45&gt;0,'MIS 2026'!BJ45,'MIS 2026'!AF45)</f>
        <v>192.61</v>
      </c>
      <c r="W45" s="476" t="str">
        <f>IF('MIS 2026'!BM45="","",'MIS 2026'!BM45)</f>
        <v/>
      </c>
      <c r="X45" s="476">
        <f>IF('MIS 2026'!BO45="","",'MIS 2026'!BO45)</f>
        <v>46189</v>
      </c>
      <c r="Y45" s="473">
        <f t="shared" si="13"/>
        <v>300471.60000000003</v>
      </c>
      <c r="Z45" s="473">
        <f>IF('MIS 2026'!CR45&gt;0,'MIS 2026'!CQ45,0)</f>
        <v>0</v>
      </c>
      <c r="AA45" s="473">
        <f t="shared" si="14"/>
        <v>300471.60000000003</v>
      </c>
      <c r="AB45" s="476" t="str">
        <f>IF('MIS 2026'!CM45="","",'MIS 2026'!CM45)</f>
        <v/>
      </c>
      <c r="AC45" s="476" t="str">
        <f>'MIS 2026'!U45</f>
        <v>DRAFT BL APPROVED 25/5</v>
      </c>
      <c r="AD45" s="474">
        <f>IF('MIS 2026'!BF45&gt;0,'MIS 2026'!BF45,"")</f>
        <v>46083</v>
      </c>
      <c r="AE45" s="476" t="str">
        <f>IF('MIS 2026'!N45&gt;0,'MIS 2026'!N45,"")</f>
        <v/>
      </c>
      <c r="AF45" s="474"/>
      <c r="AG45" s="478" t="str">
        <f>IF('MIS 2026'!BV45&lt;&gt;0,'MIS 2026'!BV45,"")</f>
        <v/>
      </c>
      <c r="AH45" s="474">
        <f>IF('MIS 2026'!F45&lt;&gt;0,'MIS 2026'!F45,"")</f>
        <v>32014450</v>
      </c>
      <c r="AI45" s="463" t="str">
        <f t="shared" ca="1" si="15"/>
        <v/>
      </c>
      <c r="AJ45" s="474"/>
    </row>
    <row r="46" spans="1:36">
      <c r="A46" s="149" t="s">
        <v>208</v>
      </c>
      <c r="B46" s="149" t="str">
        <f>'MIS 2026'!EV46</f>
        <v>Final Pmt Recd</v>
      </c>
      <c r="C46" s="152">
        <f>'MIS 2026'!F46</f>
        <v>32013800</v>
      </c>
      <c r="D46" s="149" t="str">
        <f>'MIS 2026'!EH46</f>
        <v>AZEEZCO INTERNATIONAL LTD</v>
      </c>
      <c r="E46" s="506">
        <f>'MIS 2026'!AF46</f>
        <v>202.654</v>
      </c>
      <c r="F46" s="150">
        <f>'MIS 2026'!EK46</f>
        <v>1550</v>
      </c>
      <c r="G46" s="150">
        <f t="shared" si="11"/>
        <v>314113.7</v>
      </c>
      <c r="H46" s="149" t="str">
        <f>'MIS 2026'!EL46</f>
        <v>-</v>
      </c>
      <c r="I46" s="148"/>
      <c r="J46" s="473">
        <f>'MIS 2026'!ER46</f>
        <v>303023.43</v>
      </c>
      <c r="K46" s="473">
        <f t="shared" si="12"/>
        <v>11090.270000000019</v>
      </c>
      <c r="L46" s="473">
        <f>'MIS 2026'!EW46</f>
        <v>0</v>
      </c>
      <c r="M46" s="474">
        <f>IF('MIS 2026'!EZ46&gt;0,'MIS 2026'!EW46,0)</f>
        <v>0</v>
      </c>
      <c r="N46" s="474" t="str">
        <f>'MIS 2026'!I46</f>
        <v>NIGERIA(OGB)</v>
      </c>
      <c r="O46" s="474" t="str">
        <f>'MIS 2026'!H46</f>
        <v>SREE DEVI CASHEW INDUSTRIES</v>
      </c>
      <c r="P46" s="473">
        <f>'MIS 2026'!AI46</f>
        <v>1610</v>
      </c>
      <c r="Q46" s="474" t="str">
        <f>'MIS 2026'!BQ46</f>
        <v>MANGALORE, INDIA</v>
      </c>
      <c r="R46" s="474">
        <f>'MIS 2026'!AM46</f>
        <v>0</v>
      </c>
      <c r="S46" s="474" t="str">
        <f>'MIS 2026'!AL46</f>
        <v>DP SIGHT</v>
      </c>
      <c r="T46" s="473">
        <f>'MIS 2026'!AZ46</f>
        <v>0</v>
      </c>
      <c r="U46" s="474" t="str">
        <f>IF('MIS 2026'!BI46="","",'MIS 2026'!BI46)</f>
        <v>MEDULG623316</v>
      </c>
      <c r="V46" s="475">
        <f>IF('MIS 2026'!BJ46&gt;0,'MIS 2026'!BJ46,'MIS 2026'!AF46)</f>
        <v>202.654</v>
      </c>
      <c r="W46" s="476">
        <f>IF('MIS 2026'!BM46="","",'MIS 2026'!BM46)</f>
        <v>46107</v>
      </c>
      <c r="X46" s="476">
        <f>IF('MIS 2026'!BO46="","",'MIS 2026'!BO46)</f>
        <v>46161</v>
      </c>
      <c r="Y46" s="473">
        <f t="shared" si="13"/>
        <v>326272.94</v>
      </c>
      <c r="Z46" s="473">
        <f>IF('MIS 2026'!CR46&gt;0,'MIS 2026'!CQ46,0)</f>
        <v>326272.94</v>
      </c>
      <c r="AA46" s="473">
        <f t="shared" si="14"/>
        <v>0</v>
      </c>
      <c r="AB46" s="476">
        <f>IF('MIS 2026'!CM46="","",'MIS 2026'!CM46)</f>
        <v>46140</v>
      </c>
      <c r="AC46" s="476" t="str">
        <f>'MIS 2026'!U46</f>
        <v>PAYMENT RCVD 14/5</v>
      </c>
      <c r="AD46" s="474">
        <f>IF('MIS 2026'!BF46&gt;0,'MIS 2026'!BF46,"")</f>
        <v>46041</v>
      </c>
      <c r="AE46" s="476">
        <f>IF('MIS 2026'!N46&gt;0,'MIS 2026'!N46,"")</f>
        <v>46107</v>
      </c>
      <c r="AF46" s="474"/>
      <c r="AG46" s="478">
        <f>IF('MIS 2026'!BV46&lt;&gt;0,'MIS 2026'!BV46,"")</f>
        <v>90084356</v>
      </c>
      <c r="AH46" s="474">
        <f>IF('MIS 2026'!F46&lt;&gt;0,'MIS 2026'!F46,"")</f>
        <v>32013800</v>
      </c>
      <c r="AI46" s="463" t="str">
        <f t="shared" ca="1" si="15"/>
        <v/>
      </c>
      <c r="AJ46" s="474"/>
    </row>
    <row r="47" spans="1:36">
      <c r="A47" s="149" t="s">
        <v>208</v>
      </c>
      <c r="B47" s="149" t="str">
        <f>'MIS 2026'!EV47</f>
        <v>Export Loan</v>
      </c>
      <c r="C47" s="152" t="str">
        <f>'MIS 2026'!F47</f>
        <v>32014448-2</v>
      </c>
      <c r="D47" s="149" t="str">
        <f>'MIS 2026'!EH47</f>
        <v>LASTBORN GENERAL MERCHANT LTD</v>
      </c>
      <c r="E47" s="506">
        <f>'MIS 2026'!AF47</f>
        <v>103.696</v>
      </c>
      <c r="F47" s="150">
        <f>'MIS 2026'!EK47</f>
        <v>1600</v>
      </c>
      <c r="G47" s="150">
        <f t="shared" si="11"/>
        <v>165913.60000000001</v>
      </c>
      <c r="H47" s="149">
        <f>'MIS 2026'!EL47</f>
        <v>0</v>
      </c>
      <c r="I47" s="148"/>
      <c r="J47" s="473">
        <f>'MIS 2026'!ER47</f>
        <v>162595.32999999999</v>
      </c>
      <c r="K47" s="473">
        <f t="shared" si="12"/>
        <v>3318.2700000000186</v>
      </c>
      <c r="L47" s="473">
        <f>'MIS 2026'!EW47</f>
        <v>0</v>
      </c>
      <c r="M47" s="474">
        <f>IF('MIS 2026'!EZ47&gt;0,'MIS 2026'!EW47,0)</f>
        <v>0</v>
      </c>
      <c r="N47" s="474" t="str">
        <f>'MIS 2026'!I47</f>
        <v>NIGERIA(OGB)</v>
      </c>
      <c r="O47" s="474" t="str">
        <f>'MIS 2026'!H47</f>
        <v>Valency Agro (Processing)</v>
      </c>
      <c r="P47" s="473">
        <f>'MIS 2026'!AI47</f>
        <v>1683</v>
      </c>
      <c r="Q47" s="474" t="str">
        <f>'MIS 2026'!BQ47</f>
        <v>MANGALORE INDIA</v>
      </c>
      <c r="R47" s="474">
        <f>'MIS 2026'!AM47</f>
        <v>0</v>
      </c>
      <c r="S47" s="474" t="str">
        <f>'MIS 2026'!AL47</f>
        <v>90 DAYS FROM BL DATE</v>
      </c>
      <c r="T47" s="473">
        <f>'MIS 2026'!AZ47</f>
        <v>0</v>
      </c>
      <c r="U47" s="474" t="str">
        <f>IF('MIS 2026'!BI47="","",'MIS 2026'!BI47)</f>
        <v>MEDULG620841</v>
      </c>
      <c r="V47" s="475">
        <f>IF('MIS 2026'!BJ47&gt;0,'MIS 2026'!BJ47,'MIS 2026'!AF47)</f>
        <v>103.696</v>
      </c>
      <c r="W47" s="476">
        <f>IF('MIS 2026'!BM47="","",'MIS 2026'!BM47)</f>
        <v>46100</v>
      </c>
      <c r="X47" s="476">
        <f>IF('MIS 2026'!BO47="","",'MIS 2026'!BO47)</f>
        <v>46162</v>
      </c>
      <c r="Y47" s="473">
        <f t="shared" si="13"/>
        <v>174520.36799999999</v>
      </c>
      <c r="Z47" s="473">
        <f>IF('MIS 2026'!CR47&gt;0,'MIS 2026'!CQ47,0)</f>
        <v>0</v>
      </c>
      <c r="AA47" s="473">
        <f t="shared" si="14"/>
        <v>174520.36799999999</v>
      </c>
      <c r="AB47" s="476">
        <f>IF('MIS 2026'!CM47="","",'MIS 2026'!CM47)</f>
        <v>46139</v>
      </c>
      <c r="AC47" s="476" t="str">
        <f>'MIS 2026'!U47</f>
        <v>Payment by Valency Agro will be done, 90 days after BL date- DOCS RELEASED</v>
      </c>
      <c r="AD47" s="474">
        <f>IF('MIS 2026'!BF47&gt;0,'MIS 2026'!BF47,"")</f>
        <v>46073</v>
      </c>
      <c r="AE47" s="476">
        <f>IF('MIS 2026'!N47&gt;0,'MIS 2026'!N47,"")</f>
        <v>46100</v>
      </c>
      <c r="AF47" s="474"/>
      <c r="AG47" s="478">
        <f>IF('MIS 2026'!BV47&lt;&gt;0,'MIS 2026'!BV47,"")</f>
        <v>90084571</v>
      </c>
      <c r="AH47" s="474" t="str">
        <f>IF('MIS 2026'!F47&lt;&gt;0,'MIS 2026'!F47,"")</f>
        <v>32014448-2</v>
      </c>
      <c r="AI47" s="463" t="str">
        <f t="shared" ca="1" si="15"/>
        <v/>
      </c>
      <c r="AJ47" s="474"/>
    </row>
    <row r="48" spans="1:36">
      <c r="A48" s="149" t="s">
        <v>208</v>
      </c>
      <c r="B48" s="149" t="str">
        <f>'MIS 2026'!EV48</f>
        <v>Yet to load</v>
      </c>
      <c r="C48" s="152" t="str">
        <f>'MIS 2026'!F48</f>
        <v>32014539-2</v>
      </c>
      <c r="D48" s="149" t="str">
        <f>'MIS 2026'!EH48</f>
        <v xml:space="preserve">VALENCY IVC </v>
      </c>
      <c r="E48" s="151">
        <f>'MIS 2026'!AF48</f>
        <v>100</v>
      </c>
      <c r="F48" s="150">
        <f>'MIS 2026'!EK48</f>
        <v>0</v>
      </c>
      <c r="G48" s="150">
        <f t="shared" si="11"/>
        <v>0</v>
      </c>
      <c r="H48" s="149">
        <f>'MIS 2026'!EL48</f>
        <v>0</v>
      </c>
      <c r="I48" s="148"/>
      <c r="J48" s="473">
        <f>'MIS 2026'!ER48</f>
        <v>0</v>
      </c>
      <c r="K48" s="473">
        <f t="shared" si="12"/>
        <v>0</v>
      </c>
      <c r="L48" s="473">
        <f>'MIS 2026'!EW48</f>
        <v>0</v>
      </c>
      <c r="M48" s="474">
        <f>IF('MIS 2026'!EZ48&gt;0,'MIS 2026'!EW48,0)</f>
        <v>0</v>
      </c>
      <c r="N48" s="474" t="str">
        <f>'MIS 2026'!I48</f>
        <v>IVC</v>
      </c>
      <c r="O48" s="474" t="str">
        <f>'MIS 2026'!H48</f>
        <v>ST. PAULS CASHEW FACTORY</v>
      </c>
      <c r="P48" s="473">
        <f>'MIS 2026'!AI48</f>
        <v>1515</v>
      </c>
      <c r="Q48" s="474" t="str">
        <f>'MIS 2026'!BQ48</f>
        <v>TUTICORIN, INDIA</v>
      </c>
      <c r="R48" s="474">
        <f>'MIS 2026'!AM48</f>
        <v>0</v>
      </c>
      <c r="S48" s="474" t="str">
        <f>'MIS 2026'!AL48</f>
        <v>DP SIGHT</v>
      </c>
      <c r="T48" s="473">
        <f>'MIS 2026'!AZ48</f>
        <v>0</v>
      </c>
      <c r="U48" s="474" t="str">
        <f>IF('MIS 2026'!BI48="","",'MIS 2026'!BI48)</f>
        <v/>
      </c>
      <c r="V48" s="475">
        <f>IF('MIS 2026'!BJ48&gt;0,'MIS 2026'!BJ48,'MIS 2026'!AF48)</f>
        <v>100</v>
      </c>
      <c r="W48" s="476" t="str">
        <f>IF('MIS 2026'!BM48="","",'MIS 2026'!BM48)</f>
        <v/>
      </c>
      <c r="X48" s="476" t="str">
        <f>IF('MIS 2026'!BO48="","",'MIS 2026'!BO48)</f>
        <v/>
      </c>
      <c r="Y48" s="473">
        <f t="shared" si="13"/>
        <v>151500</v>
      </c>
      <c r="Z48" s="473">
        <f>IF('MIS 2026'!CR48&gt;0,'MIS 2026'!CQ48,0)</f>
        <v>0</v>
      </c>
      <c r="AA48" s="473">
        <f t="shared" si="14"/>
        <v>151500</v>
      </c>
      <c r="AB48" s="476" t="str">
        <f>IF('MIS 2026'!CM48="","",'MIS 2026'!CM48)</f>
        <v/>
      </c>
      <c r="AC48" s="476" t="str">
        <f>'MIS 2026'!U48</f>
        <v xml:space="preserve">RCVD COUNTERSIGNED(POD CHNAGED TO TUTICORIN)-268715910 
</v>
      </c>
      <c r="AD48" s="474">
        <f>IF('MIS 2026'!BF48&gt;0,'MIS 2026'!BF48,"")</f>
        <v>46083</v>
      </c>
      <c r="AE48" s="476" t="str">
        <f>IF('MIS 2026'!N48&gt;0,'MIS 2026'!N48,"")</f>
        <v/>
      </c>
      <c r="AF48" s="474"/>
      <c r="AG48" s="478" t="str">
        <f>IF('MIS 2026'!BV48&lt;&gt;0,'MIS 2026'!BV48,"")</f>
        <v/>
      </c>
      <c r="AH48" s="474" t="str">
        <f>IF('MIS 2026'!F48&lt;&gt;0,'MIS 2026'!F48,"")</f>
        <v>32014539-2</v>
      </c>
      <c r="AI48" s="463" t="str">
        <f t="shared" ca="1" si="15"/>
        <v/>
      </c>
      <c r="AJ48" s="474"/>
    </row>
    <row r="49" spans="1:36">
      <c r="A49" s="149" t="s">
        <v>208</v>
      </c>
      <c r="B49" s="149" t="str">
        <f>'MIS 2026'!EV49</f>
        <v>Final Pmt Recd</v>
      </c>
      <c r="C49" s="152">
        <f>'MIS 2026'!F49</f>
        <v>32013749</v>
      </c>
      <c r="D49" s="149" t="str">
        <f>'MIS 2026'!EH49</f>
        <v>Valency Nigeria</v>
      </c>
      <c r="E49" s="151">
        <f>'MIS 2026'!AF49</f>
        <v>100</v>
      </c>
      <c r="F49" s="150">
        <f>'MIS 2026'!EK49</f>
        <v>2010</v>
      </c>
      <c r="G49" s="150">
        <f t="shared" si="11"/>
        <v>201000</v>
      </c>
      <c r="H49" s="149" t="str">
        <f>'MIS 2026'!EL49</f>
        <v>-</v>
      </c>
      <c r="I49" s="148"/>
      <c r="J49" s="473">
        <f>'MIS 2026'!ER49</f>
        <v>0</v>
      </c>
      <c r="K49" s="473">
        <f t="shared" si="12"/>
        <v>201000</v>
      </c>
      <c r="L49" s="473">
        <f>'MIS 2026'!EW49</f>
        <v>0</v>
      </c>
      <c r="M49" s="474">
        <f>IF('MIS 2026'!EZ49&gt;0,'MIS 2026'!EW49,0)</f>
        <v>0</v>
      </c>
      <c r="N49" s="474" t="str">
        <f>'MIS 2026'!I49</f>
        <v>NIGERIA(OGB)</v>
      </c>
      <c r="O49" s="474" t="str">
        <f>'MIS 2026'!H49</f>
        <v>SSS INTERNATIONAL AGRO</v>
      </c>
      <c r="P49" s="473">
        <f>'MIS 2026'!AI49</f>
        <v>1610</v>
      </c>
      <c r="Q49" s="474" t="str">
        <f>'MIS 2026'!BQ49</f>
        <v xml:space="preserve">TUTICORIN, INDIA </v>
      </c>
      <c r="R49" s="474">
        <f>'MIS 2026'!AM49</f>
        <v>0.1</v>
      </c>
      <c r="S49" s="474" t="str">
        <f>'MIS 2026'!AL49</f>
        <v>DP SIGHT</v>
      </c>
      <c r="T49" s="473">
        <f>'MIS 2026'!AZ49</f>
        <v>16100</v>
      </c>
      <c r="U49" s="474" t="str">
        <f>IF('MIS 2026'!BI49="","",'MIS 2026'!BI49)</f>
        <v>MEDULG618167</v>
      </c>
      <c r="V49" s="475">
        <f>IF('MIS 2026'!BJ49&gt;0,'MIS 2026'!BJ49,'MIS 2026'!AF49)</f>
        <v>105.863</v>
      </c>
      <c r="W49" s="476">
        <f>IF('MIS 2026'!BM49="","",'MIS 2026'!BM49)</f>
        <v>46091</v>
      </c>
      <c r="X49" s="476">
        <f>IF('MIS 2026'!BO49="","",'MIS 2026'!BO49)</f>
        <v>46143</v>
      </c>
      <c r="Y49" s="473">
        <f t="shared" si="13"/>
        <v>154339.43</v>
      </c>
      <c r="Z49" s="473">
        <f>IF('MIS 2026'!CR49&gt;0,'MIS 2026'!CQ49,0)</f>
        <v>153395.48699999999</v>
      </c>
      <c r="AA49" s="473">
        <f t="shared" si="14"/>
        <v>943.9429999999993</v>
      </c>
      <c r="AB49" s="476">
        <f>IF('MIS 2026'!CM49="","",'MIS 2026'!CM49)</f>
        <v>46120</v>
      </c>
      <c r="AC49" s="476" t="str">
        <f>'MIS 2026'!U49</f>
        <v>OBL SENT TO SG OFC: 6876239156- ORIGINAL CERTS COURIERED TO BUYER CHA DHL: 4288510505-NEGO BANK DONE 8TH APRIL-PAYMENT PENDING- SWIFT RCVD 11/5</v>
      </c>
      <c r="AD49" s="474">
        <f>IF('MIS 2026'!BF49&gt;0,'MIS 2026'!BF49,"")</f>
        <v>46030</v>
      </c>
      <c r="AE49" s="476">
        <f>IF('MIS 2026'!N49&gt;0,'MIS 2026'!N49,"")</f>
        <v>46091</v>
      </c>
      <c r="AF49" s="474"/>
      <c r="AG49" s="478">
        <f>IF('MIS 2026'!BV49&lt;&gt;0,'MIS 2026'!BV49,"")</f>
        <v>90083288</v>
      </c>
      <c r="AH49" s="474">
        <f>IF('MIS 2026'!F49&lt;&gt;0,'MIS 2026'!F49,"")</f>
        <v>32013749</v>
      </c>
      <c r="AI49" s="463" t="str">
        <f t="shared" ca="1" si="15"/>
        <v/>
      </c>
      <c r="AJ49" s="474"/>
    </row>
    <row r="50" spans="1:36">
      <c r="A50" s="149" t="s">
        <v>208</v>
      </c>
      <c r="B50" s="149" t="str">
        <f>'MIS 2026'!EV50</f>
        <v>Export Loan</v>
      </c>
      <c r="C50" s="152" t="str">
        <f>'MIS 2026'!F50</f>
        <v>32014448-4</v>
      </c>
      <c r="D50" s="149" t="str">
        <f>'MIS 2026'!EH50</f>
        <v>LASTBORN GENERAL MERCHANT LTD</v>
      </c>
      <c r="E50" s="506">
        <f>'MIS 2026'!AF50</f>
        <v>79.191999999999993</v>
      </c>
      <c r="F50" s="150">
        <f>'MIS 2026'!EK50</f>
        <v>1600</v>
      </c>
      <c r="G50" s="150">
        <f t="shared" si="11"/>
        <v>126707.19999999998</v>
      </c>
      <c r="H50" s="149">
        <f>'MIS 2026'!EL50</f>
        <v>0</v>
      </c>
      <c r="I50" s="148"/>
      <c r="J50" s="473">
        <f>'MIS 2026'!ER50</f>
        <v>124173.06</v>
      </c>
      <c r="K50" s="473">
        <f t="shared" si="12"/>
        <v>2534.1399999999849</v>
      </c>
      <c r="L50" s="473">
        <f>'MIS 2026'!EW50</f>
        <v>0</v>
      </c>
      <c r="M50" s="474">
        <f>IF('MIS 2026'!EZ50&gt;0,'MIS 2026'!EW50,0)</f>
        <v>0</v>
      </c>
      <c r="N50" s="474" t="str">
        <f>'MIS 2026'!I50</f>
        <v>NIGERIA(OGB)</v>
      </c>
      <c r="O50" s="474" t="str">
        <f>'MIS 2026'!H50</f>
        <v>Valency Agro (Processing)</v>
      </c>
      <c r="P50" s="473">
        <f>'MIS 2026'!AI50</f>
        <v>1683</v>
      </c>
      <c r="Q50" s="474" t="str">
        <f>'MIS 2026'!BQ50</f>
        <v>MANGALORE INDIA</v>
      </c>
      <c r="R50" s="474">
        <f>'MIS 2026'!AM50</f>
        <v>0</v>
      </c>
      <c r="S50" s="474" t="str">
        <f>'MIS 2026'!AL50</f>
        <v>90 DAYS FROM BL DATE</v>
      </c>
      <c r="T50" s="473">
        <f>'MIS 2026'!AZ50</f>
        <v>0</v>
      </c>
      <c r="U50" s="474" t="str">
        <f>IF('MIS 2026'!BI50="","",'MIS 2026'!BI50)</f>
        <v>MEDULG628075</v>
      </c>
      <c r="V50" s="475">
        <f>IF('MIS 2026'!BJ50&gt;0,'MIS 2026'!BJ50,'MIS 2026'!AF50)</f>
        <v>79.191999999999993</v>
      </c>
      <c r="W50" s="476">
        <f>IF('MIS 2026'!BM50="","",'MIS 2026'!BM50)</f>
        <v>46106</v>
      </c>
      <c r="X50" s="476">
        <f>IF('MIS 2026'!BO50="","",'MIS 2026'!BO50)</f>
        <v>46162</v>
      </c>
      <c r="Y50" s="473">
        <f t="shared" si="13"/>
        <v>133280.136</v>
      </c>
      <c r="Z50" s="473">
        <f>IF('MIS 2026'!CR50&gt;0,'MIS 2026'!CQ50,0)</f>
        <v>0</v>
      </c>
      <c r="AA50" s="473">
        <f t="shared" si="14"/>
        <v>133280.136</v>
      </c>
      <c r="AB50" s="476">
        <f>IF('MIS 2026'!CM50="","",'MIS 2026'!CM50)</f>
        <v>46139</v>
      </c>
      <c r="AC50" s="476" t="str">
        <f>'MIS 2026'!U50</f>
        <v>Payment by Valency Agro will be done, 90 days after BL date- DOCS RELEASED</v>
      </c>
      <c r="AD50" s="474">
        <f>IF('MIS 2026'!BF50&gt;0,'MIS 2026'!BF50,"")</f>
        <v>46073</v>
      </c>
      <c r="AE50" s="476">
        <f>IF('MIS 2026'!N50&gt;0,'MIS 2026'!N50,"")</f>
        <v>46106</v>
      </c>
      <c r="AF50" s="474"/>
      <c r="AG50" s="478">
        <f>IF('MIS 2026'!BV50&lt;&gt;0,'MIS 2026'!BV50,"")</f>
        <v>90084575</v>
      </c>
      <c r="AH50" s="474" t="str">
        <f>IF('MIS 2026'!F50&lt;&gt;0,'MIS 2026'!F50,"")</f>
        <v>32014448-4</v>
      </c>
      <c r="AI50" s="463" t="str">
        <f t="shared" ca="1" si="15"/>
        <v/>
      </c>
      <c r="AJ50" s="474"/>
    </row>
    <row r="51" spans="1:36">
      <c r="A51" s="149" t="s">
        <v>208</v>
      </c>
      <c r="B51" s="149" t="str">
        <f>'MIS 2026'!EV51</f>
        <v>Yet to load</v>
      </c>
      <c r="C51" s="152">
        <f>'MIS 2026'!F51</f>
        <v>32016284</v>
      </c>
      <c r="D51" s="149" t="str">
        <f>'MIS 2026'!EH51</f>
        <v>VALORA BURKINA EXIM SARL</v>
      </c>
      <c r="E51" s="151">
        <f>'MIS 2026'!AF51</f>
        <v>200</v>
      </c>
      <c r="F51" s="150">
        <f>'MIS 2026'!EK51</f>
        <v>0</v>
      </c>
      <c r="G51" s="150">
        <f t="shared" si="11"/>
        <v>0</v>
      </c>
      <c r="H51" s="149">
        <f>'MIS 2026'!EL51</f>
        <v>0</v>
      </c>
      <c r="I51" s="148"/>
      <c r="J51" s="473">
        <f>'MIS 2026'!ER51</f>
        <v>0</v>
      </c>
      <c r="K51" s="473">
        <f t="shared" si="12"/>
        <v>0</v>
      </c>
      <c r="L51" s="473">
        <f>'MIS 2026'!EW51</f>
        <v>0</v>
      </c>
      <c r="M51" s="474">
        <f>IF('MIS 2026'!EZ51&gt;0,'MIS 2026'!EW51,0)</f>
        <v>0</v>
      </c>
      <c r="N51" s="474" t="str">
        <f>'MIS 2026'!I51</f>
        <v>BURKINA FASO</v>
      </c>
      <c r="O51" s="474" t="str">
        <f>'MIS 2026'!H51</f>
        <v>VIET AGRO PTE LTD</v>
      </c>
      <c r="P51" s="473">
        <f>'MIS 2026'!AI51</f>
        <v>1520</v>
      </c>
      <c r="Q51" s="474" t="str">
        <f>'MIS 2026'!BQ51</f>
        <v>HCMC, VIETNAM</v>
      </c>
      <c r="R51" s="474">
        <f>'MIS 2026'!AM51</f>
        <v>0.1</v>
      </c>
      <c r="S51" s="474" t="str">
        <f>'MIS 2026'!AL51</f>
        <v>10% ADVANCE 88% DP AT SIGHT 2% after vina</v>
      </c>
      <c r="T51" s="473">
        <f>'MIS 2026'!AZ51</f>
        <v>30400</v>
      </c>
      <c r="U51" s="474" t="str">
        <f>IF('MIS 2026'!BI51="","",'MIS 2026'!BI51)</f>
        <v/>
      </c>
      <c r="V51" s="475">
        <f>IF('MIS 2026'!BJ51&gt;0,'MIS 2026'!BJ51,'MIS 2026'!AF51)</f>
        <v>200</v>
      </c>
      <c r="W51" s="476" t="str">
        <f>IF('MIS 2026'!BM51="","",'MIS 2026'!BM51)</f>
        <v/>
      </c>
      <c r="X51" s="476" t="str">
        <f>IF('MIS 2026'!BO51="","",'MIS 2026'!BO51)</f>
        <v/>
      </c>
      <c r="Y51" s="473">
        <f t="shared" si="13"/>
        <v>273600</v>
      </c>
      <c r="Z51" s="473">
        <f>IF('MIS 2026'!CR51&gt;0,'MIS 2026'!CQ51,0)</f>
        <v>0</v>
      </c>
      <c r="AA51" s="473">
        <f t="shared" si="14"/>
        <v>273600</v>
      </c>
      <c r="AB51" s="476" t="str">
        <f>IF('MIS 2026'!CM51="","",'MIS 2026'!CM51)</f>
        <v/>
      </c>
      <c r="AC51" s="476" t="str">
        <f>'MIS 2026'!U51</f>
        <v>RCVD ADVANCE 22/4-LFW600037500-STUFFING UNDER PROCESS</v>
      </c>
      <c r="AD51" s="474" t="str">
        <f>IF('MIS 2026'!BF51&gt;0,'MIS 2026'!BF51,"")</f>
        <v/>
      </c>
      <c r="AE51" s="476" t="str">
        <f>IF('MIS 2026'!N51&gt;0,'MIS 2026'!N51,"")</f>
        <v/>
      </c>
      <c r="AF51" s="474"/>
      <c r="AG51" s="478" t="str">
        <f>IF('MIS 2026'!BV51&lt;&gt;0,'MIS 2026'!BV51,"")</f>
        <v/>
      </c>
      <c r="AH51" s="474">
        <f>IF('MIS 2026'!F51&lt;&gt;0,'MIS 2026'!F51,"")</f>
        <v>32016284</v>
      </c>
      <c r="AI51" s="463" t="str">
        <f t="shared" ca="1" si="15"/>
        <v/>
      </c>
      <c r="AJ51" s="474"/>
    </row>
    <row r="52" spans="1:36">
      <c r="A52" s="149" t="s">
        <v>208</v>
      </c>
      <c r="B52" s="149" t="str">
        <f>'MIS 2026'!EV52</f>
        <v>Yet to load</v>
      </c>
      <c r="C52" s="152" t="str">
        <f>'MIS 2026'!F52</f>
        <v>32016289-4</v>
      </c>
      <c r="D52" s="149" t="str">
        <f>'MIS 2026'!EH52</f>
        <v xml:space="preserve">VALENCY IVC </v>
      </c>
      <c r="E52" s="151">
        <f>'MIS 2026'!AF52</f>
        <v>250</v>
      </c>
      <c r="F52" s="150">
        <f>'MIS 2026'!EK52</f>
        <v>0</v>
      </c>
      <c r="G52" s="150">
        <f t="shared" si="11"/>
        <v>0</v>
      </c>
      <c r="H52" s="149">
        <f>'MIS 2026'!EL52</f>
        <v>0</v>
      </c>
      <c r="I52" s="148"/>
      <c r="J52" s="473">
        <f>'MIS 2026'!ER52</f>
        <v>0</v>
      </c>
      <c r="K52" s="473">
        <f t="shared" si="12"/>
        <v>0</v>
      </c>
      <c r="L52" s="473">
        <f>'MIS 2026'!EW52</f>
        <v>0</v>
      </c>
      <c r="M52" s="474">
        <f>IF('MIS 2026'!EZ52&gt;0,'MIS 2026'!EW52,0)</f>
        <v>0</v>
      </c>
      <c r="N52" s="474" t="str">
        <f>'MIS 2026'!I52</f>
        <v>IVC</v>
      </c>
      <c r="O52" s="474" t="str">
        <f>'MIS 2026'!H52</f>
        <v xml:space="preserve">VIET PHI AGRICULTURE JOINT 
STOCK COMPANY </v>
      </c>
      <c r="P52" s="473">
        <f>'MIS 2026'!AI52</f>
        <v>1520</v>
      </c>
      <c r="Q52" s="474" t="str">
        <f>'MIS 2026'!BQ52</f>
        <v>HCMC, VIETNAM</v>
      </c>
      <c r="R52" s="474">
        <f>'MIS 2026'!AM52</f>
        <v>0.1</v>
      </c>
      <c r="S52" s="474" t="str">
        <f>'MIS 2026'!AL52</f>
        <v>DP SIGHT</v>
      </c>
      <c r="T52" s="473">
        <f>'MIS 2026'!AZ52</f>
        <v>38000</v>
      </c>
      <c r="U52" s="474" t="str">
        <f>IF('MIS 2026'!BI52="","",'MIS 2026'!BI52)</f>
        <v>HLCUAB1260400774</v>
      </c>
      <c r="V52" s="475">
        <f>IF('MIS 2026'!BJ52&gt;0,'MIS 2026'!BJ52,'MIS 2026'!AF52)</f>
        <v>247.10499999999999</v>
      </c>
      <c r="W52" s="476">
        <f>IF('MIS 2026'!BM52="","",'MIS 2026'!BM52)</f>
        <v>46163</v>
      </c>
      <c r="X52" s="476">
        <f>IF('MIS 2026'!BO52="","",'MIS 2026'!BO52)</f>
        <v>46208</v>
      </c>
      <c r="Y52" s="473">
        <f t="shared" si="13"/>
        <v>337599.6</v>
      </c>
      <c r="Z52" s="473">
        <f>IF('MIS 2026'!CR52&gt;0,'MIS 2026'!CQ52,0)</f>
        <v>0</v>
      </c>
      <c r="AA52" s="473">
        <f t="shared" si="14"/>
        <v>337599.6</v>
      </c>
      <c r="AB52" s="476" t="str">
        <f>IF('MIS 2026'!CM52="","",'MIS 2026'!CM52)</f>
        <v/>
      </c>
      <c r="AC52" s="476" t="str">
        <f>'MIS 2026'!U52</f>
        <v>DRAFT BL RCVD 20/5,DRAFT HBL REQUEST SENT 21/5</v>
      </c>
      <c r="AD52" s="474" t="str">
        <f>IF('MIS 2026'!BF52&gt;0,'MIS 2026'!BF52,"")</f>
        <v/>
      </c>
      <c r="AE52" s="476">
        <f>IF('MIS 2026'!N52&gt;0,'MIS 2026'!N52,"")</f>
        <v>46163</v>
      </c>
      <c r="AF52" s="474"/>
      <c r="AG52" s="478" t="str">
        <f>IF('MIS 2026'!BV52&lt;&gt;0,'MIS 2026'!BV52,"")</f>
        <v/>
      </c>
      <c r="AH52" s="474" t="str">
        <f>IF('MIS 2026'!F52&lt;&gt;0,'MIS 2026'!F52,"")</f>
        <v>32016289-4</v>
      </c>
      <c r="AI52" s="463">
        <f t="shared" ca="1" si="15"/>
        <v>9</v>
      </c>
      <c r="AJ52" s="474"/>
    </row>
    <row r="53" spans="1:36">
      <c r="A53" s="149" t="s">
        <v>208</v>
      </c>
      <c r="B53" s="149" t="str">
        <f>'MIS 2026'!EV53</f>
        <v>Yet to load</v>
      </c>
      <c r="C53" s="152">
        <f>'MIS 2026'!F53</f>
        <v>32015968</v>
      </c>
      <c r="D53" s="149" t="str">
        <f>'MIS 2026'!EH53</f>
        <v xml:space="preserve">VALENCY IVC </v>
      </c>
      <c r="E53" s="151">
        <f>'MIS 2026'!AF53</f>
        <v>1000</v>
      </c>
      <c r="F53" s="150">
        <f>'MIS 2026'!EK53</f>
        <v>0</v>
      </c>
      <c r="G53" s="150">
        <f t="shared" si="11"/>
        <v>0</v>
      </c>
      <c r="H53" s="149">
        <f>'MIS 2026'!EL53</f>
        <v>0</v>
      </c>
      <c r="I53" s="148"/>
      <c r="J53" s="473">
        <f>'MIS 2026'!ER53</f>
        <v>0</v>
      </c>
      <c r="K53" s="473">
        <f t="shared" si="12"/>
        <v>0</v>
      </c>
      <c r="L53" s="473">
        <f>'MIS 2026'!EW53</f>
        <v>0</v>
      </c>
      <c r="M53" s="474">
        <f>IF('MIS 2026'!EZ53&gt;0,'MIS 2026'!EW53,0)</f>
        <v>0</v>
      </c>
      <c r="N53" s="474" t="str">
        <f>'MIS 2026'!I53</f>
        <v>IVC</v>
      </c>
      <c r="O53" s="474" t="str">
        <f>'MIS 2026'!H53</f>
        <v>Valency Agro (Processing)</v>
      </c>
      <c r="P53" s="473">
        <f>'MIS 2026'!AI53</f>
        <v>1508</v>
      </c>
      <c r="Q53" s="474" t="str">
        <f>'MIS 2026'!BQ53</f>
        <v>MANGALORE, INDIA</v>
      </c>
      <c r="R53" s="474">
        <f>'MIS 2026'!AM53</f>
        <v>0</v>
      </c>
      <c r="S53" s="474" t="str">
        <f>'MIS 2026'!AL53</f>
        <v>DP SIGHT</v>
      </c>
      <c r="T53" s="473">
        <f>'MIS 2026'!AZ53</f>
        <v>0</v>
      </c>
      <c r="U53" s="474" t="str">
        <f>IF('MIS 2026'!BI53="","",'MIS 2026'!BI53)</f>
        <v/>
      </c>
      <c r="V53" s="475">
        <f>IF('MIS 2026'!BJ53&gt;0,'MIS 2026'!BJ53,'MIS 2026'!AF53)</f>
        <v>1000</v>
      </c>
      <c r="W53" s="476" t="str">
        <f>IF('MIS 2026'!BM53="","",'MIS 2026'!BM53)</f>
        <v/>
      </c>
      <c r="X53" s="476" t="str">
        <f>IF('MIS 2026'!BO53="","",'MIS 2026'!BO53)</f>
        <v/>
      </c>
      <c r="Y53" s="473">
        <f t="shared" si="13"/>
        <v>1508000</v>
      </c>
      <c r="Z53" s="473">
        <f>IF('MIS 2026'!CR53&gt;0,'MIS 2026'!CQ53,0)</f>
        <v>0</v>
      </c>
      <c r="AA53" s="473">
        <f t="shared" si="14"/>
        <v>1508000</v>
      </c>
      <c r="AB53" s="476" t="str">
        <f>IF('MIS 2026'!CM53="","",'MIS 2026'!CM53)</f>
        <v/>
      </c>
      <c r="AC53" s="476" t="str">
        <f>'MIS 2026'!U53</f>
        <v>RCVD COUNTERSIGNED</v>
      </c>
      <c r="AD53" s="474">
        <f>IF('MIS 2026'!BF53&gt;0,'MIS 2026'!BF53,"")</f>
        <v>46078</v>
      </c>
      <c r="AE53" s="476" t="str">
        <f>IF('MIS 2026'!N53&gt;0,'MIS 2026'!N53,"")</f>
        <v/>
      </c>
      <c r="AF53" s="474"/>
      <c r="AG53" s="478" t="str">
        <f>IF('MIS 2026'!BV53&lt;&gt;0,'MIS 2026'!BV53,"")</f>
        <v/>
      </c>
      <c r="AH53" s="474">
        <f>IF('MIS 2026'!F53&lt;&gt;0,'MIS 2026'!F53,"")</f>
        <v>32015968</v>
      </c>
      <c r="AI53" s="463" t="str">
        <f t="shared" ca="1" si="15"/>
        <v/>
      </c>
      <c r="AJ53" s="474"/>
    </row>
    <row r="54" spans="1:36">
      <c r="A54" s="149" t="s">
        <v>208</v>
      </c>
      <c r="B54" s="149" t="str">
        <f>'MIS 2026'!EV54</f>
        <v>Yet to load</v>
      </c>
      <c r="C54" s="152" t="str">
        <f>'MIS 2026'!F54</f>
        <v>32016309-1</v>
      </c>
      <c r="D54" s="149" t="str">
        <f>'MIS 2026'!EH54</f>
        <v>STANDARD FOCUS ROYALLERE</v>
      </c>
      <c r="E54" s="151">
        <f>'MIS 2026'!AF54</f>
        <v>100.07599999999999</v>
      </c>
      <c r="F54" s="150">
        <f>'MIS 2026'!EK54</f>
        <v>1500</v>
      </c>
      <c r="G54" s="150">
        <f t="shared" si="11"/>
        <v>150114</v>
      </c>
      <c r="H54" s="149">
        <f>'MIS 2026'!EL54</f>
        <v>0</v>
      </c>
      <c r="I54" s="148"/>
      <c r="J54" s="473">
        <f>'MIS 2026'!ER54</f>
        <v>134527.20000000001</v>
      </c>
      <c r="K54" s="473">
        <f t="shared" si="12"/>
        <v>15586.799999999988</v>
      </c>
      <c r="L54" s="473">
        <f>'MIS 2026'!EW54</f>
        <v>0</v>
      </c>
      <c r="M54" s="474">
        <f>IF('MIS 2026'!EZ54&gt;0,'MIS 2026'!EW54,0)</f>
        <v>0</v>
      </c>
      <c r="N54" s="474" t="str">
        <f>'MIS 2026'!I54</f>
        <v>NIGERIA(OGB)</v>
      </c>
      <c r="O54" s="474" t="str">
        <f>'MIS 2026'!H54</f>
        <v>Valency Agro (Processing)</v>
      </c>
      <c r="P54" s="473">
        <f>'MIS 2026'!AI54</f>
        <v>1508</v>
      </c>
      <c r="Q54" s="474" t="str">
        <f>'MIS 2026'!BQ54</f>
        <v>MANGALORE, INDIA</v>
      </c>
      <c r="R54" s="474">
        <f>'MIS 2026'!AM54</f>
        <v>0</v>
      </c>
      <c r="S54" s="474" t="str">
        <f>'MIS 2026'!AL54</f>
        <v>DP SIGHT</v>
      </c>
      <c r="T54" s="473">
        <f>'MIS 2026'!AZ54</f>
        <v>0</v>
      </c>
      <c r="U54" s="474" t="str">
        <f>IF('MIS 2026'!BI54="","",'MIS 2026'!BI54)</f>
        <v>MEDULG640948</v>
      </c>
      <c r="V54" s="475">
        <f>IF('MIS 2026'!BJ54&gt;0,'MIS 2026'!BJ54,'MIS 2026'!AF54)</f>
        <v>100.07599999999999</v>
      </c>
      <c r="W54" s="476" t="str">
        <f>IF('MIS 2026'!BM54="","",'MIS 2026'!BM54)</f>
        <v/>
      </c>
      <c r="X54" s="476">
        <f>IF('MIS 2026'!BO54="","",'MIS 2026'!BO54)</f>
        <v>46200</v>
      </c>
      <c r="Y54" s="473">
        <f t="shared" si="13"/>
        <v>150914.60799999998</v>
      </c>
      <c r="Z54" s="473">
        <f>IF('MIS 2026'!CR54&gt;0,'MIS 2026'!CQ54,0)</f>
        <v>0</v>
      </c>
      <c r="AA54" s="473">
        <f t="shared" si="14"/>
        <v>150914.60799999998</v>
      </c>
      <c r="AB54" s="476" t="str">
        <f>IF('MIS 2026'!CM54="","",'MIS 2026'!CM54)</f>
        <v/>
      </c>
      <c r="AC54" s="476" t="str">
        <f>'MIS 2026'!U54</f>
        <v>SOB EXPECTED 26/5</v>
      </c>
      <c r="AD54" s="474">
        <f>IF('MIS 2026'!BF54&gt;0,'MIS 2026'!BF54,"")</f>
        <v>46127</v>
      </c>
      <c r="AE54" s="476" t="str">
        <f>IF('MIS 2026'!N54&gt;0,'MIS 2026'!N54,"")</f>
        <v/>
      </c>
      <c r="AF54" s="474"/>
      <c r="AG54" s="478" t="str">
        <f>IF('MIS 2026'!BV54&lt;&gt;0,'MIS 2026'!BV54,"")</f>
        <v/>
      </c>
      <c r="AH54" s="474" t="str">
        <f>IF('MIS 2026'!F54&lt;&gt;0,'MIS 2026'!F54,"")</f>
        <v>32016309-1</v>
      </c>
      <c r="AI54" s="463" t="str">
        <f t="shared" ca="1" si="15"/>
        <v/>
      </c>
      <c r="AJ54" s="474"/>
    </row>
    <row r="55" spans="1:36">
      <c r="A55" s="149" t="s">
        <v>208</v>
      </c>
      <c r="B55" s="149" t="str">
        <f>'MIS 2026'!EV55</f>
        <v>Yet to load</v>
      </c>
      <c r="C55" s="152" t="str">
        <f>'MIS 2026'!F55</f>
        <v>TBA 18</v>
      </c>
      <c r="D55" s="149" t="str">
        <f>'MIS 2026'!EH55</f>
        <v xml:space="preserve">VALENCY IVC </v>
      </c>
      <c r="E55" s="151">
        <f>'MIS 2026'!AF55</f>
        <v>250</v>
      </c>
      <c r="F55" s="150">
        <f>'MIS 2026'!EK55</f>
        <v>0</v>
      </c>
      <c r="G55" s="150">
        <f t="shared" si="11"/>
        <v>0</v>
      </c>
      <c r="H55" s="149">
        <f>'MIS 2026'!EL55</f>
        <v>0</v>
      </c>
      <c r="I55" s="148"/>
      <c r="J55" s="473">
        <f>'MIS 2026'!ER55</f>
        <v>0</v>
      </c>
      <c r="K55" s="473">
        <f t="shared" si="12"/>
        <v>0</v>
      </c>
      <c r="L55" s="473">
        <f>'MIS 2026'!EW55</f>
        <v>0</v>
      </c>
      <c r="M55" s="474">
        <f>IF('MIS 2026'!EZ55&gt;0,'MIS 2026'!EW55,0)</f>
        <v>0</v>
      </c>
      <c r="N55" s="474" t="str">
        <f>'MIS 2026'!I55</f>
        <v>IVC</v>
      </c>
      <c r="O55" s="474" t="str">
        <f>'MIS 2026'!H55</f>
        <v>VALENCY VIETNAM UNSOLD</v>
      </c>
      <c r="P55" s="473">
        <f>'MIS 2026'!AI55</f>
        <v>0</v>
      </c>
      <c r="Q55" s="474" t="str">
        <f>'MIS 2026'!BQ55</f>
        <v>HCMC, VIETNAM</v>
      </c>
      <c r="R55" s="474">
        <f>'MIS 2026'!AM55</f>
        <v>0</v>
      </c>
      <c r="S55" s="474">
        <f>'MIS 2026'!AL55</f>
        <v>0</v>
      </c>
      <c r="T55" s="473">
        <f>'MIS 2026'!AZ55</f>
        <v>0</v>
      </c>
      <c r="U55" s="474" t="str">
        <f>IF('MIS 2026'!BI55="","",'MIS 2026'!BI55)</f>
        <v xml:space="preserve">HLCUAB1260401269 </v>
      </c>
      <c r="V55" s="475">
        <f>IF('MIS 2026'!BJ55&gt;0,'MIS 2026'!BJ55,'MIS 2026'!AF55)</f>
        <v>248.43</v>
      </c>
      <c r="W55" s="476">
        <f>IF('MIS 2026'!BM55="","",'MIS 2026'!BM55)</f>
        <v>46163</v>
      </c>
      <c r="X55" s="476">
        <f>IF('MIS 2026'!BO55="","",'MIS 2026'!BO55)</f>
        <v>46215</v>
      </c>
      <c r="Y55" s="473">
        <f t="shared" si="13"/>
        <v>0</v>
      </c>
      <c r="Z55" s="473">
        <f>IF('MIS 2026'!CR55&gt;0,'MIS 2026'!CQ55,0)</f>
        <v>0</v>
      </c>
      <c r="AA55" s="473">
        <f t="shared" si="14"/>
        <v>0</v>
      </c>
      <c r="AB55" s="476" t="str">
        <f>IF('MIS 2026'!CM55="","",'MIS 2026'!CM55)</f>
        <v/>
      </c>
      <c r="AC55" s="476" t="str">
        <f>'MIS 2026'!U55</f>
        <v>UNSOLD VIETNAM</v>
      </c>
      <c r="AD55" s="474" t="str">
        <f>IF('MIS 2026'!BF55&gt;0,'MIS 2026'!BF55,"")</f>
        <v/>
      </c>
      <c r="AE55" s="476">
        <f>IF('MIS 2026'!N55&gt;0,'MIS 2026'!N55,"")</f>
        <v>46163</v>
      </c>
      <c r="AF55" s="474"/>
      <c r="AG55" s="478" t="str">
        <f>IF('MIS 2026'!BV55&lt;&gt;0,'MIS 2026'!BV55,"")</f>
        <v/>
      </c>
      <c r="AH55" s="474" t="str">
        <f>IF('MIS 2026'!F55&lt;&gt;0,'MIS 2026'!F55,"")</f>
        <v>TBA 18</v>
      </c>
      <c r="AI55" s="463">
        <f t="shared" ca="1" si="15"/>
        <v>9</v>
      </c>
      <c r="AJ55" s="474"/>
    </row>
    <row r="56" spans="1:36">
      <c r="A56" s="149" t="s">
        <v>208</v>
      </c>
      <c r="B56" s="149" t="str">
        <f>'MIS 2026'!EV56</f>
        <v>Export Loan</v>
      </c>
      <c r="C56" s="152" t="str">
        <f>'MIS 2026'!F56</f>
        <v>32014539-1</v>
      </c>
      <c r="D56" s="149" t="str">
        <f>'MIS 2026'!EH56</f>
        <v xml:space="preserve">VALENCY IVC </v>
      </c>
      <c r="E56" s="151">
        <f>'MIS 2026'!AF56</f>
        <v>100</v>
      </c>
      <c r="F56" s="150">
        <f>'MIS 2026'!EK56</f>
        <v>0</v>
      </c>
      <c r="G56" s="150">
        <f t="shared" si="11"/>
        <v>0</v>
      </c>
      <c r="H56" s="149">
        <f>'MIS 2026'!EL56</f>
        <v>0</v>
      </c>
      <c r="I56" s="148"/>
      <c r="J56" s="473">
        <f>'MIS 2026'!ER56</f>
        <v>0</v>
      </c>
      <c r="K56" s="473">
        <f t="shared" si="12"/>
        <v>0</v>
      </c>
      <c r="L56" s="473">
        <f>'MIS 2026'!EW56</f>
        <v>0</v>
      </c>
      <c r="M56" s="474">
        <f>IF('MIS 2026'!EZ56&gt;0,'MIS 2026'!EW56,0)</f>
        <v>0</v>
      </c>
      <c r="N56" s="474" t="str">
        <f>'MIS 2026'!I56</f>
        <v>IVC</v>
      </c>
      <c r="O56" s="474" t="str">
        <f>'MIS 2026'!H56</f>
        <v>ST. PAULS CASHEW FACTORY</v>
      </c>
      <c r="P56" s="473">
        <f>'MIS 2026'!AI56</f>
        <v>1515</v>
      </c>
      <c r="Q56" s="474" t="str">
        <f>'MIS 2026'!BQ56</f>
        <v>TUTICORIN, INDIA</v>
      </c>
      <c r="R56" s="474">
        <f>'MIS 2026'!AM56</f>
        <v>0</v>
      </c>
      <c r="S56" s="474" t="str">
        <f>'MIS 2026'!AL56</f>
        <v>DP SIGHT</v>
      </c>
      <c r="T56" s="473">
        <f>'MIS 2026'!AZ56</f>
        <v>0</v>
      </c>
      <c r="U56" s="474">
        <f>IF('MIS 2026'!BI56="","",'MIS 2026'!BI56)</f>
        <v>268715714</v>
      </c>
      <c r="V56" s="475">
        <f>IF('MIS 2026'!BJ56&gt;0,'MIS 2026'!BJ56,'MIS 2026'!AF56)</f>
        <v>100.84</v>
      </c>
      <c r="W56" s="476">
        <f>IF('MIS 2026'!BM56="","",'MIS 2026'!BM56)</f>
        <v>46152</v>
      </c>
      <c r="X56" s="476">
        <f>IF('MIS 2026'!BO56="","",'MIS 2026'!BO56)</f>
        <v>46175</v>
      </c>
      <c r="Y56" s="473">
        <f t="shared" si="13"/>
        <v>152772.6</v>
      </c>
      <c r="Z56" s="473">
        <f>IF('MIS 2026'!CR56&gt;0,'MIS 2026'!CQ56,0)</f>
        <v>0</v>
      </c>
      <c r="AA56" s="473">
        <f t="shared" si="14"/>
        <v>152772.6</v>
      </c>
      <c r="AB56" s="476">
        <f>IF('MIS 2026'!CM56="","",'MIS 2026'!CM56)</f>
        <v>46168</v>
      </c>
      <c r="AC56" s="476" t="str">
        <f>'MIS 2026'!U56</f>
        <v>NEGO WILL BE DONE 25/5, DHL PENDING</v>
      </c>
      <c r="AD56" s="474">
        <f>IF('MIS 2026'!BF56&gt;0,'MIS 2026'!BF56,"")</f>
        <v>46083</v>
      </c>
      <c r="AE56" s="476">
        <f>IF('MIS 2026'!N56&gt;0,'MIS 2026'!N56,"")</f>
        <v>46152</v>
      </c>
      <c r="AF56" s="474"/>
      <c r="AG56" s="478" t="str">
        <f>IF('MIS 2026'!BV56&lt;&gt;0,'MIS 2026'!BV56,"")</f>
        <v/>
      </c>
      <c r="AH56" s="474" t="str">
        <f>IF('MIS 2026'!F56&lt;&gt;0,'MIS 2026'!F56,"")</f>
        <v>32014539-1</v>
      </c>
      <c r="AI56" s="463" t="str">
        <f t="shared" ca="1" si="15"/>
        <v/>
      </c>
      <c r="AJ56" s="474"/>
    </row>
    <row r="57" spans="1:36">
      <c r="A57" s="149" t="s">
        <v>208</v>
      </c>
      <c r="B57" s="149" t="str">
        <f>'MIS 2026'!EV57</f>
        <v>Yet to load</v>
      </c>
      <c r="C57" s="152" t="str">
        <f>'MIS 2026'!F57</f>
        <v>32016309-2</v>
      </c>
      <c r="D57" s="149" t="str">
        <f>'MIS 2026'!EH57</f>
        <v>STANDARD FOCUS ROYALLERE</v>
      </c>
      <c r="E57" s="151">
        <f>'MIS 2026'!AF57</f>
        <v>100.04300000000001</v>
      </c>
      <c r="F57" s="150">
        <f>'MIS 2026'!EK57</f>
        <v>1500</v>
      </c>
      <c r="G57" s="150">
        <f t="shared" si="11"/>
        <v>150064.5</v>
      </c>
      <c r="H57" s="149">
        <f>'MIS 2026'!EL57</f>
        <v>0</v>
      </c>
      <c r="I57" s="148"/>
      <c r="J57" s="473">
        <f>'MIS 2026'!ER57</f>
        <v>134482.79999999999</v>
      </c>
      <c r="K57" s="473">
        <f t="shared" si="12"/>
        <v>15581.700000000012</v>
      </c>
      <c r="L57" s="473">
        <f>'MIS 2026'!EW57</f>
        <v>0</v>
      </c>
      <c r="M57" s="474">
        <f>IF('MIS 2026'!EZ57&gt;0,'MIS 2026'!EW57,0)</f>
        <v>0</v>
      </c>
      <c r="N57" s="474" t="str">
        <f>'MIS 2026'!I57</f>
        <v>NIGERIA(OGB)</v>
      </c>
      <c r="O57" s="474" t="str">
        <f>'MIS 2026'!H57</f>
        <v>Valency Agro (Processing)</v>
      </c>
      <c r="P57" s="473">
        <f>'MIS 2026'!AI57</f>
        <v>1508</v>
      </c>
      <c r="Q57" s="474" t="str">
        <f>'MIS 2026'!BQ57</f>
        <v>MANGALORE, INDIA</v>
      </c>
      <c r="R57" s="474">
        <f>'MIS 2026'!AM57</f>
        <v>0</v>
      </c>
      <c r="S57" s="474" t="str">
        <f>'MIS 2026'!AL57</f>
        <v>DP SIGHT</v>
      </c>
      <c r="T57" s="473">
        <f>'MIS 2026'!AZ57</f>
        <v>0</v>
      </c>
      <c r="U57" s="474" t="str">
        <f>IF('MIS 2026'!BI57="","",'MIS 2026'!BI57)</f>
        <v>MEDULG640963</v>
      </c>
      <c r="V57" s="475">
        <f>IF('MIS 2026'!BJ57&gt;0,'MIS 2026'!BJ57,'MIS 2026'!AF57)</f>
        <v>100.04300000000001</v>
      </c>
      <c r="W57" s="476" t="str">
        <f>IF('MIS 2026'!BM57="","",'MIS 2026'!BM57)</f>
        <v/>
      </c>
      <c r="X57" s="476" t="str">
        <f>IF('MIS 2026'!BO57="","",'MIS 2026'!BO57)</f>
        <v/>
      </c>
      <c r="Y57" s="473">
        <f t="shared" si="13"/>
        <v>150864.84400000001</v>
      </c>
      <c r="Z57" s="473">
        <f>IF('MIS 2026'!CR57&gt;0,'MIS 2026'!CQ57,0)</f>
        <v>0</v>
      </c>
      <c r="AA57" s="473">
        <f t="shared" si="14"/>
        <v>150864.84400000001</v>
      </c>
      <c r="AB57" s="476" t="str">
        <f>IF('MIS 2026'!CM57="","",'MIS 2026'!CM57)</f>
        <v/>
      </c>
      <c r="AC57" s="476" t="str">
        <f>'MIS 2026'!U57</f>
        <v>SOB EXPECTED 26/5</v>
      </c>
      <c r="AD57" s="474">
        <f>IF('MIS 2026'!BF57&gt;0,'MIS 2026'!BF57,"")</f>
        <v>46127</v>
      </c>
      <c r="AE57" s="476" t="str">
        <f>IF('MIS 2026'!N57&gt;0,'MIS 2026'!N57,"")</f>
        <v/>
      </c>
      <c r="AF57" s="474"/>
      <c r="AG57" s="478" t="str">
        <f>IF('MIS 2026'!BV57&lt;&gt;0,'MIS 2026'!BV57,"")</f>
        <v/>
      </c>
      <c r="AH57" s="474" t="str">
        <f>IF('MIS 2026'!F57&lt;&gt;0,'MIS 2026'!F57,"")</f>
        <v>32016309-2</v>
      </c>
      <c r="AI57" s="463" t="str">
        <f t="shared" ca="1" si="15"/>
        <v/>
      </c>
      <c r="AJ57" s="474"/>
    </row>
    <row r="58" spans="1:36">
      <c r="A58" s="149" t="s">
        <v>208</v>
      </c>
      <c r="B58" s="149" t="str">
        <f>'MIS 2026'!EV58</f>
        <v>Export Loan</v>
      </c>
      <c r="C58" s="152" t="str">
        <f>'MIS 2026'!F58</f>
        <v>32014448-5</v>
      </c>
      <c r="D58" s="149" t="str">
        <f>'MIS 2026'!EH58</f>
        <v>LASTBORN GENERAL MERCHANT LTD</v>
      </c>
      <c r="E58" s="506">
        <f>'MIS 2026'!AF58</f>
        <v>25.55</v>
      </c>
      <c r="F58" s="150">
        <f>'MIS 2026'!EK58</f>
        <v>1600</v>
      </c>
      <c r="G58" s="150">
        <f t="shared" si="11"/>
        <v>40880</v>
      </c>
      <c r="H58" s="149">
        <f>'MIS 2026'!EL58</f>
        <v>0</v>
      </c>
      <c r="I58" s="148"/>
      <c r="J58" s="473">
        <f>'MIS 2026'!ER58</f>
        <v>40062.400000000001</v>
      </c>
      <c r="K58" s="473">
        <f t="shared" si="12"/>
        <v>817.59999999999854</v>
      </c>
      <c r="L58" s="473">
        <f>'MIS 2026'!EW58</f>
        <v>0</v>
      </c>
      <c r="M58" s="474">
        <f>IF('MIS 2026'!EZ58&gt;0,'MIS 2026'!EW58,0)</f>
        <v>0</v>
      </c>
      <c r="N58" s="474" t="str">
        <f>'MIS 2026'!I58</f>
        <v>NIGERIA(OGB)</v>
      </c>
      <c r="O58" s="474" t="str">
        <f>'MIS 2026'!H58</f>
        <v>Valency Agro (Processing)</v>
      </c>
      <c r="P58" s="473">
        <f>'MIS 2026'!AI58</f>
        <v>1683</v>
      </c>
      <c r="Q58" s="474" t="str">
        <f>'MIS 2026'!BQ58</f>
        <v>MANGALORE INDIA</v>
      </c>
      <c r="R58" s="474">
        <f>'MIS 2026'!AM58</f>
        <v>0</v>
      </c>
      <c r="S58" s="474" t="str">
        <f>'MIS 2026'!AL58</f>
        <v>90 DAYS FROM BL DATE</v>
      </c>
      <c r="T58" s="473">
        <f>'MIS 2026'!AZ58</f>
        <v>0</v>
      </c>
      <c r="U58" s="474" t="str">
        <f>IF('MIS 2026'!BI58="","",'MIS 2026'!BI58)</f>
        <v>MEDULG620791</v>
      </c>
      <c r="V58" s="475">
        <f>IF('MIS 2026'!BJ58&gt;0,'MIS 2026'!BJ58,'MIS 2026'!AF58)</f>
        <v>25.55</v>
      </c>
      <c r="W58" s="476">
        <f>IF('MIS 2026'!BM58="","",'MIS 2026'!BM58)</f>
        <v>46100</v>
      </c>
      <c r="X58" s="476">
        <f>IF('MIS 2026'!BO58="","",'MIS 2026'!BO58)</f>
        <v>46163</v>
      </c>
      <c r="Y58" s="473">
        <f t="shared" si="13"/>
        <v>43000.65</v>
      </c>
      <c r="Z58" s="473">
        <f>IF('MIS 2026'!CR58&gt;0,'MIS 2026'!CQ58,0)</f>
        <v>0</v>
      </c>
      <c r="AA58" s="473">
        <f t="shared" si="14"/>
        <v>43000.65</v>
      </c>
      <c r="AB58" s="476">
        <f>IF('MIS 2026'!CM58="","",'MIS 2026'!CM58)</f>
        <v>46139</v>
      </c>
      <c r="AC58" s="476" t="str">
        <f>'MIS 2026'!U58</f>
        <v>Payment by Valency Agro will be done, 90 days after BL date- DOCS RELEASED</v>
      </c>
      <c r="AD58" s="474">
        <f>IF('MIS 2026'!BF58&gt;0,'MIS 2026'!BF58,"")</f>
        <v>46073</v>
      </c>
      <c r="AE58" s="476">
        <f>IF('MIS 2026'!N58&gt;0,'MIS 2026'!N58,"")</f>
        <v>46100</v>
      </c>
      <c r="AF58" s="474"/>
      <c r="AG58" s="478">
        <f>IF('MIS 2026'!BV58&lt;&gt;0,'MIS 2026'!BV58,"")</f>
        <v>90084570</v>
      </c>
      <c r="AH58" s="474" t="str">
        <f>IF('MIS 2026'!F58&lt;&gt;0,'MIS 2026'!F58,"")</f>
        <v>32014448-5</v>
      </c>
      <c r="AI58" s="463" t="str">
        <f t="shared" ca="1" si="15"/>
        <v/>
      </c>
      <c r="AJ58" s="474"/>
    </row>
    <row r="59" spans="1:36">
      <c r="A59" s="149" t="s">
        <v>208</v>
      </c>
      <c r="B59" s="149" t="str">
        <f>'MIS 2026'!EV59</f>
        <v>Final Pmt Recd</v>
      </c>
      <c r="C59" s="152">
        <f>'MIS 2026'!F59</f>
        <v>32013805</v>
      </c>
      <c r="D59" s="149" t="str">
        <f>'MIS 2026'!EH59</f>
        <v>STANDARD FOCUS ROYALLERE</v>
      </c>
      <c r="E59" s="151">
        <f>'MIS 2026'!AF59</f>
        <v>100.002</v>
      </c>
      <c r="F59" s="150">
        <f>'MIS 2026'!EK59</f>
        <v>1500</v>
      </c>
      <c r="G59" s="150">
        <f t="shared" si="11"/>
        <v>150003</v>
      </c>
      <c r="H59" s="149" t="str">
        <f>'MIS 2026'!EL59</f>
        <v>-</v>
      </c>
      <c r="I59" s="148"/>
      <c r="J59" s="473">
        <f>'MIS 2026'!ER59</f>
        <v>138479.20000000001</v>
      </c>
      <c r="K59" s="473">
        <f t="shared" si="12"/>
        <v>11523.799999999988</v>
      </c>
      <c r="L59" s="473">
        <f>'MIS 2026'!EW59</f>
        <v>0</v>
      </c>
      <c r="M59" s="474">
        <f>IF('MIS 2026'!EZ59&gt;0,'MIS 2026'!EW59,0)</f>
        <v>0</v>
      </c>
      <c r="N59" s="474" t="str">
        <f>'MIS 2026'!I59</f>
        <v>NIGERIA(OGB)</v>
      </c>
      <c r="O59" s="474" t="str">
        <f>'MIS 2026'!H59</f>
        <v>AGGARWAL AND COMPANY</v>
      </c>
      <c r="P59" s="473">
        <f>'MIS 2026'!AI59</f>
        <v>1620</v>
      </c>
      <c r="Q59" s="474" t="str">
        <f>'MIS 2026'!BQ59</f>
        <v>MUNDRA, INDIA</v>
      </c>
      <c r="R59" s="474">
        <f>'MIS 2026'!AM59</f>
        <v>0.1</v>
      </c>
      <c r="S59" s="474" t="str">
        <f>'MIS 2026'!AL59</f>
        <v>DP SIGHT</v>
      </c>
      <c r="T59" s="473">
        <f>'MIS 2026'!AZ59</f>
        <v>16200.324000000001</v>
      </c>
      <c r="U59" s="474" t="str">
        <f>IF('MIS 2026'!BI59="","",'MIS 2026'!BI59)</f>
        <v>MEDULG623779</v>
      </c>
      <c r="V59" s="475">
        <f>IF('MIS 2026'!BJ59&gt;0,'MIS 2026'!BJ59,'MIS 2026'!AF59)</f>
        <v>100.002</v>
      </c>
      <c r="W59" s="476">
        <f>IF('MIS 2026'!BM59="","",'MIS 2026'!BM59)</f>
        <v>46105</v>
      </c>
      <c r="X59" s="476">
        <f>IF('MIS 2026'!BO59="","",'MIS 2026'!BO59)</f>
        <v>46164</v>
      </c>
      <c r="Y59" s="473">
        <f t="shared" si="13"/>
        <v>145802.916</v>
      </c>
      <c r="Z59" s="473">
        <f>IF('MIS 2026'!CR59&gt;0,'MIS 2026'!CQ59,0)</f>
        <v>145803.24</v>
      </c>
      <c r="AA59" s="473">
        <f t="shared" si="14"/>
        <v>-0.32399999999324791</v>
      </c>
      <c r="AB59" s="476">
        <f>IF('MIS 2026'!CM59="","",'MIS 2026'!CM59)</f>
        <v>46142</v>
      </c>
      <c r="AC59" s="476" t="str">
        <f>'MIS 2026'!U59</f>
        <v>PAYMENT RCVD 28/05</v>
      </c>
      <c r="AD59" s="474">
        <f>IF('MIS 2026'!BF59&gt;0,'MIS 2026'!BF59,"")</f>
        <v>46042</v>
      </c>
      <c r="AE59" s="476">
        <f>IF('MIS 2026'!N59&gt;0,'MIS 2026'!N59,"")</f>
        <v>46105</v>
      </c>
      <c r="AF59" s="474"/>
      <c r="AG59" s="478">
        <f>IF('MIS 2026'!BV59&lt;&gt;0,'MIS 2026'!BV59,"")</f>
        <v>90084848</v>
      </c>
      <c r="AH59" s="474">
        <f>IF('MIS 2026'!F59&lt;&gt;0,'MIS 2026'!F59,"")</f>
        <v>32013805</v>
      </c>
      <c r="AI59" s="463" t="str">
        <f t="shared" ca="1" si="15"/>
        <v/>
      </c>
      <c r="AJ59" s="474"/>
    </row>
    <row r="60" spans="1:36">
      <c r="A60" s="149" t="s">
        <v>208</v>
      </c>
      <c r="B60" s="149" t="str">
        <f>'MIS 2026'!EV60</f>
        <v>Final Pmt Recd</v>
      </c>
      <c r="C60" s="152">
        <f>'MIS 2026'!F60</f>
        <v>32013806</v>
      </c>
      <c r="D60" s="149" t="str">
        <f>'MIS 2026'!EH60</f>
        <v>Valency Nigeria</v>
      </c>
      <c r="E60" s="151">
        <f>'MIS 2026'!AF60</f>
        <v>100</v>
      </c>
      <c r="F60" s="150">
        <f>'MIS 2026'!EK60</f>
        <v>0</v>
      </c>
      <c r="G60" s="150">
        <f t="shared" si="11"/>
        <v>0</v>
      </c>
      <c r="H60" s="149" t="str">
        <f>'MIS 2026'!EL60</f>
        <v>-</v>
      </c>
      <c r="I60" s="148"/>
      <c r="J60" s="473">
        <f>'MIS 2026'!ER60</f>
        <v>0</v>
      </c>
      <c r="K60" s="473">
        <f t="shared" si="12"/>
        <v>0</v>
      </c>
      <c r="L60" s="473">
        <f>'MIS 2026'!EW60</f>
        <v>0</v>
      </c>
      <c r="M60" s="474">
        <f>IF('MIS 2026'!EZ60&gt;0,'MIS 2026'!EW60,0)</f>
        <v>0</v>
      </c>
      <c r="N60" s="474" t="str">
        <f>'MIS 2026'!I60</f>
        <v>NIGERIA(OGB)</v>
      </c>
      <c r="O60" s="474" t="str">
        <f>'MIS 2026'!H60</f>
        <v>AGGARWAL AND COMPANY</v>
      </c>
      <c r="P60" s="473">
        <f>'MIS 2026'!AI60</f>
        <v>1620</v>
      </c>
      <c r="Q60" s="474" t="str">
        <f>'MIS 2026'!BQ60</f>
        <v>MUNDRA, INDIA</v>
      </c>
      <c r="R60" s="474">
        <f>'MIS 2026'!AM60</f>
        <v>0.1</v>
      </c>
      <c r="S60" s="474" t="str">
        <f>'MIS 2026'!AL60</f>
        <v>DP SIGHT</v>
      </c>
      <c r="T60" s="473">
        <f>'MIS 2026'!AZ60</f>
        <v>16200</v>
      </c>
      <c r="U60" s="474" t="str">
        <f>IF('MIS 2026'!BI60="","",'MIS 2026'!BI60)</f>
        <v>ONEYLOSG01116600</v>
      </c>
      <c r="V60" s="475">
        <f>IF('MIS 2026'!BJ60&gt;0,'MIS 2026'!BJ60,'MIS 2026'!AF60)</f>
        <v>107.34</v>
      </c>
      <c r="W60" s="476">
        <f>IF('MIS 2026'!BM60="","",'MIS 2026'!BM60)</f>
        <v>46130</v>
      </c>
      <c r="X60" s="476">
        <f>IF('MIS 2026'!BO60="","",'MIS 2026'!BO60)</f>
        <v>46163</v>
      </c>
      <c r="Y60" s="473">
        <f t="shared" si="13"/>
        <v>157690.80000000002</v>
      </c>
      <c r="Z60" s="473">
        <f>IF('MIS 2026'!CR60&gt;0,'MIS 2026'!CQ60,0)</f>
        <v>157690.79999999999</v>
      </c>
      <c r="AA60" s="473">
        <f t="shared" si="14"/>
        <v>0</v>
      </c>
      <c r="AB60" s="476">
        <f>IF('MIS 2026'!CM60="","",'MIS 2026'!CM60)</f>
        <v>46149</v>
      </c>
      <c r="AC60" s="476" t="str">
        <f>'MIS 2026'!U60</f>
        <v>PAYMENT RCVD 27/05</v>
      </c>
      <c r="AD60" s="474">
        <f>IF('MIS 2026'!BF60&gt;0,'MIS 2026'!BF60,"")</f>
        <v>46042</v>
      </c>
      <c r="AE60" s="476">
        <f>IF('MIS 2026'!N60&gt;0,'MIS 2026'!N60,"")</f>
        <v>46130</v>
      </c>
      <c r="AF60" s="474"/>
      <c r="AG60" s="478">
        <f>IF('MIS 2026'!BV60&lt;&gt;0,'MIS 2026'!BV60,"")</f>
        <v>90085096</v>
      </c>
      <c r="AH60" s="474">
        <f>IF('MIS 2026'!F60&lt;&gt;0,'MIS 2026'!F60,"")</f>
        <v>32013806</v>
      </c>
      <c r="AI60" s="463" t="str">
        <f t="shared" ca="1" si="15"/>
        <v/>
      </c>
      <c r="AJ60" s="474"/>
    </row>
    <row r="61" spans="1:36">
      <c r="A61" s="149" t="s">
        <v>208</v>
      </c>
      <c r="B61" s="149" t="str">
        <f>'MIS 2026'!EV61</f>
        <v>Yet to load</v>
      </c>
      <c r="C61" s="152">
        <f>'MIS 2026'!F61</f>
        <v>32014470</v>
      </c>
      <c r="D61" s="149" t="str">
        <f>'MIS 2026'!EH61</f>
        <v xml:space="preserve">VALENCY IVC </v>
      </c>
      <c r="E61" s="151">
        <f>'MIS 2026'!AF61</f>
        <v>100</v>
      </c>
      <c r="F61" s="150">
        <f>'MIS 2026'!EK61</f>
        <v>0</v>
      </c>
      <c r="G61" s="150">
        <f t="shared" si="11"/>
        <v>0</v>
      </c>
      <c r="H61" s="149">
        <f>'MIS 2026'!EL61</f>
        <v>0</v>
      </c>
      <c r="I61" s="148"/>
      <c r="J61" s="473">
        <f>'MIS 2026'!ER61</f>
        <v>0</v>
      </c>
      <c r="K61" s="473">
        <f t="shared" si="12"/>
        <v>0</v>
      </c>
      <c r="L61" s="473">
        <f>'MIS 2026'!EW61</f>
        <v>0</v>
      </c>
      <c r="M61" s="474">
        <f>IF('MIS 2026'!EZ61&gt;0,'MIS 2026'!EW61,0)</f>
        <v>0</v>
      </c>
      <c r="N61" s="474" t="str">
        <f>'MIS 2026'!I61</f>
        <v>IVC</v>
      </c>
      <c r="O61" s="474" t="str">
        <f>'MIS 2026'!H61</f>
        <v xml:space="preserve">VALENCY AGRO // HSS // Orissa Cashew Industries </v>
      </c>
      <c r="P61" s="473">
        <f>'MIS 2026'!AI61</f>
        <v>1560</v>
      </c>
      <c r="Q61" s="474" t="str">
        <f>'MIS 2026'!BQ61</f>
        <v>Vishakhapatnam, INDIA</v>
      </c>
      <c r="R61" s="474">
        <f>'MIS 2026'!AM61</f>
        <v>0</v>
      </c>
      <c r="S61" s="474" t="str">
        <f>'MIS 2026'!AL61</f>
        <v>DP SIGHT</v>
      </c>
      <c r="T61" s="473">
        <f>'MIS 2026'!AZ61</f>
        <v>0</v>
      </c>
      <c r="U61" s="474">
        <f>IF('MIS 2026'!BI61="","",'MIS 2026'!BI61)</f>
        <v>267466662</v>
      </c>
      <c r="V61" s="475">
        <f>IF('MIS 2026'!BJ61&gt;0,'MIS 2026'!BJ61,'MIS 2026'!AF61)</f>
        <v>95.45</v>
      </c>
      <c r="W61" s="476" t="str">
        <f>IF('MIS 2026'!BM61="","",'MIS 2026'!BM61)</f>
        <v/>
      </c>
      <c r="X61" s="476">
        <f>IF('MIS 2026'!BO61="","",'MIS 2026'!BO61)</f>
        <v>46183</v>
      </c>
      <c r="Y61" s="473">
        <f t="shared" si="13"/>
        <v>148902</v>
      </c>
      <c r="Z61" s="473">
        <f>IF('MIS 2026'!CR61&gt;0,'MIS 2026'!CQ61,0)</f>
        <v>0</v>
      </c>
      <c r="AA61" s="473">
        <f t="shared" si="14"/>
        <v>148902</v>
      </c>
      <c r="AB61" s="476" t="str">
        <f>IF('MIS 2026'!CM61="","",'MIS 2026'!CM61)</f>
        <v/>
      </c>
      <c r="AC61" s="476" t="str">
        <f>'MIS 2026'!U61</f>
        <v xml:space="preserve">RCVD COUNTERSIGNED-267466662
</v>
      </c>
      <c r="AD61" s="474">
        <f>IF('MIS 2026'!BF61&gt;0,'MIS 2026'!BF61,"")</f>
        <v>46083</v>
      </c>
      <c r="AE61" s="476" t="str">
        <f>IF('MIS 2026'!N61&gt;0,'MIS 2026'!N61,"")</f>
        <v/>
      </c>
      <c r="AF61" s="474"/>
      <c r="AG61" s="478" t="str">
        <f>IF('MIS 2026'!BV61&lt;&gt;0,'MIS 2026'!BV61,"")</f>
        <v/>
      </c>
      <c r="AH61" s="474">
        <f>IF('MIS 2026'!F61&lt;&gt;0,'MIS 2026'!F61,"")</f>
        <v>32014470</v>
      </c>
      <c r="AI61" s="463" t="str">
        <f t="shared" ca="1" si="15"/>
        <v/>
      </c>
      <c r="AJ61" s="474"/>
    </row>
    <row r="62" spans="1:36">
      <c r="A62" s="149" t="s">
        <v>208</v>
      </c>
      <c r="B62" s="149" t="str">
        <f>'MIS 2026'!EV62</f>
        <v>Yet to load</v>
      </c>
      <c r="C62" s="152" t="str">
        <f>'MIS 2026'!F62</f>
        <v>TBA 19</v>
      </c>
      <c r="D62" s="149" t="str">
        <f>'MIS 2026'!EH62</f>
        <v xml:space="preserve">VALENCY IVC </v>
      </c>
      <c r="E62" s="151">
        <f>'MIS 2026'!AF62</f>
        <v>250</v>
      </c>
      <c r="F62" s="150">
        <f>'MIS 2026'!EK62</f>
        <v>0</v>
      </c>
      <c r="G62" s="150">
        <f t="shared" si="11"/>
        <v>0</v>
      </c>
      <c r="H62" s="149">
        <f>'MIS 2026'!EL62</f>
        <v>0</v>
      </c>
      <c r="I62" s="148"/>
      <c r="J62" s="473">
        <f>'MIS 2026'!ER62</f>
        <v>0</v>
      </c>
      <c r="K62" s="473">
        <f t="shared" si="12"/>
        <v>0</v>
      </c>
      <c r="L62" s="473">
        <f>'MIS 2026'!EW62</f>
        <v>0</v>
      </c>
      <c r="M62" s="474">
        <f>IF('MIS 2026'!EZ62&gt;0,'MIS 2026'!EW62,0)</f>
        <v>0</v>
      </c>
      <c r="N62" s="474" t="str">
        <f>'MIS 2026'!I62</f>
        <v>IVC</v>
      </c>
      <c r="O62" s="474" t="str">
        <f>'MIS 2026'!H62</f>
        <v>VALENCY VIETNAM UNSOLD</v>
      </c>
      <c r="P62" s="473">
        <f>'MIS 2026'!AI62</f>
        <v>0</v>
      </c>
      <c r="Q62" s="474" t="str">
        <f>'MIS 2026'!BQ62</f>
        <v>HCMC, VIETNAM</v>
      </c>
      <c r="R62" s="474">
        <f>'MIS 2026'!AM62</f>
        <v>0</v>
      </c>
      <c r="S62" s="474">
        <f>'MIS 2026'!AL62</f>
        <v>0</v>
      </c>
      <c r="T62" s="473">
        <f>'MIS 2026'!AZ62</f>
        <v>0</v>
      </c>
      <c r="U62" s="474" t="str">
        <f>IF('MIS 2026'!BI62="","",'MIS 2026'!BI62)</f>
        <v>HLCUAB1260401236</v>
      </c>
      <c r="V62" s="475">
        <f>IF('MIS 2026'!BJ62&gt;0,'MIS 2026'!BJ62,'MIS 2026'!AF62)</f>
        <v>253.16</v>
      </c>
      <c r="W62" s="476">
        <f>IF('MIS 2026'!BM62="","",'MIS 2026'!BM62)</f>
        <v>46163</v>
      </c>
      <c r="X62" s="476">
        <f>IF('MIS 2026'!BO62="","",'MIS 2026'!BO62)</f>
        <v>46208</v>
      </c>
      <c r="Y62" s="473">
        <f t="shared" si="13"/>
        <v>0</v>
      </c>
      <c r="Z62" s="473">
        <f>IF('MIS 2026'!CR62&gt;0,'MIS 2026'!CQ62,0)</f>
        <v>0</v>
      </c>
      <c r="AA62" s="473">
        <f t="shared" si="14"/>
        <v>0</v>
      </c>
      <c r="AB62" s="476" t="str">
        <f>IF('MIS 2026'!CM62="","",'MIS 2026'!CM62)</f>
        <v/>
      </c>
      <c r="AC62" s="476" t="str">
        <f>'MIS 2026'!U62</f>
        <v>UNSOLD VIETNAM</v>
      </c>
      <c r="AD62" s="474" t="str">
        <f>IF('MIS 2026'!BF62&gt;0,'MIS 2026'!BF62,"")</f>
        <v/>
      </c>
      <c r="AE62" s="476">
        <f>IF('MIS 2026'!N62&gt;0,'MIS 2026'!N62,"")</f>
        <v>46163</v>
      </c>
      <c r="AF62" s="474"/>
      <c r="AG62" s="478" t="str">
        <f>IF('MIS 2026'!BV62&lt;&gt;0,'MIS 2026'!BV62,"")</f>
        <v/>
      </c>
      <c r="AH62" s="474" t="str">
        <f>IF('MIS 2026'!F62&lt;&gt;0,'MIS 2026'!F62,"")</f>
        <v>TBA 19</v>
      </c>
      <c r="AI62" s="463">
        <f t="shared" ca="1" si="15"/>
        <v>9</v>
      </c>
      <c r="AJ62" s="474"/>
    </row>
    <row r="63" spans="1:36">
      <c r="A63" s="149" t="s">
        <v>208</v>
      </c>
      <c r="B63" s="149" t="str">
        <f>'MIS 2026'!EV63</f>
        <v>Yet to load</v>
      </c>
      <c r="C63" s="152" t="str">
        <f>'MIS 2026'!F63</f>
        <v>TBA 20</v>
      </c>
      <c r="D63" s="149" t="str">
        <f>'MIS 2026'!EH63</f>
        <v xml:space="preserve">VALENCY IVC </v>
      </c>
      <c r="E63" s="151">
        <f>'MIS 2026'!AF63</f>
        <v>250</v>
      </c>
      <c r="F63" s="150">
        <f>'MIS 2026'!EK63</f>
        <v>0</v>
      </c>
      <c r="G63" s="150">
        <f t="shared" si="11"/>
        <v>0</v>
      </c>
      <c r="H63" s="149">
        <f>'MIS 2026'!EL63</f>
        <v>0</v>
      </c>
      <c r="I63" s="148"/>
      <c r="J63" s="473">
        <f>'MIS 2026'!ER63</f>
        <v>0</v>
      </c>
      <c r="K63" s="473">
        <f t="shared" si="12"/>
        <v>0</v>
      </c>
      <c r="L63" s="473">
        <f>'MIS 2026'!EW63</f>
        <v>0</v>
      </c>
      <c r="M63" s="474">
        <f>IF('MIS 2026'!EZ63&gt;0,'MIS 2026'!EW63,0)</f>
        <v>0</v>
      </c>
      <c r="N63" s="474" t="str">
        <f>'MIS 2026'!I63</f>
        <v>IVC</v>
      </c>
      <c r="O63" s="474" t="str">
        <f>'MIS 2026'!H63</f>
        <v>VALENCY VIETNAM UNSOLD</v>
      </c>
      <c r="P63" s="473">
        <f>'MIS 2026'!AI63</f>
        <v>0</v>
      </c>
      <c r="Q63" s="474" t="str">
        <f>'MIS 2026'!BQ63</f>
        <v>HCMC, VIETNAM</v>
      </c>
      <c r="R63" s="474">
        <f>'MIS 2026'!AM63</f>
        <v>0</v>
      </c>
      <c r="S63" s="474">
        <f>'MIS 2026'!AL63</f>
        <v>0</v>
      </c>
      <c r="T63" s="473">
        <f>'MIS 2026'!AZ63</f>
        <v>0</v>
      </c>
      <c r="U63" s="474" t="str">
        <f>IF('MIS 2026'!BI63="","",'MIS 2026'!BI63)</f>
        <v xml:space="preserve"> HLCUAB1260400763</v>
      </c>
      <c r="V63" s="475">
        <f>IF('MIS 2026'!BJ63&gt;0,'MIS 2026'!BJ63,'MIS 2026'!AF63)</f>
        <v>248.54</v>
      </c>
      <c r="W63" s="476">
        <f>IF('MIS 2026'!BM63="","",'MIS 2026'!BM63)</f>
        <v>46163</v>
      </c>
      <c r="X63" s="476">
        <f>IF('MIS 2026'!BO63="","",'MIS 2026'!BO63)</f>
        <v>46208</v>
      </c>
      <c r="Y63" s="473">
        <f t="shared" si="13"/>
        <v>0</v>
      </c>
      <c r="Z63" s="473">
        <f>IF('MIS 2026'!CR63&gt;0,'MIS 2026'!CQ63,0)</f>
        <v>0</v>
      </c>
      <c r="AA63" s="473">
        <f t="shared" si="14"/>
        <v>0</v>
      </c>
      <c r="AB63" s="476" t="str">
        <f>IF('MIS 2026'!CM63="","",'MIS 2026'!CM63)</f>
        <v/>
      </c>
      <c r="AC63" s="476" t="str">
        <f>'MIS 2026'!U63</f>
        <v>UNSOLD VIETNAM</v>
      </c>
      <c r="AD63" s="474" t="str">
        <f>IF('MIS 2026'!BF63&gt;0,'MIS 2026'!BF63,"")</f>
        <v/>
      </c>
      <c r="AE63" s="476">
        <f>IF('MIS 2026'!N63&gt;0,'MIS 2026'!N63,"")</f>
        <v>46163</v>
      </c>
      <c r="AF63" s="474"/>
      <c r="AG63" s="478" t="str">
        <f>IF('MIS 2026'!BV63&lt;&gt;0,'MIS 2026'!BV63,"")</f>
        <v/>
      </c>
      <c r="AH63" s="474" t="str">
        <f>IF('MIS 2026'!F63&lt;&gt;0,'MIS 2026'!F63,"")</f>
        <v>TBA 20</v>
      </c>
      <c r="AI63" s="463">
        <f t="shared" ca="1" si="15"/>
        <v>9</v>
      </c>
      <c r="AJ63" s="474"/>
    </row>
    <row r="64" spans="1:36">
      <c r="A64" s="149" t="s">
        <v>208</v>
      </c>
      <c r="B64" s="149" t="str">
        <f>'MIS 2026'!EV64</f>
        <v>Export Loan</v>
      </c>
      <c r="C64" s="152" t="str">
        <f>'MIS 2026'!F64</f>
        <v>32014448-1</v>
      </c>
      <c r="D64" s="149" t="str">
        <f>'MIS 2026'!EH64</f>
        <v>Valency Nigeria</v>
      </c>
      <c r="E64" s="151">
        <f>'MIS 2026'!AF64</f>
        <v>500</v>
      </c>
      <c r="F64" s="150">
        <f>'MIS 2026'!EK64</f>
        <v>0</v>
      </c>
      <c r="G64" s="150">
        <f t="shared" si="11"/>
        <v>0</v>
      </c>
      <c r="H64" s="149">
        <f>'MIS 2026'!EL64</f>
        <v>0</v>
      </c>
      <c r="I64" s="148"/>
      <c r="J64" s="473">
        <f>'MIS 2026'!ER64</f>
        <v>0</v>
      </c>
      <c r="K64" s="473">
        <f t="shared" si="12"/>
        <v>0</v>
      </c>
      <c r="L64" s="473">
        <f>'MIS 2026'!EW64</f>
        <v>0</v>
      </c>
      <c r="M64" s="474">
        <f>IF('MIS 2026'!EZ64&gt;0,'MIS 2026'!EW64,0)</f>
        <v>0</v>
      </c>
      <c r="N64" s="474" t="str">
        <f>'MIS 2026'!I64</f>
        <v>NIGERIA(OGB)</v>
      </c>
      <c r="O64" s="474" t="str">
        <f>'MIS 2026'!H64</f>
        <v>Valency Agro (Processing)</v>
      </c>
      <c r="P64" s="473">
        <f>'MIS 2026'!AI64</f>
        <v>1683</v>
      </c>
      <c r="Q64" s="474" t="str">
        <f>'MIS 2026'!BQ64</f>
        <v>MANGALORE, INDIA</v>
      </c>
      <c r="R64" s="474">
        <f>'MIS 2026'!AM64</f>
        <v>0</v>
      </c>
      <c r="S64" s="474" t="str">
        <f>'MIS 2026'!AL64</f>
        <v>90 DAYS FROM BL DATE</v>
      </c>
      <c r="T64" s="473">
        <f>'MIS 2026'!AZ64</f>
        <v>0</v>
      </c>
      <c r="U64" s="474" t="str">
        <f>IF('MIS 2026'!BI64="","",'MIS 2026'!BI64)</f>
        <v>ONEYLOSG01116601</v>
      </c>
      <c r="V64" s="475">
        <f>IF('MIS 2026'!BJ64&gt;0,'MIS 2026'!BJ64,'MIS 2026'!AF64)</f>
        <v>383.22500000000002</v>
      </c>
      <c r="W64" s="476">
        <f>IF('MIS 2026'!BM64="","",'MIS 2026'!BM64)</f>
        <v>46130</v>
      </c>
      <c r="X64" s="476">
        <f>IF('MIS 2026'!BO64="","",'MIS 2026'!BO64)</f>
        <v>46163</v>
      </c>
      <c r="Y64" s="473">
        <f t="shared" si="13"/>
        <v>644967.67500000005</v>
      </c>
      <c r="Z64" s="473">
        <f>IF('MIS 2026'!CR64&gt;0,'MIS 2026'!CQ64,0)</f>
        <v>0</v>
      </c>
      <c r="AA64" s="473">
        <f t="shared" si="14"/>
        <v>644967.67500000005</v>
      </c>
      <c r="AB64" s="476">
        <f>IF('MIS 2026'!CM64="","",'MIS 2026'!CM64)</f>
        <v>46149</v>
      </c>
      <c r="AC64" s="476" t="str">
        <f>'MIS 2026'!U64</f>
        <v>Payment by Valency Agro will be done, 90 days after BL date- DOCS RELEASED</v>
      </c>
      <c r="AD64" s="474">
        <f>IF('MIS 2026'!BF64&gt;0,'MIS 2026'!BF64,"")</f>
        <v>46073</v>
      </c>
      <c r="AE64" s="476">
        <f>IF('MIS 2026'!N64&gt;0,'MIS 2026'!N64,"")</f>
        <v>46130</v>
      </c>
      <c r="AF64" s="474"/>
      <c r="AG64" s="478">
        <f>IF('MIS 2026'!BV64&lt;&gt;0,'MIS 2026'!BV64,"")</f>
        <v>90085099</v>
      </c>
      <c r="AH64" s="474" t="str">
        <f>IF('MIS 2026'!F64&lt;&gt;0,'MIS 2026'!F64,"")</f>
        <v>32014448-1</v>
      </c>
      <c r="AI64" s="463" t="str">
        <f t="shared" ca="1" si="15"/>
        <v/>
      </c>
      <c r="AJ64" s="474"/>
    </row>
    <row r="65" spans="1:36">
      <c r="A65" s="149" t="s">
        <v>208</v>
      </c>
      <c r="B65" s="149" t="str">
        <f>'MIS 2026'!EV65</f>
        <v>Export Loan</v>
      </c>
      <c r="C65" s="152">
        <f>'MIS 2026'!F65</f>
        <v>32014413</v>
      </c>
      <c r="D65" s="149" t="str">
        <f>'MIS 2026'!EH65</f>
        <v>WAKMAN HERITAGE</v>
      </c>
      <c r="E65" s="151">
        <f>'MIS 2026'!AF65</f>
        <v>104.755</v>
      </c>
      <c r="F65" s="150">
        <f>'MIS 2026'!EK65</f>
        <v>1500</v>
      </c>
      <c r="G65" s="150">
        <f t="shared" si="11"/>
        <v>157132.5</v>
      </c>
      <c r="H65" s="149">
        <f>'MIS 2026'!EL65</f>
        <v>0</v>
      </c>
      <c r="I65" s="148"/>
      <c r="J65" s="473">
        <f>'MIS 2026'!ER65</f>
        <v>141419.25</v>
      </c>
      <c r="K65" s="473">
        <f t="shared" si="12"/>
        <v>15713.25</v>
      </c>
      <c r="L65" s="473">
        <f>'MIS 2026'!EW65</f>
        <v>0</v>
      </c>
      <c r="M65" s="474">
        <f>IF('MIS 2026'!EZ65&gt;0,'MIS 2026'!EW65,0)</f>
        <v>0</v>
      </c>
      <c r="N65" s="474" t="str">
        <f>'MIS 2026'!I65</f>
        <v>NIGERIA(OGB)</v>
      </c>
      <c r="O65" s="474" t="str">
        <f>'MIS 2026'!H65</f>
        <v>Jagannath Cashew Processing</v>
      </c>
      <c r="P65" s="473">
        <f>'MIS 2026'!AI65</f>
        <v>1630</v>
      </c>
      <c r="Q65" s="474" t="str">
        <f>'MIS 2026'!BQ65</f>
        <v>VIZAG, INDIA</v>
      </c>
      <c r="R65" s="474">
        <f>'MIS 2026'!AM65</f>
        <v>0.1</v>
      </c>
      <c r="S65" s="474" t="str">
        <f>'MIS 2026'!AL65</f>
        <v>DP SIGHT</v>
      </c>
      <c r="T65" s="473">
        <f>'MIS 2026'!AZ65</f>
        <v>17075.064999999999</v>
      </c>
      <c r="U65" s="474" t="str">
        <f>IF('MIS 2026'!BI65="","",'MIS 2026'!BI65)</f>
        <v>MEDULG628414</v>
      </c>
      <c r="V65" s="475">
        <f>IF('MIS 2026'!BJ65&gt;0,'MIS 2026'!BJ65,'MIS 2026'!AF65)</f>
        <v>104.755</v>
      </c>
      <c r="W65" s="476">
        <f>IF('MIS 2026'!BM65="","",'MIS 2026'!BM65)</f>
        <v>46108</v>
      </c>
      <c r="X65" s="476">
        <f>IF('MIS 2026'!BO65="","",'MIS 2026'!BO65)</f>
        <v>46166</v>
      </c>
      <c r="Y65" s="473">
        <f t="shared" si="13"/>
        <v>153675.58499999999</v>
      </c>
      <c r="Z65" s="473">
        <f>IF('MIS 2026'!CR65&gt;0,'MIS 2026'!CQ65,0)</f>
        <v>0</v>
      </c>
      <c r="AA65" s="473">
        <f t="shared" si="14"/>
        <v>153675.58499999999</v>
      </c>
      <c r="AB65" s="476">
        <f>IF('MIS 2026'!CM65="","",'MIS 2026'!CM65)</f>
        <v>46141</v>
      </c>
      <c r="AC65" s="476" t="str">
        <f>'MIS 2026'!U65</f>
        <v>PAYMENT PENDING, FREE DAYS ISSUE</v>
      </c>
      <c r="AD65" s="474">
        <f>IF('MIS 2026'!BF65&gt;0,'MIS 2026'!BF65,"")</f>
        <v>46062</v>
      </c>
      <c r="AE65" s="476">
        <f>IF('MIS 2026'!N65&gt;0,'MIS 2026'!N65,"")</f>
        <v>46108</v>
      </c>
      <c r="AF65" s="474"/>
      <c r="AG65" s="478">
        <f>IF('MIS 2026'!BV65&lt;&gt;0,'MIS 2026'!BV65,"")</f>
        <v>90084811</v>
      </c>
      <c r="AH65" s="474">
        <f>IF('MIS 2026'!F65&lt;&gt;0,'MIS 2026'!F65,"")</f>
        <v>32014413</v>
      </c>
      <c r="AI65" s="463" t="str">
        <f t="shared" ca="1" si="15"/>
        <v/>
      </c>
      <c r="AJ65" s="474"/>
    </row>
    <row r="66" spans="1:36">
      <c r="A66" s="149" t="s">
        <v>208</v>
      </c>
      <c r="B66" s="149" t="str">
        <f>'MIS 2026'!EV66</f>
        <v>Final Pmt Recd</v>
      </c>
      <c r="C66" s="152">
        <f>'MIS 2026'!F66</f>
        <v>32016124</v>
      </c>
      <c r="D66" s="149" t="str">
        <f>'MIS 2026'!EH66</f>
        <v>Valora Exim</v>
      </c>
      <c r="E66" s="151">
        <f>'MIS 2026'!AF66</f>
        <v>200</v>
      </c>
      <c r="F66" s="150">
        <f>'MIS 2026'!EK66</f>
        <v>0</v>
      </c>
      <c r="G66" s="150">
        <f t="shared" si="11"/>
        <v>0</v>
      </c>
      <c r="H66" s="149">
        <f>'MIS 2026'!EL66</f>
        <v>0</v>
      </c>
      <c r="I66" s="148"/>
      <c r="J66" s="473">
        <f>'MIS 2026'!ER66</f>
        <v>0</v>
      </c>
      <c r="K66" s="473">
        <f t="shared" si="12"/>
        <v>0</v>
      </c>
      <c r="L66" s="473">
        <f>'MIS 2026'!EW66</f>
        <v>0</v>
      </c>
      <c r="M66" s="474">
        <f>IF('MIS 2026'!EZ66&gt;0,'MIS 2026'!EW66,0)</f>
        <v>0</v>
      </c>
      <c r="N66" s="474" t="str">
        <f>'MIS 2026'!I66</f>
        <v>GHANA</v>
      </c>
      <c r="O66" s="474" t="str">
        <f>'MIS 2026'!H66</f>
        <v>RED RIVER FOODS</v>
      </c>
      <c r="P66" s="473">
        <f>'MIS 2026'!AI66</f>
        <v>1580</v>
      </c>
      <c r="Q66" s="474" t="str">
        <f>'MIS 2026'!BQ66</f>
        <v>Qui Nhon, Vietnam</v>
      </c>
      <c r="R66" s="474">
        <f>'MIS 2026'!AM66</f>
        <v>0.1</v>
      </c>
      <c r="S66" s="474" t="str">
        <f>'MIS 2026'!AL66</f>
        <v>DP SIGHT</v>
      </c>
      <c r="T66" s="473">
        <f>'MIS 2026'!AZ66</f>
        <v>31600</v>
      </c>
      <c r="U66" s="474" t="str">
        <f>IF('MIS 2026'!BI66="","",'MIS 2026'!BI66)</f>
        <v>ONEYTEMG00369600</v>
      </c>
      <c r="V66" s="475">
        <f>IF('MIS 2026'!BJ66&gt;0,'MIS 2026'!BJ66,'MIS 2026'!AF66)</f>
        <v>206.4</v>
      </c>
      <c r="W66" s="476">
        <f>IF('MIS 2026'!BM66="","",'MIS 2026'!BM66)</f>
        <v>46120</v>
      </c>
      <c r="X66" s="476">
        <f>IF('MIS 2026'!BO66="","",'MIS 2026'!BO66)</f>
        <v>46166</v>
      </c>
      <c r="Y66" s="473">
        <f t="shared" si="13"/>
        <v>294512</v>
      </c>
      <c r="Z66" s="473">
        <f>IF('MIS 2026'!CR66&gt;0,'MIS 2026'!CQ66,0)</f>
        <v>287989.76000000001</v>
      </c>
      <c r="AA66" s="473">
        <f t="shared" si="14"/>
        <v>6522.2399999999907</v>
      </c>
      <c r="AB66" s="476">
        <f>IF('MIS 2026'!CM66="","",'MIS 2026'!CM66)</f>
        <v>46140</v>
      </c>
      <c r="AC66" s="476" t="str">
        <f>'MIS 2026'!U66</f>
        <v>PAYMENT RCVD 27/05</v>
      </c>
      <c r="AD66" s="474" t="str">
        <f>IF('MIS 2026'!BF66&gt;0,'MIS 2026'!BF66,"")</f>
        <v/>
      </c>
      <c r="AE66" s="476">
        <f>IF('MIS 2026'!N66&gt;0,'MIS 2026'!N66,"")</f>
        <v>46120</v>
      </c>
      <c r="AF66" s="474"/>
      <c r="AG66" s="478">
        <f>IF('MIS 2026'!BV66&lt;&gt;0,'MIS 2026'!BV66,"")</f>
        <v>90084581</v>
      </c>
      <c r="AH66" s="474">
        <f>IF('MIS 2026'!F66&lt;&gt;0,'MIS 2026'!F66,"")</f>
        <v>32016124</v>
      </c>
      <c r="AI66" s="463" t="str">
        <f t="shared" ca="1" si="15"/>
        <v/>
      </c>
      <c r="AJ66" s="474"/>
    </row>
    <row r="67" spans="1:36">
      <c r="A67" s="149" t="s">
        <v>208</v>
      </c>
      <c r="B67" s="149" t="str">
        <f>'MIS 2026'!EV67</f>
        <v>Export Loan</v>
      </c>
      <c r="C67" s="152">
        <f>'MIS 2026'!F67</f>
        <v>32014392</v>
      </c>
      <c r="D67" s="149" t="str">
        <f>'MIS 2026'!EH67</f>
        <v>WAKMAN HERITAGE</v>
      </c>
      <c r="E67" s="151">
        <f>'MIS 2026'!AF67</f>
        <v>104.02</v>
      </c>
      <c r="F67" s="150">
        <f>'MIS 2026'!EK67</f>
        <v>1500</v>
      </c>
      <c r="G67" s="150">
        <f t="shared" si="11"/>
        <v>156030</v>
      </c>
      <c r="H67" s="149">
        <f>'MIS 2026'!EL67</f>
        <v>0</v>
      </c>
      <c r="I67" s="148"/>
      <c r="J67" s="473">
        <f>'MIS 2026'!ER67</f>
        <v>140427</v>
      </c>
      <c r="K67" s="473">
        <f t="shared" si="12"/>
        <v>15603</v>
      </c>
      <c r="L67" s="473">
        <f>'MIS 2026'!EW67</f>
        <v>0</v>
      </c>
      <c r="M67" s="474">
        <f>IF('MIS 2026'!EZ67&gt;0,'MIS 2026'!EW67,0)</f>
        <v>0</v>
      </c>
      <c r="N67" s="474" t="str">
        <f>'MIS 2026'!I67</f>
        <v>NIGERIA(OGB)</v>
      </c>
      <c r="O67" s="474" t="str">
        <f>'MIS 2026'!H67</f>
        <v>SSS INTERNATIONAL AGRO</v>
      </c>
      <c r="P67" s="473">
        <f>'MIS 2026'!AI67</f>
        <v>1630</v>
      </c>
      <c r="Q67" s="474" t="str">
        <f>'MIS 2026'!BQ67</f>
        <v>VIZAG, INDIA</v>
      </c>
      <c r="R67" s="474">
        <f>'MIS 2026'!AM67</f>
        <v>0.1</v>
      </c>
      <c r="S67" s="474" t="str">
        <f>'MIS 2026'!AL67</f>
        <v>DP SIGHT</v>
      </c>
      <c r="T67" s="473">
        <f>'MIS 2026'!AZ67</f>
        <v>16955.260000000002</v>
      </c>
      <c r="U67" s="474" t="str">
        <f>IF('MIS 2026'!BI67="","",'MIS 2026'!BI67)</f>
        <v>MEDULG626996</v>
      </c>
      <c r="V67" s="475">
        <f>IF('MIS 2026'!BJ67&gt;0,'MIS 2026'!BJ67,'MIS 2026'!AF67)</f>
        <v>104.02</v>
      </c>
      <c r="W67" s="476">
        <f>IF('MIS 2026'!BM67="","",'MIS 2026'!BM67)</f>
        <v>46110</v>
      </c>
      <c r="X67" s="476">
        <f>IF('MIS 2026'!BO67="","",'MIS 2026'!BO67)</f>
        <v>46165</v>
      </c>
      <c r="Y67" s="473">
        <f t="shared" si="13"/>
        <v>152597.34</v>
      </c>
      <c r="Z67" s="473">
        <f>IF('MIS 2026'!CR67&gt;0,'MIS 2026'!CQ67,0)</f>
        <v>0</v>
      </c>
      <c r="AA67" s="473">
        <f t="shared" si="14"/>
        <v>152597.34</v>
      </c>
      <c r="AB67" s="476">
        <f>IF('MIS 2026'!CM67="","",'MIS 2026'!CM67)</f>
        <v>46141</v>
      </c>
      <c r="AC67" s="476" t="str">
        <f>'MIS 2026'!U67</f>
        <v>PAYMENT PENDING, FREE DAYS ISSUE</v>
      </c>
      <c r="AD67" s="474">
        <f>IF('MIS 2026'!BF67&gt;0,'MIS 2026'!BF67,"")</f>
        <v>46062</v>
      </c>
      <c r="AE67" s="476">
        <f>IF('MIS 2026'!N67&gt;0,'MIS 2026'!N67,"")</f>
        <v>46110</v>
      </c>
      <c r="AF67" s="474"/>
      <c r="AG67" s="478">
        <f>IF('MIS 2026'!BV67&lt;&gt;0,'MIS 2026'!BV67,"")</f>
        <v>90084819</v>
      </c>
      <c r="AH67" s="474">
        <f>IF('MIS 2026'!F67&lt;&gt;0,'MIS 2026'!F67,"")</f>
        <v>32014392</v>
      </c>
      <c r="AI67" s="463" t="str">
        <f t="shared" ca="1" si="15"/>
        <v/>
      </c>
      <c r="AJ67" s="474"/>
    </row>
    <row r="68" spans="1:36">
      <c r="A68" s="149" t="s">
        <v>208</v>
      </c>
      <c r="B68" s="149" t="str">
        <f>'MIS 2026'!EV68</f>
        <v>Final Pmt Recd</v>
      </c>
      <c r="C68" s="152" t="str">
        <f>'MIS 2026'!F68</f>
        <v>32015280-1</v>
      </c>
      <c r="D68" s="149" t="str">
        <f>'MIS 2026'!EH68</f>
        <v>Valora Exim</v>
      </c>
      <c r="E68" s="151">
        <f>'MIS 2026'!AF68</f>
        <v>100</v>
      </c>
      <c r="F68" s="150">
        <f>'MIS 2026'!EK68</f>
        <v>0</v>
      </c>
      <c r="G68" s="150">
        <f t="shared" ref="G68:G99" si="16">F68*E68</f>
        <v>0</v>
      </c>
      <c r="H68" s="149">
        <f>'MIS 2026'!EL68</f>
        <v>0</v>
      </c>
      <c r="I68" s="148"/>
      <c r="J68" s="473">
        <f>'MIS 2026'!ER68</f>
        <v>0</v>
      </c>
      <c r="K68" s="473">
        <f t="shared" ref="K68:K99" si="17">G68-J68</f>
        <v>0</v>
      </c>
      <c r="L68" s="473">
        <f>'MIS 2026'!EW68</f>
        <v>0</v>
      </c>
      <c r="M68" s="474">
        <f>IF('MIS 2026'!EZ68&gt;0,'MIS 2026'!EW68,0)</f>
        <v>0</v>
      </c>
      <c r="N68" s="474" t="str">
        <f>'MIS 2026'!I68</f>
        <v>GHANA</v>
      </c>
      <c r="O68" s="474" t="str">
        <f>'MIS 2026'!H68</f>
        <v>Valency Agro (Processing)</v>
      </c>
      <c r="P68" s="473">
        <f>'MIS 2026'!AI68</f>
        <v>1585</v>
      </c>
      <c r="Q68" s="474" t="str">
        <f>'MIS 2026'!BQ68</f>
        <v>MANGALORE, INDIA</v>
      </c>
      <c r="R68" s="474">
        <f>'MIS 2026'!AM68</f>
        <v>0</v>
      </c>
      <c r="S68" s="474" t="str">
        <f>'MIS 2026'!AL68</f>
        <v>DP SIGHT</v>
      </c>
      <c r="T68" s="473">
        <f>'MIS 2026'!AZ68</f>
        <v>0</v>
      </c>
      <c r="U68" s="474" t="str">
        <f>IF('MIS 2026'!BI68="","",'MIS 2026'!BI68)</f>
        <v>TMA0158631B</v>
      </c>
      <c r="V68" s="475">
        <f>IF('MIS 2026'!BJ68&gt;0,'MIS 2026'!BJ68,'MIS 2026'!AF68)</f>
        <v>101.78</v>
      </c>
      <c r="W68" s="476">
        <f>IF('MIS 2026'!BM68="","",'MIS 2026'!BM68)</f>
        <v>46095</v>
      </c>
      <c r="X68" s="476">
        <f>IF('MIS 2026'!BO68="","",'MIS 2026'!BO68)</f>
        <v>46159</v>
      </c>
      <c r="Y68" s="473">
        <f t="shared" ref="Y68:Y99" si="18">(V68*P68)-T68</f>
        <v>161321.29999999999</v>
      </c>
      <c r="Z68" s="473">
        <f>IF('MIS 2026'!CR68&gt;0,'MIS 2026'!CQ68,0)</f>
        <v>161321.29999999999</v>
      </c>
      <c r="AA68" s="473">
        <f t="shared" ref="AA68:AA99" si="19">Y68-Z68</f>
        <v>0</v>
      </c>
      <c r="AB68" s="476">
        <f>IF('MIS 2026'!CM68="","",'MIS 2026'!CM68)</f>
        <v>46113</v>
      </c>
      <c r="AC68" s="476" t="str">
        <f>'MIS 2026'!U68</f>
        <v>PAYMENT RCVD 20/5</v>
      </c>
      <c r="AD68" s="474">
        <f>IF('MIS 2026'!BF68&gt;0,'MIS 2026'!BF68,"")</f>
        <v>46078</v>
      </c>
      <c r="AE68" s="476">
        <f>IF('MIS 2026'!N68&gt;0,'MIS 2026'!N68,"")</f>
        <v>46095</v>
      </c>
      <c r="AF68" s="474"/>
      <c r="AG68" s="478">
        <f>IF('MIS 2026'!BV68&lt;&gt;0,'MIS 2026'!BV68,"")</f>
        <v>90082896</v>
      </c>
      <c r="AH68" s="474" t="str">
        <f>IF('MIS 2026'!F68&lt;&gt;0,'MIS 2026'!F68,"")</f>
        <v>32015280-1</v>
      </c>
      <c r="AI68" s="463" t="str">
        <f t="shared" ref="AI68:AI99" ca="1" si="20">IFERROR(IF(AB68="",TODAY()-W68,""),"")</f>
        <v/>
      </c>
      <c r="AJ68" s="474"/>
    </row>
    <row r="69" spans="1:36">
      <c r="A69" s="149" t="s">
        <v>208</v>
      </c>
      <c r="B69" s="149" t="str">
        <f>'MIS 2026'!EV69</f>
        <v>Final Pmt Recd</v>
      </c>
      <c r="C69" s="152" t="str">
        <f>'MIS 2026'!F69</f>
        <v>32015280-2</v>
      </c>
      <c r="D69" s="149" t="str">
        <f>'MIS 2026'!EH69</f>
        <v>Valora Exim</v>
      </c>
      <c r="E69" s="151">
        <f>'MIS 2026'!AF69</f>
        <v>100</v>
      </c>
      <c r="F69" s="150">
        <f>'MIS 2026'!EK69</f>
        <v>0</v>
      </c>
      <c r="G69" s="150">
        <f t="shared" si="16"/>
        <v>0</v>
      </c>
      <c r="H69" s="149">
        <f>'MIS 2026'!EL69</f>
        <v>0</v>
      </c>
      <c r="I69" s="148"/>
      <c r="J69" s="473">
        <f>'MIS 2026'!ER69</f>
        <v>0</v>
      </c>
      <c r="K69" s="473">
        <f t="shared" si="17"/>
        <v>0</v>
      </c>
      <c r="L69" s="473">
        <f>'MIS 2026'!EW69</f>
        <v>0</v>
      </c>
      <c r="M69" s="474">
        <f>IF('MIS 2026'!EZ69&gt;0,'MIS 2026'!EW69,0)</f>
        <v>0</v>
      </c>
      <c r="N69" s="474" t="str">
        <f>'MIS 2026'!I69</f>
        <v>GHANA</v>
      </c>
      <c r="O69" s="474" t="str">
        <f>'MIS 2026'!H69</f>
        <v>Valency Agro (Processing)</v>
      </c>
      <c r="P69" s="473">
        <f>'MIS 2026'!AI69</f>
        <v>1585</v>
      </c>
      <c r="Q69" s="474" t="str">
        <f>'MIS 2026'!BQ69</f>
        <v>MANGALORE, INDIA</v>
      </c>
      <c r="R69" s="474">
        <f>'MIS 2026'!AM69</f>
        <v>0</v>
      </c>
      <c r="S69" s="474" t="str">
        <f>'MIS 2026'!AL69</f>
        <v>DP SIGHT</v>
      </c>
      <c r="T69" s="473">
        <f>'MIS 2026'!AZ69</f>
        <v>0</v>
      </c>
      <c r="U69" s="474" t="str">
        <f>IF('MIS 2026'!BI69="","",'MIS 2026'!BI69)</f>
        <v>TMA0158845A</v>
      </c>
      <c r="V69" s="475">
        <f>IF('MIS 2026'!BJ69&gt;0,'MIS 2026'!BJ69,'MIS 2026'!AF69)</f>
        <v>103.78</v>
      </c>
      <c r="W69" s="476">
        <f>IF('MIS 2026'!BM69="","",'MIS 2026'!BM69)</f>
        <v>46105</v>
      </c>
      <c r="X69" s="476">
        <f>IF('MIS 2026'!BO69="","",'MIS 2026'!BO69)</f>
        <v>46159</v>
      </c>
      <c r="Y69" s="473">
        <f t="shared" si="18"/>
        <v>164491.29999999999</v>
      </c>
      <c r="Z69" s="473">
        <f>IF('MIS 2026'!CR69&gt;0,'MIS 2026'!CQ69,0)</f>
        <v>164491.29999999999</v>
      </c>
      <c r="AA69" s="473">
        <f t="shared" si="19"/>
        <v>0</v>
      </c>
      <c r="AB69" s="476">
        <f>IF('MIS 2026'!CM69="","",'MIS 2026'!CM69)</f>
        <v>46119</v>
      </c>
      <c r="AC69" s="476" t="str">
        <f>'MIS 2026'!U69</f>
        <v>PAYMENT RCVD 20/5</v>
      </c>
      <c r="AD69" s="474">
        <f>IF('MIS 2026'!BF69&gt;0,'MIS 2026'!BF69,"")</f>
        <v>46078</v>
      </c>
      <c r="AE69" s="476">
        <f>IF('MIS 2026'!N69&gt;0,'MIS 2026'!N69,"")</f>
        <v>46105</v>
      </c>
      <c r="AF69" s="474"/>
      <c r="AG69" s="478">
        <f>IF('MIS 2026'!BV69&lt;&gt;0,'MIS 2026'!BV69,"")</f>
        <v>90082897</v>
      </c>
      <c r="AH69" s="474" t="str">
        <f>IF('MIS 2026'!F69&lt;&gt;0,'MIS 2026'!F69,"")</f>
        <v>32015280-2</v>
      </c>
      <c r="AI69" s="463" t="str">
        <f t="shared" ca="1" si="20"/>
        <v/>
      </c>
      <c r="AJ69" s="474"/>
    </row>
    <row r="70" spans="1:36">
      <c r="A70" s="149" t="s">
        <v>208</v>
      </c>
      <c r="B70" s="149" t="str">
        <f>'MIS 2026'!EV70</f>
        <v>Final Pmt Recd</v>
      </c>
      <c r="C70" s="152" t="str">
        <f>'MIS 2026'!F70</f>
        <v>32015280-3</v>
      </c>
      <c r="D70" s="149" t="str">
        <f>'MIS 2026'!EH70</f>
        <v>Valora Exim</v>
      </c>
      <c r="E70" s="151">
        <f>'MIS 2026'!AF70</f>
        <v>100</v>
      </c>
      <c r="F70" s="150">
        <f>'MIS 2026'!EK70</f>
        <v>0</v>
      </c>
      <c r="G70" s="150">
        <f t="shared" si="16"/>
        <v>0</v>
      </c>
      <c r="H70" s="149">
        <f>'MIS 2026'!EL70</f>
        <v>0</v>
      </c>
      <c r="I70" s="148"/>
      <c r="J70" s="473">
        <f>'MIS 2026'!ER70</f>
        <v>0</v>
      </c>
      <c r="K70" s="473">
        <f t="shared" si="17"/>
        <v>0</v>
      </c>
      <c r="L70" s="473">
        <f>'MIS 2026'!EW70</f>
        <v>0</v>
      </c>
      <c r="M70" s="474">
        <f>IF('MIS 2026'!EZ70&gt;0,'MIS 2026'!EW70,0)</f>
        <v>0</v>
      </c>
      <c r="N70" s="474" t="str">
        <f>'MIS 2026'!I70</f>
        <v>GHANA</v>
      </c>
      <c r="O70" s="474" t="str">
        <f>'MIS 2026'!H70</f>
        <v>Valency Agro (Processing)</v>
      </c>
      <c r="P70" s="473">
        <f>'MIS 2026'!AI70</f>
        <v>1585</v>
      </c>
      <c r="Q70" s="474" t="str">
        <f>'MIS 2026'!BQ70</f>
        <v>MANGALORE, INDIA</v>
      </c>
      <c r="R70" s="474">
        <f>'MIS 2026'!AM70</f>
        <v>0</v>
      </c>
      <c r="S70" s="474" t="str">
        <f>'MIS 2026'!AL70</f>
        <v>DP SIGHT</v>
      </c>
      <c r="T70" s="473">
        <f>'MIS 2026'!AZ70</f>
        <v>0</v>
      </c>
      <c r="U70" s="474" t="str">
        <f>IF('MIS 2026'!BI70="","",'MIS 2026'!BI70)</f>
        <v>TMA0158845B</v>
      </c>
      <c r="V70" s="475">
        <f>IF('MIS 2026'!BJ70&gt;0,'MIS 2026'!BJ70,'MIS 2026'!AF70)</f>
        <v>103.44</v>
      </c>
      <c r="W70" s="476">
        <f>IF('MIS 2026'!BM70="","",'MIS 2026'!BM70)</f>
        <v>46105</v>
      </c>
      <c r="X70" s="476">
        <f>IF('MIS 2026'!BO70="","",'MIS 2026'!BO70)</f>
        <v>46159</v>
      </c>
      <c r="Y70" s="473">
        <f t="shared" si="18"/>
        <v>163952.4</v>
      </c>
      <c r="Z70" s="473">
        <f>IF('MIS 2026'!CR70&gt;0,'MIS 2026'!CQ70,0)</f>
        <v>163952.4</v>
      </c>
      <c r="AA70" s="473">
        <f t="shared" si="19"/>
        <v>0</v>
      </c>
      <c r="AB70" s="476">
        <f>IF('MIS 2026'!CM70="","",'MIS 2026'!CM70)</f>
        <v>46119</v>
      </c>
      <c r="AC70" s="476" t="str">
        <f>'MIS 2026'!U70</f>
        <v>PAYMENT RCVD 20/5</v>
      </c>
      <c r="AD70" s="474">
        <f>IF('MIS 2026'!BF70&gt;0,'MIS 2026'!BF70,"")</f>
        <v>46078</v>
      </c>
      <c r="AE70" s="476">
        <f>IF('MIS 2026'!N70&gt;0,'MIS 2026'!N70,"")</f>
        <v>46105</v>
      </c>
      <c r="AF70" s="474"/>
      <c r="AG70" s="478">
        <f>IF('MIS 2026'!BV70&lt;&gt;0,'MIS 2026'!BV70,"")</f>
        <v>90082899</v>
      </c>
      <c r="AH70" s="474" t="str">
        <f>IF('MIS 2026'!F70&lt;&gt;0,'MIS 2026'!F70,"")</f>
        <v>32015280-3</v>
      </c>
      <c r="AI70" s="463" t="str">
        <f t="shared" ca="1" si="20"/>
        <v/>
      </c>
      <c r="AJ70" s="474"/>
    </row>
    <row r="71" spans="1:36">
      <c r="A71" s="149" t="s">
        <v>208</v>
      </c>
      <c r="B71" s="149" t="str">
        <f>'MIS 2026'!EV71</f>
        <v>Export Loan</v>
      </c>
      <c r="C71" s="152" t="str">
        <f>'MIS 2026'!F71</f>
        <v>32014566-1</v>
      </c>
      <c r="D71" s="149" t="str">
        <f>'MIS 2026'!EH71</f>
        <v>Valency Nigeria</v>
      </c>
      <c r="E71" s="151">
        <f>'MIS 2026'!AF71</f>
        <v>400</v>
      </c>
      <c r="F71" s="150">
        <f>'MIS 2026'!EK71</f>
        <v>0</v>
      </c>
      <c r="G71" s="150">
        <f t="shared" si="16"/>
        <v>0</v>
      </c>
      <c r="H71" s="149">
        <f>'MIS 2026'!EL71</f>
        <v>0</v>
      </c>
      <c r="I71" s="148"/>
      <c r="J71" s="473">
        <f>'MIS 2026'!ER71</f>
        <v>0</v>
      </c>
      <c r="K71" s="473">
        <f t="shared" si="17"/>
        <v>0</v>
      </c>
      <c r="L71" s="473">
        <f>'MIS 2026'!EW71</f>
        <v>0</v>
      </c>
      <c r="M71" s="474">
        <f>IF('MIS 2026'!EZ71&gt;0,'MIS 2026'!EW71,0)</f>
        <v>0</v>
      </c>
      <c r="N71" s="474" t="str">
        <f>'MIS 2026'!I71</f>
        <v>NIGERIA(OGB)</v>
      </c>
      <c r="O71" s="474" t="str">
        <f>'MIS 2026'!H71</f>
        <v>Valency Agro (Processing)</v>
      </c>
      <c r="P71" s="473">
        <f>'MIS 2026'!AI71</f>
        <v>1683</v>
      </c>
      <c r="Q71" s="474" t="str">
        <f>'MIS 2026'!BQ71</f>
        <v>MANGALORE INDIA</v>
      </c>
      <c r="R71" s="474">
        <f>'MIS 2026'!AM71</f>
        <v>0</v>
      </c>
      <c r="S71" s="474" t="str">
        <f>'MIS 2026'!AL71</f>
        <v>90 DAYS FROM BL DATE</v>
      </c>
      <c r="T71" s="473">
        <f>'MIS 2026'!AZ71</f>
        <v>0</v>
      </c>
      <c r="U71" s="474" t="str">
        <f>IF('MIS 2026'!BI71="","",'MIS 2026'!BI71)</f>
        <v>ONEYLOSG01115500</v>
      </c>
      <c r="V71" s="475">
        <f>IF('MIS 2026'!BJ71&gt;0,'MIS 2026'!BJ71,'MIS 2026'!AF71)</f>
        <v>493.10430000000002</v>
      </c>
      <c r="W71" s="476">
        <f>IF('MIS 2026'!BM71="","",'MIS 2026'!BM71)</f>
        <v>46115</v>
      </c>
      <c r="X71" s="476">
        <f>IF('MIS 2026'!BO71="","",'MIS 2026'!BO71)</f>
        <v>46167</v>
      </c>
      <c r="Y71" s="473">
        <f t="shared" si="18"/>
        <v>829894.53690000006</v>
      </c>
      <c r="Z71" s="473">
        <f>IF('MIS 2026'!CR71&gt;0,'MIS 2026'!CQ71,0)</f>
        <v>0</v>
      </c>
      <c r="AA71" s="473">
        <f t="shared" si="19"/>
        <v>829894.53690000006</v>
      </c>
      <c r="AB71" s="476">
        <f>IF('MIS 2026'!CM71="","",'MIS 2026'!CM71)</f>
        <v>46149</v>
      </c>
      <c r="AC71" s="476" t="str">
        <f>'MIS 2026'!U71</f>
        <v>Payment by Valency Agro will be done, 90 days after BL date- DOCS RELEASED</v>
      </c>
      <c r="AD71" s="474">
        <f>IF('MIS 2026'!BF71&gt;0,'MIS 2026'!BF71,"")</f>
        <v>46078</v>
      </c>
      <c r="AE71" s="476">
        <f>IF('MIS 2026'!N71&gt;0,'MIS 2026'!N71,"")</f>
        <v>46115</v>
      </c>
      <c r="AF71" s="474"/>
      <c r="AG71" s="478">
        <f>IF('MIS 2026'!BV71&lt;&gt;0,'MIS 2026'!BV71,"")</f>
        <v>90085098</v>
      </c>
      <c r="AH71" s="474" t="str">
        <f>IF('MIS 2026'!F71&lt;&gt;0,'MIS 2026'!F71,"")</f>
        <v>32014566-1</v>
      </c>
      <c r="AI71" s="463" t="str">
        <f t="shared" ca="1" si="20"/>
        <v/>
      </c>
      <c r="AJ71" s="474"/>
    </row>
    <row r="72" spans="1:36">
      <c r="A72" s="149" t="s">
        <v>208</v>
      </c>
      <c r="B72" s="149" t="str">
        <f>'MIS 2026'!EV72</f>
        <v>Export Loan</v>
      </c>
      <c r="C72" s="152">
        <f>'MIS 2026'!F72</f>
        <v>32015929</v>
      </c>
      <c r="D72" s="149" t="str">
        <f>'MIS 2026'!EH72</f>
        <v>Valency Nigeria</v>
      </c>
      <c r="E72" s="151">
        <f>'MIS 2026'!AF72</f>
        <v>100</v>
      </c>
      <c r="F72" s="150">
        <f>'MIS 2026'!EK72</f>
        <v>0</v>
      </c>
      <c r="G72" s="150">
        <f t="shared" si="16"/>
        <v>0</v>
      </c>
      <c r="H72" s="149">
        <f>'MIS 2026'!EL72</f>
        <v>0</v>
      </c>
      <c r="I72" s="148"/>
      <c r="J72" s="473">
        <f>'MIS 2026'!ER72</f>
        <v>0</v>
      </c>
      <c r="K72" s="473">
        <f t="shared" si="17"/>
        <v>0</v>
      </c>
      <c r="L72" s="473">
        <f>'MIS 2026'!EW72</f>
        <v>0</v>
      </c>
      <c r="M72" s="474">
        <f>IF('MIS 2026'!EZ72&gt;0,'MIS 2026'!EW72,0)</f>
        <v>0</v>
      </c>
      <c r="N72" s="474" t="str">
        <f>'MIS 2026'!I72</f>
        <v>NIGERIA(SAKI)</v>
      </c>
      <c r="O72" s="474" t="str">
        <f>'MIS 2026'!H72</f>
        <v>VALENCY AGRO //HSS//Saffron Home LLP</v>
      </c>
      <c r="P72" s="473">
        <f>'MIS 2026'!AI72</f>
        <v>1565</v>
      </c>
      <c r="Q72" s="474" t="str">
        <f>'MIS 2026'!BQ72</f>
        <v>TUTICORIN, INDIA</v>
      </c>
      <c r="R72" s="474">
        <f>'MIS 2026'!AM72</f>
        <v>0</v>
      </c>
      <c r="S72" s="474" t="str">
        <f>'MIS 2026'!AL72</f>
        <v>90 DAYS FROM BL DATE</v>
      </c>
      <c r="T72" s="473">
        <f>'MIS 2026'!AZ72</f>
        <v>0</v>
      </c>
      <c r="U72" s="474" t="str">
        <f>IF('MIS 2026'!BI72="","",'MIS 2026'!BI72)</f>
        <v>MEDULG628422</v>
      </c>
      <c r="V72" s="475">
        <f>IF('MIS 2026'!BJ72&gt;0,'MIS 2026'!BJ72,'MIS 2026'!AF72)</f>
        <v>100.107</v>
      </c>
      <c r="W72" s="476">
        <f>IF('MIS 2026'!BM72="","",'MIS 2026'!BM72)</f>
        <v>46127</v>
      </c>
      <c r="X72" s="476">
        <f>IF('MIS 2026'!BO72="","",'MIS 2026'!BO72)</f>
        <v>46172</v>
      </c>
      <c r="Y72" s="473">
        <f t="shared" si="18"/>
        <v>156667.45499999999</v>
      </c>
      <c r="Z72" s="473">
        <f>IF('MIS 2026'!CR72&gt;0,'MIS 2026'!CQ72,0)</f>
        <v>0</v>
      </c>
      <c r="AA72" s="473">
        <f t="shared" si="19"/>
        <v>156667.45499999999</v>
      </c>
      <c r="AB72" s="476">
        <f>IF('MIS 2026'!CM72="","",'MIS 2026'!CM72)</f>
        <v>46155</v>
      </c>
      <c r="AC72" s="476" t="str">
        <f>'MIS 2026'!U72</f>
        <v>Payment by Valency Agro will be done, 90 days after BL date- (HSS DOCS DONE)</v>
      </c>
      <c r="AD72" s="474">
        <f>IF('MIS 2026'!BF72&gt;0,'MIS 2026'!BF72,"")</f>
        <v>46099</v>
      </c>
      <c r="AE72" s="476">
        <f>IF('MIS 2026'!N72&gt;0,'MIS 2026'!N72,"")</f>
        <v>46127</v>
      </c>
      <c r="AF72" s="474"/>
      <c r="AG72" s="478">
        <f>IF('MIS 2026'!BV72&lt;&gt;0,'MIS 2026'!BV72,"")</f>
        <v>90085384</v>
      </c>
      <c r="AH72" s="474">
        <f>IF('MIS 2026'!F72&lt;&gt;0,'MIS 2026'!F72,"")</f>
        <v>32015929</v>
      </c>
      <c r="AI72" s="463" t="str">
        <f t="shared" ca="1" si="20"/>
        <v/>
      </c>
      <c r="AJ72" s="474"/>
    </row>
    <row r="73" spans="1:36">
      <c r="A73" s="149" t="s">
        <v>208</v>
      </c>
      <c r="B73" s="149" t="str">
        <f>'MIS 2026'!EV73</f>
        <v>Export Loan</v>
      </c>
      <c r="C73" s="152">
        <f>'MIS 2026'!F73</f>
        <v>32015795</v>
      </c>
      <c r="D73" s="149" t="str">
        <f>'MIS 2026'!EH73</f>
        <v>Valora Exim</v>
      </c>
      <c r="E73" s="151">
        <f>'MIS 2026'!AF73</f>
        <v>200</v>
      </c>
      <c r="F73" s="150">
        <f>'MIS 2026'!EK73</f>
        <v>0</v>
      </c>
      <c r="G73" s="150">
        <f t="shared" si="16"/>
        <v>0</v>
      </c>
      <c r="H73" s="149">
        <f>'MIS 2026'!EL73</f>
        <v>0</v>
      </c>
      <c r="I73" s="148"/>
      <c r="J73" s="473">
        <f>'MIS 2026'!ER73</f>
        <v>0</v>
      </c>
      <c r="K73" s="473">
        <f t="shared" si="17"/>
        <v>0</v>
      </c>
      <c r="L73" s="473">
        <f>'MIS 2026'!EW73</f>
        <v>0</v>
      </c>
      <c r="M73" s="474">
        <f>IF('MIS 2026'!EZ73&gt;0,'MIS 2026'!EW73,0)</f>
        <v>0</v>
      </c>
      <c r="N73" s="474" t="str">
        <f>'MIS 2026'!I73</f>
        <v>GHANA</v>
      </c>
      <c r="O73" s="474" t="str">
        <f>'MIS 2026'!H73</f>
        <v xml:space="preserve">KIEU LOAN COMPANY LIMITED </v>
      </c>
      <c r="P73" s="473">
        <f>'MIS 2026'!AI73</f>
        <v>1570</v>
      </c>
      <c r="Q73" s="474" t="str">
        <f>'MIS 2026'!BQ73</f>
        <v>Cat Lai/ SPCT in HCM City, VIETNAM</v>
      </c>
      <c r="R73" s="474">
        <f>'MIS 2026'!AM73</f>
        <v>0.1</v>
      </c>
      <c r="S73" s="474" t="str">
        <f>'MIS 2026'!AL73</f>
        <v>10% ADVANCE 88% DP AT SIGHT 2% after vina</v>
      </c>
      <c r="T73" s="473">
        <f>'MIS 2026'!AZ73</f>
        <v>31400</v>
      </c>
      <c r="U73" s="474" t="str">
        <f>IF('MIS 2026'!BI73="","",'MIS 2026'!BI73)</f>
        <v>TEM600018300</v>
      </c>
      <c r="V73" s="475">
        <f>IF('MIS 2026'!BJ73&gt;0,'MIS 2026'!BJ73,'MIS 2026'!AF73)</f>
        <v>205.48</v>
      </c>
      <c r="W73" s="476">
        <f>IF('MIS 2026'!BM73="","",'MIS 2026'!BM73)</f>
        <v>46113</v>
      </c>
      <c r="X73" s="476">
        <f>IF('MIS 2026'!BO73="","",'MIS 2026'!BO73)</f>
        <v>46168</v>
      </c>
      <c r="Y73" s="473">
        <f t="shared" si="18"/>
        <v>291203.59999999998</v>
      </c>
      <c r="Z73" s="473">
        <f>IF('MIS 2026'!CR73&gt;0,'MIS 2026'!CQ73,0)</f>
        <v>0</v>
      </c>
      <c r="AA73" s="473">
        <f t="shared" si="19"/>
        <v>291203.59999999998</v>
      </c>
      <c r="AB73" s="476">
        <f>IF('MIS 2026'!CM73="","",'MIS 2026'!CM73)</f>
        <v>46140</v>
      </c>
      <c r="AC73" s="476" t="str">
        <f>'MIS 2026'!U73</f>
        <v>PAYMENT PENDING-26/5</v>
      </c>
      <c r="AD73" s="474">
        <f>IF('MIS 2026'!BF73&gt;0,'MIS 2026'!BF73,"")</f>
        <v>46078</v>
      </c>
      <c r="AE73" s="476">
        <f>IF('MIS 2026'!N73&gt;0,'MIS 2026'!N73,"")</f>
        <v>46113</v>
      </c>
      <c r="AF73" s="474"/>
      <c r="AG73" s="478">
        <f>IF('MIS 2026'!BV73&lt;&gt;0,'MIS 2026'!BV73,"")</f>
        <v>90084579</v>
      </c>
      <c r="AH73" s="474">
        <f>IF('MIS 2026'!F73&lt;&gt;0,'MIS 2026'!F73,"")</f>
        <v>32015795</v>
      </c>
      <c r="AI73" s="463" t="str">
        <f t="shared" ca="1" si="20"/>
        <v/>
      </c>
      <c r="AJ73" s="474"/>
    </row>
    <row r="74" spans="1:36">
      <c r="A74" s="149" t="s">
        <v>208</v>
      </c>
      <c r="B74" s="149" t="str">
        <f>'MIS 2026'!EV74</f>
        <v>Export Loan</v>
      </c>
      <c r="C74" s="152">
        <f>'MIS 2026'!F74</f>
        <v>32016319</v>
      </c>
      <c r="D74" s="149" t="str">
        <f>'MIS 2026'!EH74</f>
        <v>Valora Exim</v>
      </c>
      <c r="E74" s="151">
        <f>'MIS 2026'!AF74</f>
        <v>250</v>
      </c>
      <c r="F74" s="150">
        <f>'MIS 2026'!EK74</f>
        <v>0</v>
      </c>
      <c r="G74" s="150">
        <f t="shared" si="16"/>
        <v>0</v>
      </c>
      <c r="H74" s="149">
        <f>'MIS 2026'!EL74</f>
        <v>0</v>
      </c>
      <c r="I74" s="148"/>
      <c r="J74" s="473">
        <f>'MIS 2026'!ER74</f>
        <v>0</v>
      </c>
      <c r="K74" s="473">
        <f t="shared" si="17"/>
        <v>0</v>
      </c>
      <c r="L74" s="473">
        <f>'MIS 2026'!EW74</f>
        <v>0</v>
      </c>
      <c r="M74" s="474">
        <f>IF('MIS 2026'!EZ74&gt;0,'MIS 2026'!EW74,0)</f>
        <v>0</v>
      </c>
      <c r="N74" s="474" t="str">
        <f>'MIS 2026'!I74</f>
        <v>GHANA</v>
      </c>
      <c r="O74" s="474" t="str">
        <f>'MIS 2026'!H74</f>
        <v>TERRA NUTS GROUP JOINT STOCK COMPANY</v>
      </c>
      <c r="P74" s="473">
        <f>'MIS 2026'!AI74</f>
        <v>1585</v>
      </c>
      <c r="Q74" s="474" t="str">
        <f>'MIS 2026'!BQ74</f>
        <v>HCMC, VIETNAM</v>
      </c>
      <c r="R74" s="474">
        <f>'MIS 2026'!AM74</f>
        <v>0.1</v>
      </c>
      <c r="S74" s="474" t="str">
        <f>'MIS 2026'!AL74</f>
        <v>10% ADVANCE 88% DP AT SIGHT 2% after vina</v>
      </c>
      <c r="T74" s="473">
        <f>'MIS 2026'!AZ74</f>
        <v>39625</v>
      </c>
      <c r="U74" s="474" t="str">
        <f>IF('MIS 2026'!BI74="","",'MIS 2026'!BI74)</f>
        <v>TMA0159447</v>
      </c>
      <c r="V74" s="475">
        <f>IF('MIS 2026'!BJ74&gt;0,'MIS 2026'!BJ74,'MIS 2026'!AF74)</f>
        <v>258.61</v>
      </c>
      <c r="W74" s="476">
        <f>IF('MIS 2026'!BM74="","",'MIS 2026'!BM74)</f>
        <v>46133</v>
      </c>
      <c r="X74" s="476">
        <f>IF('MIS 2026'!BO74="","",'MIS 2026'!BO74)</f>
        <v>46169</v>
      </c>
      <c r="Y74" s="473">
        <f t="shared" si="18"/>
        <v>370271.85000000003</v>
      </c>
      <c r="Z74" s="473">
        <f>IF('MIS 2026'!CR74&gt;0,'MIS 2026'!CQ74,0)</f>
        <v>0</v>
      </c>
      <c r="AA74" s="473">
        <f t="shared" si="19"/>
        <v>370271.85000000003</v>
      </c>
      <c r="AB74" s="476">
        <f>IF('MIS 2026'!CM74="","",'MIS 2026'!CM74)</f>
        <v>46157</v>
      </c>
      <c r="AC74" s="476" t="str">
        <f>'MIS 2026'!U74</f>
        <v>PAYMENT PENDING-29/5</v>
      </c>
      <c r="AD74" s="474" t="str">
        <f>IF('MIS 2026'!BF74&gt;0,'MIS 2026'!BF74,"")</f>
        <v/>
      </c>
      <c r="AE74" s="476">
        <f>IF('MIS 2026'!N74&gt;0,'MIS 2026'!N74,"")</f>
        <v>46133</v>
      </c>
      <c r="AF74" s="474"/>
      <c r="AG74" s="478">
        <f>IF('MIS 2026'!BV74&lt;&gt;0,'MIS 2026'!BV74,"")</f>
        <v>90085659</v>
      </c>
      <c r="AH74" s="474">
        <f>IF('MIS 2026'!F74&lt;&gt;0,'MIS 2026'!F74,"")</f>
        <v>32016319</v>
      </c>
      <c r="AI74" s="463" t="str">
        <f t="shared" ca="1" si="20"/>
        <v/>
      </c>
      <c r="AJ74" s="474"/>
    </row>
    <row r="75" spans="1:36">
      <c r="A75" s="149" t="s">
        <v>208</v>
      </c>
      <c r="B75" s="149" t="str">
        <f>'MIS 2026'!EV75</f>
        <v>Export Loan</v>
      </c>
      <c r="C75" s="152">
        <f>'MIS 2026'!F75</f>
        <v>32016295</v>
      </c>
      <c r="D75" s="149" t="str">
        <f>'MIS 2026'!EH75</f>
        <v>VALORA BURKINA EXIM SARL</v>
      </c>
      <c r="E75" s="151">
        <f>'MIS 2026'!AF75</f>
        <v>100</v>
      </c>
      <c r="F75" s="150">
        <f>'MIS 2026'!EK75</f>
        <v>1200</v>
      </c>
      <c r="G75" s="150">
        <f t="shared" si="16"/>
        <v>120000</v>
      </c>
      <c r="H75" s="149">
        <f>'MIS 2026'!EL75</f>
        <v>0</v>
      </c>
      <c r="I75" s="148"/>
      <c r="J75" s="473">
        <f>'MIS 2026'!ER75</f>
        <v>0</v>
      </c>
      <c r="K75" s="473">
        <f t="shared" si="17"/>
        <v>120000</v>
      </c>
      <c r="L75" s="473">
        <f>'MIS 2026'!EW75</f>
        <v>0</v>
      </c>
      <c r="M75" s="474">
        <f>IF('MIS 2026'!EZ75&gt;0,'MIS 2026'!EW75,0)</f>
        <v>0</v>
      </c>
      <c r="N75" s="474" t="str">
        <f>'MIS 2026'!I75</f>
        <v>BURKINA FASO</v>
      </c>
      <c r="O75" s="474" t="str">
        <f>'MIS 2026'!H75</f>
        <v xml:space="preserve">VALENCY AGRO //HSS//THE NUT COMPPANY   </v>
      </c>
      <c r="P75" s="473">
        <f>'MIS 2026'!AI75</f>
        <v>1520</v>
      </c>
      <c r="Q75" s="474" t="str">
        <f>'MIS 2026'!BQ75</f>
        <v>VIZAG, INDIA</v>
      </c>
      <c r="R75" s="474">
        <f>'MIS 2026'!AM75</f>
        <v>0</v>
      </c>
      <c r="S75" s="474" t="str">
        <f>'MIS 2026'!AL75</f>
        <v>90 DAYS FROM BL DATE</v>
      </c>
      <c r="T75" s="473">
        <f>'MIS 2026'!AZ75</f>
        <v>0</v>
      </c>
      <c r="U75" s="474">
        <f>IF('MIS 2026'!BI75="","",'MIS 2026'!BI75)</f>
        <v>267576176</v>
      </c>
      <c r="V75" s="475">
        <f>IF('MIS 2026'!BJ75&gt;0,'MIS 2026'!BJ75,'MIS 2026'!AF75)</f>
        <v>90.302000000000007</v>
      </c>
      <c r="W75" s="476">
        <f>IF('MIS 2026'!BM75="","",'MIS 2026'!BM75)</f>
        <v>46111</v>
      </c>
      <c r="X75" s="476">
        <f>IF('MIS 2026'!BO75="","",'MIS 2026'!BO75)</f>
        <v>46171</v>
      </c>
      <c r="Y75" s="473">
        <f t="shared" si="18"/>
        <v>137259.04</v>
      </c>
      <c r="Z75" s="473">
        <f>IF('MIS 2026'!CR75&gt;0,'MIS 2026'!CQ75,0)</f>
        <v>0</v>
      </c>
      <c r="AA75" s="473">
        <f t="shared" si="19"/>
        <v>137259.04</v>
      </c>
      <c r="AB75" s="476">
        <f>IF('MIS 2026'!CM75="","",'MIS 2026'!CM75)</f>
        <v>46146</v>
      </c>
      <c r="AC75" s="476" t="str">
        <f>'MIS 2026'!U75</f>
        <v>PAYMENT PENDING</v>
      </c>
      <c r="AD75" s="474" t="str">
        <f>IF('MIS 2026'!BF75&gt;0,'MIS 2026'!BF75,"")</f>
        <v/>
      </c>
      <c r="AE75" s="476">
        <f>IF('MIS 2026'!N75&gt;0,'MIS 2026'!N75,"")</f>
        <v>46111</v>
      </c>
      <c r="AF75" s="474"/>
      <c r="AG75" s="478">
        <f>IF('MIS 2026'!BV75&lt;&gt;0,'MIS 2026'!BV75,"")</f>
        <v>90085008</v>
      </c>
      <c r="AH75" s="474">
        <f>IF('MIS 2026'!F75&lt;&gt;0,'MIS 2026'!F75,"")</f>
        <v>32016295</v>
      </c>
      <c r="AI75" s="463" t="str">
        <f t="shared" ca="1" si="20"/>
        <v/>
      </c>
      <c r="AJ75" s="474"/>
    </row>
    <row r="76" spans="1:36">
      <c r="A76" s="149" t="s">
        <v>208</v>
      </c>
      <c r="B76" s="149" t="str">
        <f>'MIS 2026'!EV76</f>
        <v>Export Loan</v>
      </c>
      <c r="C76" s="152">
        <f>'MIS 2026'!F76</f>
        <v>32014661</v>
      </c>
      <c r="D76" s="149" t="str">
        <f>'MIS 2026'!EH76</f>
        <v>Valency Nigeria</v>
      </c>
      <c r="E76" s="151">
        <f>'MIS 2026'!AF76</f>
        <v>100</v>
      </c>
      <c r="F76" s="150">
        <f>'MIS 2026'!EK76</f>
        <v>0</v>
      </c>
      <c r="G76" s="150">
        <f t="shared" si="16"/>
        <v>0</v>
      </c>
      <c r="H76" s="149">
        <f>'MIS 2026'!EL76</f>
        <v>0</v>
      </c>
      <c r="I76" s="148"/>
      <c r="J76" s="473">
        <f>'MIS 2026'!ER76</f>
        <v>0</v>
      </c>
      <c r="K76" s="473">
        <f t="shared" si="17"/>
        <v>0</v>
      </c>
      <c r="L76" s="473">
        <f>'MIS 2026'!EW76</f>
        <v>0</v>
      </c>
      <c r="M76" s="474">
        <f>IF('MIS 2026'!EZ76&gt;0,'MIS 2026'!EW76,0)</f>
        <v>0</v>
      </c>
      <c r="N76" s="474" t="str">
        <f>'MIS 2026'!I76</f>
        <v>NIGERIA(OGB)</v>
      </c>
      <c r="O76" s="474" t="str">
        <f>'MIS 2026'!H76</f>
        <v xml:space="preserve">VALENCY AGRO // HSS // Jaya Cashews
</v>
      </c>
      <c r="P76" s="473">
        <f>'MIS 2026'!AI76</f>
        <v>1620</v>
      </c>
      <c r="Q76" s="474" t="str">
        <f>'MIS 2026'!BQ76</f>
        <v>TUTICORIN, INDIA</v>
      </c>
      <c r="R76" s="474">
        <f>'MIS 2026'!AM76</f>
        <v>0</v>
      </c>
      <c r="S76" s="474" t="str">
        <f>'MIS 2026'!AL76</f>
        <v>90 DAYS FROM BL DATE</v>
      </c>
      <c r="T76" s="473">
        <f>'MIS 2026'!AZ76</f>
        <v>0</v>
      </c>
      <c r="U76" s="474" t="str">
        <f>IF('MIS 2026'!BI76="","",'MIS 2026'!BI76)</f>
        <v>ONEYLOSG01231400</v>
      </c>
      <c r="V76" s="475">
        <f>IF('MIS 2026'!BJ76&gt;0,'MIS 2026'!BJ76,'MIS 2026'!AF76)</f>
        <v>101.446</v>
      </c>
      <c r="W76" s="476">
        <f>IF('MIS 2026'!BM76="","",'MIS 2026'!BM76)</f>
        <v>46130</v>
      </c>
      <c r="X76" s="476">
        <f>IF('MIS 2026'!BO76="","",'MIS 2026'!BO76)</f>
        <v>46180</v>
      </c>
      <c r="Y76" s="473">
        <f t="shared" si="18"/>
        <v>164342.51999999999</v>
      </c>
      <c r="Z76" s="473">
        <f>IF('MIS 2026'!CR76&gt;0,'MIS 2026'!CQ76,0)</f>
        <v>0</v>
      </c>
      <c r="AA76" s="473">
        <f t="shared" si="19"/>
        <v>164342.51999999999</v>
      </c>
      <c r="AB76" s="476">
        <f>IF('MIS 2026'!CM76="","",'MIS 2026'!CM76)</f>
        <v>46153</v>
      </c>
      <c r="AC76" s="476" t="str">
        <f>'MIS 2026'!U76</f>
        <v>PAYMENT PENDING-29/5</v>
      </c>
      <c r="AD76" s="474">
        <f>IF('MIS 2026'!BF76&gt;0,'MIS 2026'!BF76,"")</f>
        <v>46078</v>
      </c>
      <c r="AE76" s="476">
        <f>IF('MIS 2026'!N76&gt;0,'MIS 2026'!N76,"")</f>
        <v>46130</v>
      </c>
      <c r="AF76" s="474"/>
      <c r="AG76" s="478">
        <f>IF('MIS 2026'!BV76&lt;&gt;0,'MIS 2026'!BV76,"")</f>
        <v>90085330</v>
      </c>
      <c r="AH76" s="474">
        <f>IF('MIS 2026'!F76&lt;&gt;0,'MIS 2026'!F76,"")</f>
        <v>32014661</v>
      </c>
      <c r="AI76" s="463" t="str">
        <f t="shared" ca="1" si="20"/>
        <v/>
      </c>
      <c r="AJ76" s="474"/>
    </row>
    <row r="77" spans="1:36">
      <c r="A77" s="149" t="s">
        <v>208</v>
      </c>
      <c r="B77" s="149" t="str">
        <f>'MIS 2026'!EV77</f>
        <v>Export Loan</v>
      </c>
      <c r="C77" s="152">
        <f>'MIS 2026'!F77</f>
        <v>32014996</v>
      </c>
      <c r="D77" s="149" t="str">
        <f>'MIS 2026'!EH77</f>
        <v xml:space="preserve">VALENCY IVC </v>
      </c>
      <c r="E77" s="151">
        <f>'MIS 2026'!AF77</f>
        <v>300</v>
      </c>
      <c r="F77" s="150">
        <f>'MIS 2026'!EK77</f>
        <v>0</v>
      </c>
      <c r="G77" s="150">
        <f t="shared" si="16"/>
        <v>0</v>
      </c>
      <c r="H77" s="149">
        <f>'MIS 2026'!EL77</f>
        <v>0</v>
      </c>
      <c r="I77" s="148"/>
      <c r="J77" s="473">
        <f>'MIS 2026'!ER77</f>
        <v>0</v>
      </c>
      <c r="K77" s="473">
        <f t="shared" si="17"/>
        <v>0</v>
      </c>
      <c r="L77" s="473">
        <f>'MIS 2026'!EW77</f>
        <v>0</v>
      </c>
      <c r="M77" s="474">
        <f>IF('MIS 2026'!EZ77&gt;0,'MIS 2026'!EW77,0)</f>
        <v>0</v>
      </c>
      <c r="N77" s="474" t="str">
        <f>'MIS 2026'!I77</f>
        <v>IVC</v>
      </c>
      <c r="O77" s="474" t="str">
        <f>'MIS 2026'!H77</f>
        <v>RED RIVER FOODS</v>
      </c>
      <c r="P77" s="473">
        <f>'MIS 2026'!AI77</f>
        <v>1515</v>
      </c>
      <c r="Q77" s="474" t="str">
        <f>'MIS 2026'!BQ77</f>
        <v>Qui Nhon, Vietnam</v>
      </c>
      <c r="R77" s="474">
        <f>'MIS 2026'!AM77</f>
        <v>0.1</v>
      </c>
      <c r="S77" s="474" t="str">
        <f>'MIS 2026'!AL77</f>
        <v>DP SIGHT</v>
      </c>
      <c r="T77" s="473">
        <f>'MIS 2026'!AZ77</f>
        <v>45450</v>
      </c>
      <c r="U77" s="474" t="str">
        <f>IF('MIS 2026'!BI77="","",'MIS 2026'!BI77)</f>
        <v>ONEYABJG00392800</v>
      </c>
      <c r="V77" s="475">
        <f>IF('MIS 2026'!BJ77&gt;0,'MIS 2026'!BJ77,'MIS 2026'!AF77)</f>
        <v>288.39</v>
      </c>
      <c r="W77" s="476">
        <f>IF('MIS 2026'!BM77="","",'MIS 2026'!BM77)</f>
        <v>46137</v>
      </c>
      <c r="X77" s="476">
        <f>IF('MIS 2026'!BO77="","",'MIS 2026'!BO77)</f>
        <v>46175</v>
      </c>
      <c r="Y77" s="473">
        <f t="shared" si="18"/>
        <v>391460.85</v>
      </c>
      <c r="Z77" s="473">
        <f>IF('MIS 2026'!CR77&gt;0,'MIS 2026'!CQ77,0)</f>
        <v>0</v>
      </c>
      <c r="AA77" s="473">
        <f t="shared" si="19"/>
        <v>391460.85</v>
      </c>
      <c r="AB77" s="476">
        <f>IF('MIS 2026'!CM77="","",'MIS 2026'!CM77)</f>
        <v>46155</v>
      </c>
      <c r="AC77" s="476" t="str">
        <f>'MIS 2026'!U77</f>
        <v>PAYMENT PENDING-2/6</v>
      </c>
      <c r="AD77" s="474" t="str">
        <f>IF('MIS 2026'!BF77&gt;0,'MIS 2026'!BF77,"")</f>
        <v/>
      </c>
      <c r="AE77" s="476">
        <f>IF('MIS 2026'!N77&gt;0,'MIS 2026'!N77,"")</f>
        <v>46137</v>
      </c>
      <c r="AF77" s="474"/>
      <c r="AG77" s="478">
        <f>IF('MIS 2026'!BV77&lt;&gt;0,'MIS 2026'!BV77,"")</f>
        <v>90085387</v>
      </c>
      <c r="AH77" s="474">
        <f>IF('MIS 2026'!F77&lt;&gt;0,'MIS 2026'!F77,"")</f>
        <v>32014996</v>
      </c>
      <c r="AI77" s="463" t="str">
        <f t="shared" ca="1" si="20"/>
        <v/>
      </c>
      <c r="AJ77" s="474"/>
    </row>
    <row r="78" spans="1:36">
      <c r="A78" s="149" t="s">
        <v>208</v>
      </c>
      <c r="B78" s="149" t="str">
        <f>'MIS 2026'!EV78</f>
        <v>Export Loan</v>
      </c>
      <c r="C78" s="152">
        <f>'MIS 2026'!F78</f>
        <v>32015966</v>
      </c>
      <c r="D78" s="149" t="str">
        <f>'MIS 2026'!EH78</f>
        <v>VALORA BURKINA EXIM SARL</v>
      </c>
      <c r="E78" s="151">
        <f>'MIS 2026'!AF78</f>
        <v>100</v>
      </c>
      <c r="F78" s="150">
        <f>'MIS 2026'!EK78</f>
        <v>0</v>
      </c>
      <c r="G78" s="150">
        <f t="shared" si="16"/>
        <v>0</v>
      </c>
      <c r="H78" s="149">
        <f>'MIS 2026'!EL78</f>
        <v>0</v>
      </c>
      <c r="I78" s="148"/>
      <c r="J78" s="473">
        <f>'MIS 2026'!ER78</f>
        <v>0</v>
      </c>
      <c r="K78" s="473">
        <f t="shared" si="17"/>
        <v>0</v>
      </c>
      <c r="L78" s="473">
        <f>'MIS 2026'!EW78</f>
        <v>0</v>
      </c>
      <c r="M78" s="474">
        <f>IF('MIS 2026'!EZ78&gt;0,'MIS 2026'!EW78,0)</f>
        <v>0</v>
      </c>
      <c r="N78" s="474" t="str">
        <f>'MIS 2026'!I78</f>
        <v>BURKINA FASO</v>
      </c>
      <c r="O78" s="474" t="str">
        <f>'MIS 2026'!H78</f>
        <v xml:space="preserve">VALENCY AGRO //GST//Himani Cashew   </v>
      </c>
      <c r="P78" s="473">
        <f>'MIS 2026'!AI78</f>
        <v>1495</v>
      </c>
      <c r="Q78" s="474" t="str">
        <f>'MIS 2026'!BQ78</f>
        <v>TUTICORIN, INDIA</v>
      </c>
      <c r="R78" s="474">
        <f>'MIS 2026'!AM78</f>
        <v>0</v>
      </c>
      <c r="S78" s="474" t="str">
        <f>'MIS 2026'!AL78</f>
        <v>DP SIGHT</v>
      </c>
      <c r="T78" s="473">
        <f>'MIS 2026'!AZ78</f>
        <v>0</v>
      </c>
      <c r="U78" s="474" t="str">
        <f>IF('MIS 2026'!BI78="","",'MIS 2026'!BI78)</f>
        <v>MEDUTM440722</v>
      </c>
      <c r="V78" s="475">
        <f>IF('MIS 2026'!BJ78&gt;0,'MIS 2026'!BJ78,'MIS 2026'!AF78)</f>
        <v>100.61499999999999</v>
      </c>
      <c r="W78" s="476">
        <f>IF('MIS 2026'!BM78="","",'MIS 2026'!BM78)</f>
        <v>46143</v>
      </c>
      <c r="X78" s="476">
        <f>IF('MIS 2026'!BO78="","",'MIS 2026'!BO78)</f>
        <v>46176</v>
      </c>
      <c r="Y78" s="473">
        <f t="shared" si="18"/>
        <v>150419.42499999999</v>
      </c>
      <c r="Z78" s="473">
        <f>IF('MIS 2026'!CR78&gt;0,'MIS 2026'!CQ78,0)</f>
        <v>0</v>
      </c>
      <c r="AA78" s="473">
        <f t="shared" si="19"/>
        <v>150419.42499999999</v>
      </c>
      <c r="AB78" s="476">
        <f>IF('MIS 2026'!CM78="","",'MIS 2026'!CM78)</f>
        <v>46162</v>
      </c>
      <c r="AC78" s="476" t="str">
        <f>'MIS 2026'!U78</f>
        <v>LDC&amp;PHYTO PENDING FROM BURKINA-FUMI COURIERED:1474986240-NEGO DHL PENDING</v>
      </c>
      <c r="AD78" s="474" t="str">
        <f>IF('MIS 2026'!BF78&gt;0,'MIS 2026'!BF78,"")</f>
        <v/>
      </c>
      <c r="AE78" s="476">
        <f>IF('MIS 2026'!N78&gt;0,'MIS 2026'!N78,"")</f>
        <v>46143</v>
      </c>
      <c r="AF78" s="474"/>
      <c r="AG78" s="478">
        <f>IF('MIS 2026'!BV78&lt;&gt;0,'MIS 2026'!BV78,"")</f>
        <v>90085893</v>
      </c>
      <c r="AH78" s="474">
        <f>IF('MIS 2026'!F78&lt;&gt;0,'MIS 2026'!F78,"")</f>
        <v>32015966</v>
      </c>
      <c r="AI78" s="463" t="str">
        <f t="shared" ca="1" si="20"/>
        <v/>
      </c>
      <c r="AJ78" s="474"/>
    </row>
    <row r="79" spans="1:36">
      <c r="A79" s="149" t="s">
        <v>208</v>
      </c>
      <c r="B79" s="149" t="str">
        <f>'MIS 2026'!EV79</f>
        <v>Export Loan</v>
      </c>
      <c r="C79" s="152">
        <f>'MIS 2026'!F79</f>
        <v>32015794</v>
      </c>
      <c r="D79" s="149" t="str">
        <f>'MIS 2026'!EH79</f>
        <v>VALORA BURKINA EXIM SARL</v>
      </c>
      <c r="E79" s="151">
        <f>'MIS 2026'!AF79</f>
        <v>150</v>
      </c>
      <c r="F79" s="150">
        <f>'MIS 2026'!EK79</f>
        <v>0</v>
      </c>
      <c r="G79" s="150">
        <f t="shared" si="16"/>
        <v>0</v>
      </c>
      <c r="H79" s="149">
        <f>'MIS 2026'!EL79</f>
        <v>0</v>
      </c>
      <c r="I79" s="148"/>
      <c r="J79" s="473">
        <f>'MIS 2026'!ER79</f>
        <v>0</v>
      </c>
      <c r="K79" s="473">
        <f t="shared" si="17"/>
        <v>0</v>
      </c>
      <c r="L79" s="473">
        <f>'MIS 2026'!EW79</f>
        <v>0</v>
      </c>
      <c r="M79" s="474">
        <f>IF('MIS 2026'!EZ79&gt;0,'MIS 2026'!EW79,0)</f>
        <v>0</v>
      </c>
      <c r="N79" s="474" t="str">
        <f>'MIS 2026'!I79</f>
        <v>BURKINA FASO</v>
      </c>
      <c r="O79" s="474" t="str">
        <f>'MIS 2026'!H79</f>
        <v>NGOC KHANG</v>
      </c>
      <c r="P79" s="473">
        <f>'MIS 2026'!AI79</f>
        <v>1450</v>
      </c>
      <c r="Q79" s="474" t="str">
        <f>'MIS 2026'!BQ79</f>
        <v>HCMC, VIETNAM</v>
      </c>
      <c r="R79" s="474">
        <f>'MIS 2026'!AM79</f>
        <v>0.1</v>
      </c>
      <c r="S79" s="474" t="str">
        <f>'MIS 2026'!AL79</f>
        <v>10% ADVANCE 88% DP AT SIGHT 2% after vina</v>
      </c>
      <c r="T79" s="473">
        <f>'MIS 2026'!AZ79</f>
        <v>21750</v>
      </c>
      <c r="U79" s="474" t="str">
        <f>IF('MIS 2026'!BI79="","",'MIS 2026'!BI79)</f>
        <v>TMA0159516</v>
      </c>
      <c r="V79" s="475">
        <f>IF('MIS 2026'!BJ79&gt;0,'MIS 2026'!BJ79,'MIS 2026'!AF79)</f>
        <v>135.245</v>
      </c>
      <c r="W79" s="476">
        <f>IF('MIS 2026'!BM79="","",'MIS 2026'!BM79)</f>
        <v>46141</v>
      </c>
      <c r="X79" s="476">
        <f>IF('MIS 2026'!BO79="","",'MIS 2026'!BO79)</f>
        <v>46181</v>
      </c>
      <c r="Y79" s="473">
        <f t="shared" si="18"/>
        <v>174355.25</v>
      </c>
      <c r="Z79" s="473">
        <f>IF('MIS 2026'!CR79&gt;0,'MIS 2026'!CQ79,0)</f>
        <v>0</v>
      </c>
      <c r="AA79" s="473">
        <f t="shared" si="19"/>
        <v>174355.25</v>
      </c>
      <c r="AB79" s="476">
        <f>IF('MIS 2026'!CM79="","",'MIS 2026'!CM79)</f>
        <v>46162</v>
      </c>
      <c r="AC79" s="476" t="str">
        <f>'MIS 2026'!U79</f>
        <v>NEGO DONE 20/5-DHL RCVD. FUMIGATION RCVD 20/5,  COO&amp;PHYTO PENDING - FUMI COURIERED:1474972601-NEGO DHL RCVD</v>
      </c>
      <c r="AD79" s="474" t="str">
        <f>IF('MIS 2026'!BF79&gt;0,'MIS 2026'!BF79,"")</f>
        <v/>
      </c>
      <c r="AE79" s="476">
        <f>IF('MIS 2026'!N79&gt;0,'MIS 2026'!N79,"")</f>
        <v>46141</v>
      </c>
      <c r="AF79" s="474"/>
      <c r="AG79" s="478">
        <f>IF('MIS 2026'!BV79&lt;&gt;0,'MIS 2026'!BV79,"")</f>
        <v>90085891</v>
      </c>
      <c r="AH79" s="474">
        <f>IF('MIS 2026'!F79&lt;&gt;0,'MIS 2026'!F79,"")</f>
        <v>32015794</v>
      </c>
      <c r="AI79" s="463" t="str">
        <f t="shared" ca="1" si="20"/>
        <v/>
      </c>
      <c r="AJ79" s="474"/>
    </row>
    <row r="80" spans="1:36">
      <c r="A80" s="149" t="s">
        <v>208</v>
      </c>
      <c r="B80" s="149" t="str">
        <f>'MIS 2026'!EV80</f>
        <v>Yet to load</v>
      </c>
      <c r="C80" s="152">
        <f>'MIS 2026'!F80</f>
        <v>32014569</v>
      </c>
      <c r="D80" s="149" t="str">
        <f>'MIS 2026'!EH80</f>
        <v xml:space="preserve">VALENCY IVC </v>
      </c>
      <c r="E80" s="151">
        <f>'MIS 2026'!AF80</f>
        <v>100</v>
      </c>
      <c r="F80" s="150">
        <f>'MIS 2026'!EK80</f>
        <v>0</v>
      </c>
      <c r="G80" s="150">
        <f t="shared" si="16"/>
        <v>0</v>
      </c>
      <c r="H80" s="149">
        <f>'MIS 2026'!EL80</f>
        <v>0</v>
      </c>
      <c r="I80" s="148"/>
      <c r="J80" s="473">
        <f>'MIS 2026'!ER80</f>
        <v>0</v>
      </c>
      <c r="K80" s="473">
        <f t="shared" si="17"/>
        <v>0</v>
      </c>
      <c r="L80" s="473">
        <f>'MIS 2026'!EW80</f>
        <v>0</v>
      </c>
      <c r="M80" s="474">
        <f>IF('MIS 2026'!EZ80&gt;0,'MIS 2026'!EW80,0)</f>
        <v>0</v>
      </c>
      <c r="N80" s="474" t="str">
        <f>'MIS 2026'!I80</f>
        <v>IVC</v>
      </c>
      <c r="O80" s="474" t="str">
        <f>'MIS 2026'!H80</f>
        <v>VALENCY AGRO //HSS//Anjali Cashew Traders</v>
      </c>
      <c r="P80" s="473">
        <f>'MIS 2026'!AI80</f>
        <v>1515</v>
      </c>
      <c r="Q80" s="474" t="str">
        <f>'MIS 2026'!BQ80</f>
        <v>KOLKATA, INDIA</v>
      </c>
      <c r="R80" s="474">
        <f>'MIS 2026'!AM80</f>
        <v>0</v>
      </c>
      <c r="S80" s="474" t="str">
        <f>'MIS 2026'!AL80</f>
        <v>DP SIGHT</v>
      </c>
      <c r="T80" s="473">
        <f>'MIS 2026'!AZ80</f>
        <v>0</v>
      </c>
      <c r="U80" s="474" t="str">
        <f>IF('MIS 2026'!BI80="","",'MIS 2026'!BI80)</f>
        <v/>
      </c>
      <c r="V80" s="475">
        <f>IF('MIS 2026'!BJ80&gt;0,'MIS 2026'!BJ80,'MIS 2026'!AF80)</f>
        <v>100</v>
      </c>
      <c r="W80" s="476" t="str">
        <f>IF('MIS 2026'!BM80="","",'MIS 2026'!BM80)</f>
        <v/>
      </c>
      <c r="X80" s="476" t="str">
        <f>IF('MIS 2026'!BO80="","",'MIS 2026'!BO80)</f>
        <v/>
      </c>
      <c r="Y80" s="473">
        <f t="shared" si="18"/>
        <v>151500</v>
      </c>
      <c r="Z80" s="473">
        <f>IF('MIS 2026'!CR80&gt;0,'MIS 2026'!CQ80,0)</f>
        <v>0</v>
      </c>
      <c r="AA80" s="473">
        <f t="shared" si="19"/>
        <v>151500</v>
      </c>
      <c r="AB80" s="476" t="str">
        <f>IF('MIS 2026'!CM80="","",'MIS 2026'!CM80)</f>
        <v/>
      </c>
      <c r="AC80" s="476" t="str">
        <f>'MIS 2026'!U80</f>
        <v xml:space="preserve">RCVD COUNTERSIGNED-269062811
</v>
      </c>
      <c r="AD80" s="474">
        <f>IF('MIS 2026'!BF80&gt;0,'MIS 2026'!BF80,"")</f>
        <v>46083</v>
      </c>
      <c r="AE80" s="476" t="str">
        <f>IF('MIS 2026'!N80&gt;0,'MIS 2026'!N80,"")</f>
        <v/>
      </c>
      <c r="AF80" s="474"/>
      <c r="AG80" s="478" t="str">
        <f>IF('MIS 2026'!BV80&lt;&gt;0,'MIS 2026'!BV80,"")</f>
        <v/>
      </c>
      <c r="AH80" s="474">
        <f>IF('MIS 2026'!F80&lt;&gt;0,'MIS 2026'!F80,"")</f>
        <v>32014569</v>
      </c>
      <c r="AI80" s="463" t="str">
        <f t="shared" ca="1" si="20"/>
        <v/>
      </c>
      <c r="AJ80" s="474"/>
    </row>
    <row r="81" spans="1:36">
      <c r="A81" s="149" t="s">
        <v>208</v>
      </c>
      <c r="B81" s="149" t="str">
        <f>'MIS 2026'!EV81</f>
        <v>Yet to load</v>
      </c>
      <c r="C81" s="152" t="str">
        <f>'MIS 2026'!F81</f>
        <v>32014540-2</v>
      </c>
      <c r="D81" s="149" t="str">
        <f>'MIS 2026'!EH81</f>
        <v xml:space="preserve">VALENCY IVC </v>
      </c>
      <c r="E81" s="151">
        <f>'MIS 2026'!AF81</f>
        <v>250</v>
      </c>
      <c r="F81" s="150">
        <f>'MIS 2026'!EK81</f>
        <v>0</v>
      </c>
      <c r="G81" s="150">
        <f t="shared" si="16"/>
        <v>0</v>
      </c>
      <c r="H81" s="149">
        <f>'MIS 2026'!EL81</f>
        <v>0</v>
      </c>
      <c r="I81" s="148"/>
      <c r="J81" s="473">
        <f>'MIS 2026'!ER81</f>
        <v>0</v>
      </c>
      <c r="K81" s="473">
        <f t="shared" si="17"/>
        <v>0</v>
      </c>
      <c r="L81" s="473">
        <f>'MIS 2026'!EW81</f>
        <v>0</v>
      </c>
      <c r="M81" s="474">
        <f>IF('MIS 2026'!EZ81&gt;0,'MIS 2026'!EW81,0)</f>
        <v>0</v>
      </c>
      <c r="N81" s="474" t="str">
        <f>'MIS 2026'!I81</f>
        <v>IVC</v>
      </c>
      <c r="O81" s="474" t="str">
        <f>'MIS 2026'!H81</f>
        <v xml:space="preserve">SHREE KRISHNAPRASAD CASHEWS </v>
      </c>
      <c r="P81" s="473">
        <f>'MIS 2026'!AI81</f>
        <v>1510</v>
      </c>
      <c r="Q81" s="474" t="str">
        <f>'MIS 2026'!BQ81</f>
        <v>MANGALORE, INDIA</v>
      </c>
      <c r="R81" s="474">
        <f>'MIS 2026'!AM81</f>
        <v>0.1</v>
      </c>
      <c r="S81" s="474" t="str">
        <f>'MIS 2026'!AL81</f>
        <v>DP SIGHT</v>
      </c>
      <c r="T81" s="473">
        <f>'MIS 2026'!AZ81</f>
        <v>37750</v>
      </c>
      <c r="U81" s="474">
        <f>IF('MIS 2026'!BI81="","",'MIS 2026'!BI81)</f>
        <v>269636234</v>
      </c>
      <c r="V81" s="475">
        <f>IF('MIS 2026'!BJ81&gt;0,'MIS 2026'!BJ81,'MIS 2026'!AF81)</f>
        <v>242.75</v>
      </c>
      <c r="W81" s="476">
        <f>IF('MIS 2026'!BM81="","",'MIS 2026'!BM81)</f>
        <v>46172</v>
      </c>
      <c r="X81" s="476">
        <f>IF('MIS 2026'!BO81="","",'MIS 2026'!BO81)</f>
        <v>46202</v>
      </c>
      <c r="Y81" s="473">
        <f t="shared" si="18"/>
        <v>328802.5</v>
      </c>
      <c r="Z81" s="473">
        <f>IF('MIS 2026'!CR81&gt;0,'MIS 2026'!CQ81,0)</f>
        <v>0</v>
      </c>
      <c r="AA81" s="473">
        <f t="shared" si="19"/>
        <v>328802.5</v>
      </c>
      <c r="AB81" s="476" t="str">
        <f>IF('MIS 2026'!CM81="","",'MIS 2026'!CM81)</f>
        <v/>
      </c>
      <c r="AC81" s="476" t="str">
        <f>'MIS 2026'!U81</f>
        <v xml:space="preserve"> 269636234 
</v>
      </c>
      <c r="AD81" s="474">
        <f>IF('MIS 2026'!BF81&gt;0,'MIS 2026'!BF81,"")</f>
        <v>46083</v>
      </c>
      <c r="AE81" s="476">
        <f>IF('MIS 2026'!N81&gt;0,'MIS 2026'!N81,"")</f>
        <v>46172</v>
      </c>
      <c r="AF81" s="474"/>
      <c r="AG81" s="478" t="str">
        <f>IF('MIS 2026'!BV81&lt;&gt;0,'MIS 2026'!BV81,"")</f>
        <v/>
      </c>
      <c r="AH81" s="474" t="str">
        <f>IF('MIS 2026'!F81&lt;&gt;0,'MIS 2026'!F81,"")</f>
        <v>32014540-2</v>
      </c>
      <c r="AI81" s="463">
        <f t="shared" ca="1" si="20"/>
        <v>0</v>
      </c>
      <c r="AJ81" s="474"/>
    </row>
    <row r="82" spans="1:36">
      <c r="A82" s="149" t="s">
        <v>208</v>
      </c>
      <c r="B82" s="149" t="str">
        <f>'MIS 2026'!EV82</f>
        <v>Yet to load</v>
      </c>
      <c r="C82" s="152">
        <f>'MIS 2026'!F82</f>
        <v>32014577</v>
      </c>
      <c r="D82" s="149" t="str">
        <f>'MIS 2026'!EH82</f>
        <v xml:space="preserve">VALENCY IVC </v>
      </c>
      <c r="E82" s="151">
        <f>'MIS 2026'!AF82</f>
        <v>100</v>
      </c>
      <c r="F82" s="150">
        <f>'MIS 2026'!EK82</f>
        <v>0</v>
      </c>
      <c r="G82" s="150">
        <f t="shared" si="16"/>
        <v>0</v>
      </c>
      <c r="H82" s="149">
        <f>'MIS 2026'!EL82</f>
        <v>0</v>
      </c>
      <c r="I82" s="148"/>
      <c r="J82" s="473">
        <f>'MIS 2026'!ER82</f>
        <v>0</v>
      </c>
      <c r="K82" s="473">
        <f t="shared" si="17"/>
        <v>0</v>
      </c>
      <c r="L82" s="473">
        <f>'MIS 2026'!EW82</f>
        <v>0</v>
      </c>
      <c r="M82" s="474">
        <f>IF('MIS 2026'!EZ82&gt;0,'MIS 2026'!EW82,0)</f>
        <v>0</v>
      </c>
      <c r="N82" s="474" t="str">
        <f>'MIS 2026'!I82</f>
        <v>IVC</v>
      </c>
      <c r="O82" s="474" t="str">
        <f>'MIS 2026'!H82</f>
        <v xml:space="preserve">VALENCY AGRO //HSS//Jaheer Cashew </v>
      </c>
      <c r="P82" s="473">
        <f>'MIS 2026'!AI82</f>
        <v>1515</v>
      </c>
      <c r="Q82" s="474" t="str">
        <f>'MIS 2026'!BQ82</f>
        <v>KOLKATA, INDIA</v>
      </c>
      <c r="R82" s="474">
        <f>'MIS 2026'!AM82</f>
        <v>0</v>
      </c>
      <c r="S82" s="474" t="str">
        <f>'MIS 2026'!AL82</f>
        <v>DP SIGHT</v>
      </c>
      <c r="T82" s="473">
        <f>'MIS 2026'!AZ82</f>
        <v>0</v>
      </c>
      <c r="U82" s="474" t="str">
        <f>IF('MIS 2026'!BI82="","",'MIS 2026'!BI82)</f>
        <v/>
      </c>
      <c r="V82" s="475">
        <f>IF('MIS 2026'!BJ82&gt;0,'MIS 2026'!BJ82,'MIS 2026'!AF82)</f>
        <v>100</v>
      </c>
      <c r="W82" s="476" t="str">
        <f>IF('MIS 2026'!BM82="","",'MIS 2026'!BM82)</f>
        <v/>
      </c>
      <c r="X82" s="476" t="str">
        <f>IF('MIS 2026'!BO82="","",'MIS 2026'!BO82)</f>
        <v/>
      </c>
      <c r="Y82" s="473">
        <f t="shared" si="18"/>
        <v>151500</v>
      </c>
      <c r="Z82" s="473">
        <f>IF('MIS 2026'!CR82&gt;0,'MIS 2026'!CQ82,0)</f>
        <v>0</v>
      </c>
      <c r="AA82" s="473">
        <f t="shared" si="19"/>
        <v>151500</v>
      </c>
      <c r="AB82" s="476" t="str">
        <f>IF('MIS 2026'!CM82="","",'MIS 2026'!CM82)</f>
        <v/>
      </c>
      <c r="AC82" s="476" t="str">
        <f>'MIS 2026'!U82</f>
        <v xml:space="preserve">RCVD COUNTERSIGNED-269062694
</v>
      </c>
      <c r="AD82" s="474">
        <f>IF('MIS 2026'!BF82&gt;0,'MIS 2026'!BF82,"")</f>
        <v>46083</v>
      </c>
      <c r="AE82" s="476" t="str">
        <f>IF('MIS 2026'!N82&gt;0,'MIS 2026'!N82,"")</f>
        <v/>
      </c>
      <c r="AF82" s="474"/>
      <c r="AG82" s="478" t="str">
        <f>IF('MIS 2026'!BV82&lt;&gt;0,'MIS 2026'!BV82,"")</f>
        <v/>
      </c>
      <c r="AH82" s="474">
        <f>IF('MIS 2026'!F82&lt;&gt;0,'MIS 2026'!F82,"")</f>
        <v>32014577</v>
      </c>
      <c r="AI82" s="463" t="str">
        <f t="shared" ca="1" si="20"/>
        <v/>
      </c>
      <c r="AJ82" s="474"/>
    </row>
    <row r="83" spans="1:36">
      <c r="A83" s="149" t="s">
        <v>208</v>
      </c>
      <c r="B83" s="149" t="str">
        <f>'MIS 2026'!EV83</f>
        <v>Yet to load</v>
      </c>
      <c r="C83" s="152">
        <f>'MIS 2026'!F83</f>
        <v>32014576</v>
      </c>
      <c r="D83" s="149" t="str">
        <f>'MIS 2026'!EH83</f>
        <v xml:space="preserve">VALENCY IVC </v>
      </c>
      <c r="E83" s="151">
        <f>'MIS 2026'!AF83</f>
        <v>100</v>
      </c>
      <c r="F83" s="150">
        <f>'MIS 2026'!EK83</f>
        <v>0</v>
      </c>
      <c r="G83" s="150">
        <f t="shared" si="16"/>
        <v>0</v>
      </c>
      <c r="H83" s="149">
        <f>'MIS 2026'!EL83</f>
        <v>0</v>
      </c>
      <c r="I83" s="148"/>
      <c r="J83" s="473">
        <f>'MIS 2026'!ER83</f>
        <v>0</v>
      </c>
      <c r="K83" s="473">
        <f t="shared" si="17"/>
        <v>0</v>
      </c>
      <c r="L83" s="473">
        <f>'MIS 2026'!EW83</f>
        <v>0</v>
      </c>
      <c r="M83" s="474">
        <f>IF('MIS 2026'!EZ83&gt;0,'MIS 2026'!EW83,0)</f>
        <v>0</v>
      </c>
      <c r="N83" s="474" t="str">
        <f>'MIS 2026'!I83</f>
        <v>IVC</v>
      </c>
      <c r="O83" s="474" t="str">
        <f>'MIS 2026'!H83</f>
        <v xml:space="preserve">VALENCY AGRO //HSS//Moonstar Cashew </v>
      </c>
      <c r="P83" s="473">
        <f>'MIS 2026'!AI83</f>
        <v>1515</v>
      </c>
      <c r="Q83" s="474" t="str">
        <f>'MIS 2026'!BQ83</f>
        <v>KOLKATA, INDIA</v>
      </c>
      <c r="R83" s="474">
        <f>'MIS 2026'!AM83</f>
        <v>0</v>
      </c>
      <c r="S83" s="474" t="str">
        <f>'MIS 2026'!AL83</f>
        <v>DP SIGHT</v>
      </c>
      <c r="T83" s="473">
        <f>'MIS 2026'!AZ83</f>
        <v>0</v>
      </c>
      <c r="U83" s="474" t="str">
        <f>IF('MIS 2026'!BI83="","",'MIS 2026'!BI83)</f>
        <v/>
      </c>
      <c r="V83" s="475">
        <f>IF('MIS 2026'!BJ83&gt;0,'MIS 2026'!BJ83,'MIS 2026'!AF83)</f>
        <v>100</v>
      </c>
      <c r="W83" s="476" t="str">
        <f>IF('MIS 2026'!BM83="","",'MIS 2026'!BM83)</f>
        <v/>
      </c>
      <c r="X83" s="476" t="str">
        <f>IF('MIS 2026'!BO83="","",'MIS 2026'!BO83)</f>
        <v/>
      </c>
      <c r="Y83" s="473">
        <f t="shared" si="18"/>
        <v>151500</v>
      </c>
      <c r="Z83" s="473">
        <f>IF('MIS 2026'!CR83&gt;0,'MIS 2026'!CQ83,0)</f>
        <v>0</v>
      </c>
      <c r="AA83" s="473">
        <f t="shared" si="19"/>
        <v>151500</v>
      </c>
      <c r="AB83" s="476" t="str">
        <f>IF('MIS 2026'!CM83="","",'MIS 2026'!CM83)</f>
        <v/>
      </c>
      <c r="AC83" s="476" t="str">
        <f>'MIS 2026'!U83</f>
        <v xml:space="preserve">RCVD COUNTERSIGNED-269062523
</v>
      </c>
      <c r="AD83" s="474">
        <f>IF('MIS 2026'!BF83&gt;0,'MIS 2026'!BF83,"")</f>
        <v>46083</v>
      </c>
      <c r="AE83" s="476" t="str">
        <f>IF('MIS 2026'!N83&gt;0,'MIS 2026'!N83,"")</f>
        <v/>
      </c>
      <c r="AF83" s="474"/>
      <c r="AG83" s="478" t="str">
        <f>IF('MIS 2026'!BV83&lt;&gt;0,'MIS 2026'!BV83,"")</f>
        <v/>
      </c>
      <c r="AH83" s="474">
        <f>IF('MIS 2026'!F83&lt;&gt;0,'MIS 2026'!F83,"")</f>
        <v>32014576</v>
      </c>
      <c r="AI83" s="463" t="str">
        <f t="shared" ca="1" si="20"/>
        <v/>
      </c>
      <c r="AJ83" s="474"/>
    </row>
    <row r="84" spans="1:36">
      <c r="A84" s="149" t="s">
        <v>208</v>
      </c>
      <c r="B84" s="149" t="str">
        <f>'MIS 2026'!EV84</f>
        <v>Export Loan</v>
      </c>
      <c r="C84" s="152">
        <f>'MIS 2026'!F84</f>
        <v>32016323</v>
      </c>
      <c r="D84" s="149" t="str">
        <f>'MIS 2026'!EH84</f>
        <v>Valora Exim</v>
      </c>
      <c r="E84" s="151">
        <f>'MIS 2026'!AF84</f>
        <v>250</v>
      </c>
      <c r="F84" s="150">
        <f>'MIS 2026'!EK84</f>
        <v>0</v>
      </c>
      <c r="G84" s="150">
        <f t="shared" si="16"/>
        <v>0</v>
      </c>
      <c r="H84" s="149">
        <f>'MIS 2026'!EL84</f>
        <v>0</v>
      </c>
      <c r="I84" s="148"/>
      <c r="J84" s="473">
        <f>'MIS 2026'!ER84</f>
        <v>0</v>
      </c>
      <c r="K84" s="473">
        <f t="shared" si="17"/>
        <v>0</v>
      </c>
      <c r="L84" s="473">
        <f>'MIS 2026'!EW84</f>
        <v>0</v>
      </c>
      <c r="M84" s="474">
        <f>IF('MIS 2026'!EZ84&gt;0,'MIS 2026'!EW84,0)</f>
        <v>0</v>
      </c>
      <c r="N84" s="474" t="str">
        <f>'MIS 2026'!I84</f>
        <v>GHANA</v>
      </c>
      <c r="O84" s="474" t="str">
        <f>'MIS 2026'!H84</f>
        <v>TERRA NUTS GROUP JOINT STOCK COMPANY</v>
      </c>
      <c r="P84" s="473">
        <f>'MIS 2026'!AI84</f>
        <v>1515</v>
      </c>
      <c r="Q84" s="474" t="str">
        <f>'MIS 2026'!BQ84</f>
        <v>HCMC, VIETNAM</v>
      </c>
      <c r="R84" s="474">
        <f>'MIS 2026'!AM84</f>
        <v>0.1</v>
      </c>
      <c r="S84" s="474" t="str">
        <f>'MIS 2026'!AL84</f>
        <v>10% ADVANCE 88% DP AT SIGHT 2% after vina</v>
      </c>
      <c r="T84" s="473">
        <f>'MIS 2026'!AZ84</f>
        <v>37875</v>
      </c>
      <c r="U84" s="474" t="str">
        <f>IF('MIS 2026'!BI84="","",'MIS 2026'!BI84)</f>
        <v>ONEYTEMG00400600</v>
      </c>
      <c r="V84" s="475">
        <f>IF('MIS 2026'!BJ84&gt;0,'MIS 2026'!BJ84,'MIS 2026'!AF84)</f>
        <v>259</v>
      </c>
      <c r="W84" s="476">
        <f>IF('MIS 2026'!BM84="","",'MIS 2026'!BM84)</f>
        <v>46144</v>
      </c>
      <c r="X84" s="476">
        <f>IF('MIS 2026'!BO84="","",'MIS 2026'!BO84)</f>
        <v>46178</v>
      </c>
      <c r="Y84" s="473">
        <f t="shared" si="18"/>
        <v>354510</v>
      </c>
      <c r="Z84" s="473">
        <f>IF('MIS 2026'!CR84&gt;0,'MIS 2026'!CQ84,0)</f>
        <v>0</v>
      </c>
      <c r="AA84" s="473">
        <f t="shared" si="19"/>
        <v>354510</v>
      </c>
      <c r="AB84" s="476">
        <f>IF('MIS 2026'!CM84="","",'MIS 2026'!CM84)</f>
        <v>46162</v>
      </c>
      <c r="AC84" s="476" t="str">
        <f>'MIS 2026'!U84</f>
        <v>FINAL CERTS APPROVED 25/5- NEGO DHL RCVD</v>
      </c>
      <c r="AD84" s="474" t="str">
        <f>IF('MIS 2026'!BF84&gt;0,'MIS 2026'!BF84,"")</f>
        <v/>
      </c>
      <c r="AE84" s="476">
        <f>IF('MIS 2026'!N84&gt;0,'MIS 2026'!N84,"")</f>
        <v>46144</v>
      </c>
      <c r="AF84" s="474"/>
      <c r="AG84" s="478">
        <f>IF('MIS 2026'!BV84&lt;&gt;0,'MIS 2026'!BV84,"")</f>
        <v>90082920</v>
      </c>
      <c r="AH84" s="474">
        <f>IF('MIS 2026'!F84&lt;&gt;0,'MIS 2026'!F84,"")</f>
        <v>32016323</v>
      </c>
      <c r="AI84" s="463" t="str">
        <f t="shared" ca="1" si="20"/>
        <v/>
      </c>
      <c r="AJ84" s="474"/>
    </row>
    <row r="85" spans="1:36">
      <c r="A85" s="149" t="s">
        <v>208</v>
      </c>
      <c r="B85" s="149" t="str">
        <f>'MIS 2026'!EV85</f>
        <v>Export Loan</v>
      </c>
      <c r="C85" s="152">
        <f>'MIS 2026'!F85</f>
        <v>32014448</v>
      </c>
      <c r="D85" s="149" t="str">
        <f>'MIS 2026'!EH85</f>
        <v>STANDARD FOCUS ROYALLERE</v>
      </c>
      <c r="E85" s="151">
        <f>'MIS 2026'!AF85</f>
        <v>100.7</v>
      </c>
      <c r="F85" s="150">
        <f>'MIS 2026'!EK85</f>
        <v>1500</v>
      </c>
      <c r="G85" s="150">
        <f t="shared" si="16"/>
        <v>151050</v>
      </c>
      <c r="H85" s="149">
        <f>'MIS 2026'!EL85</f>
        <v>0</v>
      </c>
      <c r="I85" s="148"/>
      <c r="J85" s="473">
        <f>'MIS 2026'!ER85</f>
        <v>106956.2</v>
      </c>
      <c r="K85" s="473">
        <f t="shared" si="17"/>
        <v>44093.8</v>
      </c>
      <c r="L85" s="473">
        <f>'MIS 2026'!EW85</f>
        <v>0</v>
      </c>
      <c r="M85" s="474">
        <f>IF('MIS 2026'!EZ85&gt;0,'MIS 2026'!EW85,0)</f>
        <v>0</v>
      </c>
      <c r="N85" s="474" t="str">
        <f>'MIS 2026'!I85</f>
        <v>NIGERIA(OGB)</v>
      </c>
      <c r="O85" s="474" t="str">
        <f>'MIS 2026'!H85</f>
        <v>Valency Agro (Processing)</v>
      </c>
      <c r="P85" s="473">
        <f>'MIS 2026'!AI85</f>
        <v>1683</v>
      </c>
      <c r="Q85" s="474" t="str">
        <f>'MIS 2026'!BQ85</f>
        <v>MUNDRA, INDIA</v>
      </c>
      <c r="R85" s="474">
        <f>'MIS 2026'!AM85</f>
        <v>0</v>
      </c>
      <c r="S85" s="474" t="str">
        <f>'MIS 2026'!AL85</f>
        <v>90 DAYS FROM BL DATE</v>
      </c>
      <c r="T85" s="473">
        <f>'MIS 2026'!AZ85</f>
        <v>0</v>
      </c>
      <c r="U85" s="474" t="str">
        <f>IF('MIS 2026'!BI85="","",'MIS 2026'!BI85)</f>
        <v>MEDULG631418</v>
      </c>
      <c r="V85" s="475">
        <f>IF('MIS 2026'!BJ85&gt;0,'MIS 2026'!BJ85,'MIS 2026'!AF85)</f>
        <v>100.7</v>
      </c>
      <c r="W85" s="476">
        <f>IF('MIS 2026'!BM85="","",'MIS 2026'!BM85)</f>
        <v>46131</v>
      </c>
      <c r="X85" s="476">
        <f>IF('MIS 2026'!BO85="","",'MIS 2026'!BO85)</f>
        <v>46178</v>
      </c>
      <c r="Y85" s="473">
        <f t="shared" si="18"/>
        <v>169478.1</v>
      </c>
      <c r="Z85" s="473">
        <f>IF('MIS 2026'!CR85&gt;0,'MIS 2026'!CQ85,0)</f>
        <v>0</v>
      </c>
      <c r="AA85" s="473">
        <f t="shared" si="19"/>
        <v>169478.1</v>
      </c>
      <c r="AB85" s="476">
        <f>IF('MIS 2026'!CM85="","",'MIS 2026'!CM85)</f>
        <v>46157</v>
      </c>
      <c r="AC85" s="476" t="str">
        <f>'MIS 2026'!U85</f>
        <v xml:space="preserve">Payment by Valency Agro will be done, 90 days after BL date- </v>
      </c>
      <c r="AD85" s="474">
        <f>IF('MIS 2026'!BF85&gt;0,'MIS 2026'!BF85,"")</f>
        <v>46078</v>
      </c>
      <c r="AE85" s="476">
        <f>IF('MIS 2026'!N85&gt;0,'MIS 2026'!N85,"")</f>
        <v>46131</v>
      </c>
      <c r="AF85" s="474"/>
      <c r="AG85" s="478">
        <f>IF('MIS 2026'!BV85&lt;&gt;0,'MIS 2026'!BV85,"")</f>
        <v>90085607</v>
      </c>
      <c r="AH85" s="474">
        <f>IF('MIS 2026'!F85&lt;&gt;0,'MIS 2026'!F85,"")</f>
        <v>32014448</v>
      </c>
      <c r="AI85" s="463" t="str">
        <f t="shared" ca="1" si="20"/>
        <v/>
      </c>
      <c r="AJ85" s="474"/>
    </row>
    <row r="86" spans="1:36">
      <c r="A86" s="149" t="s">
        <v>208</v>
      </c>
      <c r="B86" s="149" t="str">
        <f>'MIS 2026'!EV86</f>
        <v>Export Loan</v>
      </c>
      <c r="C86" s="152" t="str">
        <f>'MIS 2026'!F86</f>
        <v>32015968-1</v>
      </c>
      <c r="D86" s="149" t="str">
        <f>'MIS 2026'!EH86</f>
        <v xml:space="preserve">VALENCY IVC </v>
      </c>
      <c r="E86" s="151">
        <f>'MIS 2026'!AF86</f>
        <v>250</v>
      </c>
      <c r="F86" s="150">
        <f>'MIS 2026'!EK86</f>
        <v>1244</v>
      </c>
      <c r="G86" s="150">
        <f t="shared" si="16"/>
        <v>311000</v>
      </c>
      <c r="H86" s="149">
        <f>'MIS 2026'!EL86</f>
        <v>0</v>
      </c>
      <c r="I86" s="148"/>
      <c r="J86" s="473">
        <f>'MIS 2026'!ER86</f>
        <v>0</v>
      </c>
      <c r="K86" s="473">
        <f t="shared" si="17"/>
        <v>311000</v>
      </c>
      <c r="L86" s="473">
        <f>'MIS 2026'!EW86</f>
        <v>0</v>
      </c>
      <c r="M86" s="474">
        <f>IF('MIS 2026'!EZ86&gt;0,'MIS 2026'!EW86,0)</f>
        <v>0</v>
      </c>
      <c r="N86" s="474" t="str">
        <f>'MIS 2026'!I86</f>
        <v>IVC</v>
      </c>
      <c r="O86" s="474" t="str">
        <f>'MIS 2026'!H86</f>
        <v>Valency Agro (Processing)</v>
      </c>
      <c r="P86" s="473">
        <f>'MIS 2026'!AI86</f>
        <v>1508</v>
      </c>
      <c r="Q86" s="474" t="str">
        <f>'MIS 2026'!BQ86</f>
        <v>MANGALORE, INDIA</v>
      </c>
      <c r="R86" s="474">
        <f>'MIS 2026'!AM86</f>
        <v>0</v>
      </c>
      <c r="S86" s="474" t="str">
        <f>'MIS 2026'!AL86</f>
        <v>DP SIGHT</v>
      </c>
      <c r="T86" s="473">
        <f>'MIS 2026'!AZ86</f>
        <v>0</v>
      </c>
      <c r="U86" s="474" t="str">
        <f>IF('MIS 2026'!BI86="","",'MIS 2026'!BI86)</f>
        <v>MEDUEY230918</v>
      </c>
      <c r="V86" s="475">
        <f>IF('MIS 2026'!BJ86&gt;0,'MIS 2026'!BJ86,'MIS 2026'!AF86)</f>
        <v>243.65</v>
      </c>
      <c r="W86" s="476">
        <f>IF('MIS 2026'!BM86="","",'MIS 2026'!BM86)</f>
        <v>46146</v>
      </c>
      <c r="X86" s="476">
        <f>IF('MIS 2026'!BO86="","",'MIS 2026'!BO86)</f>
        <v>46172</v>
      </c>
      <c r="Y86" s="473">
        <f t="shared" si="18"/>
        <v>367424.2</v>
      </c>
      <c r="Z86" s="473">
        <f>IF('MIS 2026'!CR86&gt;0,'MIS 2026'!CQ86,0)</f>
        <v>0</v>
      </c>
      <c r="AA86" s="473">
        <f t="shared" si="19"/>
        <v>367424.2</v>
      </c>
      <c r="AB86" s="476">
        <f>IF('MIS 2026'!CM86="","",'MIS 2026'!CM86)</f>
        <v>46163</v>
      </c>
      <c r="AC86" s="476" t="str">
        <f>'MIS 2026'!U86</f>
        <v>NEGO DHL PENDING</v>
      </c>
      <c r="AD86" s="474">
        <f>IF('MIS 2026'!BF86&gt;0,'MIS 2026'!BF86,"")</f>
        <v>46078</v>
      </c>
      <c r="AE86" s="476">
        <f>IF('MIS 2026'!N86&gt;0,'MIS 2026'!N86,"")</f>
        <v>46146</v>
      </c>
      <c r="AF86" s="474"/>
      <c r="AG86" s="478">
        <f>IF('MIS 2026'!BV86&lt;&gt;0,'MIS 2026'!BV86,"")</f>
        <v>90085927</v>
      </c>
      <c r="AH86" s="474" t="str">
        <f>IF('MIS 2026'!F86&lt;&gt;0,'MIS 2026'!F86,"")</f>
        <v>32015968-1</v>
      </c>
      <c r="AI86" s="463" t="str">
        <f t="shared" ca="1" si="20"/>
        <v/>
      </c>
      <c r="AJ86" s="474"/>
    </row>
    <row r="87" spans="1:36">
      <c r="A87" s="149" t="s">
        <v>208</v>
      </c>
      <c r="B87" s="149" t="str">
        <f>'MIS 2026'!EV87</f>
        <v>Yet to load</v>
      </c>
      <c r="C87" s="152">
        <f>'MIS 2026'!F87</f>
        <v>32014574</v>
      </c>
      <c r="D87" s="149" t="str">
        <f>'MIS 2026'!EH87</f>
        <v xml:space="preserve">VALENCY IVC </v>
      </c>
      <c r="E87" s="151">
        <f>'MIS 2026'!AF87</f>
        <v>100</v>
      </c>
      <c r="F87" s="150">
        <f>'MIS 2026'!EK87</f>
        <v>0</v>
      </c>
      <c r="G87" s="150">
        <f t="shared" si="16"/>
        <v>0</v>
      </c>
      <c r="H87" s="149">
        <f>'MIS 2026'!EL87</f>
        <v>0</v>
      </c>
      <c r="I87" s="148"/>
      <c r="J87" s="473">
        <f>'MIS 2026'!ER87</f>
        <v>0</v>
      </c>
      <c r="K87" s="473">
        <f t="shared" si="17"/>
        <v>0</v>
      </c>
      <c r="L87" s="473">
        <f>'MIS 2026'!EW87</f>
        <v>0</v>
      </c>
      <c r="M87" s="474">
        <f>IF('MIS 2026'!EZ87&gt;0,'MIS 2026'!EW87,0)</f>
        <v>0</v>
      </c>
      <c r="N87" s="474" t="str">
        <f>'MIS 2026'!I87</f>
        <v>IVC</v>
      </c>
      <c r="O87" s="474" t="str">
        <f>'MIS 2026'!H87</f>
        <v xml:space="preserve">VALENCY AGRO //HSS//Sahena Cashew </v>
      </c>
      <c r="P87" s="473">
        <f>'MIS 2026'!AI87</f>
        <v>1515</v>
      </c>
      <c r="Q87" s="474" t="str">
        <f>'MIS 2026'!BQ87</f>
        <v>KOLKATA, INDIA</v>
      </c>
      <c r="R87" s="474">
        <f>'MIS 2026'!AM87</f>
        <v>0</v>
      </c>
      <c r="S87" s="474" t="str">
        <f>'MIS 2026'!AL87</f>
        <v>DP SIGHT</v>
      </c>
      <c r="T87" s="473">
        <f>'MIS 2026'!AZ87</f>
        <v>0</v>
      </c>
      <c r="U87" s="474" t="str">
        <f>IF('MIS 2026'!BI87="","",'MIS 2026'!BI87)</f>
        <v/>
      </c>
      <c r="V87" s="475">
        <f>IF('MIS 2026'!BJ87&gt;0,'MIS 2026'!BJ87,'MIS 2026'!AF87)</f>
        <v>100</v>
      </c>
      <c r="W87" s="476" t="str">
        <f>IF('MIS 2026'!BM87="","",'MIS 2026'!BM87)</f>
        <v/>
      </c>
      <c r="X87" s="476" t="str">
        <f>IF('MIS 2026'!BO87="","",'MIS 2026'!BO87)</f>
        <v/>
      </c>
      <c r="Y87" s="473">
        <f t="shared" si="18"/>
        <v>151500</v>
      </c>
      <c r="Z87" s="473">
        <f>IF('MIS 2026'!CR87&gt;0,'MIS 2026'!CQ87,0)</f>
        <v>0</v>
      </c>
      <c r="AA87" s="473">
        <f t="shared" si="19"/>
        <v>151500</v>
      </c>
      <c r="AB87" s="476" t="str">
        <f>IF('MIS 2026'!CM87="","",'MIS 2026'!CM87)</f>
        <v/>
      </c>
      <c r="AC87" s="476" t="str">
        <f>'MIS 2026'!U87</f>
        <v xml:space="preserve">RCVD COUNTERSIGNED-269062760
</v>
      </c>
      <c r="AD87" s="474">
        <f>IF('MIS 2026'!BF87&gt;0,'MIS 2026'!BF87,"")</f>
        <v>46083</v>
      </c>
      <c r="AE87" s="476" t="str">
        <f>IF('MIS 2026'!N87&gt;0,'MIS 2026'!N87,"")</f>
        <v/>
      </c>
      <c r="AF87" s="474"/>
      <c r="AG87" s="478" t="str">
        <f>IF('MIS 2026'!BV87&lt;&gt;0,'MIS 2026'!BV87,"")</f>
        <v/>
      </c>
      <c r="AH87" s="474">
        <f>IF('MIS 2026'!F87&lt;&gt;0,'MIS 2026'!F87,"")</f>
        <v>32014574</v>
      </c>
      <c r="AI87" s="463" t="str">
        <f t="shared" ca="1" si="20"/>
        <v/>
      </c>
      <c r="AJ87" s="474"/>
    </row>
    <row r="88" spans="1:36">
      <c r="A88" s="149" t="s">
        <v>208</v>
      </c>
      <c r="B88" s="149" t="str">
        <f>'MIS 2026'!EV88</f>
        <v>Export Loan</v>
      </c>
      <c r="C88" s="152" t="str">
        <f>'MIS 2026'!F88</f>
        <v>32015968-2</v>
      </c>
      <c r="D88" s="149" t="str">
        <f>'MIS 2026'!EH88</f>
        <v xml:space="preserve">VALENCY IVC </v>
      </c>
      <c r="E88" s="151">
        <f>'MIS 2026'!AF88</f>
        <v>250</v>
      </c>
      <c r="F88" s="150">
        <f>'MIS 2026'!EK88</f>
        <v>1244</v>
      </c>
      <c r="G88" s="150">
        <f t="shared" si="16"/>
        <v>311000</v>
      </c>
      <c r="H88" s="149">
        <f>'MIS 2026'!EL88</f>
        <v>0</v>
      </c>
      <c r="I88" s="148"/>
      <c r="J88" s="473">
        <f>'MIS 2026'!ER88</f>
        <v>0</v>
      </c>
      <c r="K88" s="473">
        <f t="shared" si="17"/>
        <v>311000</v>
      </c>
      <c r="L88" s="473">
        <f>'MIS 2026'!EW88</f>
        <v>0</v>
      </c>
      <c r="M88" s="474">
        <f>IF('MIS 2026'!EZ88&gt;0,'MIS 2026'!EW88,0)</f>
        <v>0</v>
      </c>
      <c r="N88" s="474" t="str">
        <f>'MIS 2026'!I88</f>
        <v>IVC</v>
      </c>
      <c r="O88" s="474" t="str">
        <f>'MIS 2026'!H88</f>
        <v>Valency Agro (Processing)</v>
      </c>
      <c r="P88" s="473">
        <f>'MIS 2026'!AI88</f>
        <v>1508</v>
      </c>
      <c r="Q88" s="474" t="str">
        <f>'MIS 2026'!BQ88</f>
        <v>MANGALORE, INDIA</v>
      </c>
      <c r="R88" s="474">
        <f>'MIS 2026'!AM88</f>
        <v>0</v>
      </c>
      <c r="S88" s="474" t="str">
        <f>'MIS 2026'!AL88</f>
        <v>DP SIGHT</v>
      </c>
      <c r="T88" s="473">
        <f>'MIS 2026'!AZ88</f>
        <v>0</v>
      </c>
      <c r="U88" s="474" t="str">
        <f>IF('MIS 2026'!BI88="","",'MIS 2026'!BI88)</f>
        <v>MEDUEY230876</v>
      </c>
      <c r="V88" s="475">
        <f>IF('MIS 2026'!BJ88&gt;0,'MIS 2026'!BJ88,'MIS 2026'!AF88)</f>
        <v>242.73</v>
      </c>
      <c r="W88" s="476">
        <f>IF('MIS 2026'!BM88="","",'MIS 2026'!BM88)</f>
        <v>46146</v>
      </c>
      <c r="X88" s="476">
        <f>IF('MIS 2026'!BO88="","",'MIS 2026'!BO88)</f>
        <v>46172</v>
      </c>
      <c r="Y88" s="473">
        <f t="shared" si="18"/>
        <v>366036.83999999997</v>
      </c>
      <c r="Z88" s="473">
        <f>IF('MIS 2026'!CR88&gt;0,'MIS 2026'!CQ88,0)</f>
        <v>0</v>
      </c>
      <c r="AA88" s="473">
        <f t="shared" si="19"/>
        <v>366036.83999999997</v>
      </c>
      <c r="AB88" s="476">
        <f>IF('MIS 2026'!CM88="","",'MIS 2026'!CM88)</f>
        <v>46163</v>
      </c>
      <c r="AC88" s="476" t="str">
        <f>'MIS 2026'!U88</f>
        <v>NEGO DHL PENDING</v>
      </c>
      <c r="AD88" s="474">
        <f>IF('MIS 2026'!BF88&gt;0,'MIS 2026'!BF88,"")</f>
        <v>46078</v>
      </c>
      <c r="AE88" s="476">
        <f>IF('MIS 2026'!N88&gt;0,'MIS 2026'!N88,"")</f>
        <v>46146</v>
      </c>
      <c r="AF88" s="474"/>
      <c r="AG88" s="478">
        <f>IF('MIS 2026'!BV88&lt;&gt;0,'MIS 2026'!BV88,"")</f>
        <v>90085928</v>
      </c>
      <c r="AH88" s="474" t="str">
        <f>IF('MIS 2026'!F88&lt;&gt;0,'MIS 2026'!F88,"")</f>
        <v>32015968-2</v>
      </c>
      <c r="AI88" s="463" t="str">
        <f t="shared" ca="1" si="20"/>
        <v/>
      </c>
      <c r="AJ88" s="474"/>
    </row>
    <row r="89" spans="1:36">
      <c r="A89" s="149" t="s">
        <v>208</v>
      </c>
      <c r="B89" s="149" t="str">
        <f>'MIS 2026'!EV89</f>
        <v>Yet to load</v>
      </c>
      <c r="C89" s="152">
        <f>'MIS 2026'!F89</f>
        <v>32014572</v>
      </c>
      <c r="D89" s="149" t="str">
        <f>'MIS 2026'!EH89</f>
        <v xml:space="preserve">VALENCY IVC </v>
      </c>
      <c r="E89" s="151">
        <f>'MIS 2026'!AF89</f>
        <v>100</v>
      </c>
      <c r="F89" s="150">
        <f>'MIS 2026'!EK89</f>
        <v>0</v>
      </c>
      <c r="G89" s="150">
        <f t="shared" si="16"/>
        <v>0</v>
      </c>
      <c r="H89" s="149">
        <f>'MIS 2026'!EL89</f>
        <v>0</v>
      </c>
      <c r="I89" s="148"/>
      <c r="J89" s="473">
        <f>'MIS 2026'!ER89</f>
        <v>0</v>
      </c>
      <c r="K89" s="473">
        <f t="shared" si="17"/>
        <v>0</v>
      </c>
      <c r="L89" s="473">
        <f>'MIS 2026'!EW89</f>
        <v>0</v>
      </c>
      <c r="M89" s="474">
        <f>IF('MIS 2026'!EZ89&gt;0,'MIS 2026'!EW89,0)</f>
        <v>0</v>
      </c>
      <c r="N89" s="474" t="str">
        <f>'MIS 2026'!I89</f>
        <v>IVC</v>
      </c>
      <c r="O89" s="474" t="str">
        <f>'MIS 2026'!H89</f>
        <v xml:space="preserve">VALENCY AGRO //HSS//Samridhi Cashew </v>
      </c>
      <c r="P89" s="473">
        <f>'MIS 2026'!AI89</f>
        <v>1515</v>
      </c>
      <c r="Q89" s="474" t="str">
        <f>'MIS 2026'!BQ89</f>
        <v>KOLKATA, INDIA</v>
      </c>
      <c r="R89" s="474">
        <f>'MIS 2026'!AM89</f>
        <v>0</v>
      </c>
      <c r="S89" s="474" t="str">
        <f>'MIS 2026'!AL89</f>
        <v>DP SIGHT</v>
      </c>
      <c r="T89" s="473">
        <f>'MIS 2026'!AZ89</f>
        <v>0</v>
      </c>
      <c r="U89" s="474" t="str">
        <f>IF('MIS 2026'!BI89="","",'MIS 2026'!BI89)</f>
        <v/>
      </c>
      <c r="V89" s="475">
        <f>IF('MIS 2026'!BJ89&gt;0,'MIS 2026'!BJ89,'MIS 2026'!AF89)</f>
        <v>100</v>
      </c>
      <c r="W89" s="476" t="str">
        <f>IF('MIS 2026'!BM89="","",'MIS 2026'!BM89)</f>
        <v/>
      </c>
      <c r="X89" s="476" t="str">
        <f>IF('MIS 2026'!BO89="","",'MIS 2026'!BO89)</f>
        <v/>
      </c>
      <c r="Y89" s="473">
        <f t="shared" si="18"/>
        <v>151500</v>
      </c>
      <c r="Z89" s="473">
        <f>IF('MIS 2026'!CR89&gt;0,'MIS 2026'!CQ89,0)</f>
        <v>0</v>
      </c>
      <c r="AA89" s="473">
        <f t="shared" si="19"/>
        <v>151500</v>
      </c>
      <c r="AB89" s="476" t="str">
        <f>IF('MIS 2026'!CM89="","",'MIS 2026'!CM89)</f>
        <v/>
      </c>
      <c r="AC89" s="476" t="str">
        <f>'MIS 2026'!U89</f>
        <v xml:space="preserve">RCVD COUNTERSIGNED-269062882
</v>
      </c>
      <c r="AD89" s="474">
        <f>IF('MIS 2026'!BF89&gt;0,'MIS 2026'!BF89,"")</f>
        <v>46083</v>
      </c>
      <c r="AE89" s="476" t="str">
        <f>IF('MIS 2026'!N89&gt;0,'MIS 2026'!N89,"")</f>
        <v/>
      </c>
      <c r="AF89" s="474"/>
      <c r="AG89" s="478" t="str">
        <f>IF('MIS 2026'!BV89&lt;&gt;0,'MIS 2026'!BV89,"")</f>
        <v/>
      </c>
      <c r="AH89" s="474">
        <f>IF('MIS 2026'!F89&lt;&gt;0,'MIS 2026'!F89,"")</f>
        <v>32014572</v>
      </c>
      <c r="AI89" s="463" t="str">
        <f t="shared" ca="1" si="20"/>
        <v/>
      </c>
      <c r="AJ89" s="474"/>
    </row>
    <row r="90" spans="1:36">
      <c r="A90" s="149" t="s">
        <v>208</v>
      </c>
      <c r="B90" s="149" t="str">
        <f>'MIS 2026'!EV90</f>
        <v>Yet to load</v>
      </c>
      <c r="C90" s="152" t="str">
        <f>'MIS 2026'!F90</f>
        <v>32015124-1</v>
      </c>
      <c r="D90" s="149" t="str">
        <f>'MIS 2026'!EH90</f>
        <v>ALKEMAL SINGAPORE PTE LTD</v>
      </c>
      <c r="E90" s="151">
        <f>'MIS 2026'!AF90</f>
        <v>50</v>
      </c>
      <c r="F90" s="150">
        <f>'MIS 2026'!EK90</f>
        <v>1275</v>
      </c>
      <c r="G90" s="150">
        <f t="shared" si="16"/>
        <v>63750</v>
      </c>
      <c r="H90" s="149">
        <f>'MIS 2026'!EL90</f>
        <v>0</v>
      </c>
      <c r="I90" s="148"/>
      <c r="J90" s="473">
        <f>'MIS 2026'!ER90</f>
        <v>0</v>
      </c>
      <c r="K90" s="473">
        <f t="shared" si="17"/>
        <v>63750</v>
      </c>
      <c r="L90" s="473">
        <f>'MIS 2026'!EW90</f>
        <v>0</v>
      </c>
      <c r="M90" s="474">
        <f>IF('MIS 2026'!EZ90&gt;0,'MIS 2026'!EW90,0)</f>
        <v>0</v>
      </c>
      <c r="N90" s="474" t="str">
        <f>'MIS 2026'!I90</f>
        <v>GUINEA CONAKRY-BOKE</v>
      </c>
      <c r="O90" s="474" t="str">
        <f>'MIS 2026'!H90</f>
        <v>VALENCY AGRO //HSS//Ashik Traders</v>
      </c>
      <c r="P90" s="473">
        <f>'MIS 2026'!AI90</f>
        <v>1475</v>
      </c>
      <c r="Q90" s="474" t="str">
        <f>'MIS 2026'!BQ90</f>
        <v>TUTICORIN, INDIA</v>
      </c>
      <c r="R90" s="474">
        <f>'MIS 2026'!AM90</f>
        <v>0</v>
      </c>
      <c r="S90" s="474" t="str">
        <f>'MIS 2026'!AL90</f>
        <v>DP SIGHT</v>
      </c>
      <c r="T90" s="473">
        <f>'MIS 2026'!AZ90</f>
        <v>0</v>
      </c>
      <c r="U90" s="474" t="str">
        <f>IF('MIS 2026'!BI90="","",'MIS 2026'!BI90)</f>
        <v>MEDUCN099865</v>
      </c>
      <c r="V90" s="475">
        <f>IF('MIS 2026'!BJ90&gt;0,'MIS 2026'!BJ90,'MIS 2026'!AF90)</f>
        <v>47.493000000000002</v>
      </c>
      <c r="W90" s="476">
        <f>IF('MIS 2026'!BM90="","",'MIS 2026'!BM90)</f>
        <v>46150</v>
      </c>
      <c r="X90" s="476">
        <f>IF('MIS 2026'!BO90="","",'MIS 2026'!BO90)</f>
        <v>46205</v>
      </c>
      <c r="Y90" s="473">
        <f t="shared" si="18"/>
        <v>70052.175000000003</v>
      </c>
      <c r="Z90" s="473">
        <f>IF('MIS 2026'!CR90&gt;0,'MIS 2026'!CQ90,0)</f>
        <v>0</v>
      </c>
      <c r="AA90" s="473">
        <f t="shared" si="19"/>
        <v>70052.175000000003</v>
      </c>
      <c r="AB90" s="476" t="str">
        <f>IF('MIS 2026'!CM90="","",'MIS 2026'!CM90)</f>
        <v/>
      </c>
      <c r="AC90" s="476" t="str">
        <f>'MIS 2026'!U90</f>
        <v>OBL PENDING FROM FOB SUPPLIER, FINAL CERT PENDING</v>
      </c>
      <c r="AD90" s="474" t="str">
        <f>IF('MIS 2026'!BF90&gt;0,'MIS 2026'!BF90,"")</f>
        <v/>
      </c>
      <c r="AE90" s="476">
        <f>IF('MIS 2026'!N90&gt;0,'MIS 2026'!N90,"")</f>
        <v>46150</v>
      </c>
      <c r="AF90" s="474"/>
      <c r="AG90" s="478" t="str">
        <f>IF('MIS 2026'!BV90&lt;&gt;0,'MIS 2026'!BV90,"")</f>
        <v/>
      </c>
      <c r="AH90" s="474" t="str">
        <f>IF('MIS 2026'!F90&lt;&gt;0,'MIS 2026'!F90,"")</f>
        <v>32015124-1</v>
      </c>
      <c r="AI90" s="463">
        <f t="shared" ca="1" si="20"/>
        <v>22</v>
      </c>
      <c r="AJ90" s="474"/>
    </row>
    <row r="91" spans="1:36">
      <c r="A91" s="149" t="s">
        <v>208</v>
      </c>
      <c r="B91" s="149" t="str">
        <f>'MIS 2026'!EV91</f>
        <v>Yet to load</v>
      </c>
      <c r="C91" s="152" t="str">
        <f>'MIS 2026'!F91</f>
        <v>32015124-2</v>
      </c>
      <c r="D91" s="149" t="str">
        <f>'MIS 2026'!EH91</f>
        <v>ALKEMAL SINGAPORE PTE LTD</v>
      </c>
      <c r="E91" s="151">
        <f>'MIS 2026'!AF91</f>
        <v>50</v>
      </c>
      <c r="F91" s="150">
        <f>'MIS 2026'!EK91</f>
        <v>1275</v>
      </c>
      <c r="G91" s="150">
        <f t="shared" si="16"/>
        <v>63750</v>
      </c>
      <c r="H91" s="149">
        <f>'MIS 2026'!EL91</f>
        <v>0</v>
      </c>
      <c r="I91" s="148"/>
      <c r="J91" s="473">
        <f>'MIS 2026'!ER91</f>
        <v>0</v>
      </c>
      <c r="K91" s="473">
        <f t="shared" si="17"/>
        <v>63750</v>
      </c>
      <c r="L91" s="473">
        <f>'MIS 2026'!EW91</f>
        <v>0</v>
      </c>
      <c r="M91" s="474">
        <f>IF('MIS 2026'!EZ91&gt;0,'MIS 2026'!EW91,0)</f>
        <v>0</v>
      </c>
      <c r="N91" s="474" t="str">
        <f>'MIS 2026'!I91</f>
        <v>GUINEA CONAKRY-BOKE</v>
      </c>
      <c r="O91" s="474" t="str">
        <f>'MIS 2026'!H91</f>
        <v>VALENCY AGRO //HSS//Ashik Traders</v>
      </c>
      <c r="P91" s="473">
        <f>'MIS 2026'!AI91</f>
        <v>1475</v>
      </c>
      <c r="Q91" s="474" t="str">
        <f>'MIS 2026'!BQ91</f>
        <v>TUTICORIN, INDIA</v>
      </c>
      <c r="R91" s="474">
        <f>'MIS 2026'!AM91</f>
        <v>0</v>
      </c>
      <c r="S91" s="474" t="str">
        <f>'MIS 2026'!AL91</f>
        <v>DP SIGHT</v>
      </c>
      <c r="T91" s="473">
        <f>'MIS 2026'!AZ91</f>
        <v>0</v>
      </c>
      <c r="U91" s="474" t="str">
        <f>IF('MIS 2026'!BI91="","",'MIS 2026'!BI91)</f>
        <v>MEDUCN101273</v>
      </c>
      <c r="V91" s="475">
        <f>IF('MIS 2026'!BJ91&gt;0,'MIS 2026'!BJ91,'MIS 2026'!AF91)</f>
        <v>44.567999999999998</v>
      </c>
      <c r="W91" s="476">
        <f>IF('MIS 2026'!BM91="","",'MIS 2026'!BM91)</f>
        <v>46166</v>
      </c>
      <c r="X91" s="476">
        <f>IF('MIS 2026'!BO91="","",'MIS 2026'!BO91)</f>
        <v>46204</v>
      </c>
      <c r="Y91" s="473">
        <f t="shared" si="18"/>
        <v>65737.8</v>
      </c>
      <c r="Z91" s="473">
        <f>IF('MIS 2026'!CR91&gt;0,'MIS 2026'!CQ91,0)</f>
        <v>0</v>
      </c>
      <c r="AA91" s="473">
        <f t="shared" si="19"/>
        <v>65737.8</v>
      </c>
      <c r="AB91" s="476" t="str">
        <f>IF('MIS 2026'!CM91="","",'MIS 2026'!CM91)</f>
        <v/>
      </c>
      <c r="AC91" s="476" t="str">
        <f>'MIS 2026'!U91</f>
        <v>DRAFT BL APPROVED 14/5- CERT PENDING(ETD:24/5)</v>
      </c>
      <c r="AD91" s="474" t="str">
        <f>IF('MIS 2026'!BF91&gt;0,'MIS 2026'!BF91,"")</f>
        <v/>
      </c>
      <c r="AE91" s="476">
        <f>IF('MIS 2026'!N91&gt;0,'MIS 2026'!N91,"")</f>
        <v>46166</v>
      </c>
      <c r="AF91" s="474"/>
      <c r="AG91" s="478" t="str">
        <f>IF('MIS 2026'!BV91&lt;&gt;0,'MIS 2026'!BV91,"")</f>
        <v/>
      </c>
      <c r="AH91" s="474" t="str">
        <f>IF('MIS 2026'!F91&lt;&gt;0,'MIS 2026'!F91,"")</f>
        <v>32015124-2</v>
      </c>
      <c r="AI91" s="463">
        <f t="shared" ca="1" si="20"/>
        <v>6</v>
      </c>
      <c r="AJ91" s="474"/>
    </row>
    <row r="92" spans="1:36">
      <c r="A92" s="149" t="s">
        <v>208</v>
      </c>
      <c r="B92" s="149" t="str">
        <f>'MIS 2026'!EV92</f>
        <v>Yet to load</v>
      </c>
      <c r="C92" s="152">
        <f>'MIS 2026'!F92</f>
        <v>32015269</v>
      </c>
      <c r="D92" s="149" t="str">
        <f>'MIS 2026'!EH92</f>
        <v>Valency Nigeria</v>
      </c>
      <c r="E92" s="151">
        <f>'MIS 2026'!AF92</f>
        <v>100</v>
      </c>
      <c r="F92" s="150">
        <f>'MIS 2026'!EK92</f>
        <v>0</v>
      </c>
      <c r="G92" s="150">
        <f t="shared" si="16"/>
        <v>0</v>
      </c>
      <c r="H92" s="149">
        <f>'MIS 2026'!EL92</f>
        <v>0</v>
      </c>
      <c r="I92" s="148"/>
      <c r="J92" s="473">
        <f>'MIS 2026'!ER92</f>
        <v>0</v>
      </c>
      <c r="K92" s="473">
        <f t="shared" si="17"/>
        <v>0</v>
      </c>
      <c r="L92" s="473">
        <f>'MIS 2026'!EW92</f>
        <v>0</v>
      </c>
      <c r="M92" s="474">
        <f>IF('MIS 2026'!EZ92&gt;0,'MIS 2026'!EW92,0)</f>
        <v>0</v>
      </c>
      <c r="N92" s="474" t="str">
        <f>'MIS 2026'!I92</f>
        <v>NIGERIA(SAKI)</v>
      </c>
      <c r="O92" s="474" t="str">
        <f>'MIS 2026'!H92</f>
        <v>VALENCY AGRO //HSS//Balaji Cashew</v>
      </c>
      <c r="P92" s="473">
        <f>'MIS 2026'!AI92</f>
        <v>1560</v>
      </c>
      <c r="Q92" s="474" t="str">
        <f>'MIS 2026'!BQ92</f>
        <v>Vishakhapatnam, INDIA</v>
      </c>
      <c r="R92" s="474">
        <f>'MIS 2026'!AM92</f>
        <v>0</v>
      </c>
      <c r="S92" s="474" t="str">
        <f>'MIS 2026'!AL92</f>
        <v>DP SIGHT</v>
      </c>
      <c r="T92" s="473">
        <f>'MIS 2026'!AZ92</f>
        <v>0</v>
      </c>
      <c r="U92" s="474" t="str">
        <f>IF('MIS 2026'!BI92="","",'MIS 2026'!BI92)</f>
        <v>MEDULG637951</v>
      </c>
      <c r="V92" s="475">
        <f>IF('MIS 2026'!BJ92&gt;0,'MIS 2026'!BJ92,'MIS 2026'!AF92)</f>
        <v>100.262</v>
      </c>
      <c r="W92" s="476">
        <f>IF('MIS 2026'!BM92="","",'MIS 2026'!BM92)</f>
        <v>46158</v>
      </c>
      <c r="X92" s="476">
        <f>IF('MIS 2026'!BO92="","",'MIS 2026'!BO92)</f>
        <v>46191</v>
      </c>
      <c r="Y92" s="473">
        <f t="shared" si="18"/>
        <v>156408.72</v>
      </c>
      <c r="Z92" s="473">
        <f>IF('MIS 2026'!CR92&gt;0,'MIS 2026'!CQ92,0)</f>
        <v>0</v>
      </c>
      <c r="AA92" s="473">
        <f t="shared" si="19"/>
        <v>156408.72</v>
      </c>
      <c r="AB92" s="476" t="str">
        <f>IF('MIS 2026'!CM92="","",'MIS 2026'!CM92)</f>
        <v/>
      </c>
      <c r="AC92" s="476" t="str">
        <f>'MIS 2026'!U92</f>
        <v>PENDING OBL-OBL EXPECTED 25/5</v>
      </c>
      <c r="AD92" s="474">
        <f>IF('MIS 2026'!BF92&gt;0,'MIS 2026'!BF92,"")</f>
        <v>46099</v>
      </c>
      <c r="AE92" s="476">
        <f>IF('MIS 2026'!N92&gt;0,'MIS 2026'!N92,"")</f>
        <v>46158</v>
      </c>
      <c r="AF92" s="474"/>
      <c r="AG92" s="478" t="str">
        <f>IF('MIS 2026'!BV92&lt;&gt;0,'MIS 2026'!BV92,"")</f>
        <v/>
      </c>
      <c r="AH92" s="474">
        <f>IF('MIS 2026'!F92&lt;&gt;0,'MIS 2026'!F92,"")</f>
        <v>32015269</v>
      </c>
      <c r="AI92" s="463">
        <f t="shared" ca="1" si="20"/>
        <v>14</v>
      </c>
      <c r="AJ92" s="474"/>
    </row>
    <row r="93" spans="1:36">
      <c r="A93" s="149" t="s">
        <v>208</v>
      </c>
      <c r="B93" s="149" t="str">
        <f>'MIS 2026'!EV93</f>
        <v>Yet to load</v>
      </c>
      <c r="C93" s="152" t="str">
        <f>'MIS 2026'!F93</f>
        <v>TBA 11</v>
      </c>
      <c r="D93" s="149" t="str">
        <f>'MIS 2026'!EH93</f>
        <v>Valency Nigeria</v>
      </c>
      <c r="E93" s="151">
        <f>'MIS 2026'!AF93</f>
        <v>250</v>
      </c>
      <c r="F93" s="150">
        <f>'MIS 2026'!EK93</f>
        <v>2010</v>
      </c>
      <c r="G93" s="150">
        <f t="shared" si="16"/>
        <v>502500</v>
      </c>
      <c r="H93" s="149">
        <f>'MIS 2026'!EL93</f>
        <v>0</v>
      </c>
      <c r="I93" s="148"/>
      <c r="J93" s="473">
        <f>'MIS 2026'!ER93</f>
        <v>0</v>
      </c>
      <c r="K93" s="473">
        <f t="shared" si="17"/>
        <v>502500</v>
      </c>
      <c r="L93" s="473">
        <f>'MIS 2026'!EW93</f>
        <v>0</v>
      </c>
      <c r="M93" s="474">
        <f>IF('MIS 2026'!EZ93&gt;0,'MIS 2026'!EW93,0)</f>
        <v>0</v>
      </c>
      <c r="N93" s="474" t="str">
        <f>'MIS 2026'!I93</f>
        <v>NIGERIA(OGB)</v>
      </c>
      <c r="O93" s="474" t="str">
        <f>'MIS 2026'!H93</f>
        <v>VALENCY AGRO UNSOLD</v>
      </c>
      <c r="P93" s="473">
        <f>'MIS 2026'!AI93</f>
        <v>0</v>
      </c>
      <c r="Q93" s="474" t="str">
        <f>'MIS 2026'!BQ93</f>
        <v>MANGALORE, INDIA</v>
      </c>
      <c r="R93" s="474">
        <f>'MIS 2026'!AM93</f>
        <v>0</v>
      </c>
      <c r="S93" s="474">
        <f>'MIS 2026'!AL93</f>
        <v>0</v>
      </c>
      <c r="T93" s="473">
        <f>'MIS 2026'!AZ93</f>
        <v>0</v>
      </c>
      <c r="U93" s="474" t="str">
        <f>IF('MIS 2026'!BI93="","",'MIS 2026'!BI93)</f>
        <v>MEDULG632572</v>
      </c>
      <c r="V93" s="475">
        <f>IF('MIS 2026'!BJ93&gt;0,'MIS 2026'!BJ93,'MIS 2026'!AF93)</f>
        <v>254.05600000000001</v>
      </c>
      <c r="W93" s="476" t="str">
        <f>IF('MIS 2026'!BM93="","",'MIS 2026'!BM93)</f>
        <v/>
      </c>
      <c r="X93" s="476">
        <f>IF('MIS 2026'!BO93="","",'MIS 2026'!BO93)</f>
        <v>46200</v>
      </c>
      <c r="Y93" s="473">
        <f t="shared" si="18"/>
        <v>0</v>
      </c>
      <c r="Z93" s="473">
        <f>IF('MIS 2026'!CR93&gt;0,'MIS 2026'!CQ93,0)</f>
        <v>0</v>
      </c>
      <c r="AA93" s="473">
        <f t="shared" si="19"/>
        <v>0</v>
      </c>
      <c r="AB93" s="476" t="str">
        <f>IF('MIS 2026'!CM93="","",'MIS 2026'!CM93)</f>
        <v/>
      </c>
      <c r="AC93" s="476" t="str">
        <f>'MIS 2026'!U93</f>
        <v>SOB EXPECTED 17/5-PENDING OBL &amp; CERTS</v>
      </c>
      <c r="AD93" s="474" t="str">
        <f>IF('MIS 2026'!BF93&gt;0,'MIS 2026'!BF93,"")</f>
        <v/>
      </c>
      <c r="AE93" s="476" t="str">
        <f>IF('MIS 2026'!N93&gt;0,'MIS 2026'!N93,"")</f>
        <v/>
      </c>
      <c r="AF93" s="474"/>
      <c r="AG93" s="478" t="str">
        <f>IF('MIS 2026'!BV93&lt;&gt;0,'MIS 2026'!BV93,"")</f>
        <v/>
      </c>
      <c r="AH93" s="474" t="str">
        <f>IF('MIS 2026'!F93&lt;&gt;0,'MIS 2026'!F93,"")</f>
        <v>TBA 11</v>
      </c>
      <c r="AI93" s="463" t="str">
        <f t="shared" ca="1" si="20"/>
        <v/>
      </c>
      <c r="AJ93" s="474"/>
    </row>
    <row r="94" spans="1:36">
      <c r="A94" s="149" t="s">
        <v>208</v>
      </c>
      <c r="B94" s="149" t="str">
        <f>'MIS 2026'!EV94</f>
        <v>Export Loan</v>
      </c>
      <c r="C94" s="152" t="str">
        <f>'MIS 2026'!F94</f>
        <v>32015968-3</v>
      </c>
      <c r="D94" s="149" t="str">
        <f>'MIS 2026'!EH94</f>
        <v xml:space="preserve">VALENCY IVC </v>
      </c>
      <c r="E94" s="151">
        <f>'MIS 2026'!AF94</f>
        <v>250</v>
      </c>
      <c r="F94" s="150">
        <f>'MIS 2026'!EK94</f>
        <v>1244</v>
      </c>
      <c r="G94" s="150">
        <f t="shared" si="16"/>
        <v>311000</v>
      </c>
      <c r="H94" s="149">
        <f>'MIS 2026'!EL94</f>
        <v>0</v>
      </c>
      <c r="I94" s="148"/>
      <c r="J94" s="473">
        <f>'MIS 2026'!ER94</f>
        <v>0</v>
      </c>
      <c r="K94" s="473">
        <f t="shared" si="17"/>
        <v>311000</v>
      </c>
      <c r="L94" s="473">
        <f>'MIS 2026'!EW94</f>
        <v>0</v>
      </c>
      <c r="M94" s="474">
        <f>IF('MIS 2026'!EZ94&gt;0,'MIS 2026'!EW94,0)</f>
        <v>0</v>
      </c>
      <c r="N94" s="474" t="str">
        <f>'MIS 2026'!I94</f>
        <v>IVC</v>
      </c>
      <c r="O94" s="474" t="str">
        <f>'MIS 2026'!H94</f>
        <v>Valency Agro (Processing)</v>
      </c>
      <c r="P94" s="473">
        <f>'MIS 2026'!AI94</f>
        <v>1508</v>
      </c>
      <c r="Q94" s="474" t="str">
        <f>'MIS 2026'!BQ94</f>
        <v>MANGALORE, INDIA</v>
      </c>
      <c r="R94" s="474">
        <f>'MIS 2026'!AM94</f>
        <v>0</v>
      </c>
      <c r="S94" s="474" t="str">
        <f>'MIS 2026'!AL94</f>
        <v>DP SIGHT</v>
      </c>
      <c r="T94" s="473">
        <f>'MIS 2026'!AZ94</f>
        <v>0</v>
      </c>
      <c r="U94" s="474" t="str">
        <f>IF('MIS 2026'!BI94="","",'MIS 2026'!BI94)</f>
        <v>MEDUEY230793</v>
      </c>
      <c r="V94" s="475">
        <f>IF('MIS 2026'!BJ94&gt;0,'MIS 2026'!BJ94,'MIS 2026'!AF94)</f>
        <v>238.35</v>
      </c>
      <c r="W94" s="476">
        <f>IF('MIS 2026'!BM94="","",'MIS 2026'!BM94)</f>
        <v>46146</v>
      </c>
      <c r="X94" s="476">
        <f>IF('MIS 2026'!BO94="","",'MIS 2026'!BO94)</f>
        <v>46172</v>
      </c>
      <c r="Y94" s="473">
        <f t="shared" si="18"/>
        <v>359431.8</v>
      </c>
      <c r="Z94" s="473">
        <f>IF('MIS 2026'!CR94&gt;0,'MIS 2026'!CQ94,0)</f>
        <v>0</v>
      </c>
      <c r="AA94" s="473">
        <f t="shared" si="19"/>
        <v>359431.8</v>
      </c>
      <c r="AB94" s="476">
        <f>IF('MIS 2026'!CM94="","",'MIS 2026'!CM94)</f>
        <v>46163</v>
      </c>
      <c r="AC94" s="476" t="str">
        <f>'MIS 2026'!U94</f>
        <v>NEGO DHL PENDING</v>
      </c>
      <c r="AD94" s="474">
        <f>IF('MIS 2026'!BF94&gt;0,'MIS 2026'!BF94,"")</f>
        <v>46078</v>
      </c>
      <c r="AE94" s="476">
        <f>IF('MIS 2026'!N94&gt;0,'MIS 2026'!N94,"")</f>
        <v>46146</v>
      </c>
      <c r="AF94" s="474"/>
      <c r="AG94" s="478">
        <f>IF('MIS 2026'!BV94&lt;&gt;0,'MIS 2026'!BV94,"")</f>
        <v>90085929</v>
      </c>
      <c r="AH94" s="474" t="str">
        <f>IF('MIS 2026'!F94&lt;&gt;0,'MIS 2026'!F94,"")</f>
        <v>32015968-3</v>
      </c>
      <c r="AI94" s="463" t="str">
        <f t="shared" ca="1" si="20"/>
        <v/>
      </c>
      <c r="AJ94" s="474"/>
    </row>
    <row r="95" spans="1:36">
      <c r="A95" s="149" t="s">
        <v>208</v>
      </c>
      <c r="B95" s="149" t="str">
        <f>'MIS 2026'!EV95</f>
        <v>Final Pmt Recd</v>
      </c>
      <c r="C95" s="152">
        <f>'MIS 2026'!F95</f>
        <v>32014536</v>
      </c>
      <c r="D95" s="149" t="str">
        <f>'MIS 2026'!EH95</f>
        <v>Valora Exim</v>
      </c>
      <c r="E95" s="151">
        <f>'MIS 2026'!AF95</f>
        <v>100</v>
      </c>
      <c r="F95" s="150">
        <f>'MIS 2026'!EK95</f>
        <v>0</v>
      </c>
      <c r="G95" s="150">
        <f t="shared" si="16"/>
        <v>0</v>
      </c>
      <c r="H95" s="149">
        <f>'MIS 2026'!EL95</f>
        <v>0</v>
      </c>
      <c r="I95" s="148"/>
      <c r="J95" s="473">
        <f>'MIS 2026'!ER95</f>
        <v>0</v>
      </c>
      <c r="K95" s="473">
        <f t="shared" si="17"/>
        <v>0</v>
      </c>
      <c r="L95" s="473">
        <f>'MIS 2026'!EW95</f>
        <v>0</v>
      </c>
      <c r="M95" s="474">
        <f>IF('MIS 2026'!EZ95&gt;0,'MIS 2026'!EW95,0)</f>
        <v>0</v>
      </c>
      <c r="N95" s="474" t="str">
        <f>'MIS 2026'!I95</f>
        <v>GHANA</v>
      </c>
      <c r="O95" s="474" t="str">
        <f>'MIS 2026'!H95</f>
        <v>VALENCY AGRO //HSS//JR TRADERS , TN</v>
      </c>
      <c r="P95" s="473">
        <f>'MIS 2026'!AI95</f>
        <v>1595</v>
      </c>
      <c r="Q95" s="474" t="str">
        <f>'MIS 2026'!BQ95</f>
        <v>TUTICORIN, INDIA</v>
      </c>
      <c r="R95" s="474">
        <f>'MIS 2026'!AM95</f>
        <v>0</v>
      </c>
      <c r="S95" s="474" t="str">
        <f>'MIS 2026'!AL95</f>
        <v>DP SIGHT</v>
      </c>
      <c r="T95" s="473">
        <f>'MIS 2026'!AZ95</f>
        <v>0</v>
      </c>
      <c r="U95" s="474">
        <f>IF('MIS 2026'!BI95="","",'MIS 2026'!BI95)</f>
        <v>266480376</v>
      </c>
      <c r="V95" s="475">
        <f>IF('MIS 2026'!BJ95&gt;0,'MIS 2026'!BJ95,'MIS 2026'!AF95)</f>
        <v>100.91</v>
      </c>
      <c r="W95" s="476">
        <f>IF('MIS 2026'!BM95="","",'MIS 2026'!BM95)</f>
        <v>46082</v>
      </c>
      <c r="X95" s="476">
        <f>IF('MIS 2026'!BO95="","",'MIS 2026'!BO95)</f>
        <v>46142</v>
      </c>
      <c r="Y95" s="473">
        <f t="shared" si="18"/>
        <v>160951.44999999998</v>
      </c>
      <c r="Z95" s="473">
        <f>IF('MIS 2026'!CR95&gt;0,'MIS 2026'!CQ95,0)</f>
        <v>160951.44999999998</v>
      </c>
      <c r="AA95" s="473">
        <f t="shared" si="19"/>
        <v>0</v>
      </c>
      <c r="AB95" s="476">
        <f>IF('MIS 2026'!CM95="","",'MIS 2026'!CM95)</f>
        <v>46101</v>
      </c>
      <c r="AC95" s="476" t="str">
        <f>'MIS 2026'!U95</f>
        <v>PAYMENT RECVD ON 17.04.2026</v>
      </c>
      <c r="AD95" s="474" t="str">
        <f>IF('MIS 2026'!BF95&gt;0,'MIS 2026'!BF95,"")</f>
        <v/>
      </c>
      <c r="AE95" s="476">
        <f>IF('MIS 2026'!N95&gt;0,'MIS 2026'!N95,"")</f>
        <v>46082</v>
      </c>
      <c r="AF95" s="474"/>
      <c r="AG95" s="478">
        <f>IF('MIS 2026'!BV95&lt;&gt;0,'MIS 2026'!BV95,"")</f>
        <v>90081869</v>
      </c>
      <c r="AH95" s="474">
        <f>IF('MIS 2026'!F95&lt;&gt;0,'MIS 2026'!F95,"")</f>
        <v>32014536</v>
      </c>
      <c r="AI95" s="463" t="str">
        <f t="shared" ca="1" si="20"/>
        <v/>
      </c>
      <c r="AJ95" s="474"/>
    </row>
    <row r="96" spans="1:36">
      <c r="A96" s="149" t="s">
        <v>208</v>
      </c>
      <c r="B96" s="149" t="str">
        <f>'MIS 2026'!EV96</f>
        <v>Yet to load</v>
      </c>
      <c r="C96" s="152">
        <f>'MIS 2026'!F96</f>
        <v>32016443</v>
      </c>
      <c r="D96" s="149" t="str">
        <f>'MIS 2026'!EH96</f>
        <v>WAKMAN HERITAGE</v>
      </c>
      <c r="E96" s="151">
        <f>'MIS 2026'!AF96</f>
        <v>156.55000000000001</v>
      </c>
      <c r="F96" s="150">
        <f>'MIS 2026'!EK96</f>
        <v>1390</v>
      </c>
      <c r="G96" s="150">
        <f t="shared" si="16"/>
        <v>217604.50000000003</v>
      </c>
      <c r="H96" s="149">
        <f>'MIS 2026'!EL96</f>
        <v>0</v>
      </c>
      <c r="I96" s="148"/>
      <c r="J96" s="473">
        <f>'MIS 2026'!ER96</f>
        <v>0</v>
      </c>
      <c r="K96" s="473">
        <f t="shared" si="17"/>
        <v>217604.50000000003</v>
      </c>
      <c r="L96" s="473">
        <f>'MIS 2026'!EW96</f>
        <v>0</v>
      </c>
      <c r="M96" s="474">
        <f>IF('MIS 2026'!EZ96&gt;0,'MIS 2026'!EW96,0)</f>
        <v>0</v>
      </c>
      <c r="N96" s="474" t="str">
        <f>'MIS 2026'!I96</f>
        <v>NIGERIA(OGB)</v>
      </c>
      <c r="O96" s="474" t="str">
        <f>'MIS 2026'!H96</f>
        <v>Valency Agro (Processing)</v>
      </c>
      <c r="P96" s="473">
        <f>'MIS 2026'!AI96</f>
        <v>1483</v>
      </c>
      <c r="Q96" s="474" t="str">
        <f>'MIS 2026'!BQ96</f>
        <v>MANGALORE, INDIA</v>
      </c>
      <c r="R96" s="474">
        <f>'MIS 2026'!AM96</f>
        <v>0</v>
      </c>
      <c r="S96" s="474" t="str">
        <f>'MIS 2026'!AL96</f>
        <v>DP SIGHT</v>
      </c>
      <c r="T96" s="473">
        <f>'MIS 2026'!AZ96</f>
        <v>0</v>
      </c>
      <c r="U96" s="474" t="str">
        <f>IF('MIS 2026'!BI96="","",'MIS 2026'!BI96)</f>
        <v>MEDULG638603</v>
      </c>
      <c r="V96" s="475">
        <f>IF('MIS 2026'!BJ96&gt;0,'MIS 2026'!BJ96,'MIS 2026'!AF96)</f>
        <v>156.55000000000001</v>
      </c>
      <c r="W96" s="476" t="str">
        <f>IF('MIS 2026'!BM96="","",'MIS 2026'!BM96)</f>
        <v/>
      </c>
      <c r="X96" s="476">
        <f>IF('MIS 2026'!BO96="","",'MIS 2026'!BO96)</f>
        <v>46200</v>
      </c>
      <c r="Y96" s="473">
        <f t="shared" si="18"/>
        <v>232163.65000000002</v>
      </c>
      <c r="Z96" s="473">
        <f>IF('MIS 2026'!CR96&gt;0,'MIS 2026'!CQ96,0)</f>
        <v>0</v>
      </c>
      <c r="AA96" s="473">
        <f t="shared" si="19"/>
        <v>232163.65000000002</v>
      </c>
      <c r="AB96" s="476" t="str">
        <f>IF('MIS 2026'!CM96="","",'MIS 2026'!CM96)</f>
        <v/>
      </c>
      <c r="AC96" s="476" t="str">
        <f>'MIS 2026'!U96</f>
        <v>SOB EXPECTED 17/5-PENDING OBL &amp; CERTS-NEED TO ISSE CONTRACT TO FACTORY @1483</v>
      </c>
      <c r="AD96" s="474">
        <f>IF('MIS 2026'!BF96&gt;0,'MIS 2026'!BF96,"")</f>
        <v>46127</v>
      </c>
      <c r="AE96" s="476" t="str">
        <f>IF('MIS 2026'!N96&gt;0,'MIS 2026'!N96,"")</f>
        <v/>
      </c>
      <c r="AF96" s="474"/>
      <c r="AG96" s="478" t="str">
        <f>IF('MIS 2026'!BV96&lt;&gt;0,'MIS 2026'!BV96,"")</f>
        <v/>
      </c>
      <c r="AH96" s="474">
        <f>IF('MIS 2026'!F96&lt;&gt;0,'MIS 2026'!F96,"")</f>
        <v>32016443</v>
      </c>
      <c r="AI96" s="463" t="str">
        <f t="shared" ca="1" si="20"/>
        <v/>
      </c>
      <c r="AJ96" s="474"/>
    </row>
    <row r="97" spans="1:36">
      <c r="A97" s="149" t="s">
        <v>208</v>
      </c>
      <c r="B97" s="149" t="str">
        <f>'MIS 2026'!EV97</f>
        <v>Final Pmt Recd</v>
      </c>
      <c r="C97" s="152">
        <f>'MIS 2026'!F97</f>
        <v>32014474</v>
      </c>
      <c r="D97" s="149" t="str">
        <f>'MIS 2026'!EH97</f>
        <v>Valora Exim</v>
      </c>
      <c r="E97" s="151">
        <f>'MIS 2026'!AF97</f>
        <v>100</v>
      </c>
      <c r="F97" s="150">
        <f>'MIS 2026'!EK97</f>
        <v>1500</v>
      </c>
      <c r="G97" s="150">
        <f t="shared" si="16"/>
        <v>150000</v>
      </c>
      <c r="H97" s="149">
        <f>'MIS 2026'!EL97</f>
        <v>0</v>
      </c>
      <c r="I97" s="148"/>
      <c r="J97" s="473">
        <f>'MIS 2026'!ER97</f>
        <v>0</v>
      </c>
      <c r="K97" s="473">
        <f t="shared" si="17"/>
        <v>150000</v>
      </c>
      <c r="L97" s="473">
        <f>'MIS 2026'!EW97</f>
        <v>0</v>
      </c>
      <c r="M97" s="474">
        <f>IF('MIS 2026'!EZ97&gt;0,'MIS 2026'!EW97,0)</f>
        <v>0</v>
      </c>
      <c r="N97" s="474" t="str">
        <f>'MIS 2026'!I97</f>
        <v>GHANA</v>
      </c>
      <c r="O97" s="474" t="str">
        <f>'MIS 2026'!H97</f>
        <v>VALENCY AGRO //HSS//SABAH ENTERPRISES</v>
      </c>
      <c r="P97" s="473">
        <f>'MIS 2026'!AI97</f>
        <v>1625</v>
      </c>
      <c r="Q97" s="474" t="str">
        <f>'MIS 2026'!BQ97</f>
        <v>TUTICORIN, INDIA</v>
      </c>
      <c r="R97" s="474">
        <f>'MIS 2026'!AM97</f>
        <v>0</v>
      </c>
      <c r="S97" s="474" t="str">
        <f>'MIS 2026'!AL97</f>
        <v>DP SIGHT</v>
      </c>
      <c r="T97" s="473">
        <f>'MIS 2026'!AZ97</f>
        <v>0</v>
      </c>
      <c r="U97" s="474" t="str">
        <f>IF('MIS 2026'!BI97="","",'MIS 2026'!BI97)</f>
        <v>MEDUTM427521</v>
      </c>
      <c r="V97" s="475">
        <f>IF('MIS 2026'!BJ97&gt;0,'MIS 2026'!BJ97,'MIS 2026'!AF97)</f>
        <v>102.468</v>
      </c>
      <c r="W97" s="476">
        <f>IF('MIS 2026'!BM97="","",'MIS 2026'!BM97)</f>
        <v>46100</v>
      </c>
      <c r="X97" s="476">
        <f>IF('MIS 2026'!BO97="","",'MIS 2026'!BO97)</f>
        <v>46116</v>
      </c>
      <c r="Y97" s="473">
        <f t="shared" si="18"/>
        <v>166510.5</v>
      </c>
      <c r="Z97" s="473">
        <f>IF('MIS 2026'!CR97&gt;0,'MIS 2026'!CQ97,0)</f>
        <v>166510.5</v>
      </c>
      <c r="AA97" s="473">
        <f t="shared" si="19"/>
        <v>0</v>
      </c>
      <c r="AB97" s="476">
        <f>IF('MIS 2026'!CM97="","",'MIS 2026'!CM97)</f>
        <v>46084</v>
      </c>
      <c r="AC97" s="476" t="str">
        <f>'MIS 2026'!U97</f>
        <v>PAYMENT RECVD ON 24.03.2026</v>
      </c>
      <c r="AD97" s="474" t="str">
        <f>IF('MIS 2026'!BF97&gt;0,'MIS 2026'!BF97,"")</f>
        <v/>
      </c>
      <c r="AE97" s="476">
        <f>IF('MIS 2026'!N97&gt;0,'MIS 2026'!N97,"")</f>
        <v>46100</v>
      </c>
      <c r="AF97" s="474"/>
      <c r="AG97" s="478">
        <f>IF('MIS 2026'!BV97&lt;&gt;0,'MIS 2026'!BV97,"")</f>
        <v>90080534</v>
      </c>
      <c r="AH97" s="474">
        <f>IF('MIS 2026'!F97&lt;&gt;0,'MIS 2026'!F97,"")</f>
        <v>32014474</v>
      </c>
      <c r="AI97" s="463" t="str">
        <f t="shared" ca="1" si="20"/>
        <v/>
      </c>
      <c r="AJ97" s="474"/>
    </row>
    <row r="98" spans="1:36">
      <c r="A98" s="149" t="s">
        <v>208</v>
      </c>
      <c r="B98" s="149" t="str">
        <f>'MIS 2026'!EV98</f>
        <v>Export Loan</v>
      </c>
      <c r="C98" s="152" t="str">
        <f>'MIS 2026'!F98</f>
        <v>32013750-3</v>
      </c>
      <c r="D98" s="149" t="str">
        <f>'MIS 2026'!EH98</f>
        <v>Valency Nigeria</v>
      </c>
      <c r="E98" s="151">
        <f>'MIS 2026'!AF98</f>
        <v>50</v>
      </c>
      <c r="F98" s="150">
        <f>'MIS 2026'!EK98</f>
        <v>0</v>
      </c>
      <c r="G98" s="150">
        <f t="shared" si="16"/>
        <v>0</v>
      </c>
      <c r="H98" s="149" t="str">
        <f>'MIS 2026'!EL98</f>
        <v>-</v>
      </c>
      <c r="I98" s="148"/>
      <c r="J98" s="473">
        <f>'MIS 2026'!ER98</f>
        <v>0</v>
      </c>
      <c r="K98" s="473">
        <f t="shared" si="17"/>
        <v>0</v>
      </c>
      <c r="L98" s="473">
        <f>'MIS 2026'!EW98</f>
        <v>0</v>
      </c>
      <c r="M98" s="474">
        <f>IF('MIS 2026'!EZ98&gt;0,'MIS 2026'!EW98,0)</f>
        <v>0</v>
      </c>
      <c r="N98" s="474" t="str">
        <f>'MIS 2026'!I98</f>
        <v>NIGERIA(OGB)</v>
      </c>
      <c r="O98" s="474" t="str">
        <f>'MIS 2026'!H98</f>
        <v>MAA TARA TARINI CASHEW INDUSTRIES</v>
      </c>
      <c r="P98" s="473">
        <f>'MIS 2026'!AI98</f>
        <v>1610</v>
      </c>
      <c r="Q98" s="474" t="str">
        <f>'MIS 2026'!BQ98</f>
        <v>GANGAVARAM, INDIA</v>
      </c>
      <c r="R98" s="474">
        <f>'MIS 2026'!AM98</f>
        <v>0.1</v>
      </c>
      <c r="S98" s="474" t="str">
        <f>'MIS 2026'!AL98</f>
        <v>DP SIGHT</v>
      </c>
      <c r="T98" s="473">
        <f>'MIS 2026'!AZ98</f>
        <v>8050</v>
      </c>
      <c r="U98" s="474" t="str">
        <f>IF('MIS 2026'!BI98="","",'MIS 2026'!BI98)</f>
        <v>MEDULG628042</v>
      </c>
      <c r="V98" s="475">
        <f>IF('MIS 2026'!BJ98&gt;0,'MIS 2026'!BJ98,'MIS 2026'!AF98)</f>
        <v>50.66</v>
      </c>
      <c r="W98" s="476">
        <f>IF('MIS 2026'!BM98="","",'MIS 2026'!BM98)</f>
        <v>46130</v>
      </c>
      <c r="X98" s="476">
        <f>IF('MIS 2026'!BO98="","",'MIS 2026'!BO98)</f>
        <v>46173</v>
      </c>
      <c r="Y98" s="473">
        <f t="shared" si="18"/>
        <v>73512.599999999991</v>
      </c>
      <c r="Z98" s="473">
        <f>IF('MIS 2026'!CR98&gt;0,'MIS 2026'!CQ98,0)</f>
        <v>0</v>
      </c>
      <c r="AA98" s="473">
        <f t="shared" si="19"/>
        <v>73512.599999999991</v>
      </c>
      <c r="AB98" s="476">
        <f>IF('MIS 2026'!CM98="","",'MIS 2026'!CM98)</f>
        <v>46149</v>
      </c>
      <c r="AC98" s="476" t="str">
        <f>'MIS 2026'!U98</f>
        <v>PAYMENT PENDING, NEET INTIMATE BUYER</v>
      </c>
      <c r="AD98" s="474">
        <f>IF('MIS 2026'!BF98&gt;0,'MIS 2026'!BF98,"")</f>
        <v>46030</v>
      </c>
      <c r="AE98" s="476">
        <f>IF('MIS 2026'!N98&gt;0,'MIS 2026'!N98,"")</f>
        <v>46130</v>
      </c>
      <c r="AF98" s="474"/>
      <c r="AG98" s="478">
        <f>IF('MIS 2026'!BV98&lt;&gt;0,'MIS 2026'!BV98,"")</f>
        <v>90085100</v>
      </c>
      <c r="AH98" s="474" t="str">
        <f>IF('MIS 2026'!F98&lt;&gt;0,'MIS 2026'!F98,"")</f>
        <v>32013750-3</v>
      </c>
      <c r="AI98" s="463" t="str">
        <f t="shared" ca="1" si="20"/>
        <v/>
      </c>
      <c r="AJ98" s="474"/>
    </row>
    <row r="99" spans="1:36">
      <c r="A99" s="149" t="s">
        <v>208</v>
      </c>
      <c r="B99" s="149" t="str">
        <f>'MIS 2026'!EV99</f>
        <v>Export Loan</v>
      </c>
      <c r="C99" s="152">
        <f>'MIS 2026'!F99</f>
        <v>32014396</v>
      </c>
      <c r="D99" s="149" t="str">
        <f>'MIS 2026'!EH99</f>
        <v>WAKMAN HERITAGE</v>
      </c>
      <c r="E99" s="151">
        <f>'MIS 2026'!AF99</f>
        <v>206.74</v>
      </c>
      <c r="F99" s="150">
        <f>'MIS 2026'!EK99</f>
        <v>1500</v>
      </c>
      <c r="G99" s="150">
        <f t="shared" si="16"/>
        <v>310110</v>
      </c>
      <c r="H99" s="149">
        <f>'MIS 2026'!EL99</f>
        <v>0</v>
      </c>
      <c r="I99" s="148"/>
      <c r="J99" s="473">
        <f>'MIS 2026'!ER99</f>
        <v>0</v>
      </c>
      <c r="K99" s="473">
        <f t="shared" si="17"/>
        <v>310110</v>
      </c>
      <c r="L99" s="473">
        <f>'MIS 2026'!EW99</f>
        <v>0</v>
      </c>
      <c r="M99" s="474">
        <f>IF('MIS 2026'!EZ99&gt;0,'MIS 2026'!EW99,0)</f>
        <v>0</v>
      </c>
      <c r="N99" s="474" t="str">
        <f>'MIS 2026'!I99</f>
        <v>NIGERIA(OGB)</v>
      </c>
      <c r="O99" s="474" t="str">
        <f>'MIS 2026'!H99</f>
        <v>SREE DEVI CASHEW INDUSTRIES</v>
      </c>
      <c r="P99" s="473">
        <f>'MIS 2026'!AI99</f>
        <v>1640</v>
      </c>
      <c r="Q99" s="474" t="str">
        <f>'MIS 2026'!BQ99</f>
        <v>MANGALORE, INDIA</v>
      </c>
      <c r="R99" s="474">
        <f>'MIS 2026'!AM99</f>
        <v>0.1</v>
      </c>
      <c r="S99" s="474" t="str">
        <f>'MIS 2026'!AL99</f>
        <v>DP SIGHT</v>
      </c>
      <c r="T99" s="473">
        <f>'MIS 2026'!AZ99</f>
        <v>33905.360000000008</v>
      </c>
      <c r="U99" s="474" t="str">
        <f>IF('MIS 2026'!BI99="","",'MIS 2026'!BI99)</f>
        <v>MEDULG629693</v>
      </c>
      <c r="V99" s="475">
        <f>IF('MIS 2026'!BJ99&gt;0,'MIS 2026'!BJ99,'MIS 2026'!AF99)</f>
        <v>206.74</v>
      </c>
      <c r="W99" s="476">
        <f>IF('MIS 2026'!BM99="","",'MIS 2026'!BM99)</f>
        <v>46126</v>
      </c>
      <c r="X99" s="476">
        <f>IF('MIS 2026'!BO99="","",'MIS 2026'!BO99)</f>
        <v>46186</v>
      </c>
      <c r="Y99" s="473">
        <f t="shared" si="18"/>
        <v>305148.24000000005</v>
      </c>
      <c r="Z99" s="473">
        <f>IF('MIS 2026'!CR99&gt;0,'MIS 2026'!CQ99,0)</f>
        <v>0</v>
      </c>
      <c r="AA99" s="473">
        <f t="shared" si="19"/>
        <v>305148.24000000005</v>
      </c>
      <c r="AB99" s="476">
        <f>IF('MIS 2026'!CM99="","",'MIS 2026'!CM99)</f>
        <v>46157</v>
      </c>
      <c r="AC99" s="476" t="str">
        <f>'MIS 2026'!U99</f>
        <v>PAYMENT PENDING</v>
      </c>
      <c r="AD99" s="474">
        <f>IF('MIS 2026'!BF99&gt;0,'MIS 2026'!BF99,"")</f>
        <v>46062</v>
      </c>
      <c r="AE99" s="476">
        <f>IF('MIS 2026'!N99&gt;0,'MIS 2026'!N99,"")</f>
        <v>46126</v>
      </c>
      <c r="AF99" s="474"/>
      <c r="AG99" s="478">
        <f>IF('MIS 2026'!BV99&lt;&gt;0,'MIS 2026'!BV99,"")</f>
        <v>90085534</v>
      </c>
      <c r="AH99" s="474">
        <f>IF('MIS 2026'!F99&lt;&gt;0,'MIS 2026'!F99,"")</f>
        <v>32014396</v>
      </c>
      <c r="AI99" s="463" t="str">
        <f t="shared" ca="1" si="20"/>
        <v/>
      </c>
      <c r="AJ99" s="474"/>
    </row>
    <row r="100" spans="1:36">
      <c r="A100" s="149" t="s">
        <v>208</v>
      </c>
      <c r="B100" s="149" t="str">
        <f>'MIS 2026'!EV100</f>
        <v>Yet to load</v>
      </c>
      <c r="C100" s="152" t="str">
        <f>'MIS 2026'!F100</f>
        <v>32015968-8</v>
      </c>
      <c r="D100" s="149" t="str">
        <f>'MIS 2026'!EH100</f>
        <v xml:space="preserve">VALENCY IVC </v>
      </c>
      <c r="E100" s="151">
        <f>'MIS 2026'!AF100</f>
        <v>250</v>
      </c>
      <c r="F100" s="150">
        <f>'MIS 2026'!EK100</f>
        <v>0</v>
      </c>
      <c r="G100" s="150">
        <f t="shared" ref="G100:G131" si="21">F100*E100</f>
        <v>0</v>
      </c>
      <c r="H100" s="149">
        <f>'MIS 2026'!EL100</f>
        <v>0</v>
      </c>
      <c r="I100" s="148"/>
      <c r="J100" s="473">
        <f>'MIS 2026'!ER100</f>
        <v>0</v>
      </c>
      <c r="K100" s="473">
        <f t="shared" ref="K100:K131" si="22">G100-J100</f>
        <v>0</v>
      </c>
      <c r="L100" s="473">
        <f>'MIS 2026'!EW100</f>
        <v>0</v>
      </c>
      <c r="M100" s="474">
        <f>IF('MIS 2026'!EZ100&gt;0,'MIS 2026'!EW100,0)</f>
        <v>0</v>
      </c>
      <c r="N100" s="474" t="str">
        <f>'MIS 2026'!I100</f>
        <v>IVC</v>
      </c>
      <c r="O100" s="474" t="str">
        <f>'MIS 2026'!H100</f>
        <v>Valency Agro (Processing)</v>
      </c>
      <c r="P100" s="473">
        <f>'MIS 2026'!AI100</f>
        <v>1508</v>
      </c>
      <c r="Q100" s="474" t="str">
        <f>'MIS 2026'!BQ100</f>
        <v>MANGALORE, INDIA</v>
      </c>
      <c r="R100" s="474">
        <f>'MIS 2026'!AM100</f>
        <v>0</v>
      </c>
      <c r="S100" s="474" t="str">
        <f>'MIS 2026'!AL100</f>
        <v>DP SIGHT</v>
      </c>
      <c r="T100" s="473">
        <f>'MIS 2026'!AZ100</f>
        <v>0</v>
      </c>
      <c r="U100" s="474">
        <f>IF('MIS 2026'!BI100="","",'MIS 2026'!BI100)</f>
        <v>267778372</v>
      </c>
      <c r="V100" s="475">
        <f>IF('MIS 2026'!BJ100&gt;0,'MIS 2026'!BJ100,'MIS 2026'!AF100)</f>
        <v>234.96</v>
      </c>
      <c r="W100" s="476" t="str">
        <f>IF('MIS 2026'!BM100="","",'MIS 2026'!BM100)</f>
        <v/>
      </c>
      <c r="X100" s="476" t="str">
        <f>IF('MIS 2026'!BO100="","",'MIS 2026'!BO100)</f>
        <v/>
      </c>
      <c r="Y100" s="473">
        <f t="shared" ref="Y100:Y131" si="23">(V100*P100)-T100</f>
        <v>354319.68</v>
      </c>
      <c r="Z100" s="473">
        <f>IF('MIS 2026'!CR100&gt;0,'MIS 2026'!CQ100,0)</f>
        <v>0</v>
      </c>
      <c r="AA100" s="473">
        <f t="shared" ref="AA100:AA131" si="24">Y100-Z100</f>
        <v>354319.68</v>
      </c>
      <c r="AB100" s="476" t="str">
        <f>IF('MIS 2026'!CM100="","",'MIS 2026'!CM100)</f>
        <v/>
      </c>
      <c r="AC100" s="476" t="str">
        <f>'MIS 2026'!U100</f>
        <v>RCVD COUNTERSIGNED</v>
      </c>
      <c r="AD100" s="474">
        <f>IF('MIS 2026'!BF100&gt;0,'MIS 2026'!BF100,"")</f>
        <v>46078</v>
      </c>
      <c r="AE100" s="476" t="str">
        <f>IF('MIS 2026'!N100&gt;0,'MIS 2026'!N100,"")</f>
        <v/>
      </c>
      <c r="AF100" s="474"/>
      <c r="AG100" s="478" t="str">
        <f>IF('MIS 2026'!BV100&lt;&gt;0,'MIS 2026'!BV100,"")</f>
        <v/>
      </c>
      <c r="AH100" s="474" t="str">
        <f>IF('MIS 2026'!F100&lt;&gt;0,'MIS 2026'!F100,"")</f>
        <v>32015968-8</v>
      </c>
      <c r="AI100" s="463" t="str">
        <f t="shared" ref="AI100:AI131" ca="1" si="25">IFERROR(IF(AB100="",TODAY()-W100,""),"")</f>
        <v/>
      </c>
      <c r="AJ100" s="474"/>
    </row>
    <row r="101" spans="1:36">
      <c r="A101" s="149" t="s">
        <v>208</v>
      </c>
      <c r="B101" s="149" t="str">
        <f>'MIS 2026'!EV101</f>
        <v>Yet to load</v>
      </c>
      <c r="C101" s="152" t="str">
        <f>'MIS 2026'!F101</f>
        <v>32015968-10</v>
      </c>
      <c r="D101" s="149" t="str">
        <f>'MIS 2026'!EH101</f>
        <v xml:space="preserve">VALENCY IVC </v>
      </c>
      <c r="E101" s="151">
        <f>'MIS 2026'!AF101</f>
        <v>250</v>
      </c>
      <c r="F101" s="150">
        <f>'MIS 2026'!EK101</f>
        <v>0</v>
      </c>
      <c r="G101" s="150">
        <f t="shared" si="21"/>
        <v>0</v>
      </c>
      <c r="H101" s="149">
        <f>'MIS 2026'!EL101</f>
        <v>0</v>
      </c>
      <c r="I101" s="148"/>
      <c r="J101" s="473">
        <f>'MIS 2026'!ER101</f>
        <v>0</v>
      </c>
      <c r="K101" s="473">
        <f t="shared" si="22"/>
        <v>0</v>
      </c>
      <c r="L101" s="473">
        <f>'MIS 2026'!EW101</f>
        <v>0</v>
      </c>
      <c r="M101" s="474">
        <f>IF('MIS 2026'!EZ101&gt;0,'MIS 2026'!EW101,0)</f>
        <v>0</v>
      </c>
      <c r="N101" s="474" t="str">
        <f>'MIS 2026'!I101</f>
        <v>IVC</v>
      </c>
      <c r="O101" s="474" t="str">
        <f>'MIS 2026'!H101</f>
        <v>Valency Agro (Processing)</v>
      </c>
      <c r="P101" s="473">
        <f>'MIS 2026'!AI101</f>
        <v>1508</v>
      </c>
      <c r="Q101" s="474" t="str">
        <f>'MIS 2026'!BQ101</f>
        <v>MANGALORE, INDIA</v>
      </c>
      <c r="R101" s="474">
        <f>'MIS 2026'!AM101</f>
        <v>0</v>
      </c>
      <c r="S101" s="474" t="str">
        <f>'MIS 2026'!AL101</f>
        <v>DP SIGHT</v>
      </c>
      <c r="T101" s="473">
        <f>'MIS 2026'!AZ101</f>
        <v>0</v>
      </c>
      <c r="U101" s="474" t="str">
        <f>IF('MIS 2026'!BI101="","",'MIS 2026'!BI101)</f>
        <v/>
      </c>
      <c r="V101" s="475">
        <f>IF('MIS 2026'!BJ101&gt;0,'MIS 2026'!BJ101,'MIS 2026'!AF101)</f>
        <v>250</v>
      </c>
      <c r="W101" s="476" t="str">
        <f>IF('MIS 2026'!BM101="","",'MIS 2026'!BM101)</f>
        <v/>
      </c>
      <c r="X101" s="476" t="str">
        <f>IF('MIS 2026'!BO101="","",'MIS 2026'!BO101)</f>
        <v/>
      </c>
      <c r="Y101" s="473">
        <f t="shared" si="23"/>
        <v>377000</v>
      </c>
      <c r="Z101" s="473">
        <f>IF('MIS 2026'!CR101&gt;0,'MIS 2026'!CQ101,0)</f>
        <v>0</v>
      </c>
      <c r="AA101" s="473">
        <f t="shared" si="24"/>
        <v>377000</v>
      </c>
      <c r="AB101" s="476" t="str">
        <f>IF('MIS 2026'!CM101="","",'MIS 2026'!CM101)</f>
        <v/>
      </c>
      <c r="AC101" s="476" t="str">
        <f>'MIS 2026'!U101</f>
        <v>RCVD COUNTERSIGNED</v>
      </c>
      <c r="AD101" s="474">
        <f>IF('MIS 2026'!BF101&gt;0,'MIS 2026'!BF101,"")</f>
        <v>46078</v>
      </c>
      <c r="AE101" s="476" t="str">
        <f>IF('MIS 2026'!N101&gt;0,'MIS 2026'!N101,"")</f>
        <v/>
      </c>
      <c r="AF101" s="474"/>
      <c r="AG101" s="478" t="str">
        <f>IF('MIS 2026'!BV101&lt;&gt;0,'MIS 2026'!BV101,"")</f>
        <v/>
      </c>
      <c r="AH101" s="474" t="str">
        <f>IF('MIS 2026'!F101&lt;&gt;0,'MIS 2026'!F101,"")</f>
        <v>32015968-10</v>
      </c>
      <c r="AI101" s="463" t="str">
        <f t="shared" ca="1" si="25"/>
        <v/>
      </c>
      <c r="AJ101" s="474"/>
    </row>
    <row r="102" spans="1:36">
      <c r="A102" s="149" t="s">
        <v>208</v>
      </c>
      <c r="B102" s="149" t="str">
        <f>'MIS 2026'!EV102</f>
        <v>Export Loan</v>
      </c>
      <c r="C102" s="152">
        <f>'MIS 2026'!F102</f>
        <v>32015892</v>
      </c>
      <c r="D102" s="149" t="str">
        <f>'MIS 2026'!EH102</f>
        <v>Valency Nigeria</v>
      </c>
      <c r="E102" s="151">
        <f>'MIS 2026'!AF102</f>
        <v>100</v>
      </c>
      <c r="F102" s="150">
        <f>'MIS 2026'!EK102</f>
        <v>0</v>
      </c>
      <c r="G102" s="150">
        <f t="shared" si="21"/>
        <v>0</v>
      </c>
      <c r="H102" s="149">
        <f>'MIS 2026'!EL102</f>
        <v>0</v>
      </c>
      <c r="I102" s="148"/>
      <c r="J102" s="473">
        <f>'MIS 2026'!ER102</f>
        <v>0</v>
      </c>
      <c r="K102" s="473">
        <f t="shared" si="22"/>
        <v>0</v>
      </c>
      <c r="L102" s="473">
        <f>'MIS 2026'!EW102</f>
        <v>0</v>
      </c>
      <c r="M102" s="474">
        <f>IF('MIS 2026'!EZ102&gt;0,'MIS 2026'!EW102,0)</f>
        <v>0</v>
      </c>
      <c r="N102" s="474" t="str">
        <f>'MIS 2026'!I102</f>
        <v>NIGERIA(SAKI)</v>
      </c>
      <c r="O102" s="474" t="str">
        <f>'MIS 2026'!H102</f>
        <v>INDIA ENTERPRISES</v>
      </c>
      <c r="P102" s="473">
        <f>'MIS 2026'!AI102</f>
        <v>1565</v>
      </c>
      <c r="Q102" s="474" t="str">
        <f>'MIS 2026'!BQ102</f>
        <v>MANGALORE, INDIA</v>
      </c>
      <c r="R102" s="474">
        <f>'MIS 2026'!AM102</f>
        <v>0.1</v>
      </c>
      <c r="S102" s="474" t="str">
        <f>'MIS 2026'!AL102</f>
        <v>DP SIGHT</v>
      </c>
      <c r="T102" s="473">
        <f>'MIS 2026'!AZ102</f>
        <v>15650</v>
      </c>
      <c r="U102" s="474" t="str">
        <f>IF('MIS 2026'!BI102="","",'MIS 2026'!BI102)</f>
        <v>MEDULG629446</v>
      </c>
      <c r="V102" s="475">
        <f>IF('MIS 2026'!BJ102&gt;0,'MIS 2026'!BJ102,'MIS 2026'!AF102)</f>
        <v>101.78400000000001</v>
      </c>
      <c r="W102" s="476">
        <f>IF('MIS 2026'!BM102="","",'MIS 2026'!BM102)</f>
        <v>46131</v>
      </c>
      <c r="X102" s="476">
        <f>IF('MIS 2026'!BO102="","",'MIS 2026'!BO102)</f>
        <v>46193</v>
      </c>
      <c r="Y102" s="473">
        <f t="shared" si="23"/>
        <v>143641.96000000002</v>
      </c>
      <c r="Z102" s="473">
        <f>IF('MIS 2026'!CR102&gt;0,'MIS 2026'!CQ102,0)</f>
        <v>0</v>
      </c>
      <c r="AA102" s="473">
        <f t="shared" si="24"/>
        <v>143641.96000000002</v>
      </c>
      <c r="AB102" s="476">
        <f>IF('MIS 2026'!CM102="","",'MIS 2026'!CM102)</f>
        <v>46161</v>
      </c>
      <c r="AC102" s="476" t="str">
        <f>'MIS 2026'!U102</f>
        <v>PAYMENT PENDING</v>
      </c>
      <c r="AD102" s="474" t="str">
        <f>IF('MIS 2026'!BF102&gt;0,'MIS 2026'!BF102,"")</f>
        <v/>
      </c>
      <c r="AE102" s="476">
        <f>IF('MIS 2026'!N102&gt;0,'MIS 2026'!N102,"")</f>
        <v>46131</v>
      </c>
      <c r="AF102" s="474"/>
      <c r="AG102" s="478">
        <f>IF('MIS 2026'!BV102&lt;&gt;0,'MIS 2026'!BV102,"")</f>
        <v>90085894</v>
      </c>
      <c r="AH102" s="474">
        <f>IF('MIS 2026'!F102&lt;&gt;0,'MIS 2026'!F102,"")</f>
        <v>32015892</v>
      </c>
      <c r="AI102" s="463" t="str">
        <f t="shared" ca="1" si="25"/>
        <v/>
      </c>
      <c r="AJ102" s="474"/>
    </row>
    <row r="103" spans="1:36">
      <c r="A103" s="149" t="s">
        <v>208</v>
      </c>
      <c r="B103" s="149" t="str">
        <f>'MIS 2026'!EV103</f>
        <v>Yet to load</v>
      </c>
      <c r="C103" s="152">
        <f>'MIS 2026'!F103</f>
        <v>32016296</v>
      </c>
      <c r="D103" s="149" t="str">
        <f>'MIS 2026'!EH103</f>
        <v>VALORA BURKINA EXIM SARL</v>
      </c>
      <c r="E103" s="151">
        <f>'MIS 2026'!AF103</f>
        <v>100</v>
      </c>
      <c r="F103" s="150">
        <f>'MIS 2026'!EK103</f>
        <v>0</v>
      </c>
      <c r="G103" s="150">
        <f t="shared" si="21"/>
        <v>0</v>
      </c>
      <c r="H103" s="149">
        <f>'MIS 2026'!EL103</f>
        <v>0</v>
      </c>
      <c r="I103" s="148"/>
      <c r="J103" s="473">
        <f>'MIS 2026'!ER103</f>
        <v>0</v>
      </c>
      <c r="K103" s="473">
        <f t="shared" si="22"/>
        <v>0</v>
      </c>
      <c r="L103" s="473">
        <f>'MIS 2026'!EW103</f>
        <v>0</v>
      </c>
      <c r="M103" s="474">
        <f>IF('MIS 2026'!EZ103&gt;0,'MIS 2026'!EW103,0)</f>
        <v>0</v>
      </c>
      <c r="N103" s="474" t="str">
        <f>'MIS 2026'!I103</f>
        <v>BURKINA FASO</v>
      </c>
      <c r="O103" s="474" t="str">
        <f>'MIS 2026'!H103</f>
        <v>VALENCY AGRO/GST/REHAN CASHEW PROCESSING</v>
      </c>
      <c r="P103" s="473">
        <f>'MIS 2026'!AI103</f>
        <v>1545</v>
      </c>
      <c r="Q103" s="474" t="str">
        <f>'MIS 2026'!BQ103</f>
        <v>TUTICORIN, INDIA</v>
      </c>
      <c r="R103" s="474">
        <f>'MIS 2026'!AM103</f>
        <v>0</v>
      </c>
      <c r="S103" s="474" t="str">
        <f>'MIS 2026'!AL103</f>
        <v>DP SIGHT</v>
      </c>
      <c r="T103" s="473">
        <f>'MIS 2026'!AZ103</f>
        <v>0</v>
      </c>
      <c r="U103" s="474" t="str">
        <f>IF('MIS 2026'!BI103="","",'MIS 2026'!BI103)</f>
        <v>MEDULO441793</v>
      </c>
      <c r="V103" s="475">
        <f>IF('MIS 2026'!BJ103&gt;0,'MIS 2026'!BJ103,'MIS 2026'!AF103)</f>
        <v>92.56</v>
      </c>
      <c r="W103" s="476">
        <f>IF('MIS 2026'!BM103="","",'MIS 2026'!BM103)</f>
        <v>46178</v>
      </c>
      <c r="X103" s="476">
        <f>IF('MIS 2026'!BO103="","",'MIS 2026'!BO103)</f>
        <v>46204</v>
      </c>
      <c r="Y103" s="473">
        <f t="shared" si="23"/>
        <v>143005.20000000001</v>
      </c>
      <c r="Z103" s="473">
        <f>IF('MIS 2026'!CR103&gt;0,'MIS 2026'!CQ103,0)</f>
        <v>0</v>
      </c>
      <c r="AA103" s="473">
        <f t="shared" si="24"/>
        <v>143005.20000000001</v>
      </c>
      <c r="AB103" s="476" t="str">
        <f>IF('MIS 2026'!CM103="","",'MIS 2026'!CM103)</f>
        <v/>
      </c>
      <c r="AC103" s="476" t="str">
        <f>'MIS 2026'!U103</f>
        <v>EBKG16638573-DRAFT BL RCVD 22/5</v>
      </c>
      <c r="AD103" s="474" t="str">
        <f>IF('MIS 2026'!BF103&gt;0,'MIS 2026'!BF103,"")</f>
        <v/>
      </c>
      <c r="AE103" s="476">
        <f>IF('MIS 2026'!N103&gt;0,'MIS 2026'!N103,"")</f>
        <v>46178</v>
      </c>
      <c r="AF103" s="474"/>
      <c r="AG103" s="478" t="str">
        <f>IF('MIS 2026'!BV103&lt;&gt;0,'MIS 2026'!BV103,"")</f>
        <v/>
      </c>
      <c r="AH103" s="474">
        <f>IF('MIS 2026'!F103&lt;&gt;0,'MIS 2026'!F103,"")</f>
        <v>32016296</v>
      </c>
      <c r="AI103" s="463">
        <f t="shared" ca="1" si="25"/>
        <v>-6</v>
      </c>
      <c r="AJ103" s="474"/>
    </row>
    <row r="104" spans="1:36">
      <c r="A104" s="149" t="s">
        <v>208</v>
      </c>
      <c r="B104" s="149" t="str">
        <f>'MIS 2026'!EV104</f>
        <v>Yet to load</v>
      </c>
      <c r="C104" s="152" t="str">
        <f>'MIS 2026'!F104</f>
        <v>TBA 01</v>
      </c>
      <c r="D104" s="149" t="str">
        <f>'MIS 2026'!EH104</f>
        <v>Valency Nigeria</v>
      </c>
      <c r="E104" s="151">
        <f>'MIS 2026'!AF104</f>
        <v>250</v>
      </c>
      <c r="F104" s="150">
        <f>'MIS 2026'!EK104</f>
        <v>2010</v>
      </c>
      <c r="G104" s="150">
        <f t="shared" si="21"/>
        <v>502500</v>
      </c>
      <c r="H104" s="149">
        <f>'MIS 2026'!EL104</f>
        <v>0</v>
      </c>
      <c r="I104" s="148"/>
      <c r="J104" s="473">
        <f>'MIS 2026'!ER104</f>
        <v>0</v>
      </c>
      <c r="K104" s="473">
        <f t="shared" si="22"/>
        <v>502500</v>
      </c>
      <c r="L104" s="473">
        <f>'MIS 2026'!EW104</f>
        <v>0</v>
      </c>
      <c r="M104" s="474">
        <f>IF('MIS 2026'!EZ104&gt;0,'MIS 2026'!EW104,0)</f>
        <v>0</v>
      </c>
      <c r="N104" s="474" t="str">
        <f>'MIS 2026'!I104</f>
        <v>NIGERIA(OGB)</v>
      </c>
      <c r="O104" s="474" t="str">
        <f>'MIS 2026'!H104</f>
        <v>VALENCY VIETNAM UNSOLD</v>
      </c>
      <c r="P104" s="473">
        <f>'MIS 2026'!AI104</f>
        <v>0</v>
      </c>
      <c r="Q104" s="474" t="str">
        <f>'MIS 2026'!BQ104</f>
        <v>HCMC, VIETNAM</v>
      </c>
      <c r="R104" s="474">
        <f>'MIS 2026'!AM104</f>
        <v>0</v>
      </c>
      <c r="S104" s="474">
        <f>'MIS 2026'!AL104</f>
        <v>0</v>
      </c>
      <c r="T104" s="473">
        <f>'MIS 2026'!AZ104</f>
        <v>0</v>
      </c>
      <c r="U104" s="474" t="str">
        <f>IF('MIS 2026'!BI104="","",'MIS 2026'!BI104)</f>
        <v>MEDULG630568</v>
      </c>
      <c r="V104" s="475">
        <f>IF('MIS 2026'!BJ104&gt;0,'MIS 2026'!BJ104,'MIS 2026'!AF104)</f>
        <v>250.15700000000001</v>
      </c>
      <c r="W104" s="476">
        <f>IF('MIS 2026'!BM104="","",'MIS 2026'!BM104)</f>
        <v>46158</v>
      </c>
      <c r="X104" s="476">
        <f>IF('MIS 2026'!BO104="","",'MIS 2026'!BO104)</f>
        <v>46191</v>
      </c>
      <c r="Y104" s="473">
        <f t="shared" si="23"/>
        <v>0</v>
      </c>
      <c r="Z104" s="473">
        <f>IF('MIS 2026'!CR104&gt;0,'MIS 2026'!CQ104,0)</f>
        <v>0</v>
      </c>
      <c r="AA104" s="473">
        <f t="shared" si="24"/>
        <v>0</v>
      </c>
      <c r="AB104" s="476" t="str">
        <f>IF('MIS 2026'!CM104="","",'MIS 2026'!CM104)</f>
        <v/>
      </c>
      <c r="AC104" s="476" t="str">
        <f>'MIS 2026'!U104</f>
        <v>SOB: 16/5-PENDING OBL (UNSOLD)-OBL EXPECTED 25/5</v>
      </c>
      <c r="AD104" s="474" t="str">
        <f>IF('MIS 2026'!BF104&gt;0,'MIS 2026'!BF104,"")</f>
        <v/>
      </c>
      <c r="AE104" s="476">
        <f>IF('MIS 2026'!N104&gt;0,'MIS 2026'!N104,"")</f>
        <v>46158</v>
      </c>
      <c r="AF104" s="474"/>
      <c r="AG104" s="478" t="str">
        <f>IF('MIS 2026'!BV104&lt;&gt;0,'MIS 2026'!BV104,"")</f>
        <v/>
      </c>
      <c r="AH104" s="474" t="str">
        <f>IF('MIS 2026'!F104&lt;&gt;0,'MIS 2026'!F104,"")</f>
        <v>TBA 01</v>
      </c>
      <c r="AI104" s="463">
        <f t="shared" ca="1" si="25"/>
        <v>14</v>
      </c>
      <c r="AJ104" s="474"/>
    </row>
    <row r="105" spans="1:36">
      <c r="A105" s="149" t="s">
        <v>208</v>
      </c>
      <c r="B105" s="149" t="str">
        <f>'MIS 2026'!EV105</f>
        <v>Nego Pending</v>
      </c>
      <c r="C105" s="152" t="str">
        <f>'MIS 2026'!F105</f>
        <v>TBA 02</v>
      </c>
      <c r="D105" s="149" t="str">
        <f>'MIS 2026'!EH105</f>
        <v>Valency Nigeria</v>
      </c>
      <c r="E105" s="151">
        <f>'MIS 2026'!AF105</f>
        <v>250</v>
      </c>
      <c r="F105" s="150">
        <f>'MIS 2026'!EK105</f>
        <v>2010</v>
      </c>
      <c r="G105" s="150">
        <f t="shared" si="21"/>
        <v>502500</v>
      </c>
      <c r="H105" s="149">
        <f>'MIS 2026'!EL105</f>
        <v>0</v>
      </c>
      <c r="I105" s="148"/>
      <c r="J105" s="473">
        <f>'MIS 2026'!ER105</f>
        <v>0</v>
      </c>
      <c r="K105" s="473">
        <f t="shared" si="22"/>
        <v>502500</v>
      </c>
      <c r="L105" s="473">
        <f>'MIS 2026'!EW105</f>
        <v>0</v>
      </c>
      <c r="M105" s="474">
        <f>IF('MIS 2026'!EZ105&gt;0,'MIS 2026'!EW105,0)</f>
        <v>0</v>
      </c>
      <c r="N105" s="474" t="str">
        <f>'MIS 2026'!I105</f>
        <v>NIGERIA(OGB)</v>
      </c>
      <c r="O105" s="474" t="str">
        <f>'MIS 2026'!H105</f>
        <v>VALENCY VIETNAM UNSOLD</v>
      </c>
      <c r="P105" s="473">
        <f>'MIS 2026'!AI105</f>
        <v>0</v>
      </c>
      <c r="Q105" s="474" t="str">
        <f>'MIS 2026'!BQ105</f>
        <v>HCMC, VIETNAM</v>
      </c>
      <c r="R105" s="474">
        <f>'MIS 2026'!AM105</f>
        <v>0</v>
      </c>
      <c r="S105" s="474">
        <f>'MIS 2026'!AL105</f>
        <v>0</v>
      </c>
      <c r="T105" s="473">
        <f>'MIS 2026'!AZ105</f>
        <v>0</v>
      </c>
      <c r="U105" s="474" t="str">
        <f>IF('MIS 2026'!BI105="","",'MIS 2026'!BI105)</f>
        <v>MEDULG628505</v>
      </c>
      <c r="V105" s="475">
        <f>IF('MIS 2026'!BJ105&gt;0,'MIS 2026'!BJ105,'MIS 2026'!AF105)</f>
        <v>250.77199999999999</v>
      </c>
      <c r="W105" s="476">
        <f>IF('MIS 2026'!BM105="","",'MIS 2026'!BM105)</f>
        <v>46134</v>
      </c>
      <c r="X105" s="476">
        <f>IF('MIS 2026'!BO105="","",'MIS 2026'!BO105)</f>
        <v>46190</v>
      </c>
      <c r="Y105" s="473">
        <f t="shared" si="23"/>
        <v>0</v>
      </c>
      <c r="Z105" s="473">
        <f>IF('MIS 2026'!CR105&gt;0,'MIS 2026'!CQ105,0)</f>
        <v>0</v>
      </c>
      <c r="AA105" s="473">
        <f t="shared" si="24"/>
        <v>0</v>
      </c>
      <c r="AB105" s="476" t="str">
        <f>IF('MIS 2026'!CM105="","",'MIS 2026'!CM105)</f>
        <v/>
      </c>
      <c r="AC105" s="476" t="str">
        <f>'MIS 2026'!U105</f>
        <v>NTT - VIETNAM UNSOLD CARGO ; ETA 17/6</v>
      </c>
      <c r="AD105" s="474" t="str">
        <f>IF('MIS 2026'!BF105&gt;0,'MIS 2026'!BF105,"")</f>
        <v/>
      </c>
      <c r="AE105" s="476">
        <f>IF('MIS 2026'!N105&gt;0,'MIS 2026'!N105,"")</f>
        <v>46134</v>
      </c>
      <c r="AF105" s="474"/>
      <c r="AG105" s="478" t="str">
        <f>IF('MIS 2026'!BV105&lt;&gt;0,'MIS 2026'!BV105,"")</f>
        <v/>
      </c>
      <c r="AH105" s="474" t="str">
        <f>IF('MIS 2026'!F105&lt;&gt;0,'MIS 2026'!F105,"")</f>
        <v>TBA 02</v>
      </c>
      <c r="AI105" s="463">
        <f t="shared" ca="1" si="25"/>
        <v>38</v>
      </c>
      <c r="AJ105" s="474"/>
    </row>
    <row r="106" spans="1:36">
      <c r="A106" s="149" t="s">
        <v>208</v>
      </c>
      <c r="B106" s="149" t="str">
        <f>'MIS 2026'!EV106</f>
        <v>Export Loan</v>
      </c>
      <c r="C106" s="152">
        <f>'MIS 2026'!F106</f>
        <v>32016443</v>
      </c>
      <c r="D106" s="149" t="str">
        <f>'MIS 2026'!EH106</f>
        <v>WAKMAN HERITAGE</v>
      </c>
      <c r="E106" s="151">
        <f>'MIS 2026'!AF106</f>
        <v>51.72</v>
      </c>
      <c r="F106" s="150">
        <f>'MIS 2026'!EK106</f>
        <v>1390</v>
      </c>
      <c r="G106" s="150">
        <f t="shared" si="21"/>
        <v>71890.8</v>
      </c>
      <c r="H106" s="149">
        <f>'MIS 2026'!EL106</f>
        <v>0</v>
      </c>
      <c r="I106" s="148"/>
      <c r="J106" s="473">
        <f>'MIS 2026'!ER106</f>
        <v>0</v>
      </c>
      <c r="K106" s="473">
        <f t="shared" si="22"/>
        <v>71890.8</v>
      </c>
      <c r="L106" s="473">
        <f>'MIS 2026'!EW106</f>
        <v>0</v>
      </c>
      <c r="M106" s="474">
        <f>IF('MIS 2026'!EZ106&gt;0,'MIS 2026'!EW106,0)</f>
        <v>0</v>
      </c>
      <c r="N106" s="474" t="str">
        <f>'MIS 2026'!I106</f>
        <v>NIGERIA(OGB)</v>
      </c>
      <c r="O106" s="474" t="str">
        <f>'MIS 2026'!H106</f>
        <v>Valency Agro (Processing)</v>
      </c>
      <c r="P106" s="473">
        <f>'MIS 2026'!AI106</f>
        <v>1483</v>
      </c>
      <c r="Q106" s="474" t="str">
        <f>'MIS 2026'!BQ106</f>
        <v>MANGALORE, INDIA</v>
      </c>
      <c r="R106" s="474">
        <f>'MIS 2026'!AM106</f>
        <v>0</v>
      </c>
      <c r="S106" s="474" t="str">
        <f>'MIS 2026'!AL106</f>
        <v>90 DAYS FROM BL DATE</v>
      </c>
      <c r="T106" s="473">
        <f>'MIS 2026'!AZ106</f>
        <v>0</v>
      </c>
      <c r="U106" s="474" t="str">
        <f>IF('MIS 2026'!BI106="","",'MIS 2026'!BI106)</f>
        <v>MEDULG631442</v>
      </c>
      <c r="V106" s="475">
        <f>IF('MIS 2026'!BJ106&gt;0,'MIS 2026'!BJ106,'MIS 2026'!AF106)</f>
        <v>51.72</v>
      </c>
      <c r="W106" s="476">
        <f>IF('MIS 2026'!BM106="","",'MIS 2026'!BM106)</f>
        <v>46127</v>
      </c>
      <c r="X106" s="476">
        <f>IF('MIS 2026'!BO106="","",'MIS 2026'!BO106)</f>
        <v>46186</v>
      </c>
      <c r="Y106" s="473">
        <f t="shared" si="23"/>
        <v>76700.759999999995</v>
      </c>
      <c r="Z106" s="473">
        <f>IF('MIS 2026'!CR106&gt;0,'MIS 2026'!CQ106,0)</f>
        <v>0</v>
      </c>
      <c r="AA106" s="473">
        <f t="shared" si="24"/>
        <v>76700.759999999995</v>
      </c>
      <c r="AB106" s="476">
        <f>IF('MIS 2026'!CM106="","",'MIS 2026'!CM106)</f>
        <v>46168</v>
      </c>
      <c r="AC106" s="476" t="str">
        <f>'MIS 2026'!U106</f>
        <v>DHL RCVD</v>
      </c>
      <c r="AD106" s="474">
        <f>IF('MIS 2026'!BF106&gt;0,'MIS 2026'!BF106,"")</f>
        <v>46078</v>
      </c>
      <c r="AE106" s="476">
        <f>IF('MIS 2026'!N106&gt;0,'MIS 2026'!N106,"")</f>
        <v>46127</v>
      </c>
      <c r="AF106" s="474"/>
      <c r="AG106" s="478" t="str">
        <f>IF('MIS 2026'!BV106&lt;&gt;0,'MIS 2026'!BV106,"")</f>
        <v/>
      </c>
      <c r="AH106" s="474">
        <f>IF('MIS 2026'!F106&lt;&gt;0,'MIS 2026'!F106,"")</f>
        <v>32016443</v>
      </c>
      <c r="AI106" s="463" t="str">
        <f t="shared" ca="1" si="25"/>
        <v/>
      </c>
      <c r="AJ106" s="474"/>
    </row>
    <row r="107" spans="1:36">
      <c r="A107" s="149" t="s">
        <v>208</v>
      </c>
      <c r="B107" s="149" t="str">
        <f>'MIS 2026'!EV107</f>
        <v>Yet to load</v>
      </c>
      <c r="C107" s="152" t="str">
        <f>'MIS 2026'!F107</f>
        <v>TBA 04</v>
      </c>
      <c r="D107" s="149" t="str">
        <f>'MIS 2026'!EH107</f>
        <v>Valency Nigeria</v>
      </c>
      <c r="E107" s="151">
        <f>'MIS 2026'!AF107</f>
        <v>250</v>
      </c>
      <c r="F107" s="150">
        <f>'MIS 2026'!EK107</f>
        <v>2010</v>
      </c>
      <c r="G107" s="150">
        <f t="shared" si="21"/>
        <v>502500</v>
      </c>
      <c r="H107" s="149">
        <f>'MIS 2026'!EL107</f>
        <v>0</v>
      </c>
      <c r="I107" s="148"/>
      <c r="J107" s="473">
        <f>'MIS 2026'!ER107</f>
        <v>0</v>
      </c>
      <c r="K107" s="473">
        <f t="shared" si="22"/>
        <v>502500</v>
      </c>
      <c r="L107" s="473">
        <f>'MIS 2026'!EW107</f>
        <v>0</v>
      </c>
      <c r="M107" s="474">
        <f>IF('MIS 2026'!EZ107&gt;0,'MIS 2026'!EW107,0)</f>
        <v>0</v>
      </c>
      <c r="N107" s="474" t="str">
        <f>'MIS 2026'!I107</f>
        <v>NIGERIA(OGB)</v>
      </c>
      <c r="O107" s="474" t="str">
        <f>'MIS 2026'!H107</f>
        <v>VALENCY VIETNAM UNSOLD</v>
      </c>
      <c r="P107" s="473">
        <f>'MIS 2026'!AI107</f>
        <v>0</v>
      </c>
      <c r="Q107" s="474" t="str">
        <f>'MIS 2026'!BQ107</f>
        <v>HCMC, VIETNAM</v>
      </c>
      <c r="R107" s="474">
        <f>'MIS 2026'!AM107</f>
        <v>0</v>
      </c>
      <c r="S107" s="474">
        <f>'MIS 2026'!AL107</f>
        <v>0</v>
      </c>
      <c r="T107" s="473">
        <f>'MIS 2026'!AZ107</f>
        <v>0</v>
      </c>
      <c r="U107" s="474" t="str">
        <f>IF('MIS 2026'!BI107="","",'MIS 2026'!BI107)</f>
        <v>ONEYLOSG02030900</v>
      </c>
      <c r="V107" s="475">
        <f>IF('MIS 2026'!BJ107&gt;0,'MIS 2026'!BJ107,'MIS 2026'!AF107)</f>
        <v>252.143</v>
      </c>
      <c r="W107" s="476">
        <f>IF('MIS 2026'!BM107="","",'MIS 2026'!BM107)</f>
        <v>46167</v>
      </c>
      <c r="X107" s="476">
        <f>IF('MIS 2026'!BO107="","",'MIS 2026'!BO107)</f>
        <v>46199</v>
      </c>
      <c r="Y107" s="473">
        <f t="shared" si="23"/>
        <v>0</v>
      </c>
      <c r="Z107" s="473">
        <f>IF('MIS 2026'!CR107&gt;0,'MIS 2026'!CQ107,0)</f>
        <v>0</v>
      </c>
      <c r="AA107" s="473">
        <f t="shared" si="24"/>
        <v>0</v>
      </c>
      <c r="AB107" s="476" t="str">
        <f>IF('MIS 2026'!CM107="","",'MIS 2026'!CM107)</f>
        <v/>
      </c>
      <c r="AC107" s="476" t="str">
        <f>'MIS 2026'!U107</f>
        <v>SOB EXPECTED 23/5-DRAFT BL CONFIRMED 13/5</v>
      </c>
      <c r="AD107" s="474" t="str">
        <f>IF('MIS 2026'!BF107&gt;0,'MIS 2026'!BF107,"")</f>
        <v/>
      </c>
      <c r="AE107" s="476">
        <f>IF('MIS 2026'!N107&gt;0,'MIS 2026'!N107,"")</f>
        <v>46167</v>
      </c>
      <c r="AF107" s="474"/>
      <c r="AG107" s="478" t="str">
        <f>IF('MIS 2026'!BV107&lt;&gt;0,'MIS 2026'!BV107,"")</f>
        <v/>
      </c>
      <c r="AH107" s="474" t="str">
        <f>IF('MIS 2026'!F107&lt;&gt;0,'MIS 2026'!F107,"")</f>
        <v>TBA 04</v>
      </c>
      <c r="AI107" s="463">
        <f t="shared" ca="1" si="25"/>
        <v>5</v>
      </c>
      <c r="AJ107" s="474"/>
    </row>
    <row r="108" spans="1:36">
      <c r="A108" s="149" t="s">
        <v>208</v>
      </c>
      <c r="B108" s="149" t="str">
        <f>'MIS 2026'!EV108</f>
        <v>Yet to load</v>
      </c>
      <c r="C108" s="152" t="str">
        <f>'MIS 2026'!F108</f>
        <v>TBA 05</v>
      </c>
      <c r="D108" s="149" t="str">
        <f>'MIS 2026'!EH108</f>
        <v>Valency Nigeria</v>
      </c>
      <c r="E108" s="151">
        <f>'MIS 2026'!AF108</f>
        <v>250</v>
      </c>
      <c r="F108" s="150">
        <f>'MIS 2026'!EK108</f>
        <v>2010</v>
      </c>
      <c r="G108" s="150">
        <f t="shared" si="21"/>
        <v>502500</v>
      </c>
      <c r="H108" s="149">
        <f>'MIS 2026'!EL108</f>
        <v>0</v>
      </c>
      <c r="I108" s="148"/>
      <c r="J108" s="473">
        <f>'MIS 2026'!ER108</f>
        <v>0</v>
      </c>
      <c r="K108" s="473">
        <f t="shared" si="22"/>
        <v>502500</v>
      </c>
      <c r="L108" s="473">
        <f>'MIS 2026'!EW108</f>
        <v>0</v>
      </c>
      <c r="M108" s="474">
        <f>IF('MIS 2026'!EZ108&gt;0,'MIS 2026'!EW108,0)</f>
        <v>0</v>
      </c>
      <c r="N108" s="474" t="str">
        <f>'MIS 2026'!I108</f>
        <v>NIGERIA(OGB)</v>
      </c>
      <c r="O108" s="474" t="str">
        <f>'MIS 2026'!H108</f>
        <v>VALENCY VIETNAM UNSOLD</v>
      </c>
      <c r="P108" s="473">
        <f>'MIS 2026'!AI108</f>
        <v>0</v>
      </c>
      <c r="Q108" s="474" t="str">
        <f>'MIS 2026'!BQ108</f>
        <v>HCMC, VIETNAM</v>
      </c>
      <c r="R108" s="474">
        <f>'MIS 2026'!AM108</f>
        <v>0</v>
      </c>
      <c r="S108" s="474">
        <f>'MIS 2026'!AL108</f>
        <v>0</v>
      </c>
      <c r="T108" s="473">
        <f>'MIS 2026'!AZ108</f>
        <v>0</v>
      </c>
      <c r="U108" s="474" t="str">
        <f>IF('MIS 2026'!BI108="","",'MIS 2026'!BI108)</f>
        <v>ONEYLOSG02033500</v>
      </c>
      <c r="V108" s="475">
        <f>IF('MIS 2026'!BJ108&gt;0,'MIS 2026'!BJ108,'MIS 2026'!AF108)</f>
        <v>251.96600000000001</v>
      </c>
      <c r="W108" s="476">
        <f>IF('MIS 2026'!BM108="","",'MIS 2026'!BM108)</f>
        <v>46167</v>
      </c>
      <c r="X108" s="476">
        <f>IF('MIS 2026'!BO108="","",'MIS 2026'!BO108)</f>
        <v>46199</v>
      </c>
      <c r="Y108" s="473">
        <f t="shared" si="23"/>
        <v>0</v>
      </c>
      <c r="Z108" s="473">
        <f>IF('MIS 2026'!CR108&gt;0,'MIS 2026'!CQ108,0)</f>
        <v>0</v>
      </c>
      <c r="AA108" s="473">
        <f t="shared" si="24"/>
        <v>0</v>
      </c>
      <c r="AB108" s="476" t="str">
        <f>IF('MIS 2026'!CM108="","",'MIS 2026'!CM108)</f>
        <v/>
      </c>
      <c r="AC108" s="476" t="str">
        <f>'MIS 2026'!U108</f>
        <v>UNSOLD VIETNAM-LOSG02033500-WAKMAN 250MTS FOB-DRAFT BL CONFIRMED 21/5</v>
      </c>
      <c r="AD108" s="474" t="str">
        <f>IF('MIS 2026'!BF108&gt;0,'MIS 2026'!BF108,"")</f>
        <v/>
      </c>
      <c r="AE108" s="476">
        <f>IF('MIS 2026'!N108&gt;0,'MIS 2026'!N108,"")</f>
        <v>46167</v>
      </c>
      <c r="AF108" s="474"/>
      <c r="AG108" s="478" t="str">
        <f>IF('MIS 2026'!BV108&lt;&gt;0,'MIS 2026'!BV108,"")</f>
        <v/>
      </c>
      <c r="AH108" s="474" t="str">
        <f>IF('MIS 2026'!F108&lt;&gt;0,'MIS 2026'!F108,"")</f>
        <v>TBA 05</v>
      </c>
      <c r="AI108" s="463">
        <f t="shared" ca="1" si="25"/>
        <v>5</v>
      </c>
      <c r="AJ108" s="474"/>
    </row>
    <row r="109" spans="1:36">
      <c r="A109" s="149" t="s">
        <v>208</v>
      </c>
      <c r="B109" s="149" t="str">
        <f>'MIS 2026'!EV109</f>
        <v>Yet to load</v>
      </c>
      <c r="C109" s="152" t="str">
        <f>'MIS 2026'!F109</f>
        <v>TBA 06</v>
      </c>
      <c r="D109" s="149" t="str">
        <f>'MIS 2026'!EH109</f>
        <v>Valora Exim</v>
      </c>
      <c r="E109" s="151">
        <f>'MIS 2026'!AF109</f>
        <v>200</v>
      </c>
      <c r="F109" s="150">
        <f>'MIS 2026'!EK109</f>
        <v>0</v>
      </c>
      <c r="G109" s="150">
        <f t="shared" si="21"/>
        <v>0</v>
      </c>
      <c r="H109" s="149">
        <f>'MIS 2026'!EL109</f>
        <v>0</v>
      </c>
      <c r="I109" s="148"/>
      <c r="J109" s="473">
        <f>'MIS 2026'!ER109</f>
        <v>0</v>
      </c>
      <c r="K109" s="473">
        <f t="shared" si="22"/>
        <v>0</v>
      </c>
      <c r="L109" s="473">
        <f>'MIS 2026'!EW109</f>
        <v>0</v>
      </c>
      <c r="M109" s="474">
        <f>IF('MIS 2026'!EZ109&gt;0,'MIS 2026'!EW109,0)</f>
        <v>0</v>
      </c>
      <c r="N109" s="474" t="str">
        <f>'MIS 2026'!I109</f>
        <v>GHANA</v>
      </c>
      <c r="O109" s="474" t="str">
        <f>'MIS 2026'!H109</f>
        <v>VALENCY VIETNAM UNSOLD</v>
      </c>
      <c r="P109" s="473">
        <f>'MIS 2026'!AI109</f>
        <v>0</v>
      </c>
      <c r="Q109" s="474" t="str">
        <f>'MIS 2026'!BQ109</f>
        <v>HCMC, VIETNAM</v>
      </c>
      <c r="R109" s="474">
        <f>'MIS 2026'!AM109</f>
        <v>0</v>
      </c>
      <c r="S109" s="474" t="str">
        <f>'MIS 2026'!AL109</f>
        <v>DP SIGHT</v>
      </c>
      <c r="T109" s="473">
        <f>'MIS 2026'!AZ109</f>
        <v>0</v>
      </c>
      <c r="U109" s="474" t="str">
        <f>IF('MIS 2026'!BI109="","",'MIS 2026'!BI109)</f>
        <v>TMA0159717B</v>
      </c>
      <c r="V109" s="475">
        <f>IF('MIS 2026'!BJ109&gt;0,'MIS 2026'!BJ109,'MIS 2026'!AF109)</f>
        <v>187.79499999999999</v>
      </c>
      <c r="W109" s="476">
        <f>IF('MIS 2026'!BM109="","",'MIS 2026'!BM109)</f>
        <v>46167</v>
      </c>
      <c r="X109" s="476">
        <f>IF('MIS 2026'!BO109="","",'MIS 2026'!BO109)</f>
        <v>46213</v>
      </c>
      <c r="Y109" s="473">
        <f t="shared" si="23"/>
        <v>0</v>
      </c>
      <c r="Z109" s="473">
        <f>IF('MIS 2026'!CR109&gt;0,'MIS 2026'!CQ109,0)</f>
        <v>0</v>
      </c>
      <c r="AA109" s="473">
        <f t="shared" si="24"/>
        <v>0</v>
      </c>
      <c r="AB109" s="476" t="str">
        <f>IF('MIS 2026'!CM109="","",'MIS 2026'!CM109)</f>
        <v/>
      </c>
      <c r="AC109" s="476" t="str">
        <f>'MIS 2026'!U109</f>
        <v>UNSOLD -DRAFT BL is on hold due to unsold cargo</v>
      </c>
      <c r="AD109" s="474" t="str">
        <f>IF('MIS 2026'!BF109&gt;0,'MIS 2026'!BF109,"")</f>
        <v/>
      </c>
      <c r="AE109" s="476">
        <f>IF('MIS 2026'!N109&gt;0,'MIS 2026'!N109,"")</f>
        <v>46167</v>
      </c>
      <c r="AF109" s="474"/>
      <c r="AG109" s="478" t="str">
        <f>IF('MIS 2026'!BV109&lt;&gt;0,'MIS 2026'!BV109,"")</f>
        <v/>
      </c>
      <c r="AH109" s="474" t="str">
        <f>IF('MIS 2026'!F109&lt;&gt;0,'MIS 2026'!F109,"")</f>
        <v>TBA 06</v>
      </c>
      <c r="AI109" s="463">
        <f t="shared" ca="1" si="25"/>
        <v>5</v>
      </c>
      <c r="AJ109" s="474"/>
    </row>
    <row r="110" spans="1:36">
      <c r="A110" s="149" t="s">
        <v>208</v>
      </c>
      <c r="B110" s="149" t="str">
        <f>'MIS 2026'!EV110</f>
        <v>Yet to load</v>
      </c>
      <c r="C110" s="152" t="str">
        <f>'MIS 2026'!F110</f>
        <v>TBA 07</v>
      </c>
      <c r="D110" s="149" t="str">
        <f>'MIS 2026'!EH110</f>
        <v>Valora Exim</v>
      </c>
      <c r="E110" s="151">
        <f>'MIS 2026'!AF110</f>
        <v>150</v>
      </c>
      <c r="F110" s="150">
        <f>'MIS 2026'!EK110</f>
        <v>0</v>
      </c>
      <c r="G110" s="150">
        <f t="shared" si="21"/>
        <v>0</v>
      </c>
      <c r="H110" s="149">
        <f>'MIS 2026'!EL110</f>
        <v>0</v>
      </c>
      <c r="I110" s="148"/>
      <c r="J110" s="473">
        <f>'MIS 2026'!ER110</f>
        <v>0</v>
      </c>
      <c r="K110" s="473">
        <f t="shared" si="22"/>
        <v>0</v>
      </c>
      <c r="L110" s="473">
        <f>'MIS 2026'!EW110</f>
        <v>0</v>
      </c>
      <c r="M110" s="474">
        <f>IF('MIS 2026'!EZ110&gt;0,'MIS 2026'!EW110,0)</f>
        <v>0</v>
      </c>
      <c r="N110" s="474" t="str">
        <f>'MIS 2026'!I110</f>
        <v>GHANA</v>
      </c>
      <c r="O110" s="474" t="str">
        <f>'MIS 2026'!H110</f>
        <v>VALENCY VIETNAM UNSOLD</v>
      </c>
      <c r="P110" s="473">
        <f>'MIS 2026'!AI110</f>
        <v>0</v>
      </c>
      <c r="Q110" s="474" t="str">
        <f>'MIS 2026'!BQ110</f>
        <v>HCMC, VIETNAM</v>
      </c>
      <c r="R110" s="474">
        <f>'MIS 2026'!AM110</f>
        <v>0</v>
      </c>
      <c r="S110" s="474" t="str">
        <f>'MIS 2026'!AL110</f>
        <v>DP SIGHT</v>
      </c>
      <c r="T110" s="473">
        <f>'MIS 2026'!AZ110</f>
        <v>0</v>
      </c>
      <c r="U110" s="474" t="str">
        <f>IF('MIS 2026'!BI110="","",'MIS 2026'!BI110)</f>
        <v>TMA0159717A</v>
      </c>
      <c r="V110" s="475">
        <f>IF('MIS 2026'!BJ110&gt;0,'MIS 2026'!BJ110,'MIS 2026'!AF110)</f>
        <v>156.15</v>
      </c>
      <c r="W110" s="476">
        <f>IF('MIS 2026'!BM110="","",'MIS 2026'!BM110)</f>
        <v>46167</v>
      </c>
      <c r="X110" s="476">
        <f>IF('MIS 2026'!BO110="","",'MIS 2026'!BO110)</f>
        <v>46213</v>
      </c>
      <c r="Y110" s="473">
        <f t="shared" si="23"/>
        <v>0</v>
      </c>
      <c r="Z110" s="473">
        <f>IF('MIS 2026'!CR110&gt;0,'MIS 2026'!CQ110,0)</f>
        <v>0</v>
      </c>
      <c r="AA110" s="473">
        <f t="shared" si="24"/>
        <v>0</v>
      </c>
      <c r="AB110" s="476" t="str">
        <f>IF('MIS 2026'!CM110="","",'MIS 2026'!CM110)</f>
        <v/>
      </c>
      <c r="AC110" s="476" t="str">
        <f>'MIS 2026'!U110</f>
        <v>UNSOLD -DRAFT BL is on hold due to unsold cargo</v>
      </c>
      <c r="AD110" s="474" t="str">
        <f>IF('MIS 2026'!BF110&gt;0,'MIS 2026'!BF110,"")</f>
        <v/>
      </c>
      <c r="AE110" s="476">
        <f>IF('MIS 2026'!N110&gt;0,'MIS 2026'!N110,"")</f>
        <v>46167</v>
      </c>
      <c r="AF110" s="474"/>
      <c r="AG110" s="478" t="str">
        <f>IF('MIS 2026'!BV110&lt;&gt;0,'MIS 2026'!BV110,"")</f>
        <v/>
      </c>
      <c r="AH110" s="474" t="str">
        <f>IF('MIS 2026'!F110&lt;&gt;0,'MIS 2026'!F110,"")</f>
        <v>TBA 07</v>
      </c>
      <c r="AI110" s="463">
        <f t="shared" ca="1" si="25"/>
        <v>5</v>
      </c>
      <c r="AJ110" s="474"/>
    </row>
    <row r="111" spans="1:36">
      <c r="A111" s="149" t="s">
        <v>208</v>
      </c>
      <c r="B111" s="149" t="str">
        <f>'MIS 2026'!EV111</f>
        <v>Yet to load</v>
      </c>
      <c r="C111" s="152">
        <f>'MIS 2026'!F111</f>
        <v>32016285</v>
      </c>
      <c r="D111" s="149" t="str">
        <f>'MIS 2026'!EH111</f>
        <v>ALKEMAL SINGAPORE PTE LTD</v>
      </c>
      <c r="E111" s="151">
        <f>'MIS 2026'!AF111</f>
        <v>200</v>
      </c>
      <c r="F111" s="150">
        <f>'MIS 2026'!EK111</f>
        <v>1290</v>
      </c>
      <c r="G111" s="150">
        <f t="shared" si="21"/>
        <v>258000</v>
      </c>
      <c r="H111" s="149">
        <f>'MIS 2026'!EL111</f>
        <v>0</v>
      </c>
      <c r="I111" s="148"/>
      <c r="J111" s="473">
        <f>'MIS 2026'!ER111</f>
        <v>0</v>
      </c>
      <c r="K111" s="473">
        <f t="shared" si="22"/>
        <v>258000</v>
      </c>
      <c r="L111" s="473">
        <f>'MIS 2026'!EW111</f>
        <v>0</v>
      </c>
      <c r="M111" s="474">
        <f>IF('MIS 2026'!EZ111&gt;0,'MIS 2026'!EW111,0)</f>
        <v>0</v>
      </c>
      <c r="N111" s="474" t="str">
        <f>'MIS 2026'!I111</f>
        <v>GUINEA CONAKRY-BOKE</v>
      </c>
      <c r="O111" s="474" t="str">
        <f>'MIS 2026'!H111</f>
        <v>VIET AGRO PTE LTD</v>
      </c>
      <c r="P111" s="473">
        <f>'MIS 2026'!AI111</f>
        <v>1560</v>
      </c>
      <c r="Q111" s="474" t="str">
        <f>'MIS 2026'!BQ111</f>
        <v>HCMC, VIETNAM</v>
      </c>
      <c r="R111" s="474">
        <f>'MIS 2026'!AM111</f>
        <v>0.1</v>
      </c>
      <c r="S111" s="474" t="str">
        <f>'MIS 2026'!AL111</f>
        <v>10% ADVANCE 88% DP AT SIGHT 2% after vina</v>
      </c>
      <c r="T111" s="473">
        <f>'MIS 2026'!AZ111</f>
        <v>31200</v>
      </c>
      <c r="U111" s="474" t="str">
        <f>IF('MIS 2026'!BI111="","",'MIS 2026'!BI111)</f>
        <v/>
      </c>
      <c r="V111" s="475">
        <f>IF('MIS 2026'!BJ111&gt;0,'MIS 2026'!BJ111,'MIS 2026'!AF111)</f>
        <v>200</v>
      </c>
      <c r="W111" s="476" t="str">
        <f>IF('MIS 2026'!BM111="","",'MIS 2026'!BM111)</f>
        <v/>
      </c>
      <c r="X111" s="476" t="str">
        <f>IF('MIS 2026'!BO111="","",'MIS 2026'!BO111)</f>
        <v/>
      </c>
      <c r="Y111" s="473">
        <f t="shared" si="23"/>
        <v>280800</v>
      </c>
      <c r="Z111" s="473">
        <f>IF('MIS 2026'!CR111&gt;0,'MIS 2026'!CQ111,0)</f>
        <v>0</v>
      </c>
      <c r="AA111" s="473">
        <f t="shared" si="24"/>
        <v>280800</v>
      </c>
      <c r="AB111" s="476" t="str">
        <f>IF('MIS 2026'!CM111="","",'MIS 2026'!CM111)</f>
        <v/>
      </c>
      <c r="AC111" s="476" t="str">
        <f>'MIS 2026'!U111</f>
        <v>RCVD COUNTER SIGNED &amp; RCVD ADVANCE 22/4( 100MT SI SENT TO ALKEMAL &amp; 100MT SI PENDING)</v>
      </c>
      <c r="AD111" s="474" t="str">
        <f>IF('MIS 2026'!BF111&gt;0,'MIS 2026'!BF111,"")</f>
        <v/>
      </c>
      <c r="AE111" s="476" t="str">
        <f>IF('MIS 2026'!N111&gt;0,'MIS 2026'!N111,"")</f>
        <v/>
      </c>
      <c r="AF111" s="474"/>
      <c r="AG111" s="478" t="str">
        <f>IF('MIS 2026'!BV111&lt;&gt;0,'MIS 2026'!BV111,"")</f>
        <v/>
      </c>
      <c r="AH111" s="474">
        <f>IF('MIS 2026'!F111&lt;&gt;0,'MIS 2026'!F111,"")</f>
        <v>32016285</v>
      </c>
      <c r="AI111" s="463" t="str">
        <f t="shared" ca="1" si="25"/>
        <v/>
      </c>
      <c r="AJ111" s="474"/>
    </row>
    <row r="112" spans="1:36">
      <c r="A112" s="149" t="s">
        <v>208</v>
      </c>
      <c r="B112" s="149" t="str">
        <f>'MIS 2026'!EV112</f>
        <v>Yet to load</v>
      </c>
      <c r="C112" s="152">
        <f>'MIS 2026'!F112</f>
        <v>32015796</v>
      </c>
      <c r="D112" s="149" t="str">
        <f>'MIS 2026'!EH112</f>
        <v xml:space="preserve">VALENCY IVC </v>
      </c>
      <c r="E112" s="151">
        <f>'MIS 2026'!AF112</f>
        <v>250</v>
      </c>
      <c r="F112" s="150">
        <f>'MIS 2026'!EK112</f>
        <v>0</v>
      </c>
      <c r="G112" s="150">
        <f t="shared" si="21"/>
        <v>0</v>
      </c>
      <c r="H112" s="149">
        <f>'MIS 2026'!EL112</f>
        <v>0</v>
      </c>
      <c r="I112" s="148"/>
      <c r="J112" s="473">
        <f>'MIS 2026'!ER112</f>
        <v>0</v>
      </c>
      <c r="K112" s="473">
        <f t="shared" si="22"/>
        <v>0</v>
      </c>
      <c r="L112" s="473">
        <f>'MIS 2026'!EW112</f>
        <v>0</v>
      </c>
      <c r="M112" s="474">
        <f>IF('MIS 2026'!EZ112&gt;0,'MIS 2026'!EW112,0)</f>
        <v>0</v>
      </c>
      <c r="N112" s="474" t="str">
        <f>'MIS 2026'!I112</f>
        <v>IVC</v>
      </c>
      <c r="O112" s="474" t="str">
        <f>'MIS 2026'!H112</f>
        <v xml:space="preserve">KIEU LOAN CO., LTD  </v>
      </c>
      <c r="P112" s="473">
        <f>'MIS 2026'!AI112</f>
        <v>1515</v>
      </c>
      <c r="Q112" s="474" t="str">
        <f>'MIS 2026'!BQ112</f>
        <v>HCMC, VIETNAM</v>
      </c>
      <c r="R112" s="474">
        <f>'MIS 2026'!AM112</f>
        <v>0.1</v>
      </c>
      <c r="S112" s="474" t="str">
        <f>'MIS 2026'!AL112</f>
        <v>10% ADVANCE 88% DP AT SIGHT 2% after vina</v>
      </c>
      <c r="T112" s="473">
        <f>'MIS 2026'!AZ112</f>
        <v>37875</v>
      </c>
      <c r="U112" s="474" t="str">
        <f>IF('MIS 2026'!BI112="","",'MIS 2026'!BI112)</f>
        <v>HLCUAB1260400785</v>
      </c>
      <c r="V112" s="475">
        <f>IF('MIS 2026'!BJ112&gt;0,'MIS 2026'!BJ112,'MIS 2026'!AF112)</f>
        <v>248.91</v>
      </c>
      <c r="W112" s="476" t="str">
        <f>IF('MIS 2026'!BM112="","",'MIS 2026'!BM112)</f>
        <v/>
      </c>
      <c r="X112" s="476">
        <f>IF('MIS 2026'!BO112="","",'MIS 2026'!BO112)</f>
        <v>46215</v>
      </c>
      <c r="Y112" s="473">
        <f t="shared" si="23"/>
        <v>339223.65</v>
      </c>
      <c r="Z112" s="473">
        <f>IF('MIS 2026'!CR112&gt;0,'MIS 2026'!CQ112,0)</f>
        <v>0</v>
      </c>
      <c r="AA112" s="473">
        <f t="shared" si="24"/>
        <v>339223.65</v>
      </c>
      <c r="AB112" s="476" t="str">
        <f>IF('MIS 2026'!CM112="","",'MIS 2026'!CM112)</f>
        <v/>
      </c>
      <c r="AC112" s="476" t="str">
        <f>'MIS 2026'!U112</f>
        <v>DRAFT MBL RCVD-DRAFT HBL CONFIRMED 21/5</v>
      </c>
      <c r="AD112" s="474" t="str">
        <f>IF('MIS 2026'!BF112&gt;0,'MIS 2026'!BF112,"")</f>
        <v/>
      </c>
      <c r="AE112" s="476" t="str">
        <f>IF('MIS 2026'!N112&gt;0,'MIS 2026'!N112,"")</f>
        <v/>
      </c>
      <c r="AF112" s="474"/>
      <c r="AG112" s="478" t="str">
        <f>IF('MIS 2026'!BV112&lt;&gt;0,'MIS 2026'!BV112,"")</f>
        <v/>
      </c>
      <c r="AH112" s="474">
        <f>IF('MIS 2026'!F112&lt;&gt;0,'MIS 2026'!F112,"")</f>
        <v>32015796</v>
      </c>
      <c r="AI112" s="463" t="str">
        <f t="shared" ca="1" si="25"/>
        <v/>
      </c>
      <c r="AJ112" s="474"/>
    </row>
    <row r="113" spans="1:36">
      <c r="A113" s="149" t="s">
        <v>208</v>
      </c>
      <c r="B113" s="149" t="str">
        <f>'MIS 2026'!EV113</f>
        <v>Yet to load</v>
      </c>
      <c r="C113" s="152">
        <f>'MIS 2026'!F113</f>
        <v>32014492</v>
      </c>
      <c r="D113" s="149" t="str">
        <f>'MIS 2026'!EH113</f>
        <v xml:space="preserve">VALENCY IVC </v>
      </c>
      <c r="E113" s="151">
        <f>'MIS 2026'!AF113</f>
        <v>100</v>
      </c>
      <c r="F113" s="150">
        <f>'MIS 2026'!EK113</f>
        <v>0</v>
      </c>
      <c r="G113" s="150">
        <f t="shared" si="21"/>
        <v>0</v>
      </c>
      <c r="H113" s="149">
        <f>'MIS 2026'!EL113</f>
        <v>0</v>
      </c>
      <c r="I113" s="148"/>
      <c r="J113" s="473">
        <f>'MIS 2026'!ER113</f>
        <v>0</v>
      </c>
      <c r="K113" s="473">
        <f t="shared" si="22"/>
        <v>0</v>
      </c>
      <c r="L113" s="473">
        <f>'MIS 2026'!EW113</f>
        <v>0</v>
      </c>
      <c r="M113" s="474">
        <f>IF('MIS 2026'!EZ113&gt;0,'MIS 2026'!EW113,0)</f>
        <v>0</v>
      </c>
      <c r="N113" s="474" t="str">
        <f>'MIS 2026'!I113</f>
        <v>IVC</v>
      </c>
      <c r="O113" s="474" t="str">
        <f>'MIS 2026'!H113</f>
        <v>ST. GREGORIOUS CASHEW</v>
      </c>
      <c r="P113" s="473">
        <f>'MIS 2026'!AI113</f>
        <v>1545</v>
      </c>
      <c r="Q113" s="474" t="str">
        <f>'MIS 2026'!BQ113</f>
        <v>COCHIN, INDIA</v>
      </c>
      <c r="R113" s="474">
        <f>'MIS 2026'!AM113</f>
        <v>0</v>
      </c>
      <c r="S113" s="474" t="str">
        <f>'MIS 2026'!AL113</f>
        <v>DP SIGHT</v>
      </c>
      <c r="T113" s="473">
        <f>'MIS 2026'!AZ113</f>
        <v>0</v>
      </c>
      <c r="U113" s="474">
        <f>IF('MIS 2026'!BI113="","",'MIS 2026'!BI113)</f>
        <v>270261409</v>
      </c>
      <c r="V113" s="475">
        <f>IF('MIS 2026'!BJ113&gt;0,'MIS 2026'!BJ113,'MIS 2026'!AF113)</f>
        <v>100.07</v>
      </c>
      <c r="W113" s="476">
        <f>IF('MIS 2026'!BM113="","",'MIS 2026'!BM113)</f>
        <v>46172</v>
      </c>
      <c r="X113" s="476">
        <f>IF('MIS 2026'!BO113="","",'MIS 2026'!BO113)</f>
        <v>46192</v>
      </c>
      <c r="Y113" s="473">
        <f t="shared" si="23"/>
        <v>154608.15</v>
      </c>
      <c r="Z113" s="473">
        <f>IF('MIS 2026'!CR113&gt;0,'MIS 2026'!CQ113,0)</f>
        <v>0</v>
      </c>
      <c r="AA113" s="473">
        <f t="shared" si="24"/>
        <v>154608.15</v>
      </c>
      <c r="AB113" s="476" t="str">
        <f>IF('MIS 2026'!CM113="","",'MIS 2026'!CM113)</f>
        <v/>
      </c>
      <c r="AC113" s="476" t="str">
        <f>'MIS 2026'!U113</f>
        <v>DRAFT BL SENT TO BUYER-23/5</v>
      </c>
      <c r="AD113" s="474">
        <f>IF('MIS 2026'!BF113&gt;0,'MIS 2026'!BF113,"")</f>
        <v>46083</v>
      </c>
      <c r="AE113" s="476">
        <f>IF('MIS 2026'!N113&gt;0,'MIS 2026'!N113,"")</f>
        <v>46172</v>
      </c>
      <c r="AF113" s="474"/>
      <c r="AG113" s="478" t="str">
        <f>IF('MIS 2026'!BV113&lt;&gt;0,'MIS 2026'!BV113,"")</f>
        <v/>
      </c>
      <c r="AH113" s="474">
        <f>IF('MIS 2026'!F113&lt;&gt;0,'MIS 2026'!F113,"")</f>
        <v>32014492</v>
      </c>
      <c r="AI113" s="463">
        <f t="shared" ca="1" si="25"/>
        <v>0</v>
      </c>
      <c r="AJ113" s="474"/>
    </row>
    <row r="114" spans="1:36">
      <c r="A114" s="149" t="s">
        <v>208</v>
      </c>
      <c r="B114" s="149" t="str">
        <f>'MIS 2026'!EV114</f>
        <v>Yet to load</v>
      </c>
      <c r="C114" s="152">
        <f>'MIS 2026'!F114</f>
        <v>32016278</v>
      </c>
      <c r="D114" s="149" t="str">
        <f>'MIS 2026'!EH114</f>
        <v xml:space="preserve">VALENCY IVC </v>
      </c>
      <c r="E114" s="151">
        <f>'MIS 2026'!AF114</f>
        <v>300</v>
      </c>
      <c r="F114" s="150">
        <f>'MIS 2026'!EK114</f>
        <v>0</v>
      </c>
      <c r="G114" s="150">
        <f t="shared" si="21"/>
        <v>0</v>
      </c>
      <c r="H114" s="149">
        <f>'MIS 2026'!EL114</f>
        <v>0</v>
      </c>
      <c r="I114" s="148"/>
      <c r="J114" s="473">
        <f>'MIS 2026'!ER114</f>
        <v>0</v>
      </c>
      <c r="K114" s="473">
        <f t="shared" si="22"/>
        <v>0</v>
      </c>
      <c r="L114" s="473">
        <f>'MIS 2026'!EW114</f>
        <v>0</v>
      </c>
      <c r="M114" s="474">
        <f>IF('MIS 2026'!EZ114&gt;0,'MIS 2026'!EW114,0)</f>
        <v>0</v>
      </c>
      <c r="N114" s="474" t="str">
        <f>'MIS 2026'!I114</f>
        <v>IVC</v>
      </c>
      <c r="O114" s="474" t="str">
        <f>'MIS 2026'!H114</f>
        <v>RED RIVER FOODS</v>
      </c>
      <c r="P114" s="473">
        <f>'MIS 2026'!AI114</f>
        <v>1515</v>
      </c>
      <c r="Q114" s="474" t="str">
        <f>'MIS 2026'!BQ114</f>
        <v>Qui Nhon, Vietnam</v>
      </c>
      <c r="R114" s="474">
        <f>'MIS 2026'!AM114</f>
        <v>0.1</v>
      </c>
      <c r="S114" s="474" t="str">
        <f>'MIS 2026'!AL114</f>
        <v>DP SIGHT</v>
      </c>
      <c r="T114" s="473">
        <f>'MIS 2026'!AZ114</f>
        <v>45450</v>
      </c>
      <c r="U114" s="474" t="str">
        <f>IF('MIS 2026'!BI114="","",'MIS 2026'!BI114)</f>
        <v/>
      </c>
      <c r="V114" s="475">
        <f>IF('MIS 2026'!BJ114&gt;0,'MIS 2026'!BJ114,'MIS 2026'!AF114)</f>
        <v>300</v>
      </c>
      <c r="W114" s="476" t="str">
        <f>IF('MIS 2026'!BM114="","",'MIS 2026'!BM114)</f>
        <v/>
      </c>
      <c r="X114" s="476" t="str">
        <f>IF('MIS 2026'!BO114="","",'MIS 2026'!BO114)</f>
        <v/>
      </c>
      <c r="Y114" s="473">
        <f t="shared" si="23"/>
        <v>409050</v>
      </c>
      <c r="Z114" s="473">
        <f>IF('MIS 2026'!CR114&gt;0,'MIS 2026'!CQ114,0)</f>
        <v>0</v>
      </c>
      <c r="AA114" s="473">
        <f t="shared" si="24"/>
        <v>409050</v>
      </c>
      <c r="AB114" s="476" t="str">
        <f>IF('MIS 2026'!CM114="","",'MIS 2026'!CM114)</f>
        <v/>
      </c>
      <c r="AC114" s="476" t="str">
        <f>'MIS 2026'!U114</f>
        <v xml:space="preserve">RCVD COUNTERSIGNED +ADVANCE RCVD 23/4. (DUE DATE: 21 APRIL) </v>
      </c>
      <c r="AD114" s="474" t="str">
        <f>IF('MIS 2026'!BF114&gt;0,'MIS 2026'!BF114,"")</f>
        <v/>
      </c>
      <c r="AE114" s="476" t="str">
        <f>IF('MIS 2026'!N114&gt;0,'MIS 2026'!N114,"")</f>
        <v/>
      </c>
      <c r="AF114" s="474"/>
      <c r="AG114" s="478" t="str">
        <f>IF('MIS 2026'!BV114&lt;&gt;0,'MIS 2026'!BV114,"")</f>
        <v/>
      </c>
      <c r="AH114" s="474">
        <f>IF('MIS 2026'!F114&lt;&gt;0,'MIS 2026'!F114,"")</f>
        <v>32016278</v>
      </c>
      <c r="AI114" s="463" t="str">
        <f t="shared" ca="1" si="25"/>
        <v/>
      </c>
      <c r="AJ114" s="474"/>
    </row>
    <row r="115" spans="1:36">
      <c r="A115" s="149" t="s">
        <v>208</v>
      </c>
      <c r="B115" s="149" t="str">
        <f>'MIS 2026'!EV115</f>
        <v>Yet to load</v>
      </c>
      <c r="C115" s="152">
        <f>'MIS 2026'!F115</f>
        <v>32016329</v>
      </c>
      <c r="D115" s="149" t="str">
        <f>'MIS 2026'!EH115</f>
        <v xml:space="preserve">LS EXIM ENTERPRISE </v>
      </c>
      <c r="E115" s="151">
        <f>'MIS 2026'!AF115</f>
        <v>250</v>
      </c>
      <c r="F115" s="150">
        <f>'MIS 2026'!EK115</f>
        <v>1425</v>
      </c>
      <c r="G115" s="150">
        <f t="shared" si="21"/>
        <v>356250</v>
      </c>
      <c r="H115" s="149">
        <f>'MIS 2026'!EL115</f>
        <v>0</v>
      </c>
      <c r="I115" s="148"/>
      <c r="J115" s="473">
        <f>'MIS 2026'!ER115</f>
        <v>0</v>
      </c>
      <c r="K115" s="473">
        <f t="shared" si="22"/>
        <v>356250</v>
      </c>
      <c r="L115" s="473">
        <f>'MIS 2026'!EW115</f>
        <v>0</v>
      </c>
      <c r="M115" s="474">
        <f>IF('MIS 2026'!EZ115&gt;0,'MIS 2026'!EW115,0)</f>
        <v>0</v>
      </c>
      <c r="N115" s="474" t="str">
        <f>'MIS 2026'!I115</f>
        <v>GAMBIA</v>
      </c>
      <c r="O115" s="474" t="str">
        <f>'MIS 2026'!H115</f>
        <v>RED RIVER FOODS</v>
      </c>
      <c r="P115" s="473">
        <f>'MIS 2026'!AI115</f>
        <v>1460</v>
      </c>
      <c r="Q115" s="474" t="str">
        <f>'MIS 2026'!BQ115</f>
        <v>QUI NHON, VIETNAM</v>
      </c>
      <c r="R115" s="474">
        <f>'MIS 2026'!AM115</f>
        <v>0.1</v>
      </c>
      <c r="S115" s="474" t="str">
        <f>'MIS 2026'!AL115</f>
        <v>10% ADVANCE 88% DP AT SIGHT 2% after vina</v>
      </c>
      <c r="T115" s="473">
        <f>'MIS 2026'!AZ115</f>
        <v>36500</v>
      </c>
      <c r="U115" s="474" t="str">
        <f>IF('MIS 2026'!BI115="","",'MIS 2026'!BI115)</f>
        <v/>
      </c>
      <c r="V115" s="475">
        <f>IF('MIS 2026'!BJ115&gt;0,'MIS 2026'!BJ115,'MIS 2026'!AF115)</f>
        <v>250</v>
      </c>
      <c r="W115" s="476" t="str">
        <f>IF('MIS 2026'!BM115="","",'MIS 2026'!BM115)</f>
        <v/>
      </c>
      <c r="X115" s="476" t="str">
        <f>IF('MIS 2026'!BO115="","",'MIS 2026'!BO115)</f>
        <v/>
      </c>
      <c r="Y115" s="473">
        <f t="shared" si="23"/>
        <v>328500</v>
      </c>
      <c r="Z115" s="473">
        <f>IF('MIS 2026'!CR115&gt;0,'MIS 2026'!CQ115,0)</f>
        <v>0</v>
      </c>
      <c r="AA115" s="473">
        <f t="shared" si="24"/>
        <v>328500</v>
      </c>
      <c r="AB115" s="476" t="str">
        <f>IF('MIS 2026'!CM115="","",'MIS 2026'!CM115)</f>
        <v/>
      </c>
      <c r="AC115" s="476" t="str">
        <f>'MIS 2026'!U115</f>
        <v>ETD:7/6 - 150 mt departure Vessel: MATILDE A</v>
      </c>
      <c r="AD115" s="474" t="str">
        <f>IF('MIS 2026'!BF115&gt;0,'MIS 2026'!BF115,"")</f>
        <v/>
      </c>
      <c r="AE115" s="476" t="str">
        <f>IF('MIS 2026'!N115&gt;0,'MIS 2026'!N115,"")</f>
        <v/>
      </c>
      <c r="AF115" s="474"/>
      <c r="AG115" s="478" t="str">
        <f>IF('MIS 2026'!BV115&lt;&gt;0,'MIS 2026'!BV115,"")</f>
        <v/>
      </c>
      <c r="AH115" s="474">
        <f>IF('MIS 2026'!F115&lt;&gt;0,'MIS 2026'!F115,"")</f>
        <v>32016329</v>
      </c>
      <c r="AI115" s="463" t="str">
        <f t="shared" ca="1" si="25"/>
        <v/>
      </c>
      <c r="AJ115" s="474"/>
    </row>
    <row r="116" spans="1:36">
      <c r="A116" s="149" t="s">
        <v>208</v>
      </c>
      <c r="B116" s="149" t="str">
        <f>'MIS 2026'!EV116</f>
        <v>Final Pmt Recd</v>
      </c>
      <c r="C116" s="152">
        <f>'MIS 2026'!F116</f>
        <v>32012911</v>
      </c>
      <c r="D116" s="149" t="str">
        <f>'MIS 2026'!EH116</f>
        <v>VK Trading</v>
      </c>
      <c r="E116" s="151">
        <f>'MIS 2026'!AF116</f>
        <v>30</v>
      </c>
      <c r="F116" s="150">
        <f>'MIS 2026'!EK116</f>
        <v>0</v>
      </c>
      <c r="G116" s="150">
        <f t="shared" si="21"/>
        <v>0</v>
      </c>
      <c r="H116" s="149">
        <f>'MIS 2026'!EL116</f>
        <v>0</v>
      </c>
      <c r="I116" s="148"/>
      <c r="J116" s="473">
        <f>'MIS 2026'!ER116</f>
        <v>0</v>
      </c>
      <c r="K116" s="473">
        <f t="shared" si="22"/>
        <v>0</v>
      </c>
      <c r="L116" s="473">
        <f>'MIS 2026'!EW116</f>
        <v>0</v>
      </c>
      <c r="M116" s="474">
        <f>IF('MIS 2026'!EZ116&gt;0,'MIS 2026'!EW116,0)</f>
        <v>0</v>
      </c>
      <c r="N116" s="474" t="str">
        <f>'MIS 2026'!I116</f>
        <v>BISSAU</v>
      </c>
      <c r="O116" s="474" t="str">
        <f>'MIS 2026'!H116</f>
        <v>VALENCY AGRO - PROCESSING</v>
      </c>
      <c r="P116" s="473">
        <f>'MIS 2026'!AI116</f>
        <v>1580</v>
      </c>
      <c r="Q116" s="474" t="str">
        <f>'MIS 2026'!BQ116</f>
        <v>MANGALORE, INDIA</v>
      </c>
      <c r="R116" s="474">
        <f>'MIS 2026'!AM116</f>
        <v>0</v>
      </c>
      <c r="S116" s="474" t="str">
        <f>'MIS 2026'!AL116</f>
        <v>DP SIGHT</v>
      </c>
      <c r="T116" s="473">
        <f>'MIS 2026'!AZ116</f>
        <v>0</v>
      </c>
      <c r="U116" s="474" t="str">
        <f>IF('MIS 2026'!BI116="","",'MIS 2026'!BI116)</f>
        <v>MEDUEO002897</v>
      </c>
      <c r="V116" s="475">
        <f>IF('MIS 2026'!BJ116&gt;0,'MIS 2026'!BJ116,'MIS 2026'!AF116)</f>
        <v>28.2</v>
      </c>
      <c r="W116" s="476">
        <f>IF('MIS 2026'!BM116="","",'MIS 2026'!BM116)</f>
        <v>46022</v>
      </c>
      <c r="X116" s="476">
        <f>IF('MIS 2026'!BO116="","",'MIS 2026'!BO116)</f>
        <v>46134</v>
      </c>
      <c r="Y116" s="473">
        <f t="shared" si="23"/>
        <v>44556</v>
      </c>
      <c r="Z116" s="473">
        <f>IF('MIS 2026'!CR116&gt;0,'MIS 2026'!CQ116,0)</f>
        <v>44556</v>
      </c>
      <c r="AA116" s="473">
        <f t="shared" si="24"/>
        <v>0</v>
      </c>
      <c r="AB116" s="476">
        <f>IF('MIS 2026'!CM116="","",'MIS 2026'!CM116)</f>
        <v>46057</v>
      </c>
      <c r="AC116" s="476" t="str">
        <f>'MIS 2026'!U116</f>
        <v>PAYMENT RCVD 24/4</v>
      </c>
      <c r="AD116" s="474">
        <f>IF('MIS 2026'!BF116&gt;0,'MIS 2026'!BF116,"")</f>
        <v>46078</v>
      </c>
      <c r="AE116" s="476">
        <f>IF('MIS 2026'!N116&gt;0,'MIS 2026'!N116,"")</f>
        <v>46022</v>
      </c>
      <c r="AF116" s="474"/>
      <c r="AG116" s="478">
        <f>IF('MIS 2026'!BV116&lt;&gt;0,'MIS 2026'!BV116,"")</f>
        <v>90079115</v>
      </c>
      <c r="AH116" s="474">
        <f>IF('MIS 2026'!F116&lt;&gt;0,'MIS 2026'!F116,"")</f>
        <v>32012911</v>
      </c>
      <c r="AI116" s="463" t="str">
        <f t="shared" ca="1" si="25"/>
        <v/>
      </c>
      <c r="AJ116" s="474"/>
    </row>
    <row r="117" spans="1:36">
      <c r="A117" s="149" t="s">
        <v>208</v>
      </c>
      <c r="B117" s="149" t="str">
        <f>'MIS 2026'!EV117</f>
        <v>Yet to load</v>
      </c>
      <c r="C117" s="152" t="str">
        <f>'MIS 2026'!F117</f>
        <v>TBA 08</v>
      </c>
      <c r="D117" s="149" t="str">
        <f>'MIS 2026'!EH117</f>
        <v>VALORA BURKINA EXIM SARL</v>
      </c>
      <c r="E117" s="151">
        <f>'MIS 2026'!AF117</f>
        <v>100</v>
      </c>
      <c r="F117" s="150">
        <f>'MIS 2026'!EK117</f>
        <v>0</v>
      </c>
      <c r="G117" s="150">
        <f t="shared" si="21"/>
        <v>0</v>
      </c>
      <c r="H117" s="149">
        <f>'MIS 2026'!EL117</f>
        <v>0</v>
      </c>
      <c r="I117" s="148"/>
      <c r="J117" s="473">
        <f>'MIS 2026'!ER117</f>
        <v>0</v>
      </c>
      <c r="K117" s="473">
        <f t="shared" si="22"/>
        <v>0</v>
      </c>
      <c r="L117" s="473">
        <f>'MIS 2026'!EW117</f>
        <v>0</v>
      </c>
      <c r="M117" s="474">
        <f>IF('MIS 2026'!EZ117&gt;0,'MIS 2026'!EW117,0)</f>
        <v>0</v>
      </c>
      <c r="N117" s="474" t="str">
        <f>'MIS 2026'!I117</f>
        <v>BURKINA FASO</v>
      </c>
      <c r="O117" s="474" t="str">
        <f>'MIS 2026'!H117</f>
        <v>VALENCY AGRO UNSOLD</v>
      </c>
      <c r="P117" s="473">
        <f>'MIS 2026'!AI117</f>
        <v>0</v>
      </c>
      <c r="Q117" s="474" t="str">
        <f>'MIS 2026'!BQ117</f>
        <v>TUTICORIN, INDIA</v>
      </c>
      <c r="R117" s="474">
        <f>'MIS 2026'!AM117</f>
        <v>0</v>
      </c>
      <c r="S117" s="474" t="str">
        <f>'MIS 2026'!AL117</f>
        <v>DP SIGHT</v>
      </c>
      <c r="T117" s="473">
        <f>'MIS 2026'!AZ117</f>
        <v>0</v>
      </c>
      <c r="U117" s="474" t="str">
        <f>IF('MIS 2026'!BI117="","",'MIS 2026'!BI117)</f>
        <v/>
      </c>
      <c r="V117" s="475">
        <f>IF('MIS 2026'!BJ117&gt;0,'MIS 2026'!BJ117,'MIS 2026'!AF117)</f>
        <v>100</v>
      </c>
      <c r="W117" s="476" t="str">
        <f>IF('MIS 2026'!BM117="","",'MIS 2026'!BM117)</f>
        <v/>
      </c>
      <c r="X117" s="476" t="str">
        <f>IF('MIS 2026'!BO117="","",'MIS 2026'!BO117)</f>
        <v/>
      </c>
      <c r="Y117" s="473">
        <f t="shared" si="23"/>
        <v>0</v>
      </c>
      <c r="Z117" s="473">
        <f>IF('MIS 2026'!CR117&gt;0,'MIS 2026'!CQ117,0)</f>
        <v>0</v>
      </c>
      <c r="AA117" s="473">
        <f t="shared" si="24"/>
        <v>0</v>
      </c>
      <c r="AB117" s="476" t="str">
        <f>IF('MIS 2026'!CM117="","",'MIS 2026'!CM117)</f>
        <v/>
      </c>
      <c r="AC117" s="476" t="str">
        <f>'MIS 2026'!U117</f>
        <v>UNSOLD BURKINA TO TUTICORIN-EBKG16677211-STUFFING THIS WEEK</v>
      </c>
      <c r="AD117" s="474" t="str">
        <f>IF('MIS 2026'!BF117&gt;0,'MIS 2026'!BF117,"")</f>
        <v/>
      </c>
      <c r="AE117" s="476" t="str">
        <f>IF('MIS 2026'!N117&gt;0,'MIS 2026'!N117,"")</f>
        <v/>
      </c>
      <c r="AF117" s="474"/>
      <c r="AG117" s="478" t="str">
        <f>IF('MIS 2026'!BV117&lt;&gt;0,'MIS 2026'!BV117,"")</f>
        <v/>
      </c>
      <c r="AH117" s="474" t="str">
        <f>IF('MIS 2026'!F117&lt;&gt;0,'MIS 2026'!F117,"")</f>
        <v>TBA 08</v>
      </c>
      <c r="AI117" s="463" t="str">
        <f t="shared" ca="1" si="25"/>
        <v/>
      </c>
      <c r="AJ117" s="474"/>
    </row>
    <row r="118" spans="1:36">
      <c r="A118" s="149" t="s">
        <v>208</v>
      </c>
      <c r="B118" s="149" t="str">
        <f>'MIS 2026'!EV118</f>
        <v>Yet to load</v>
      </c>
      <c r="C118" s="152" t="str">
        <f>'MIS 2026'!F118</f>
        <v>TBA 17</v>
      </c>
      <c r="D118" s="149" t="str">
        <f>'MIS 2026'!EH118</f>
        <v>VALORA BURKINA EXIM SARL</v>
      </c>
      <c r="E118" s="151">
        <f>'MIS 2026'!AF118</f>
        <v>200</v>
      </c>
      <c r="F118" s="150">
        <f>'MIS 2026'!EK118</f>
        <v>0</v>
      </c>
      <c r="G118" s="150">
        <f t="shared" si="21"/>
        <v>0</v>
      </c>
      <c r="H118" s="149">
        <f>'MIS 2026'!EL118</f>
        <v>0</v>
      </c>
      <c r="I118" s="148"/>
      <c r="J118" s="473">
        <f>'MIS 2026'!ER118</f>
        <v>0</v>
      </c>
      <c r="K118" s="473">
        <f t="shared" si="22"/>
        <v>0</v>
      </c>
      <c r="L118" s="473">
        <f>'MIS 2026'!EW118</f>
        <v>0</v>
      </c>
      <c r="M118" s="474">
        <f>IF('MIS 2026'!EZ118&gt;0,'MIS 2026'!EW118,0)</f>
        <v>0</v>
      </c>
      <c r="N118" s="474" t="str">
        <f>'MIS 2026'!I118</f>
        <v>BURKINA FASO</v>
      </c>
      <c r="O118" s="474" t="str">
        <f>'MIS 2026'!H118</f>
        <v>VALENCY VIETNAM UNSOLD</v>
      </c>
      <c r="P118" s="473">
        <f>'MIS 2026'!AI118</f>
        <v>0</v>
      </c>
      <c r="Q118" s="474" t="str">
        <f>'MIS 2026'!BQ118</f>
        <v>HCMC, VIETNAM</v>
      </c>
      <c r="R118" s="474">
        <f>'MIS 2026'!AM118</f>
        <v>0</v>
      </c>
      <c r="S118" s="474" t="str">
        <f>'MIS 2026'!AL118</f>
        <v>DP SIGHT</v>
      </c>
      <c r="T118" s="473">
        <f>'MIS 2026'!AZ118</f>
        <v>0</v>
      </c>
      <c r="U118" s="474" t="str">
        <f>IF('MIS 2026'!BI118="","",'MIS 2026'!BI118)</f>
        <v/>
      </c>
      <c r="V118" s="475">
        <f>IF('MIS 2026'!BJ118&gt;0,'MIS 2026'!BJ118,'MIS 2026'!AF118)</f>
        <v>200</v>
      </c>
      <c r="W118" s="476" t="str">
        <f>IF('MIS 2026'!BM118="","",'MIS 2026'!BM118)</f>
        <v/>
      </c>
      <c r="X118" s="476" t="str">
        <f>IF('MIS 2026'!BO118="","",'MIS 2026'!BO118)</f>
        <v/>
      </c>
      <c r="Y118" s="473">
        <f t="shared" si="23"/>
        <v>0</v>
      </c>
      <c r="Z118" s="473">
        <f>IF('MIS 2026'!CR118&gt;0,'MIS 2026'!CQ118,0)</f>
        <v>0</v>
      </c>
      <c r="AA118" s="473">
        <f t="shared" si="24"/>
        <v>0</v>
      </c>
      <c r="AB118" s="476" t="str">
        <f>IF('MIS 2026'!CM118="","",'MIS 2026'!CM118)</f>
        <v/>
      </c>
      <c r="AC118" s="476" t="str">
        <f>'MIS 2026'!U118</f>
        <v>NTT - VIETNAM UNSOLD ETA:</v>
      </c>
      <c r="AD118" s="474" t="str">
        <f>IF('MIS 2026'!BF118&gt;0,'MIS 2026'!BF118,"")</f>
        <v/>
      </c>
      <c r="AE118" s="476" t="str">
        <f>IF('MIS 2026'!N118&gt;0,'MIS 2026'!N118,"")</f>
        <v/>
      </c>
      <c r="AF118" s="474"/>
      <c r="AG118" s="478" t="str">
        <f>IF('MIS 2026'!BV118&lt;&gt;0,'MIS 2026'!BV118,"")</f>
        <v/>
      </c>
      <c r="AH118" s="474" t="str">
        <f>IF('MIS 2026'!F118&lt;&gt;0,'MIS 2026'!F118,"")</f>
        <v>TBA 17</v>
      </c>
      <c r="AI118" s="463" t="str">
        <f t="shared" ca="1" si="25"/>
        <v/>
      </c>
      <c r="AJ118" s="474"/>
    </row>
    <row r="119" spans="1:36">
      <c r="A119" s="149" t="s">
        <v>208</v>
      </c>
      <c r="B119" s="149" t="str">
        <f>'MIS 2026'!EV119</f>
        <v>Yet to load</v>
      </c>
      <c r="C119" s="152" t="str">
        <f>'MIS 2026'!F119</f>
        <v>TBA 13</v>
      </c>
      <c r="D119" s="149" t="str">
        <f>'MIS 2026'!EH119</f>
        <v>Valency Nigeria</v>
      </c>
      <c r="E119" s="151">
        <f>'MIS 2026'!AF119</f>
        <v>100</v>
      </c>
      <c r="F119" s="150">
        <f>'MIS 2026'!EK119</f>
        <v>0</v>
      </c>
      <c r="G119" s="150">
        <f t="shared" si="21"/>
        <v>0</v>
      </c>
      <c r="H119" s="149">
        <f>'MIS 2026'!EL119</f>
        <v>0</v>
      </c>
      <c r="I119" s="148"/>
      <c r="J119" s="473">
        <f>'MIS 2026'!ER119</f>
        <v>0</v>
      </c>
      <c r="K119" s="473">
        <f t="shared" si="22"/>
        <v>0</v>
      </c>
      <c r="L119" s="473">
        <f>'MIS 2026'!EW119</f>
        <v>0</v>
      </c>
      <c r="M119" s="474">
        <f>IF('MIS 2026'!EZ119&gt;0,'MIS 2026'!EW119,0)</f>
        <v>0</v>
      </c>
      <c r="N119" s="474" t="str">
        <f>'MIS 2026'!I119</f>
        <v>NIGERIA(SAKI)</v>
      </c>
      <c r="O119" s="474" t="str">
        <f>'MIS 2026'!H119</f>
        <v>VALENCY AGRO UNSOLD</v>
      </c>
      <c r="P119" s="473">
        <f>'MIS 2026'!AI119</f>
        <v>0</v>
      </c>
      <c r="Q119" s="474" t="str">
        <f>'MIS 2026'!BQ119</f>
        <v>TUTICORIN, INDIA</v>
      </c>
      <c r="R119" s="474">
        <f>'MIS 2026'!AM119</f>
        <v>0</v>
      </c>
      <c r="S119" s="474">
        <f>'MIS 2026'!AL119</f>
        <v>0</v>
      </c>
      <c r="T119" s="473">
        <f>'MIS 2026'!AZ119</f>
        <v>0</v>
      </c>
      <c r="U119" s="474" t="str">
        <f>IF('MIS 2026'!BI119="","",'MIS 2026'!BI119)</f>
        <v>ONEYLOSG02180800</v>
      </c>
      <c r="V119" s="475">
        <f>IF('MIS 2026'!BJ119&gt;0,'MIS 2026'!BJ119,'MIS 2026'!AF119)</f>
        <v>99.94</v>
      </c>
      <c r="W119" s="476" t="str">
        <f>IF('MIS 2026'!BM119="","",'MIS 2026'!BM119)</f>
        <v/>
      </c>
      <c r="X119" s="476">
        <f>IF('MIS 2026'!BO119="","",'MIS 2026'!BO119)</f>
        <v>46218</v>
      </c>
      <c r="Y119" s="473">
        <f t="shared" si="23"/>
        <v>0</v>
      </c>
      <c r="Z119" s="473">
        <f>IF('MIS 2026'!CR119&gt;0,'MIS 2026'!CQ119,0)</f>
        <v>0</v>
      </c>
      <c r="AA119" s="473">
        <f t="shared" si="24"/>
        <v>0</v>
      </c>
      <c r="AB119" s="476" t="str">
        <f>IF('MIS 2026'!CM119="","",'MIS 2026'!CM119)</f>
        <v/>
      </c>
      <c r="AC119" s="476" t="str">
        <f>'MIS 2026'!U119</f>
        <v>UNSOLD 100MT TO TUTICORIN-LOSG02185600 -DRAFT BL APPROVED 20/5</v>
      </c>
      <c r="AD119" s="474" t="str">
        <f>IF('MIS 2026'!BF119&gt;0,'MIS 2026'!BF119,"")</f>
        <v/>
      </c>
      <c r="AE119" s="476" t="str">
        <f>IF('MIS 2026'!N119&gt;0,'MIS 2026'!N119,"")</f>
        <v/>
      </c>
      <c r="AF119" s="474"/>
      <c r="AG119" s="478" t="str">
        <f>IF('MIS 2026'!BV119&lt;&gt;0,'MIS 2026'!BV119,"")</f>
        <v/>
      </c>
      <c r="AH119" s="474" t="str">
        <f>IF('MIS 2026'!F119&lt;&gt;0,'MIS 2026'!F119,"")</f>
        <v>TBA 13</v>
      </c>
      <c r="AI119" s="463" t="str">
        <f t="shared" ca="1" si="25"/>
        <v/>
      </c>
      <c r="AJ119" s="474"/>
    </row>
    <row r="120" spans="1:36">
      <c r="A120" s="149" t="s">
        <v>208</v>
      </c>
      <c r="B120" s="149" t="str">
        <f>'MIS 2026'!EV120</f>
        <v>Yet to load</v>
      </c>
      <c r="C120" s="152" t="str">
        <f>'MIS 2026'!F120</f>
        <v>TBA 14</v>
      </c>
      <c r="D120" s="149" t="str">
        <f>'MIS 2026'!EH120</f>
        <v>Valency Nigeria</v>
      </c>
      <c r="E120" s="151">
        <f>'MIS 2026'!AF120</f>
        <v>100</v>
      </c>
      <c r="F120" s="150">
        <f>'MIS 2026'!EK120</f>
        <v>0</v>
      </c>
      <c r="G120" s="150">
        <f t="shared" si="21"/>
        <v>0</v>
      </c>
      <c r="H120" s="149">
        <f>'MIS 2026'!EL120</f>
        <v>0</v>
      </c>
      <c r="I120" s="148"/>
      <c r="J120" s="473">
        <f>'MIS 2026'!ER120</f>
        <v>0</v>
      </c>
      <c r="K120" s="473">
        <f t="shared" si="22"/>
        <v>0</v>
      </c>
      <c r="L120" s="473">
        <f>'MIS 2026'!EW120</f>
        <v>0</v>
      </c>
      <c r="M120" s="474">
        <f>IF('MIS 2026'!EZ120&gt;0,'MIS 2026'!EW120,0)</f>
        <v>0</v>
      </c>
      <c r="N120" s="474" t="str">
        <f>'MIS 2026'!I120</f>
        <v>NIGERIA(SAKI)</v>
      </c>
      <c r="O120" s="474" t="str">
        <f>'MIS 2026'!H120</f>
        <v>VALENCY AGRO UNSOLD</v>
      </c>
      <c r="P120" s="473">
        <f>'MIS 2026'!AI120</f>
        <v>0</v>
      </c>
      <c r="Q120" s="474" t="str">
        <f>'MIS 2026'!BQ120</f>
        <v>TUTICORIN, INDIA</v>
      </c>
      <c r="R120" s="474">
        <f>'MIS 2026'!AM120</f>
        <v>0</v>
      </c>
      <c r="S120" s="474">
        <f>'MIS 2026'!AL120</f>
        <v>0</v>
      </c>
      <c r="T120" s="473">
        <f>'MIS 2026'!AZ120</f>
        <v>0</v>
      </c>
      <c r="U120" s="474" t="str">
        <f>IF('MIS 2026'!BI120="","",'MIS 2026'!BI120)</f>
        <v>ONEYLOSG02181900</v>
      </c>
      <c r="V120" s="475">
        <f>IF('MIS 2026'!BJ120&gt;0,'MIS 2026'!BJ120,'MIS 2026'!AF120)</f>
        <v>100.06399999999999</v>
      </c>
      <c r="W120" s="476" t="str">
        <f>IF('MIS 2026'!BM120="","",'MIS 2026'!BM120)</f>
        <v/>
      </c>
      <c r="X120" s="476">
        <f>IF('MIS 2026'!BO120="","",'MIS 2026'!BO120)</f>
        <v>46218</v>
      </c>
      <c r="Y120" s="473">
        <f t="shared" si="23"/>
        <v>0</v>
      </c>
      <c r="Z120" s="473">
        <f>IF('MIS 2026'!CR120&gt;0,'MIS 2026'!CQ120,0)</f>
        <v>0</v>
      </c>
      <c r="AA120" s="473">
        <f t="shared" si="24"/>
        <v>0</v>
      </c>
      <c r="AB120" s="476" t="str">
        <f>IF('MIS 2026'!CM120="","",'MIS 2026'!CM120)</f>
        <v/>
      </c>
      <c r="AC120" s="476" t="str">
        <f>'MIS 2026'!U120</f>
        <v>UNSOLD 100MT TO TUTICORIN-LOSG02185600 -DRAFT BL APPROVED 20/5</v>
      </c>
      <c r="AD120" s="474" t="str">
        <f>IF('MIS 2026'!BF120&gt;0,'MIS 2026'!BF120,"")</f>
        <v/>
      </c>
      <c r="AE120" s="476" t="str">
        <f>IF('MIS 2026'!N120&gt;0,'MIS 2026'!N120,"")</f>
        <v/>
      </c>
      <c r="AF120" s="474"/>
      <c r="AG120" s="478" t="str">
        <f>IF('MIS 2026'!BV120&lt;&gt;0,'MIS 2026'!BV120,"")</f>
        <v/>
      </c>
      <c r="AH120" s="474" t="str">
        <f>IF('MIS 2026'!F120&lt;&gt;0,'MIS 2026'!F120,"")</f>
        <v>TBA 14</v>
      </c>
      <c r="AI120" s="463" t="str">
        <f t="shared" ca="1" si="25"/>
        <v/>
      </c>
      <c r="AJ120" s="474"/>
    </row>
    <row r="121" spans="1:36">
      <c r="A121" s="149" t="s">
        <v>208</v>
      </c>
      <c r="B121" s="149" t="str">
        <f>'MIS 2026'!EV121</f>
        <v>Yet to load</v>
      </c>
      <c r="C121" s="152" t="str">
        <f>'MIS 2026'!F121</f>
        <v>TBA 15</v>
      </c>
      <c r="D121" s="149" t="str">
        <f>'MIS 2026'!EH121</f>
        <v>Valency Nigeria</v>
      </c>
      <c r="E121" s="151">
        <f>'MIS 2026'!AF121</f>
        <v>100</v>
      </c>
      <c r="F121" s="150">
        <f>'MIS 2026'!EK121</f>
        <v>0</v>
      </c>
      <c r="G121" s="150">
        <f t="shared" si="21"/>
        <v>0</v>
      </c>
      <c r="H121" s="149">
        <f>'MIS 2026'!EL121</f>
        <v>0</v>
      </c>
      <c r="I121" s="148"/>
      <c r="J121" s="473">
        <f>'MIS 2026'!ER121</f>
        <v>0</v>
      </c>
      <c r="K121" s="473">
        <f t="shared" si="22"/>
        <v>0</v>
      </c>
      <c r="L121" s="473">
        <f>'MIS 2026'!EW121</f>
        <v>0</v>
      </c>
      <c r="M121" s="474">
        <f>IF('MIS 2026'!EZ121&gt;0,'MIS 2026'!EW121,0)</f>
        <v>0</v>
      </c>
      <c r="N121" s="474" t="str">
        <f>'MIS 2026'!I121</f>
        <v>NIGERIA(SAKI)</v>
      </c>
      <c r="O121" s="474" t="str">
        <f>'MIS 2026'!H121</f>
        <v>VALENCY AGRO UNSOLD</v>
      </c>
      <c r="P121" s="473">
        <f>'MIS 2026'!AI121</f>
        <v>0</v>
      </c>
      <c r="Q121" s="474" t="str">
        <f>'MIS 2026'!BQ121</f>
        <v>TUTICORIN, INDIA</v>
      </c>
      <c r="R121" s="474">
        <f>'MIS 2026'!AM121</f>
        <v>0</v>
      </c>
      <c r="S121" s="474">
        <f>'MIS 2026'!AL121</f>
        <v>0</v>
      </c>
      <c r="T121" s="473">
        <f>'MIS 2026'!AZ121</f>
        <v>0</v>
      </c>
      <c r="U121" s="474" t="str">
        <f>IF('MIS 2026'!BI121="","",'MIS 2026'!BI121)</f>
        <v>ONEYLOSG02185600</v>
      </c>
      <c r="V121" s="475">
        <f>IF('MIS 2026'!BJ121&gt;0,'MIS 2026'!BJ121,'MIS 2026'!AF121)</f>
        <v>100.021</v>
      </c>
      <c r="W121" s="476" t="str">
        <f>IF('MIS 2026'!BM121="","",'MIS 2026'!BM121)</f>
        <v/>
      </c>
      <c r="X121" s="476">
        <f>IF('MIS 2026'!BO121="","",'MIS 2026'!BO121)</f>
        <v>46224</v>
      </c>
      <c r="Y121" s="473">
        <f t="shared" si="23"/>
        <v>0</v>
      </c>
      <c r="Z121" s="473">
        <f>IF('MIS 2026'!CR121&gt;0,'MIS 2026'!CQ121,0)</f>
        <v>0</v>
      </c>
      <c r="AA121" s="473">
        <f t="shared" si="24"/>
        <v>0</v>
      </c>
      <c r="AB121" s="476" t="str">
        <f>IF('MIS 2026'!CM121="","",'MIS 2026'!CM121)</f>
        <v/>
      </c>
      <c r="AC121" s="476" t="str">
        <f>'MIS 2026'!U121</f>
        <v>UNSOLD 100MT TO TUTICORIN-LOSG02185600 -DRAFT BL APPROVED 20/5</v>
      </c>
      <c r="AD121" s="474" t="str">
        <f>IF('MIS 2026'!BF121&gt;0,'MIS 2026'!BF121,"")</f>
        <v/>
      </c>
      <c r="AE121" s="476" t="str">
        <f>IF('MIS 2026'!N121&gt;0,'MIS 2026'!N121,"")</f>
        <v/>
      </c>
      <c r="AF121" s="474"/>
      <c r="AG121" s="478" t="str">
        <f>IF('MIS 2026'!BV121&lt;&gt;0,'MIS 2026'!BV121,"")</f>
        <v/>
      </c>
      <c r="AH121" s="474" t="str">
        <f>IF('MIS 2026'!F121&lt;&gt;0,'MIS 2026'!F121,"")</f>
        <v>TBA 15</v>
      </c>
      <c r="AI121" s="463" t="str">
        <f t="shared" ca="1" si="25"/>
        <v/>
      </c>
      <c r="AJ121" s="474"/>
    </row>
    <row r="122" spans="1:36">
      <c r="A122" s="149" t="s">
        <v>208</v>
      </c>
      <c r="B122" s="149" t="str">
        <f>'MIS 2026'!EV122</f>
        <v>Yet to load</v>
      </c>
      <c r="C122" s="152">
        <f>'MIS 2026'!F122</f>
        <v>32016430</v>
      </c>
      <c r="D122" s="149" t="str">
        <f>'MIS 2026'!EH122</f>
        <v>Valency Nigeria</v>
      </c>
      <c r="E122" s="151">
        <f>'MIS 2026'!AF122</f>
        <v>250</v>
      </c>
      <c r="F122" s="150">
        <f>'MIS 2026'!EK122</f>
        <v>0</v>
      </c>
      <c r="G122" s="150">
        <f t="shared" si="21"/>
        <v>0</v>
      </c>
      <c r="H122" s="149">
        <f>'MIS 2026'!EL122</f>
        <v>0</v>
      </c>
      <c r="I122" s="148"/>
      <c r="J122" s="473">
        <f>'MIS 2026'!ER122</f>
        <v>0</v>
      </c>
      <c r="K122" s="473">
        <f t="shared" si="22"/>
        <v>0</v>
      </c>
      <c r="L122" s="473">
        <f>'MIS 2026'!EW122</f>
        <v>0</v>
      </c>
      <c r="M122" s="474">
        <f>IF('MIS 2026'!EZ122&gt;0,'MIS 2026'!EW122,0)</f>
        <v>0</v>
      </c>
      <c r="N122" s="474" t="str">
        <f>'MIS 2026'!I122</f>
        <v>NIGERIA(OGB)</v>
      </c>
      <c r="O122" s="474" t="str">
        <f>'MIS 2026'!H122</f>
        <v>COMPANY LIMITED LIABILITY DIEU DAI THANH</v>
      </c>
      <c r="P122" s="473">
        <f>'MIS 2026'!AI122</f>
        <v>1580</v>
      </c>
      <c r="Q122" s="474" t="str">
        <f>'MIS 2026'!BQ122</f>
        <v>HCMC, VIETNAM</v>
      </c>
      <c r="R122" s="474">
        <f>'MIS 2026'!AM122</f>
        <v>0.1</v>
      </c>
      <c r="S122" s="474" t="str">
        <f>'MIS 2026'!AL122</f>
        <v>10/88/2</v>
      </c>
      <c r="T122" s="473">
        <f>'MIS 2026'!AZ122</f>
        <v>39500</v>
      </c>
      <c r="U122" s="474" t="str">
        <f>IF('MIS 2026'!BI122="","",'MIS 2026'!BI122)</f>
        <v/>
      </c>
      <c r="V122" s="475">
        <f>IF('MIS 2026'!BJ122&gt;0,'MIS 2026'!BJ122,'MIS 2026'!AF122)</f>
        <v>250</v>
      </c>
      <c r="W122" s="476" t="str">
        <f>IF('MIS 2026'!BM122="","",'MIS 2026'!BM122)</f>
        <v/>
      </c>
      <c r="X122" s="476" t="str">
        <f>IF('MIS 2026'!BO122="","",'MIS 2026'!BO122)</f>
        <v/>
      </c>
      <c r="Y122" s="473">
        <f t="shared" si="23"/>
        <v>355500</v>
      </c>
      <c r="Z122" s="473">
        <f>IF('MIS 2026'!CR122&gt;0,'MIS 2026'!CQ122,0)</f>
        <v>0</v>
      </c>
      <c r="AA122" s="473">
        <f t="shared" si="24"/>
        <v>355500</v>
      </c>
      <c r="AB122" s="476" t="str">
        <f>IF('MIS 2026'!CM122="","",'MIS 2026'!CM122)</f>
        <v/>
      </c>
      <c r="AC122" s="476" t="str">
        <f>'MIS 2026'!U122</f>
        <v>ADVANCE RCVD 28/05</v>
      </c>
      <c r="AD122" s="474" t="str">
        <f>IF('MIS 2026'!BF122&gt;0,'MIS 2026'!BF122,"")</f>
        <v/>
      </c>
      <c r="AE122" s="476" t="str">
        <f>IF('MIS 2026'!N122&gt;0,'MIS 2026'!N122,"")</f>
        <v/>
      </c>
      <c r="AF122" s="474"/>
      <c r="AG122" s="478" t="str">
        <f>IF('MIS 2026'!BV122&lt;&gt;0,'MIS 2026'!BV122,"")</f>
        <v/>
      </c>
      <c r="AH122" s="474">
        <f>IF('MIS 2026'!F122&lt;&gt;0,'MIS 2026'!F122,"")</f>
        <v>32016430</v>
      </c>
      <c r="AI122" s="463" t="str">
        <f t="shared" ca="1" si="25"/>
        <v/>
      </c>
      <c r="AJ122" s="474"/>
    </row>
    <row r="123" spans="1:36">
      <c r="A123" s="149" t="s">
        <v>208</v>
      </c>
      <c r="B123" s="149" t="str">
        <f>'MIS 2026'!EV123</f>
        <v>Yet to load</v>
      </c>
      <c r="C123" s="152">
        <f>'MIS 2026'!F123</f>
        <v>32016316</v>
      </c>
      <c r="D123" s="149" t="str">
        <f>'MIS 2026'!EH123</f>
        <v xml:space="preserve">VALENCY IVC </v>
      </c>
      <c r="E123" s="151">
        <f>'MIS 2026'!AF123</f>
        <v>1500</v>
      </c>
      <c r="F123" s="150">
        <f>'MIS 2026'!EK123</f>
        <v>0</v>
      </c>
      <c r="G123" s="150">
        <f t="shared" si="21"/>
        <v>0</v>
      </c>
      <c r="H123" s="149">
        <f>'MIS 2026'!EL123</f>
        <v>0</v>
      </c>
      <c r="I123" s="148"/>
      <c r="J123" s="473">
        <f>'MIS 2026'!ER123</f>
        <v>0</v>
      </c>
      <c r="K123" s="473">
        <f t="shared" si="22"/>
        <v>0</v>
      </c>
      <c r="L123" s="473">
        <f>'MIS 2026'!EW123</f>
        <v>0</v>
      </c>
      <c r="M123" s="474">
        <f>IF('MIS 2026'!EZ123&gt;0,'MIS 2026'!EW123,0)</f>
        <v>0</v>
      </c>
      <c r="N123" s="474" t="str">
        <f>'MIS 2026'!I123</f>
        <v>IVC</v>
      </c>
      <c r="O123" s="474" t="str">
        <f>'MIS 2026'!H123</f>
        <v xml:space="preserve">VIET PHI AGRICULTURE JOINT 
STOCK COMPANY </v>
      </c>
      <c r="P123" s="473">
        <f>'MIS 2026'!AI123</f>
        <v>1525</v>
      </c>
      <c r="Q123" s="474" t="str">
        <f>'MIS 2026'!BQ123</f>
        <v>HCMC, VIETNAM</v>
      </c>
      <c r="R123" s="474">
        <f>'MIS 2026'!AM123</f>
        <v>0.1</v>
      </c>
      <c r="S123" s="474" t="str">
        <f>'MIS 2026'!AL123</f>
        <v>DP SIGHT</v>
      </c>
      <c r="T123" s="473">
        <f>'MIS 2026'!AZ123</f>
        <v>228750</v>
      </c>
      <c r="U123" s="474" t="str">
        <f>IF('MIS 2026'!BI123="","",'MIS 2026'!BI123)</f>
        <v/>
      </c>
      <c r="V123" s="475">
        <f>IF('MIS 2026'!BJ123&gt;0,'MIS 2026'!BJ123,'MIS 2026'!AF123)</f>
        <v>1500</v>
      </c>
      <c r="W123" s="476" t="str">
        <f>IF('MIS 2026'!BM123="","",'MIS 2026'!BM123)</f>
        <v/>
      </c>
      <c r="X123" s="476" t="str">
        <f>IF('MIS 2026'!BO123="","",'MIS 2026'!BO123)</f>
        <v/>
      </c>
      <c r="Y123" s="473">
        <f t="shared" si="23"/>
        <v>2058750</v>
      </c>
      <c r="Z123" s="473">
        <f>IF('MIS 2026'!CR123&gt;0,'MIS 2026'!CQ123,0)</f>
        <v>0</v>
      </c>
      <c r="AA123" s="473">
        <f t="shared" si="24"/>
        <v>2058750</v>
      </c>
      <c r="AB123" s="476" t="str">
        <f>IF('MIS 2026'!CM123="","",'MIS 2026'!CM123)</f>
        <v/>
      </c>
      <c r="AC123" s="476" t="str">
        <f>'MIS 2026'!U123</f>
        <v>UPDATES PENDING FROM ORIGIN</v>
      </c>
      <c r="AD123" s="474" t="str">
        <f>IF('MIS 2026'!BF123&gt;0,'MIS 2026'!BF123,"")</f>
        <v/>
      </c>
      <c r="AE123" s="476" t="str">
        <f>IF('MIS 2026'!N123&gt;0,'MIS 2026'!N123,"")</f>
        <v/>
      </c>
      <c r="AF123" s="474"/>
      <c r="AG123" s="478" t="str">
        <f>IF('MIS 2026'!BV123&lt;&gt;0,'MIS 2026'!BV123,"")</f>
        <v/>
      </c>
      <c r="AH123" s="474">
        <f>IF('MIS 2026'!F123&lt;&gt;0,'MIS 2026'!F123,"")</f>
        <v>32016316</v>
      </c>
      <c r="AI123" s="463" t="str">
        <f t="shared" ca="1" si="25"/>
        <v/>
      </c>
      <c r="AJ123" s="474"/>
    </row>
    <row r="124" spans="1:36">
      <c r="A124" s="149" t="s">
        <v>208</v>
      </c>
      <c r="B124" s="149" t="str">
        <f>'MIS 2026'!EV124</f>
        <v>Yet to load</v>
      </c>
      <c r="C124" s="152">
        <f>'MIS 2026'!F124</f>
        <v>32016315</v>
      </c>
      <c r="D124" s="149" t="str">
        <f>'MIS 2026'!EH124</f>
        <v xml:space="preserve">VALENCY IVC </v>
      </c>
      <c r="E124" s="151">
        <f>'MIS 2026'!AF124</f>
        <v>1500</v>
      </c>
      <c r="F124" s="150">
        <f>'MIS 2026'!EK124</f>
        <v>0</v>
      </c>
      <c r="G124" s="150">
        <f t="shared" si="21"/>
        <v>0</v>
      </c>
      <c r="H124" s="149">
        <f>'MIS 2026'!EL124</f>
        <v>0</v>
      </c>
      <c r="I124" s="148"/>
      <c r="J124" s="473">
        <f>'MIS 2026'!ER124</f>
        <v>0</v>
      </c>
      <c r="K124" s="473">
        <f t="shared" si="22"/>
        <v>0</v>
      </c>
      <c r="L124" s="473">
        <f>'MIS 2026'!EW124</f>
        <v>0</v>
      </c>
      <c r="M124" s="474">
        <f>IF('MIS 2026'!EZ124&gt;0,'MIS 2026'!EW124,0)</f>
        <v>0</v>
      </c>
      <c r="N124" s="474" t="str">
        <f>'MIS 2026'!I124</f>
        <v>IVC</v>
      </c>
      <c r="O124" s="474" t="str">
        <f>'MIS 2026'!H124</f>
        <v xml:space="preserve">VIET PHI AGRICULTURE JOINT 
STOCK COMPANY </v>
      </c>
      <c r="P124" s="473">
        <f>'MIS 2026'!AI124</f>
        <v>1485</v>
      </c>
      <c r="Q124" s="474" t="str">
        <f>'MIS 2026'!BQ124</f>
        <v>CAT LAI PORT, HCMC, VIETNAM</v>
      </c>
      <c r="R124" s="474">
        <f>'MIS 2026'!AM124</f>
        <v>0.1</v>
      </c>
      <c r="S124" s="474" t="str">
        <f>'MIS 2026'!AL124</f>
        <v>DP SIGHT</v>
      </c>
      <c r="T124" s="473">
        <f>'MIS 2026'!AZ124</f>
        <v>222750</v>
      </c>
      <c r="U124" s="474" t="str">
        <f>IF('MIS 2026'!BI124="","",'MIS 2026'!BI124)</f>
        <v/>
      </c>
      <c r="V124" s="475">
        <f>IF('MIS 2026'!BJ124&gt;0,'MIS 2026'!BJ124,'MIS 2026'!AF124)</f>
        <v>1500</v>
      </c>
      <c r="W124" s="476" t="str">
        <f>IF('MIS 2026'!BM124="","",'MIS 2026'!BM124)</f>
        <v/>
      </c>
      <c r="X124" s="476" t="str">
        <f>IF('MIS 2026'!BO124="","",'MIS 2026'!BO124)</f>
        <v/>
      </c>
      <c r="Y124" s="473">
        <f t="shared" si="23"/>
        <v>2004750</v>
      </c>
      <c r="Z124" s="473">
        <f>IF('MIS 2026'!CR124&gt;0,'MIS 2026'!CQ124,0)</f>
        <v>0</v>
      </c>
      <c r="AA124" s="473">
        <f t="shared" si="24"/>
        <v>2004750</v>
      </c>
      <c r="AB124" s="476" t="str">
        <f>IF('MIS 2026'!CM124="","",'MIS 2026'!CM124)</f>
        <v/>
      </c>
      <c r="AC124" s="476" t="str">
        <f>'MIS 2026'!U124</f>
        <v>ADVANCE RCVD 18/5</v>
      </c>
      <c r="AD124" s="474" t="str">
        <f>IF('MIS 2026'!BF124&gt;0,'MIS 2026'!BF124,"")</f>
        <v/>
      </c>
      <c r="AE124" s="476" t="str">
        <f>IF('MIS 2026'!N124&gt;0,'MIS 2026'!N124,"")</f>
        <v/>
      </c>
      <c r="AF124" s="474"/>
      <c r="AG124" s="478" t="str">
        <f>IF('MIS 2026'!BV124&lt;&gt;0,'MIS 2026'!BV124,"")</f>
        <v/>
      </c>
      <c r="AH124" s="474">
        <f>IF('MIS 2026'!F124&lt;&gt;0,'MIS 2026'!F124,"")</f>
        <v>32016315</v>
      </c>
      <c r="AI124" s="463" t="str">
        <f t="shared" ca="1" si="25"/>
        <v/>
      </c>
      <c r="AJ124" s="474"/>
    </row>
    <row r="125" spans="1:36">
      <c r="A125" s="149" t="s">
        <v>208</v>
      </c>
      <c r="B125" s="149" t="str">
        <f>'MIS 2026'!EV125</f>
        <v>Yet to load</v>
      </c>
      <c r="C125" s="152">
        <f>'MIS 2026'!F125</f>
        <v>32016425</v>
      </c>
      <c r="D125" s="149" t="str">
        <f>'MIS 2026'!EH125</f>
        <v xml:space="preserve">VALENCY IVC </v>
      </c>
      <c r="E125" s="151">
        <f>'MIS 2026'!AF125</f>
        <v>500</v>
      </c>
      <c r="F125" s="150">
        <f>'MIS 2026'!EK125</f>
        <v>0</v>
      </c>
      <c r="G125" s="150">
        <f t="shared" si="21"/>
        <v>0</v>
      </c>
      <c r="H125" s="149">
        <f>'MIS 2026'!EL125</f>
        <v>0</v>
      </c>
      <c r="I125" s="148"/>
      <c r="J125" s="473">
        <f>'MIS 2026'!ER125</f>
        <v>0</v>
      </c>
      <c r="K125" s="473">
        <f t="shared" si="22"/>
        <v>0</v>
      </c>
      <c r="L125" s="473">
        <f>'MIS 2026'!EW125</f>
        <v>0</v>
      </c>
      <c r="M125" s="474">
        <f>IF('MIS 2026'!EZ125&gt;0,'MIS 2026'!EW125,0)</f>
        <v>0</v>
      </c>
      <c r="N125" s="474" t="str">
        <f>'MIS 2026'!I125</f>
        <v>IVC</v>
      </c>
      <c r="O125" s="474" t="str">
        <f>'MIS 2026'!H125</f>
        <v>TERRA NUTS GROUP JOINT STOCK COMPANY</v>
      </c>
      <c r="P125" s="473">
        <f>'MIS 2026'!AI125</f>
        <v>1505</v>
      </c>
      <c r="Q125" s="474" t="str">
        <f>'MIS 2026'!BQ125</f>
        <v>HCMC, VIETNAM</v>
      </c>
      <c r="R125" s="474">
        <f>'MIS 2026'!AM125</f>
        <v>0.1</v>
      </c>
      <c r="S125" s="474" t="str">
        <f>'MIS 2026'!AL125</f>
        <v>10% ADVANCE 88% DP AT SIGHT 2% after vina</v>
      </c>
      <c r="T125" s="473">
        <f>'MIS 2026'!AZ125</f>
        <v>75250</v>
      </c>
      <c r="U125" s="474" t="str">
        <f>IF('MIS 2026'!BI125="","",'MIS 2026'!BI125)</f>
        <v/>
      </c>
      <c r="V125" s="475">
        <f>IF('MIS 2026'!BJ125&gt;0,'MIS 2026'!BJ125,'MIS 2026'!AF125)</f>
        <v>500</v>
      </c>
      <c r="W125" s="476" t="str">
        <f>IF('MIS 2026'!BM125="","",'MIS 2026'!BM125)</f>
        <v/>
      </c>
      <c r="X125" s="476" t="str">
        <f>IF('MIS 2026'!BO125="","",'MIS 2026'!BO125)</f>
        <v/>
      </c>
      <c r="Y125" s="473">
        <f t="shared" si="23"/>
        <v>677250</v>
      </c>
      <c r="Z125" s="473">
        <f>IF('MIS 2026'!CR125&gt;0,'MIS 2026'!CQ125,0)</f>
        <v>0</v>
      </c>
      <c r="AA125" s="473">
        <f t="shared" si="24"/>
        <v>677250</v>
      </c>
      <c r="AB125" s="476" t="str">
        <f>IF('MIS 2026'!CM125="","",'MIS 2026'!CM125)</f>
        <v/>
      </c>
      <c r="AC125" s="476" t="str">
        <f>'MIS 2026'!U125</f>
        <v>ADVANCE RCVD 22/5</v>
      </c>
      <c r="AD125" s="474" t="str">
        <f>IF('MIS 2026'!BF125&gt;0,'MIS 2026'!BF125,"")</f>
        <v/>
      </c>
      <c r="AE125" s="476" t="str">
        <f>IF('MIS 2026'!N125&gt;0,'MIS 2026'!N125,"")</f>
        <v/>
      </c>
      <c r="AF125" s="474"/>
      <c r="AG125" s="478" t="str">
        <f>IF('MIS 2026'!BV125&lt;&gt;0,'MIS 2026'!BV125,"")</f>
        <v/>
      </c>
      <c r="AH125" s="474">
        <f>IF('MIS 2026'!F125&lt;&gt;0,'MIS 2026'!F125,"")</f>
        <v>32016425</v>
      </c>
      <c r="AI125" s="463" t="str">
        <f t="shared" ca="1" si="25"/>
        <v/>
      </c>
      <c r="AJ125" s="474"/>
    </row>
    <row r="126" spans="1:36">
      <c r="A126" s="149" t="s">
        <v>208</v>
      </c>
      <c r="B126" s="149" t="str">
        <f>'MIS 2026'!EV126</f>
        <v>Nego Pending</v>
      </c>
      <c r="C126" s="152" t="str">
        <f>'MIS 2026'!F126</f>
        <v>TBA 13</v>
      </c>
      <c r="D126" s="149" t="str">
        <f>'MIS 2026'!EH126</f>
        <v>INTERNATIONAL AGRO-INDUSTRIES</v>
      </c>
      <c r="E126" s="151">
        <f>'MIS 2026'!AF126</f>
        <v>100</v>
      </c>
      <c r="F126" s="150">
        <f>'MIS 2026'!EK126</f>
        <v>1510</v>
      </c>
      <c r="G126" s="150">
        <f t="shared" si="21"/>
        <v>151000</v>
      </c>
      <c r="H126" s="149">
        <f>'MIS 2026'!EL126</f>
        <v>0</v>
      </c>
      <c r="I126" s="148"/>
      <c r="J126" s="473">
        <f>'MIS 2026'!ER126</f>
        <v>0</v>
      </c>
      <c r="K126" s="473">
        <f t="shared" si="22"/>
        <v>151000</v>
      </c>
      <c r="L126" s="473">
        <f>'MIS 2026'!EW126</f>
        <v>0</v>
      </c>
      <c r="M126" s="474">
        <f>IF('MIS 2026'!EZ126&gt;0,'MIS 2026'!EW126,0)</f>
        <v>0</v>
      </c>
      <c r="N126" s="474" t="str">
        <f>'MIS 2026'!I126</f>
        <v>GUINEA CONAKRY-BOKE</v>
      </c>
      <c r="O126" s="474" t="str">
        <f>'MIS 2026'!H126</f>
        <v>VALENCY AGRO UNSOLD</v>
      </c>
      <c r="P126" s="473">
        <f>'MIS 2026'!AI126</f>
        <v>0</v>
      </c>
      <c r="Q126" s="474" t="str">
        <f>'MIS 2026'!BQ126</f>
        <v>TUTICORIN, INDIA</v>
      </c>
      <c r="R126" s="474">
        <f>'MIS 2026'!AM126</f>
        <v>0</v>
      </c>
      <c r="S126" s="474" t="str">
        <f>'MIS 2026'!AL126</f>
        <v>DP SIGHT</v>
      </c>
      <c r="T126" s="473">
        <f>'MIS 2026'!AZ126</f>
        <v>0</v>
      </c>
      <c r="U126" s="474" t="str">
        <f>IF('MIS 2026'!BI126="","",'MIS 2026'!BI126)</f>
        <v>MEDUCN100499</v>
      </c>
      <c r="V126" s="475">
        <f>IF('MIS 2026'!BJ126&gt;0,'MIS 2026'!BJ126,'MIS 2026'!AF126)</f>
        <v>107.36199999999999</v>
      </c>
      <c r="W126" s="476">
        <f>IF('MIS 2026'!BM126="","",'MIS 2026'!BM126)</f>
        <v>46159</v>
      </c>
      <c r="X126" s="476" t="str">
        <f>IF('MIS 2026'!BO126="","",'MIS 2026'!BO126)</f>
        <v/>
      </c>
      <c r="Y126" s="473">
        <f t="shared" si="23"/>
        <v>0</v>
      </c>
      <c r="Z126" s="473">
        <f>IF('MIS 2026'!CR126&gt;0,'MIS 2026'!CQ126,0)</f>
        <v>0</v>
      </c>
      <c r="AA126" s="473">
        <f t="shared" si="24"/>
        <v>0</v>
      </c>
      <c r="AB126" s="476" t="str">
        <f>IF('MIS 2026'!CM126="","",'MIS 2026'!CM126)</f>
        <v/>
      </c>
      <c r="AC126" s="476" t="str">
        <f>'MIS 2026'!U126</f>
        <v>NTT - VIETNAM UNSOLD CARGO ; ETA 24/6</v>
      </c>
      <c r="AD126" s="474" t="str">
        <f>IF('MIS 2026'!BF126&gt;0,'MIS 2026'!BF126,"")</f>
        <v/>
      </c>
      <c r="AE126" s="476">
        <f>IF('MIS 2026'!N126&gt;0,'MIS 2026'!N126,"")</f>
        <v>46159</v>
      </c>
      <c r="AF126" s="474"/>
      <c r="AG126" s="478" t="str">
        <f>IF('MIS 2026'!BV126&lt;&gt;0,'MIS 2026'!BV126,"")</f>
        <v/>
      </c>
      <c r="AH126" s="474" t="str">
        <f>IF('MIS 2026'!F126&lt;&gt;0,'MIS 2026'!F126,"")</f>
        <v>TBA 13</v>
      </c>
      <c r="AI126" s="463">
        <f t="shared" ca="1" si="25"/>
        <v>13</v>
      </c>
      <c r="AJ126" s="474"/>
    </row>
    <row r="127" spans="1:36">
      <c r="A127" s="149" t="s">
        <v>208</v>
      </c>
      <c r="B127" s="149" t="str">
        <f>'MIS 2026'!EV127</f>
        <v>Yet to load</v>
      </c>
      <c r="C127" s="152">
        <f>'MIS 2026'!F127</f>
        <v>32016355</v>
      </c>
      <c r="D127" s="149" t="str">
        <f>'MIS 2026'!EH127</f>
        <v xml:space="preserve">VALENCY IVC </v>
      </c>
      <c r="E127" s="151">
        <f>'MIS 2026'!AF127</f>
        <v>250</v>
      </c>
      <c r="F127" s="150">
        <f>'MIS 2026'!EK127</f>
        <v>0</v>
      </c>
      <c r="G127" s="150">
        <f t="shared" si="21"/>
        <v>0</v>
      </c>
      <c r="H127" s="149">
        <f>'MIS 2026'!EL127</f>
        <v>0</v>
      </c>
      <c r="I127" s="148"/>
      <c r="J127" s="473">
        <f>'MIS 2026'!ER127</f>
        <v>0</v>
      </c>
      <c r="K127" s="473">
        <f t="shared" si="22"/>
        <v>0</v>
      </c>
      <c r="L127" s="473">
        <f>'MIS 2026'!EW127</f>
        <v>0</v>
      </c>
      <c r="M127" s="474">
        <f>IF('MIS 2026'!EZ127&gt;0,'MIS 2026'!EW127,0)</f>
        <v>0</v>
      </c>
      <c r="N127" s="474" t="str">
        <f>'MIS 2026'!I127</f>
        <v>IVC</v>
      </c>
      <c r="O127" s="474" t="str">
        <f>'MIS 2026'!H127</f>
        <v xml:space="preserve">THAO NGUYEN COMPANY LIMITED  </v>
      </c>
      <c r="P127" s="473">
        <f>'MIS 2026'!AI127</f>
        <v>1485</v>
      </c>
      <c r="Q127" s="474" t="str">
        <f>'MIS 2026'!BQ127</f>
        <v>THI VAI- CAI MEP PORT, BA RIA VUNG TAU</v>
      </c>
      <c r="R127" s="474">
        <f>'MIS 2026'!AM127</f>
        <v>0.1</v>
      </c>
      <c r="S127" s="474" t="str">
        <f>'MIS 2026'!AL127</f>
        <v>10/88/2</v>
      </c>
      <c r="T127" s="473">
        <f>'MIS 2026'!AZ127</f>
        <v>37125</v>
      </c>
      <c r="U127" s="474" t="str">
        <f>IF('MIS 2026'!BI127="","",'MIS 2026'!BI127)</f>
        <v/>
      </c>
      <c r="V127" s="475">
        <f>IF('MIS 2026'!BJ127&gt;0,'MIS 2026'!BJ127,'MIS 2026'!AF127)</f>
        <v>250</v>
      </c>
      <c r="W127" s="476" t="str">
        <f>IF('MIS 2026'!BM127="","",'MIS 2026'!BM127)</f>
        <v/>
      </c>
      <c r="X127" s="476" t="str">
        <f>IF('MIS 2026'!BO127="","",'MIS 2026'!BO127)</f>
        <v/>
      </c>
      <c r="Y127" s="473">
        <f t="shared" si="23"/>
        <v>334125</v>
      </c>
      <c r="Z127" s="473">
        <f>IF('MIS 2026'!CR127&gt;0,'MIS 2026'!CQ127,0)</f>
        <v>0</v>
      </c>
      <c r="AA127" s="473">
        <f t="shared" si="24"/>
        <v>334125</v>
      </c>
      <c r="AB127" s="476" t="str">
        <f>IF('MIS 2026'!CM127="","",'MIS 2026'!CM127)</f>
        <v/>
      </c>
      <c r="AC127" s="476">
        <f>'MIS 2026'!U127</f>
        <v>0</v>
      </c>
      <c r="AD127" s="474" t="str">
        <f>IF('MIS 2026'!BF127&gt;0,'MIS 2026'!BF127,"")</f>
        <v/>
      </c>
      <c r="AE127" s="476" t="str">
        <f>IF('MIS 2026'!N127&gt;0,'MIS 2026'!N127,"")</f>
        <v/>
      </c>
      <c r="AF127" s="474"/>
      <c r="AG127" s="478" t="str">
        <f>IF('MIS 2026'!BV127&lt;&gt;0,'MIS 2026'!BV127,"")</f>
        <v/>
      </c>
      <c r="AH127" s="474">
        <f>IF('MIS 2026'!F127&lt;&gt;0,'MIS 2026'!F127,"")</f>
        <v>32016355</v>
      </c>
      <c r="AI127" s="463" t="str">
        <f t="shared" ca="1" si="25"/>
        <v/>
      </c>
      <c r="AJ127" s="474"/>
    </row>
    <row r="128" spans="1:36">
      <c r="A128" s="149" t="s">
        <v>208</v>
      </c>
      <c r="B128" s="149" t="str">
        <f>'MIS 2026'!EV128</f>
        <v>Export Loan</v>
      </c>
      <c r="C128" s="152">
        <f>'MIS 2026'!F128</f>
        <v>32013816</v>
      </c>
      <c r="D128" s="149" t="str">
        <f>'MIS 2026'!EH128</f>
        <v>Valency Nigeria</v>
      </c>
      <c r="E128" s="151">
        <f>'MIS 2026'!AF128</f>
        <v>100.38</v>
      </c>
      <c r="F128" s="150">
        <f>'MIS 2026'!EK128</f>
        <v>1500</v>
      </c>
      <c r="G128" s="150">
        <f t="shared" si="21"/>
        <v>150570</v>
      </c>
      <c r="H128" s="149" t="str">
        <f>'MIS 2026'!EL128</f>
        <v>-</v>
      </c>
      <c r="I128" s="148"/>
      <c r="J128" s="473">
        <f>'MIS 2026'!ER128</f>
        <v>0</v>
      </c>
      <c r="K128" s="473">
        <f t="shared" si="22"/>
        <v>150570</v>
      </c>
      <c r="L128" s="473">
        <f>'MIS 2026'!EW128</f>
        <v>0</v>
      </c>
      <c r="M128" s="474">
        <f>IF('MIS 2026'!EZ128&gt;0,'MIS 2026'!EW128,0)</f>
        <v>0</v>
      </c>
      <c r="N128" s="509" t="str">
        <f>'MIS 2026'!I128</f>
        <v>NIGERIA(OGB)/SAKI</v>
      </c>
      <c r="O128" s="474" t="str">
        <f>'MIS 2026'!H128</f>
        <v>MAHALASA EXPORTS</v>
      </c>
      <c r="P128" s="473">
        <f>'MIS 2026'!AI128</f>
        <v>1625</v>
      </c>
      <c r="Q128" s="474" t="str">
        <f>'MIS 2026'!BQ128</f>
        <v>MANGALORE, INDIA</v>
      </c>
      <c r="R128" s="474">
        <f>'MIS 2026'!AM128</f>
        <v>0</v>
      </c>
      <c r="S128" s="474" t="str">
        <f>'MIS 2026'!AL128</f>
        <v>DP SIGHT</v>
      </c>
      <c r="T128" s="473">
        <f>'MIS 2026'!AZ128</f>
        <v>0</v>
      </c>
      <c r="U128" s="474" t="str">
        <f>IF('MIS 2026'!BI128="","",'MIS 2026'!BI128)</f>
        <v>MEDULG628380</v>
      </c>
      <c r="V128" s="475">
        <f>IF('MIS 2026'!BJ128&gt;0,'MIS 2026'!BJ128,'MIS 2026'!AF128)</f>
        <v>100.38</v>
      </c>
      <c r="W128" s="476">
        <f>IF('MIS 2026'!BM128="","",'MIS 2026'!BM128)</f>
        <v>46193</v>
      </c>
      <c r="X128" s="476">
        <f>IF('MIS 2026'!BO128="","",'MIS 2026'!BO128)</f>
        <v>46193</v>
      </c>
      <c r="Y128" s="473">
        <f t="shared" si="23"/>
        <v>163117.5</v>
      </c>
      <c r="Z128" s="473">
        <f>IF('MIS 2026'!CR128&gt;0,'MIS 2026'!CQ128,0)</f>
        <v>0</v>
      </c>
      <c r="AA128" s="473">
        <f t="shared" si="24"/>
        <v>163117.5</v>
      </c>
      <c r="AB128" s="476">
        <f>IF('MIS 2026'!CM128="","",'MIS 2026'!CM128)</f>
        <v>46161</v>
      </c>
      <c r="AC128" s="476" t="str">
        <f>'MIS 2026'!U128</f>
        <v>PAYMENT PENDING</v>
      </c>
      <c r="AD128" s="474">
        <f>IF('MIS 2026'!BF128&gt;0,'MIS 2026'!BF128,"")</f>
        <v>46042</v>
      </c>
      <c r="AE128" s="476">
        <f>IF('MIS 2026'!N128&gt;0,'MIS 2026'!N128,"")</f>
        <v>46193</v>
      </c>
      <c r="AF128" s="474"/>
      <c r="AG128" s="478">
        <f>IF('MIS 2026'!BV128&lt;&gt;0,'MIS 2026'!BV128,"")</f>
        <v>90085852</v>
      </c>
      <c r="AH128" s="474">
        <f>IF('MIS 2026'!F128&lt;&gt;0,'MIS 2026'!F128,"")</f>
        <v>32013816</v>
      </c>
      <c r="AI128" s="463" t="str">
        <f t="shared" ca="1" si="25"/>
        <v/>
      </c>
      <c r="AJ128" s="474"/>
    </row>
    <row r="129" spans="1:36">
      <c r="A129" s="149" t="s">
        <v>208</v>
      </c>
      <c r="B129" s="149" t="str">
        <f>'MIS 2026'!EV129</f>
        <v>Export Loan</v>
      </c>
      <c r="C129" s="152">
        <f>'MIS 2026'!F129</f>
        <v>32013811</v>
      </c>
      <c r="D129" s="149" t="str">
        <f>'MIS 2026'!EH129</f>
        <v>Valency Nigeria</v>
      </c>
      <c r="E129" s="151">
        <f>'MIS 2026'!AF129</f>
        <v>100</v>
      </c>
      <c r="F129" s="150">
        <f>'MIS 2026'!EK129</f>
        <v>1500</v>
      </c>
      <c r="G129" s="150">
        <f t="shared" si="21"/>
        <v>150000</v>
      </c>
      <c r="H129" s="149" t="str">
        <f>'MIS 2026'!EL129</f>
        <v>-</v>
      </c>
      <c r="I129" s="148"/>
      <c r="J129" s="473">
        <f>'MIS 2026'!ER129</f>
        <v>0</v>
      </c>
      <c r="K129" s="473">
        <f t="shared" si="22"/>
        <v>150000</v>
      </c>
      <c r="L129" s="473">
        <f>'MIS 2026'!EW129</f>
        <v>0</v>
      </c>
      <c r="M129" s="474">
        <f>IF('MIS 2026'!EZ129&gt;0,'MIS 2026'!EW129,0)</f>
        <v>0</v>
      </c>
      <c r="N129" s="509" t="str">
        <f>'MIS 2026'!I129</f>
        <v>NIGERIA(OGB)/SAKI</v>
      </c>
      <c r="O129" s="474" t="str">
        <f>'MIS 2026'!H129</f>
        <v>SRI VIJAYALAXMI CASHEW INDUSTRIES</v>
      </c>
      <c r="P129" s="473">
        <f>'MIS 2026'!AI129</f>
        <v>1620</v>
      </c>
      <c r="Q129" s="474" t="str">
        <f>'MIS 2026'!BQ129</f>
        <v>MANGALORE, INDIA</v>
      </c>
      <c r="R129" s="474">
        <f>'MIS 2026'!AM129</f>
        <v>0</v>
      </c>
      <c r="S129" s="474" t="str">
        <f>'MIS 2026'!AL129</f>
        <v>DP SIGHT</v>
      </c>
      <c r="T129" s="473">
        <f>'MIS 2026'!AZ129</f>
        <v>0</v>
      </c>
      <c r="U129" s="474" t="str">
        <f>IF('MIS 2026'!BI129="","",'MIS 2026'!BI129)</f>
        <v>MEDULG628398</v>
      </c>
      <c r="V129" s="475">
        <f>IF('MIS 2026'!BJ129&gt;0,'MIS 2026'!BJ129,'MIS 2026'!AF129)</f>
        <v>99.923000000000002</v>
      </c>
      <c r="W129" s="476">
        <f>IF('MIS 2026'!BM129="","",'MIS 2026'!BM129)</f>
        <v>46193</v>
      </c>
      <c r="X129" s="476">
        <f>IF('MIS 2026'!BO129="","",'MIS 2026'!BO129)</f>
        <v>46193</v>
      </c>
      <c r="Y129" s="473">
        <f t="shared" si="23"/>
        <v>161875.26</v>
      </c>
      <c r="Z129" s="473">
        <f>IF('MIS 2026'!CR129&gt;0,'MIS 2026'!CQ129,0)</f>
        <v>0</v>
      </c>
      <c r="AA129" s="473">
        <f t="shared" si="24"/>
        <v>161875.26</v>
      </c>
      <c r="AB129" s="476">
        <f>IF('MIS 2026'!CM129="","",'MIS 2026'!CM129)</f>
        <v>46155</v>
      </c>
      <c r="AC129" s="476" t="str">
        <f>'MIS 2026'!U129</f>
        <v>PAYMENT PENDING</v>
      </c>
      <c r="AD129" s="474">
        <f>IF('MIS 2026'!BF129&gt;0,'MIS 2026'!BF129,"")</f>
        <v>46042</v>
      </c>
      <c r="AE129" s="476">
        <f>IF('MIS 2026'!N129&gt;0,'MIS 2026'!N129,"")</f>
        <v>46193</v>
      </c>
      <c r="AF129" s="474"/>
      <c r="AG129" s="478">
        <f>IF('MIS 2026'!BV129&lt;&gt;0,'MIS 2026'!BV129,"")</f>
        <v>90085331</v>
      </c>
      <c r="AH129" s="474">
        <f>IF('MIS 2026'!F129&lt;&gt;0,'MIS 2026'!F129,"")</f>
        <v>32013811</v>
      </c>
      <c r="AI129" s="463" t="str">
        <f t="shared" ca="1" si="25"/>
        <v/>
      </c>
      <c r="AJ129" s="474"/>
    </row>
    <row r="130" spans="1:36">
      <c r="A130" s="149" t="s">
        <v>208</v>
      </c>
      <c r="B130" s="149" t="str">
        <f>'MIS 2026'!EV130</f>
        <v>Export Loan</v>
      </c>
      <c r="C130" s="152">
        <f>'MIS 2026'!F130</f>
        <v>32013812</v>
      </c>
      <c r="D130" s="149" t="str">
        <f>'MIS 2026'!EH130</f>
        <v>Valency Nigeria</v>
      </c>
      <c r="E130" s="151">
        <f>'MIS 2026'!AF130</f>
        <v>100</v>
      </c>
      <c r="F130" s="150">
        <f>'MIS 2026'!EK130</f>
        <v>0</v>
      </c>
      <c r="G130" s="150">
        <f t="shared" si="21"/>
        <v>0</v>
      </c>
      <c r="H130" s="149" t="str">
        <f>'MIS 2026'!EL130</f>
        <v>-</v>
      </c>
      <c r="I130" s="148"/>
      <c r="J130" s="473">
        <f>'MIS 2026'!ER130</f>
        <v>0</v>
      </c>
      <c r="K130" s="473">
        <f t="shared" si="22"/>
        <v>0</v>
      </c>
      <c r="L130" s="473">
        <f>'MIS 2026'!EW130</f>
        <v>0</v>
      </c>
      <c r="M130" s="474">
        <f>IF('MIS 2026'!EZ130&gt;0,'MIS 2026'!EW130,0)</f>
        <v>0</v>
      </c>
      <c r="N130" s="474" t="str">
        <f>'MIS 2026'!I130</f>
        <v>NIGERIA(OGB)/SAKI</v>
      </c>
      <c r="O130" s="474" t="str">
        <f>'MIS 2026'!H130</f>
        <v>AGGARWAL AND COMPANY</v>
      </c>
      <c r="P130" s="473">
        <f>'MIS 2026'!AI130</f>
        <v>1620</v>
      </c>
      <c r="Q130" s="474" t="str">
        <f>'MIS 2026'!BQ130</f>
        <v>MUNDRA, INDIA</v>
      </c>
      <c r="R130" s="474">
        <f>'MIS 2026'!AM130</f>
        <v>0.1</v>
      </c>
      <c r="S130" s="474" t="str">
        <f>'MIS 2026'!AL130</f>
        <v>DP SIGHT</v>
      </c>
      <c r="T130" s="473">
        <f>'MIS 2026'!AZ130</f>
        <v>16200</v>
      </c>
      <c r="U130" s="474" t="str">
        <f>IF('MIS 2026'!BI130="","",'MIS 2026'!BI130)</f>
        <v>MEDULG628372</v>
      </c>
      <c r="V130" s="475">
        <f>IF('MIS 2026'!BJ130&gt;0,'MIS 2026'!BJ130,'MIS 2026'!AF130)</f>
        <v>99.805000000000007</v>
      </c>
      <c r="W130" s="476">
        <f>IF('MIS 2026'!BM130="","",'MIS 2026'!BM130)</f>
        <v>46131</v>
      </c>
      <c r="X130" s="476">
        <f>IF('MIS 2026'!BO130="","",'MIS 2026'!BO130)</f>
        <v>46200</v>
      </c>
      <c r="Y130" s="473">
        <f t="shared" si="23"/>
        <v>145484.1</v>
      </c>
      <c r="Z130" s="473">
        <f>IF('MIS 2026'!CR130&gt;0,'MIS 2026'!CQ130,0)</f>
        <v>0</v>
      </c>
      <c r="AA130" s="473">
        <f t="shared" si="24"/>
        <v>145484.1</v>
      </c>
      <c r="AB130" s="476">
        <f>IF('MIS 2026'!CM130="","",'MIS 2026'!CM130)</f>
        <v>46161</v>
      </c>
      <c r="AC130" s="476" t="str">
        <f>'MIS 2026'!U130</f>
        <v>PAYMENT PENDING</v>
      </c>
      <c r="AD130" s="474">
        <f>IF('MIS 2026'!BF130&gt;0,'MIS 2026'!BF130,"")</f>
        <v>46042</v>
      </c>
      <c r="AE130" s="476">
        <f>IF('MIS 2026'!N130&gt;0,'MIS 2026'!N130,"")</f>
        <v>46131</v>
      </c>
      <c r="AF130" s="474"/>
      <c r="AG130" s="478">
        <f>IF('MIS 2026'!BV130&lt;&gt;0,'MIS 2026'!BV130,"")</f>
        <v>90085850</v>
      </c>
      <c r="AH130" s="474">
        <f>IF('MIS 2026'!F130&lt;&gt;0,'MIS 2026'!F130,"")</f>
        <v>32013812</v>
      </c>
      <c r="AI130" s="463" t="str">
        <f t="shared" ca="1" si="25"/>
        <v/>
      </c>
      <c r="AJ130" s="474"/>
    </row>
    <row r="131" spans="1:36">
      <c r="A131" s="149" t="s">
        <v>208</v>
      </c>
      <c r="B131" s="149" t="str">
        <f>'MIS 2026'!EV131</f>
        <v>Export Loan</v>
      </c>
      <c r="C131" s="152" t="str">
        <f>'MIS 2026'!F131</f>
        <v>32015968-4</v>
      </c>
      <c r="D131" s="149" t="str">
        <f>'MIS 2026'!EH131</f>
        <v xml:space="preserve">VALENCY IVC </v>
      </c>
      <c r="E131" s="151">
        <f>'MIS 2026'!AF131</f>
        <v>250</v>
      </c>
      <c r="F131" s="150">
        <f>'MIS 2026'!EK131</f>
        <v>0</v>
      </c>
      <c r="G131" s="150">
        <f t="shared" si="21"/>
        <v>0</v>
      </c>
      <c r="H131" s="149">
        <f>'MIS 2026'!EL131</f>
        <v>0</v>
      </c>
      <c r="I131" s="148"/>
      <c r="J131" s="473">
        <f>'MIS 2026'!ER131</f>
        <v>0</v>
      </c>
      <c r="K131" s="473">
        <f t="shared" si="22"/>
        <v>0</v>
      </c>
      <c r="L131" s="473">
        <f>'MIS 2026'!EW131</f>
        <v>0</v>
      </c>
      <c r="M131" s="474">
        <f>IF('MIS 2026'!EZ131&gt;0,'MIS 2026'!EW131,0)</f>
        <v>0</v>
      </c>
      <c r="N131" s="474" t="str">
        <f>'MIS 2026'!I131</f>
        <v>IVC</v>
      </c>
      <c r="O131" s="474" t="str">
        <f>'MIS 2026'!H131</f>
        <v>Valency Agro (Processing)</v>
      </c>
      <c r="P131" s="473">
        <f>'MIS 2026'!AI131</f>
        <v>1508</v>
      </c>
      <c r="Q131" s="474" t="str">
        <f>'MIS 2026'!BQ131</f>
        <v>MANGALORE, INDIA</v>
      </c>
      <c r="R131" s="474">
        <f>'MIS 2026'!AM131</f>
        <v>0</v>
      </c>
      <c r="S131" s="474" t="str">
        <f>'MIS 2026'!AL131</f>
        <v>90 DAYS FROM BL DATE</v>
      </c>
      <c r="T131" s="473">
        <f>'MIS 2026'!AZ131</f>
        <v>0</v>
      </c>
      <c r="U131" s="474" t="str">
        <f>IF('MIS 2026'!BI131="","",'MIS 2026'!BI131)</f>
        <v>268599953</v>
      </c>
      <c r="V131" s="475">
        <f>IF('MIS 2026'!BJ131&gt;0,'MIS 2026'!BJ131,'MIS 2026'!AF131)</f>
        <v>244.07</v>
      </c>
      <c r="W131" s="476">
        <f>IF('MIS 2026'!BM131="","",'MIS 2026'!BM131)</f>
        <v>46152</v>
      </c>
      <c r="X131" s="476">
        <f>IF('MIS 2026'!BO131="","",'MIS 2026'!BO131)</f>
        <v>46180</v>
      </c>
      <c r="Y131" s="473">
        <f t="shared" si="23"/>
        <v>368057.56</v>
      </c>
      <c r="Z131" s="473">
        <f>IF('MIS 2026'!CR131&gt;0,'MIS 2026'!CQ131,0)</f>
        <v>0</v>
      </c>
      <c r="AA131" s="473">
        <f t="shared" si="24"/>
        <v>368057.56</v>
      </c>
      <c r="AB131" s="476">
        <f>IF('MIS 2026'!CM131="","",'MIS 2026'!CM131)</f>
        <v>46168</v>
      </c>
      <c r="AC131" s="476" t="str">
        <f>'MIS 2026'!U131</f>
        <v>DHL RCVD</v>
      </c>
      <c r="AD131" s="474">
        <f>IF('MIS 2026'!BF131&gt;0,'MIS 2026'!BF131,"")</f>
        <v>46078</v>
      </c>
      <c r="AE131" s="476">
        <f>IF('MIS 2026'!N131&gt;0,'MIS 2026'!N131,"")</f>
        <v>46152</v>
      </c>
      <c r="AF131" s="474"/>
      <c r="AG131" s="478" t="str">
        <f>IF('MIS 2026'!BV131&lt;&gt;0,'MIS 2026'!BV131,"")</f>
        <v/>
      </c>
      <c r="AH131" s="474" t="str">
        <f>IF('MIS 2026'!F131&lt;&gt;0,'MIS 2026'!F131,"")</f>
        <v>32015968-4</v>
      </c>
      <c r="AI131" s="463" t="str">
        <f t="shared" ca="1" si="25"/>
        <v/>
      </c>
      <c r="AJ131" s="474"/>
    </row>
    <row r="132" spans="1:36">
      <c r="A132" s="149" t="s">
        <v>208</v>
      </c>
      <c r="B132" s="149" t="str">
        <f>'MIS 2026'!EV132</f>
        <v>Yet to load</v>
      </c>
      <c r="C132" s="152" t="str">
        <f>'MIS 2026'!F132</f>
        <v>TBA 14</v>
      </c>
      <c r="D132" s="149">
        <f>'MIS 2026'!EH132</f>
        <v>0</v>
      </c>
      <c r="E132" s="151">
        <f>'MIS 2026'!AF132</f>
        <v>110</v>
      </c>
      <c r="F132" s="150">
        <f>'MIS 2026'!EK132</f>
        <v>0</v>
      </c>
      <c r="G132" s="150">
        <f t="shared" ref="G132:G163" si="26">F132*E132</f>
        <v>0</v>
      </c>
      <c r="H132" s="149">
        <f>'MIS 2026'!EL132</f>
        <v>0</v>
      </c>
      <c r="I132" s="148"/>
      <c r="J132" s="473">
        <f>'MIS 2026'!ER132</f>
        <v>0</v>
      </c>
      <c r="K132" s="473">
        <f t="shared" ref="K132:K163" si="27">G132-J132</f>
        <v>0</v>
      </c>
      <c r="L132" s="473">
        <f>'MIS 2026'!EW132</f>
        <v>0</v>
      </c>
      <c r="M132" s="474">
        <f>IF('MIS 2026'!EZ132&gt;0,'MIS 2026'!EW132,0)</f>
        <v>0</v>
      </c>
      <c r="N132" s="474" t="str">
        <f>'MIS 2026'!I132</f>
        <v>GUINEA CONAKRY-BOKE</v>
      </c>
      <c r="O132" s="474" t="str">
        <f>'MIS 2026'!H132</f>
        <v>VALENCY AGRO //HSS//Shree Electromelts Foods</v>
      </c>
      <c r="P132" s="473">
        <f>'MIS 2026'!AI132</f>
        <v>1600</v>
      </c>
      <c r="Q132" s="474" t="str">
        <f>'MIS 2026'!BQ132</f>
        <v>MUNDRA, INDIA</v>
      </c>
      <c r="R132" s="474">
        <f>'MIS 2026'!AM132</f>
        <v>0</v>
      </c>
      <c r="S132" s="474" t="str">
        <f>'MIS 2026'!AL132</f>
        <v>DP SIGHT</v>
      </c>
      <c r="T132" s="473">
        <f>'MIS 2026'!AZ132</f>
        <v>0</v>
      </c>
      <c r="U132" s="474" t="str">
        <f>IF('MIS 2026'!BI132="","",'MIS 2026'!BI132)</f>
        <v/>
      </c>
      <c r="V132" s="475">
        <f>IF('MIS 2026'!BJ132&gt;0,'MIS 2026'!BJ132,'MIS 2026'!AF132)</f>
        <v>110</v>
      </c>
      <c r="W132" s="476" t="str">
        <f>IF('MIS 2026'!BM132="","",'MIS 2026'!BM132)</f>
        <v/>
      </c>
      <c r="X132" s="476" t="str">
        <f>IF('MIS 2026'!BO132="","",'MIS 2026'!BO132)</f>
        <v/>
      </c>
      <c r="Y132" s="473">
        <f t="shared" ref="Y132:Y163" si="28">(V132*P132)-T132</f>
        <v>176000</v>
      </c>
      <c r="Z132" s="473">
        <f>IF('MIS 2026'!CR132&gt;0,'MIS 2026'!CQ132,0)</f>
        <v>0</v>
      </c>
      <c r="AA132" s="473">
        <f t="shared" ref="AA132:AA163" si="29">Y132-Z132</f>
        <v>176000</v>
      </c>
      <c r="AB132" s="476" t="str">
        <f>IF('MIS 2026'!CM132="","",'MIS 2026'!CM132)</f>
        <v/>
      </c>
      <c r="AC132" s="476" t="str">
        <f>'MIS 2026'!U132</f>
        <v>NEW SC TO BE ISSUED VIPL TO VAPL</v>
      </c>
      <c r="AD132" s="474" t="str">
        <f>IF('MIS 2026'!BF132&gt;0,'MIS 2026'!BF132,"")</f>
        <v/>
      </c>
      <c r="AE132" s="476" t="str">
        <f>IF('MIS 2026'!N132&gt;0,'MIS 2026'!N132,"")</f>
        <v/>
      </c>
      <c r="AF132" s="474"/>
      <c r="AG132" s="478" t="str">
        <f>IF('MIS 2026'!BV132&lt;&gt;0,'MIS 2026'!BV132,"")</f>
        <v/>
      </c>
      <c r="AH132" s="474" t="str">
        <f>IF('MIS 2026'!F132&lt;&gt;0,'MIS 2026'!F132,"")</f>
        <v>TBA 14</v>
      </c>
      <c r="AI132" s="463" t="str">
        <f t="shared" ref="AI132:AI163" ca="1" si="30">IFERROR(IF(AB132="",TODAY()-W132,""),"")</f>
        <v/>
      </c>
      <c r="AJ132" s="474"/>
    </row>
    <row r="133" spans="1:36">
      <c r="A133" s="149" t="s">
        <v>208</v>
      </c>
      <c r="B133" s="149" t="str">
        <f>'MIS 2026'!EV133</f>
        <v>Yet to load</v>
      </c>
      <c r="C133" s="152">
        <f>'MIS 2026'!F133</f>
        <v>32016361</v>
      </c>
      <c r="D133" s="149" t="str">
        <f>'MIS 2026'!EH133</f>
        <v>DHARA INTERNATIONAL TRADING</v>
      </c>
      <c r="E133" s="151">
        <f>'MIS 2026'!AF133</f>
        <v>200</v>
      </c>
      <c r="F133" s="150">
        <f>'MIS 2026'!EK133</f>
        <v>0</v>
      </c>
      <c r="G133" s="150">
        <f t="shared" si="26"/>
        <v>0</v>
      </c>
      <c r="H133" s="149">
        <f>'MIS 2026'!EL133</f>
        <v>0</v>
      </c>
      <c r="I133" s="148"/>
      <c r="J133" s="473">
        <f>'MIS 2026'!ER133</f>
        <v>0</v>
      </c>
      <c r="K133" s="473">
        <f t="shared" si="27"/>
        <v>0</v>
      </c>
      <c r="L133" s="473">
        <f>'MIS 2026'!EW133</f>
        <v>0</v>
      </c>
      <c r="M133" s="474">
        <f>IF('MIS 2026'!EZ133&gt;0,'MIS 2026'!EW133,0)</f>
        <v>0</v>
      </c>
      <c r="N133" s="474" t="str">
        <f>'MIS 2026'!I133</f>
        <v>GUINEA CONAKRY-BOKE</v>
      </c>
      <c r="O133" s="474" t="str">
        <f>'MIS 2026'!H133</f>
        <v>HOANG SON I JOINT STOCK COMPANY</v>
      </c>
      <c r="P133" s="473">
        <f>'MIS 2026'!AI133</f>
        <v>1580</v>
      </c>
      <c r="Q133" s="474" t="str">
        <f>'MIS 2026'!BQ133</f>
        <v>HCMC, VIETNAM</v>
      </c>
      <c r="R133" s="474">
        <f>'MIS 2026'!AM133</f>
        <v>0.1</v>
      </c>
      <c r="S133" s="474" t="str">
        <f>'MIS 2026'!AL133</f>
        <v>10% ADVANCE 88% DP AT SIGHT 2% after vina</v>
      </c>
      <c r="T133" s="473">
        <f>'MIS 2026'!AZ133</f>
        <v>31600</v>
      </c>
      <c r="U133" s="474" t="str">
        <f>IF('MIS 2026'!BI133="","",'MIS 2026'!BI133)</f>
        <v/>
      </c>
      <c r="V133" s="475">
        <f>IF('MIS 2026'!BJ133&gt;0,'MIS 2026'!BJ133,'MIS 2026'!AF133)</f>
        <v>200</v>
      </c>
      <c r="W133" s="476" t="str">
        <f>IF('MIS 2026'!BM133="","",'MIS 2026'!BM133)</f>
        <v/>
      </c>
      <c r="X133" s="476" t="str">
        <f>IF('MIS 2026'!BO133="","",'MIS 2026'!BO133)</f>
        <v/>
      </c>
      <c r="Y133" s="473">
        <f t="shared" si="28"/>
        <v>284400</v>
      </c>
      <c r="Z133" s="473">
        <f>IF('MIS 2026'!CR133&gt;0,'MIS 2026'!CQ133,0)</f>
        <v>0</v>
      </c>
      <c r="AA133" s="473">
        <f t="shared" si="29"/>
        <v>284400</v>
      </c>
      <c r="AB133" s="476" t="str">
        <f>IF('MIS 2026'!CM133="","",'MIS 2026'!CM133)</f>
        <v/>
      </c>
      <c r="AC133" s="476">
        <f>'MIS 2026'!U133</f>
        <v>0</v>
      </c>
      <c r="AD133" s="474" t="str">
        <f>IF('MIS 2026'!BF133&gt;0,'MIS 2026'!BF133,"")</f>
        <v/>
      </c>
      <c r="AE133" s="476" t="str">
        <f>IF('MIS 2026'!N133&gt;0,'MIS 2026'!N133,"")</f>
        <v/>
      </c>
      <c r="AF133" s="474"/>
      <c r="AG133" s="478" t="str">
        <f>IF('MIS 2026'!BV133&lt;&gt;0,'MIS 2026'!BV133,"")</f>
        <v/>
      </c>
      <c r="AH133" s="474">
        <f>IF('MIS 2026'!F133&lt;&gt;0,'MIS 2026'!F133,"")</f>
        <v>32016361</v>
      </c>
      <c r="AI133" s="463" t="str">
        <f t="shared" ca="1" si="30"/>
        <v/>
      </c>
      <c r="AJ133" s="474"/>
    </row>
    <row r="134" spans="1:36">
      <c r="A134" s="149" t="s">
        <v>208</v>
      </c>
      <c r="B134" s="149" t="str">
        <f>'MIS 2026'!EV134</f>
        <v>Yet to load</v>
      </c>
      <c r="C134" s="152">
        <f>'MIS 2026'!F134</f>
        <v>32016364</v>
      </c>
      <c r="D134" s="149" t="str">
        <f>'MIS 2026'!EH134</f>
        <v xml:space="preserve">VALENCY IVC </v>
      </c>
      <c r="E134" s="151">
        <f>'MIS 2026'!AF134</f>
        <v>250</v>
      </c>
      <c r="F134" s="150">
        <f>'MIS 2026'!EK134</f>
        <v>0</v>
      </c>
      <c r="G134" s="150">
        <f t="shared" si="26"/>
        <v>0</v>
      </c>
      <c r="H134" s="149">
        <f>'MIS 2026'!EL134</f>
        <v>0</v>
      </c>
      <c r="I134" s="148"/>
      <c r="J134" s="473">
        <f>'MIS 2026'!ER134</f>
        <v>0</v>
      </c>
      <c r="K134" s="473">
        <f t="shared" si="27"/>
        <v>0</v>
      </c>
      <c r="L134" s="473">
        <f>'MIS 2026'!EW134</f>
        <v>0</v>
      </c>
      <c r="M134" s="474">
        <f>IF('MIS 2026'!EZ134&gt;0,'MIS 2026'!EW134,0)</f>
        <v>0</v>
      </c>
      <c r="N134" s="474" t="str">
        <f>'MIS 2026'!I134</f>
        <v>IVC</v>
      </c>
      <c r="O134" s="474" t="str">
        <f>'MIS 2026'!H134</f>
        <v>HOANG SON I JOINT STOCK COMPANY LIMITED</v>
      </c>
      <c r="P134" s="473">
        <f>'MIS 2026'!AI134</f>
        <v>1500</v>
      </c>
      <c r="Q134" s="474" t="str">
        <f>'MIS 2026'!BQ134</f>
        <v>HCMC, VIETNAM</v>
      </c>
      <c r="R134" s="474">
        <f>'MIS 2026'!AM134</f>
        <v>0.1</v>
      </c>
      <c r="S134" s="474" t="str">
        <f>'MIS 2026'!AL134</f>
        <v>10/88/2</v>
      </c>
      <c r="T134" s="473">
        <f>'MIS 2026'!AZ134</f>
        <v>37500</v>
      </c>
      <c r="U134" s="474" t="str">
        <f>IF('MIS 2026'!BI134="","",'MIS 2026'!BI134)</f>
        <v/>
      </c>
      <c r="V134" s="475">
        <f>IF('MIS 2026'!BJ134&gt;0,'MIS 2026'!BJ134,'MIS 2026'!AF134)</f>
        <v>250</v>
      </c>
      <c r="W134" s="476" t="str">
        <f>IF('MIS 2026'!BM134="","",'MIS 2026'!BM134)</f>
        <v/>
      </c>
      <c r="X134" s="476" t="str">
        <f>IF('MIS 2026'!BO134="","",'MIS 2026'!BO134)</f>
        <v/>
      </c>
      <c r="Y134" s="473">
        <f t="shared" si="28"/>
        <v>337500</v>
      </c>
      <c r="Z134" s="473">
        <f>IF('MIS 2026'!CR134&gt;0,'MIS 2026'!CQ134,0)</f>
        <v>0</v>
      </c>
      <c r="AA134" s="473">
        <f t="shared" si="29"/>
        <v>337500</v>
      </c>
      <c r="AB134" s="476" t="str">
        <f>IF('MIS 2026'!CM134="","",'MIS 2026'!CM134)</f>
        <v/>
      </c>
      <c r="AC134" s="476">
        <f>'MIS 2026'!U134</f>
        <v>0</v>
      </c>
      <c r="AD134" s="474" t="str">
        <f>IF('MIS 2026'!BF134&gt;0,'MIS 2026'!BF134,"")</f>
        <v/>
      </c>
      <c r="AE134" s="476" t="str">
        <f>IF('MIS 2026'!N134&gt;0,'MIS 2026'!N134,"")</f>
        <v/>
      </c>
      <c r="AF134" s="474"/>
      <c r="AG134" s="478" t="str">
        <f>IF('MIS 2026'!BV134&lt;&gt;0,'MIS 2026'!BV134,"")</f>
        <v/>
      </c>
      <c r="AH134" s="474">
        <f>IF('MIS 2026'!F134&lt;&gt;0,'MIS 2026'!F134,"")</f>
        <v>32016364</v>
      </c>
      <c r="AI134" s="463" t="str">
        <f t="shared" ca="1" si="30"/>
        <v/>
      </c>
      <c r="AJ134" s="474"/>
    </row>
    <row r="135" spans="1:36">
      <c r="A135" s="149" t="s">
        <v>208</v>
      </c>
      <c r="B135" s="149" t="str">
        <f>'MIS 2026'!EV135</f>
        <v>Yet to load</v>
      </c>
      <c r="C135" s="152">
        <f>'MIS 2026'!F135</f>
        <v>0</v>
      </c>
      <c r="D135" s="149">
        <f>'MIS 2026'!EH135</f>
        <v>0</v>
      </c>
      <c r="E135" s="151">
        <f>'MIS 2026'!AF135</f>
        <v>110</v>
      </c>
      <c r="F135" s="150">
        <f>'MIS 2026'!EK135</f>
        <v>0</v>
      </c>
      <c r="G135" s="150">
        <f t="shared" si="26"/>
        <v>0</v>
      </c>
      <c r="H135" s="149">
        <f>'MIS 2026'!EL135</f>
        <v>0</v>
      </c>
      <c r="I135" s="148"/>
      <c r="J135" s="473">
        <f>'MIS 2026'!ER135</f>
        <v>0</v>
      </c>
      <c r="K135" s="473">
        <f t="shared" si="27"/>
        <v>0</v>
      </c>
      <c r="L135" s="473">
        <f>'MIS 2026'!EW135</f>
        <v>0</v>
      </c>
      <c r="M135" s="474">
        <f>IF('MIS 2026'!EZ135&gt;0,'MIS 2026'!EW135,0)</f>
        <v>0</v>
      </c>
      <c r="N135" s="474" t="str">
        <f>'MIS 2026'!I135</f>
        <v>GUINEA CONAKRY-BOKE</v>
      </c>
      <c r="O135" s="474" t="str">
        <f>'MIS 2026'!H135</f>
        <v xml:space="preserve">VALENCY AGRO/HSS/MAGOKORO FOODS </v>
      </c>
      <c r="P135" s="473">
        <f>'MIS 2026'!AI135</f>
        <v>1610</v>
      </c>
      <c r="Q135" s="474" t="str">
        <f>'MIS 2026'!BQ135</f>
        <v>MUNDRA, INDIA</v>
      </c>
      <c r="R135" s="474">
        <f>'MIS 2026'!AM135</f>
        <v>0.1</v>
      </c>
      <c r="S135" s="474" t="str">
        <f>'MIS 2026'!AL135</f>
        <v>DP SIGHT</v>
      </c>
      <c r="T135" s="473">
        <f>'MIS 2026'!AZ135</f>
        <v>17710</v>
      </c>
      <c r="U135" s="474" t="str">
        <f>IF('MIS 2026'!BI135="","",'MIS 2026'!BI135)</f>
        <v/>
      </c>
      <c r="V135" s="475">
        <f>IF('MIS 2026'!BJ135&gt;0,'MIS 2026'!BJ135,'MIS 2026'!AF135)</f>
        <v>110</v>
      </c>
      <c r="W135" s="476" t="str">
        <f>IF('MIS 2026'!BM135="","",'MIS 2026'!BM135)</f>
        <v/>
      </c>
      <c r="X135" s="476" t="str">
        <f>IF('MIS 2026'!BO135="","",'MIS 2026'!BO135)</f>
        <v/>
      </c>
      <c r="Y135" s="473">
        <f t="shared" si="28"/>
        <v>159390</v>
      </c>
      <c r="Z135" s="473">
        <f>IF('MIS 2026'!CR135&gt;0,'MIS 2026'!CQ135,0)</f>
        <v>0</v>
      </c>
      <c r="AA135" s="473">
        <f t="shared" si="29"/>
        <v>159390</v>
      </c>
      <c r="AB135" s="476" t="str">
        <f>IF('MIS 2026'!CM135="","",'MIS 2026'!CM135)</f>
        <v/>
      </c>
      <c r="AC135" s="476" t="str">
        <f>'MIS 2026'!U135</f>
        <v>CONVERTED TO HSS SALE-NEW SC VAPL TO VIPL TO BE ISSUED</v>
      </c>
      <c r="AD135" s="474" t="str">
        <f>IF('MIS 2026'!BF135&gt;0,'MIS 2026'!BF135,"")</f>
        <v/>
      </c>
      <c r="AE135" s="476" t="str">
        <f>IF('MIS 2026'!N135&gt;0,'MIS 2026'!N135,"")</f>
        <v/>
      </c>
      <c r="AF135" s="474"/>
      <c r="AG135" s="478" t="str">
        <f>IF('MIS 2026'!BV135&lt;&gt;0,'MIS 2026'!BV135,"")</f>
        <v/>
      </c>
      <c r="AH135" s="474" t="str">
        <f>IF('MIS 2026'!F135&lt;&gt;0,'MIS 2026'!F135,"")</f>
        <v/>
      </c>
      <c r="AI135" s="463" t="str">
        <f t="shared" ca="1" si="30"/>
        <v/>
      </c>
      <c r="AJ135" s="474"/>
    </row>
    <row r="136" spans="1:36">
      <c r="A136" s="149" t="s">
        <v>208</v>
      </c>
      <c r="B136" s="149" t="str">
        <f>'MIS 2026'!EV136</f>
        <v>Yet to load</v>
      </c>
      <c r="C136" s="152" t="str">
        <f>'MIS 2026'!F136</f>
        <v>TBA 16</v>
      </c>
      <c r="D136" s="149" t="str">
        <f>'MIS 2026'!EH136</f>
        <v>VALORA BURKINA EXIM SARL</v>
      </c>
      <c r="E136" s="151">
        <f>'MIS 2026'!AF136</f>
        <v>100</v>
      </c>
      <c r="F136" s="150">
        <f>'MIS 2026'!EK136</f>
        <v>0</v>
      </c>
      <c r="G136" s="150">
        <f t="shared" si="26"/>
        <v>0</v>
      </c>
      <c r="H136" s="149">
        <f>'MIS 2026'!EL136</f>
        <v>0</v>
      </c>
      <c r="I136" s="148"/>
      <c r="J136" s="473">
        <f>'MIS 2026'!ER136</f>
        <v>0</v>
      </c>
      <c r="K136" s="473">
        <f t="shared" si="27"/>
        <v>0</v>
      </c>
      <c r="L136" s="473">
        <f>'MIS 2026'!EW136</f>
        <v>0</v>
      </c>
      <c r="M136" s="474">
        <f>IF('MIS 2026'!EZ136&gt;0,'MIS 2026'!EW136,0)</f>
        <v>0</v>
      </c>
      <c r="N136" s="474" t="str">
        <f>'MIS 2026'!I136</f>
        <v>BURKINA FASO</v>
      </c>
      <c r="O136" s="474" t="str">
        <f>'MIS 2026'!H136</f>
        <v>VALENCY AGRO UNSOLD</v>
      </c>
      <c r="P136" s="473">
        <f>'MIS 2026'!AI136</f>
        <v>0</v>
      </c>
      <c r="Q136" s="474" t="str">
        <f>'MIS 2026'!BQ136</f>
        <v>TUTICORIN, INDIA</v>
      </c>
      <c r="R136" s="474">
        <f>'MIS 2026'!AM136</f>
        <v>0</v>
      </c>
      <c r="S136" s="474" t="str">
        <f>'MIS 2026'!AL136</f>
        <v>DP SIGHT</v>
      </c>
      <c r="T136" s="473">
        <f>'MIS 2026'!AZ136</f>
        <v>0</v>
      </c>
      <c r="U136" s="474">
        <f>IF('MIS 2026'!BI136="","",'MIS 2026'!BI136)</f>
        <v>270340532</v>
      </c>
      <c r="V136" s="475">
        <f>IF('MIS 2026'!BJ136&gt;0,'MIS 2026'!BJ136,'MIS 2026'!AF136)</f>
        <v>107.425</v>
      </c>
      <c r="W136" s="476">
        <f>IF('MIS 2026'!BM136="","",'MIS 2026'!BM136)</f>
        <v>46167</v>
      </c>
      <c r="X136" s="476">
        <f>IF('MIS 2026'!BO136="","",'MIS 2026'!BO136)</f>
        <v>46199</v>
      </c>
      <c r="Y136" s="473">
        <f t="shared" si="28"/>
        <v>0</v>
      </c>
      <c r="Z136" s="473">
        <f>IF('MIS 2026'!CR136&gt;0,'MIS 2026'!CQ136,0)</f>
        <v>0</v>
      </c>
      <c r="AA136" s="473">
        <f t="shared" si="29"/>
        <v>0</v>
      </c>
      <c r="AB136" s="476" t="str">
        <f>IF('MIS 2026'!CM136="","",'MIS 2026'!CM136)</f>
        <v/>
      </c>
      <c r="AC136" s="476" t="str">
        <f>'MIS 2026'!U136</f>
        <v>NTT - AGRO UNSOLD ETA:26/6</v>
      </c>
      <c r="AD136" s="474" t="str">
        <f>IF('MIS 2026'!BF136&gt;0,'MIS 2026'!BF136,"")</f>
        <v/>
      </c>
      <c r="AE136" s="476">
        <f>IF('MIS 2026'!N136&gt;0,'MIS 2026'!N136,"")</f>
        <v>46167</v>
      </c>
      <c r="AF136" s="474"/>
      <c r="AG136" s="478" t="str">
        <f>IF('MIS 2026'!BV136&lt;&gt;0,'MIS 2026'!BV136,"")</f>
        <v/>
      </c>
      <c r="AH136" s="474" t="str">
        <f>IF('MIS 2026'!F136&lt;&gt;0,'MIS 2026'!F136,"")</f>
        <v>TBA 16</v>
      </c>
      <c r="AI136" s="463">
        <f t="shared" ca="1" si="30"/>
        <v>5</v>
      </c>
      <c r="AJ136" s="474"/>
    </row>
    <row r="137" spans="1:36">
      <c r="A137" s="149" t="s">
        <v>208</v>
      </c>
      <c r="B137" s="149" t="str">
        <f>'MIS 2026'!EV137</f>
        <v>Yet to load</v>
      </c>
      <c r="C137" s="152">
        <f>'MIS 2026'!F137</f>
        <v>32016380</v>
      </c>
      <c r="D137" s="149">
        <f>'MIS 2026'!EH137</f>
        <v>0</v>
      </c>
      <c r="E137" s="151">
        <f>'MIS 2026'!AF137</f>
        <v>400</v>
      </c>
      <c r="F137" s="150">
        <f>'MIS 2026'!EK137</f>
        <v>0</v>
      </c>
      <c r="G137" s="150">
        <f t="shared" si="26"/>
        <v>0</v>
      </c>
      <c r="H137" s="149">
        <f>'MIS 2026'!EL137</f>
        <v>0</v>
      </c>
      <c r="I137" s="148"/>
      <c r="J137" s="473">
        <f>'MIS 2026'!ER137</f>
        <v>0</v>
      </c>
      <c r="K137" s="473">
        <f t="shared" si="27"/>
        <v>0</v>
      </c>
      <c r="L137" s="473">
        <f>'MIS 2026'!EW137</f>
        <v>0</v>
      </c>
      <c r="M137" s="474">
        <f>IF('MIS 2026'!EZ137&gt;0,'MIS 2026'!EW137,0)</f>
        <v>0</v>
      </c>
      <c r="N137" s="474" t="str">
        <f>'MIS 2026'!I137</f>
        <v>GUINEA CONAKRY-BOKE</v>
      </c>
      <c r="O137" s="474" t="str">
        <f>'MIS 2026'!H137</f>
        <v>COMPANY LIMITED LIABILITY DIEU DAI THANH</v>
      </c>
      <c r="P137" s="473">
        <f>'MIS 2026'!AI137</f>
        <v>1595</v>
      </c>
      <c r="Q137" s="474" t="str">
        <f>'MIS 2026'!BQ137</f>
        <v>HCMC, VIETNAM</v>
      </c>
      <c r="R137" s="474">
        <f>'MIS 2026'!AM137</f>
        <v>0.1</v>
      </c>
      <c r="S137" s="474" t="str">
        <f>'MIS 2026'!AL137</f>
        <v>10% ADVANCE 88% DP AT SIGHT 2% after vina</v>
      </c>
      <c r="T137" s="473">
        <f>'MIS 2026'!AZ137</f>
        <v>63800</v>
      </c>
      <c r="U137" s="474" t="str">
        <f>IF('MIS 2026'!BI137="","",'MIS 2026'!BI137)</f>
        <v/>
      </c>
      <c r="V137" s="475">
        <f>IF('MIS 2026'!BJ137&gt;0,'MIS 2026'!BJ137,'MIS 2026'!AF137)</f>
        <v>400</v>
      </c>
      <c r="W137" s="476" t="str">
        <f>IF('MIS 2026'!BM137="","",'MIS 2026'!BM137)</f>
        <v/>
      </c>
      <c r="X137" s="476" t="str">
        <f>IF('MIS 2026'!BO137="","",'MIS 2026'!BO137)</f>
        <v/>
      </c>
      <c r="Y137" s="473">
        <f t="shared" si="28"/>
        <v>574200</v>
      </c>
      <c r="Z137" s="473">
        <f>IF('MIS 2026'!CR137&gt;0,'MIS 2026'!CQ137,0)</f>
        <v>0</v>
      </c>
      <c r="AA137" s="473">
        <f t="shared" si="29"/>
        <v>574200</v>
      </c>
      <c r="AB137" s="476" t="str">
        <f>IF('MIS 2026'!CM137="","",'MIS 2026'!CM137)</f>
        <v/>
      </c>
      <c r="AC137" s="476" t="str">
        <f>'MIS 2026'!U137</f>
        <v>ADVANCE RCVD 18/5</v>
      </c>
      <c r="AD137" s="474" t="str">
        <f>IF('MIS 2026'!BF137&gt;0,'MIS 2026'!BF137,"")</f>
        <v/>
      </c>
      <c r="AE137" s="476" t="str">
        <f>IF('MIS 2026'!N137&gt;0,'MIS 2026'!N137,"")</f>
        <v/>
      </c>
      <c r="AF137" s="474"/>
      <c r="AG137" s="478" t="str">
        <f>IF('MIS 2026'!BV137&lt;&gt;0,'MIS 2026'!BV137,"")</f>
        <v/>
      </c>
      <c r="AH137" s="474">
        <f>IF('MIS 2026'!F137&lt;&gt;0,'MIS 2026'!F137,"")</f>
        <v>32016380</v>
      </c>
      <c r="AI137" s="463" t="str">
        <f t="shared" ca="1" si="30"/>
        <v/>
      </c>
      <c r="AJ137" s="474"/>
    </row>
    <row r="138" spans="1:36">
      <c r="A138" s="149" t="s">
        <v>208</v>
      </c>
      <c r="B138" s="149" t="str">
        <f>'MIS 2026'!EV138</f>
        <v>Yet to load</v>
      </c>
      <c r="C138" s="152">
        <f>'MIS 2026'!F138</f>
        <v>32016412</v>
      </c>
      <c r="D138" s="149" t="str">
        <f>'MIS 2026'!EH138</f>
        <v xml:space="preserve">VALENCY IVC </v>
      </c>
      <c r="E138" s="151">
        <f>'MIS 2026'!AF138</f>
        <v>500</v>
      </c>
      <c r="F138" s="150">
        <f>'MIS 2026'!EK138</f>
        <v>0</v>
      </c>
      <c r="G138" s="150">
        <f t="shared" si="26"/>
        <v>0</v>
      </c>
      <c r="H138" s="149">
        <f>'MIS 2026'!EL138</f>
        <v>0</v>
      </c>
      <c r="I138" s="148"/>
      <c r="J138" s="473">
        <f>'MIS 2026'!ER138</f>
        <v>0</v>
      </c>
      <c r="K138" s="473">
        <f t="shared" si="27"/>
        <v>0</v>
      </c>
      <c r="L138" s="473">
        <f>'MIS 2026'!EW138</f>
        <v>0</v>
      </c>
      <c r="M138" s="474">
        <f>IF('MIS 2026'!EZ138&gt;0,'MIS 2026'!EW138,0)</f>
        <v>0</v>
      </c>
      <c r="N138" s="474" t="str">
        <f>'MIS 2026'!I138</f>
        <v>IVC</v>
      </c>
      <c r="O138" s="474" t="str">
        <f>'MIS 2026'!H138</f>
        <v>TERRA NUTS GROUP JOINT STOCK COMPANY</v>
      </c>
      <c r="P138" s="473">
        <f>'MIS 2026'!AI138</f>
        <v>1470</v>
      </c>
      <c r="Q138" s="474" t="str">
        <f>'MIS 2026'!BQ138</f>
        <v>HCMC, VIETNAM</v>
      </c>
      <c r="R138" s="474">
        <f>'MIS 2026'!AM138</f>
        <v>0.1</v>
      </c>
      <c r="S138" s="474" t="str">
        <f>'MIS 2026'!AL138</f>
        <v>10/88/2</v>
      </c>
      <c r="T138" s="473">
        <f>'MIS 2026'!AZ138</f>
        <v>73500</v>
      </c>
      <c r="U138" s="474" t="str">
        <f>IF('MIS 2026'!BI138="","",'MIS 2026'!BI138)</f>
        <v/>
      </c>
      <c r="V138" s="475">
        <f>IF('MIS 2026'!BJ138&gt;0,'MIS 2026'!BJ138,'MIS 2026'!AF138)</f>
        <v>500</v>
      </c>
      <c r="W138" s="476" t="str">
        <f>IF('MIS 2026'!BM138="","",'MIS 2026'!BM138)</f>
        <v/>
      </c>
      <c r="X138" s="476" t="str">
        <f>IF('MIS 2026'!BO138="","",'MIS 2026'!BO138)</f>
        <v/>
      </c>
      <c r="Y138" s="473">
        <f t="shared" si="28"/>
        <v>661500</v>
      </c>
      <c r="Z138" s="473">
        <f>IF('MIS 2026'!CR138&gt;0,'MIS 2026'!CQ138,0)</f>
        <v>0</v>
      </c>
      <c r="AA138" s="473">
        <f t="shared" si="29"/>
        <v>661500</v>
      </c>
      <c r="AB138" s="476" t="str">
        <f>IF('MIS 2026'!CM138="","",'MIS 2026'!CM138)</f>
        <v/>
      </c>
      <c r="AC138" s="476" t="str">
        <f>'MIS 2026'!U138</f>
        <v xml:space="preserve">ADVANCE RCVD 26/05
</v>
      </c>
      <c r="AD138" s="474" t="str">
        <f>IF('MIS 2026'!BF138&gt;0,'MIS 2026'!BF138,"")</f>
        <v/>
      </c>
      <c r="AE138" s="476" t="str">
        <f>IF('MIS 2026'!N138&gt;0,'MIS 2026'!N138,"")</f>
        <v/>
      </c>
      <c r="AF138" s="474"/>
      <c r="AG138" s="478" t="str">
        <f>IF('MIS 2026'!BV138&lt;&gt;0,'MIS 2026'!BV138,"")</f>
        <v/>
      </c>
      <c r="AH138" s="474">
        <f>IF('MIS 2026'!F138&lt;&gt;0,'MIS 2026'!F138,"")</f>
        <v>32016412</v>
      </c>
      <c r="AI138" s="463" t="str">
        <f t="shared" ca="1" si="30"/>
        <v/>
      </c>
      <c r="AJ138" s="474"/>
    </row>
    <row r="139" spans="1:36">
      <c r="A139" s="149" t="s">
        <v>208</v>
      </c>
      <c r="B139" s="149" t="str">
        <f>'MIS 2026'!EV139</f>
        <v>Yet to load</v>
      </c>
      <c r="C139" s="152">
        <f>'MIS 2026'!F139</f>
        <v>32016411</v>
      </c>
      <c r="D139" s="149" t="str">
        <f>'MIS 2026'!EH139</f>
        <v xml:space="preserve">VALENCY IVC </v>
      </c>
      <c r="E139" s="151">
        <f>'MIS 2026'!AF139</f>
        <v>1000</v>
      </c>
      <c r="F139" s="150">
        <f>'MIS 2026'!EK139</f>
        <v>0</v>
      </c>
      <c r="G139" s="150">
        <f t="shared" si="26"/>
        <v>0</v>
      </c>
      <c r="H139" s="149">
        <f>'MIS 2026'!EL139</f>
        <v>0</v>
      </c>
      <c r="I139" s="148"/>
      <c r="J139" s="473">
        <f>'MIS 2026'!ER139</f>
        <v>0</v>
      </c>
      <c r="K139" s="473">
        <f t="shared" si="27"/>
        <v>0</v>
      </c>
      <c r="L139" s="473">
        <f>'MIS 2026'!EW139</f>
        <v>0</v>
      </c>
      <c r="M139" s="474">
        <f>IF('MIS 2026'!EZ139&gt;0,'MIS 2026'!EW139,0)</f>
        <v>0</v>
      </c>
      <c r="N139" s="474" t="str">
        <f>'MIS 2026'!I139</f>
        <v>IVC</v>
      </c>
      <c r="O139" s="474" t="str">
        <f>'MIS 2026'!H139</f>
        <v>TERRA NUTS GROUP JOINT STOCK COMPANY</v>
      </c>
      <c r="P139" s="473">
        <f>'MIS 2026'!AI139</f>
        <v>1435</v>
      </c>
      <c r="Q139" s="474" t="str">
        <f>'MIS 2026'!BQ139</f>
        <v>HCMC, VIETNAM</v>
      </c>
      <c r="R139" s="474">
        <f>'MIS 2026'!AM139</f>
        <v>0.1</v>
      </c>
      <c r="S139" s="474" t="str">
        <f>'MIS 2026'!AL139</f>
        <v>10/88/2</v>
      </c>
      <c r="T139" s="473">
        <f>'MIS 2026'!AZ139</f>
        <v>143500</v>
      </c>
      <c r="U139" s="474" t="str">
        <f>IF('MIS 2026'!BI139="","",'MIS 2026'!BI139)</f>
        <v/>
      </c>
      <c r="V139" s="475">
        <f>IF('MIS 2026'!BJ139&gt;0,'MIS 2026'!BJ139,'MIS 2026'!AF139)</f>
        <v>1000</v>
      </c>
      <c r="W139" s="476" t="str">
        <f>IF('MIS 2026'!BM139="","",'MIS 2026'!BM139)</f>
        <v/>
      </c>
      <c r="X139" s="476" t="str">
        <f>IF('MIS 2026'!BO139="","",'MIS 2026'!BO139)</f>
        <v/>
      </c>
      <c r="Y139" s="473">
        <f t="shared" si="28"/>
        <v>1291500</v>
      </c>
      <c r="Z139" s="473">
        <f>IF('MIS 2026'!CR139&gt;0,'MIS 2026'!CQ139,0)</f>
        <v>0</v>
      </c>
      <c r="AA139" s="473">
        <f t="shared" si="29"/>
        <v>1291500</v>
      </c>
      <c r="AB139" s="476" t="str">
        <f>IF('MIS 2026'!CM139="","",'MIS 2026'!CM139)</f>
        <v/>
      </c>
      <c r="AC139" s="476" t="str">
        <f>'MIS 2026'!U139</f>
        <v>ADVANCE RCVD 28/05</v>
      </c>
      <c r="AD139" s="474" t="str">
        <f>IF('MIS 2026'!BF139&gt;0,'MIS 2026'!BF139,"")</f>
        <v/>
      </c>
      <c r="AE139" s="476" t="str">
        <f>IF('MIS 2026'!N139&gt;0,'MIS 2026'!N139,"")</f>
        <v/>
      </c>
      <c r="AF139" s="474"/>
      <c r="AG139" s="478" t="str">
        <f>IF('MIS 2026'!BV139&lt;&gt;0,'MIS 2026'!BV139,"")</f>
        <v/>
      </c>
      <c r="AH139" s="474">
        <f>IF('MIS 2026'!F139&lt;&gt;0,'MIS 2026'!F139,"")</f>
        <v>32016411</v>
      </c>
      <c r="AI139" s="463" t="str">
        <f t="shared" ca="1" si="30"/>
        <v/>
      </c>
      <c r="AJ139" s="474"/>
    </row>
    <row r="140" spans="1:36">
      <c r="A140" s="149" t="s">
        <v>208</v>
      </c>
      <c r="B140" s="149" t="str">
        <f>'MIS 2026'!EV140</f>
        <v>Yet to load</v>
      </c>
      <c r="C140" s="152">
        <f>'MIS 2026'!F140</f>
        <v>32016404</v>
      </c>
      <c r="D140" s="149" t="str">
        <f>'MIS 2026'!EH140</f>
        <v>RDR ENTERPRISES &amp; ELANGO CASHEWS</v>
      </c>
      <c r="E140" s="151">
        <f>'MIS 2026'!AF140</f>
        <v>150</v>
      </c>
      <c r="F140" s="150">
        <f>'MIS 2026'!EK140</f>
        <v>1530</v>
      </c>
      <c r="G140" s="150">
        <f t="shared" si="26"/>
        <v>229500</v>
      </c>
      <c r="H140" s="149">
        <f>'MIS 2026'!EL140</f>
        <v>0</v>
      </c>
      <c r="I140" s="148"/>
      <c r="J140" s="473">
        <f>'MIS 2026'!ER140</f>
        <v>194027</v>
      </c>
      <c r="K140" s="473">
        <f t="shared" si="27"/>
        <v>35473</v>
      </c>
      <c r="L140" s="473">
        <f>'MIS 2026'!EW140</f>
        <v>0</v>
      </c>
      <c r="M140" s="474">
        <f>IF('MIS 2026'!EZ140&gt;0,'MIS 2026'!EW140,0)</f>
        <v>0</v>
      </c>
      <c r="N140" s="474" t="str">
        <f>'MIS 2026'!I140</f>
        <v>GUINEA CONAKRY-BOKE</v>
      </c>
      <c r="O140" s="474" t="str">
        <f>'MIS 2026'!H140</f>
        <v>BACH HY ONE MEMBER COMPANY LTD</v>
      </c>
      <c r="P140" s="473">
        <f>'MIS 2026'!AI140</f>
        <v>1620</v>
      </c>
      <c r="Q140" s="474" t="str">
        <f>'MIS 2026'!BQ140</f>
        <v>HCMC, VIETNAM</v>
      </c>
      <c r="R140" s="474">
        <f>'MIS 2026'!AM140</f>
        <v>0.1</v>
      </c>
      <c r="S140" s="474" t="str">
        <f>'MIS 2026'!AL140</f>
        <v>10% ADVANCE 88% DP AT SIGHT 2% after vina</v>
      </c>
      <c r="T140" s="473">
        <f>'MIS 2026'!AZ140</f>
        <v>24300</v>
      </c>
      <c r="U140" s="474" t="str">
        <f>IF('MIS 2026'!BI140="","",'MIS 2026'!BI140)</f>
        <v>MEDUCN102743</v>
      </c>
      <c r="V140" s="475">
        <f>IF('MIS 2026'!BJ140&gt;0,'MIS 2026'!BJ140,'MIS 2026'!AF140)</f>
        <v>47.906999999999996</v>
      </c>
      <c r="W140" s="476" t="str">
        <f>IF('MIS 2026'!BM140="","",'MIS 2026'!BM140)</f>
        <v/>
      </c>
      <c r="X140" s="476" t="str">
        <f>IF('MIS 2026'!BO140="","",'MIS 2026'!BO140)</f>
        <v/>
      </c>
      <c r="Y140" s="473">
        <f t="shared" si="28"/>
        <v>53309.34</v>
      </c>
      <c r="Z140" s="473">
        <f>IF('MIS 2026'!CR140&gt;0,'MIS 2026'!CQ140,0)</f>
        <v>0</v>
      </c>
      <c r="AA140" s="473">
        <f t="shared" si="29"/>
        <v>53309.34</v>
      </c>
      <c r="AB140" s="476" t="str">
        <f>IF('MIS 2026'!CM140="","",'MIS 2026'!CM140)</f>
        <v/>
      </c>
      <c r="AC140" s="476" t="str">
        <f>'MIS 2026'!U140</f>
        <v>STUFF KOR: 50.4</v>
      </c>
      <c r="AD140" s="474" t="str">
        <f>IF('MIS 2026'!BF140&gt;0,'MIS 2026'!BF140,"")</f>
        <v/>
      </c>
      <c r="AE140" s="476" t="str">
        <f>IF('MIS 2026'!N140&gt;0,'MIS 2026'!N140,"")</f>
        <v/>
      </c>
      <c r="AF140" s="474"/>
      <c r="AG140" s="478" t="str">
        <f>IF('MIS 2026'!BV140&lt;&gt;0,'MIS 2026'!BV140,"")</f>
        <v/>
      </c>
      <c r="AH140" s="474">
        <f>IF('MIS 2026'!F140&lt;&gt;0,'MIS 2026'!F140,"")</f>
        <v>32016404</v>
      </c>
      <c r="AI140" s="463" t="str">
        <f t="shared" ca="1" si="30"/>
        <v/>
      </c>
      <c r="AJ140" s="474"/>
    </row>
    <row r="141" spans="1:36">
      <c r="A141" s="149" t="s">
        <v>208</v>
      </c>
      <c r="B141" s="149" t="str">
        <f>'MIS 2026'!EV141</f>
        <v>Yet to load</v>
      </c>
      <c r="C141" s="152" t="str">
        <f>'MIS 2026'!F141</f>
        <v>RCN/2026/1003</v>
      </c>
      <c r="D141" s="149" t="str">
        <f>'MIS 2026'!EH141</f>
        <v>VK Trading</v>
      </c>
      <c r="E141" s="151">
        <f>'MIS 2026'!AF141</f>
        <v>500</v>
      </c>
      <c r="F141" s="150">
        <f>'MIS 2026'!EK141</f>
        <v>0</v>
      </c>
      <c r="G141" s="150">
        <f t="shared" si="26"/>
        <v>0</v>
      </c>
      <c r="H141" s="149">
        <f>'MIS 2026'!EL141</f>
        <v>0</v>
      </c>
      <c r="I141" s="148"/>
      <c r="J141" s="473">
        <f>'MIS 2026'!ER141</f>
        <v>0</v>
      </c>
      <c r="K141" s="473">
        <f t="shared" si="27"/>
        <v>0</v>
      </c>
      <c r="L141" s="473">
        <f>'MIS 2026'!EW141</f>
        <v>0</v>
      </c>
      <c r="M141" s="474">
        <f>IF('MIS 2026'!EZ141&gt;0,'MIS 2026'!EW141,0)</f>
        <v>0</v>
      </c>
      <c r="N141" s="474" t="str">
        <f>'MIS 2026'!I141</f>
        <v>BISSAU</v>
      </c>
      <c r="O141" s="474" t="str">
        <f>'MIS 2026'!H141</f>
        <v>INTERSNACK CASHEW COMPANY PTE LTD</v>
      </c>
      <c r="P141" s="473">
        <f>'MIS 2026'!AI141</f>
        <v>1690</v>
      </c>
      <c r="Q141" s="474" t="str">
        <f>'MIS 2026'!BQ141</f>
        <v>SPI-TC, TERMINAL, HCMC, VIETNAM</v>
      </c>
      <c r="R141" s="474">
        <f>'MIS 2026'!AM141</f>
        <v>0.1</v>
      </c>
      <c r="S141" s="474" t="str">
        <f>'MIS 2026'!AL141</f>
        <v>DP SIGHT</v>
      </c>
      <c r="T141" s="473">
        <f>'MIS 2026'!AZ141</f>
        <v>84500</v>
      </c>
      <c r="U141" s="474" t="str">
        <f>IF('MIS 2026'!BI141="","",'MIS 2026'!BI141)</f>
        <v/>
      </c>
      <c r="V141" s="475">
        <f>IF('MIS 2026'!BJ141&gt;0,'MIS 2026'!BJ141,'MIS 2026'!AF141)</f>
        <v>500</v>
      </c>
      <c r="W141" s="476" t="str">
        <f>IF('MIS 2026'!BM141="","",'MIS 2026'!BM141)</f>
        <v/>
      </c>
      <c r="X141" s="476" t="str">
        <f>IF('MIS 2026'!BO141="","",'MIS 2026'!BO141)</f>
        <v/>
      </c>
      <c r="Y141" s="473">
        <f t="shared" si="28"/>
        <v>760500</v>
      </c>
      <c r="Z141" s="473">
        <f>IF('MIS 2026'!CR141&gt;0,'MIS 2026'!CQ141,0)</f>
        <v>0</v>
      </c>
      <c r="AA141" s="473">
        <f t="shared" si="29"/>
        <v>760500</v>
      </c>
      <c r="AB141" s="476" t="str">
        <f>IF('MIS 2026'!CM141="","",'MIS 2026'!CM141)</f>
        <v/>
      </c>
      <c r="AC141" s="476" t="str">
        <f>'MIS 2026'!U141</f>
        <v>MANUAL CONTRACT ISSUED-KYC PENDING, ADV RCVD 26/05</v>
      </c>
      <c r="AD141" s="474" t="str">
        <f>IF('MIS 2026'!BF141&gt;0,'MIS 2026'!BF141,"")</f>
        <v/>
      </c>
      <c r="AE141" s="476" t="str">
        <f>IF('MIS 2026'!N141&gt;0,'MIS 2026'!N141,"")</f>
        <v/>
      </c>
      <c r="AF141" s="474"/>
      <c r="AG141" s="478" t="str">
        <f>IF('MIS 2026'!BV141&lt;&gt;0,'MIS 2026'!BV141,"")</f>
        <v/>
      </c>
      <c r="AH141" s="474" t="str">
        <f>IF('MIS 2026'!F141&lt;&gt;0,'MIS 2026'!F141,"")</f>
        <v>RCN/2026/1003</v>
      </c>
      <c r="AI141" s="463" t="str">
        <f t="shared" ca="1" si="30"/>
        <v/>
      </c>
      <c r="AJ141" s="474"/>
    </row>
    <row r="142" spans="1:36">
      <c r="A142" s="149" t="s">
        <v>208</v>
      </c>
      <c r="B142" s="149" t="str">
        <f>'MIS 2026'!EV142</f>
        <v>Yet to load</v>
      </c>
      <c r="C142" s="152">
        <f>'MIS 2026'!F142</f>
        <v>32016407</v>
      </c>
      <c r="D142" s="149" t="str">
        <f>'MIS 2026'!EH142</f>
        <v xml:space="preserve">VALENCY IVC </v>
      </c>
      <c r="E142" s="151">
        <f>'MIS 2026'!AF142</f>
        <v>500</v>
      </c>
      <c r="F142" s="150">
        <f>'MIS 2026'!EK142</f>
        <v>0</v>
      </c>
      <c r="G142" s="150">
        <f t="shared" si="26"/>
        <v>0</v>
      </c>
      <c r="H142" s="149">
        <f>'MIS 2026'!EL142</f>
        <v>0</v>
      </c>
      <c r="I142" s="148"/>
      <c r="J142" s="473">
        <f>'MIS 2026'!ER142</f>
        <v>0</v>
      </c>
      <c r="K142" s="473">
        <f t="shared" si="27"/>
        <v>0</v>
      </c>
      <c r="L142" s="473">
        <f>'MIS 2026'!EW142</f>
        <v>0</v>
      </c>
      <c r="M142" s="474">
        <f>IF('MIS 2026'!EZ142&gt;0,'MIS 2026'!EW142,0)</f>
        <v>0</v>
      </c>
      <c r="N142" s="474" t="str">
        <f>'MIS 2026'!I142</f>
        <v>IVC</v>
      </c>
      <c r="O142" s="474" t="str">
        <f>'MIS 2026'!H142</f>
        <v>PHUOC THINH TRADING</v>
      </c>
      <c r="P142" s="473">
        <f>'MIS 2026'!AI142</f>
        <v>1370</v>
      </c>
      <c r="Q142" s="474" t="str">
        <f>'MIS 2026'!BQ142</f>
        <v>HCMC, VIETNAM</v>
      </c>
      <c r="R142" s="474">
        <f>'MIS 2026'!AM142</f>
        <v>0.1</v>
      </c>
      <c r="S142" s="474" t="str">
        <f>'MIS 2026'!AL142</f>
        <v>10/88/2</v>
      </c>
      <c r="T142" s="473">
        <f>'MIS 2026'!AZ142</f>
        <v>68500</v>
      </c>
      <c r="U142" s="474" t="str">
        <f>IF('MIS 2026'!BI142="","",'MIS 2026'!BI142)</f>
        <v/>
      </c>
      <c r="V142" s="475">
        <f>IF('MIS 2026'!BJ142&gt;0,'MIS 2026'!BJ142,'MIS 2026'!AF142)</f>
        <v>500</v>
      </c>
      <c r="W142" s="476" t="str">
        <f>IF('MIS 2026'!BM142="","",'MIS 2026'!BM142)</f>
        <v/>
      </c>
      <c r="X142" s="476" t="str">
        <f>IF('MIS 2026'!BO142="","",'MIS 2026'!BO142)</f>
        <v/>
      </c>
      <c r="Y142" s="473">
        <f t="shared" si="28"/>
        <v>616500</v>
      </c>
      <c r="Z142" s="473">
        <f>IF('MIS 2026'!CR142&gt;0,'MIS 2026'!CQ142,0)</f>
        <v>0</v>
      </c>
      <c r="AA142" s="473">
        <f t="shared" si="29"/>
        <v>616500</v>
      </c>
      <c r="AB142" s="476" t="str">
        <f>IF('MIS 2026'!CM142="","",'MIS 2026'!CM142)</f>
        <v/>
      </c>
      <c r="AC142" s="476" t="str">
        <f>'MIS 2026'!U142</f>
        <v xml:space="preserve">ADVANCE RCVD 26/05
</v>
      </c>
      <c r="AD142" s="474" t="str">
        <f>IF('MIS 2026'!BF142&gt;0,'MIS 2026'!BF142,"")</f>
        <v/>
      </c>
      <c r="AE142" s="476" t="str">
        <f>IF('MIS 2026'!N142&gt;0,'MIS 2026'!N142,"")</f>
        <v/>
      </c>
      <c r="AF142" s="474"/>
      <c r="AG142" s="478" t="str">
        <f>IF('MIS 2026'!BV142&lt;&gt;0,'MIS 2026'!BV142,"")</f>
        <v/>
      </c>
      <c r="AH142" s="474">
        <f>IF('MIS 2026'!F142&lt;&gt;0,'MIS 2026'!F142,"")</f>
        <v>32016407</v>
      </c>
      <c r="AI142" s="463" t="str">
        <f t="shared" ca="1" si="30"/>
        <v/>
      </c>
      <c r="AJ142" s="474"/>
    </row>
    <row r="143" spans="1:36">
      <c r="A143" s="149" t="s">
        <v>208</v>
      </c>
      <c r="B143" s="149" t="str">
        <f>'MIS 2026'!EV143</f>
        <v>Yet to load</v>
      </c>
      <c r="C143" s="152">
        <f>'MIS 2026'!F143</f>
        <v>32016417</v>
      </c>
      <c r="D143" s="149" t="str">
        <f>'MIS 2026'!EH143</f>
        <v xml:space="preserve">VALENCY IVC </v>
      </c>
      <c r="E143" s="151">
        <f>'MIS 2026'!AF143</f>
        <v>1000</v>
      </c>
      <c r="F143" s="150">
        <f>'MIS 2026'!EK143</f>
        <v>0</v>
      </c>
      <c r="G143" s="150">
        <f t="shared" si="26"/>
        <v>0</v>
      </c>
      <c r="H143" s="149">
        <f>'MIS 2026'!EL143</f>
        <v>0</v>
      </c>
      <c r="I143" s="148"/>
      <c r="J143" s="473">
        <f>'MIS 2026'!ER143</f>
        <v>0</v>
      </c>
      <c r="K143" s="473">
        <f t="shared" si="27"/>
        <v>0</v>
      </c>
      <c r="L143" s="473">
        <f>'MIS 2026'!EW143</f>
        <v>0</v>
      </c>
      <c r="M143" s="474">
        <f>IF('MIS 2026'!EZ143&gt;0,'MIS 2026'!EW143,0)</f>
        <v>0</v>
      </c>
      <c r="N143" s="474" t="str">
        <f>'MIS 2026'!I143</f>
        <v>IVC</v>
      </c>
      <c r="O143" s="474" t="str">
        <f>'MIS 2026'!H143</f>
        <v>HOANG SON I JOINT STOCK COMPANY</v>
      </c>
      <c r="P143" s="473">
        <f>'MIS 2026'!AI143</f>
        <v>1420</v>
      </c>
      <c r="Q143" s="474" t="str">
        <f>'MIS 2026'!BQ143</f>
        <v>HCMC, VIETNAM</v>
      </c>
      <c r="R143" s="474">
        <f>'MIS 2026'!AM143</f>
        <v>0.1</v>
      </c>
      <c r="S143" s="474" t="str">
        <f>'MIS 2026'!AL143</f>
        <v>10/88/2</v>
      </c>
      <c r="T143" s="473">
        <f>'MIS 2026'!AZ143</f>
        <v>142000</v>
      </c>
      <c r="U143" s="474" t="str">
        <f>IF('MIS 2026'!BI143="","",'MIS 2026'!BI143)</f>
        <v/>
      </c>
      <c r="V143" s="475">
        <f>IF('MIS 2026'!BJ143&gt;0,'MIS 2026'!BJ143,'MIS 2026'!AF143)</f>
        <v>1000</v>
      </c>
      <c r="W143" s="476" t="str">
        <f>IF('MIS 2026'!BM143="","",'MIS 2026'!BM143)</f>
        <v/>
      </c>
      <c r="X143" s="476" t="str">
        <f>IF('MIS 2026'!BO143="","",'MIS 2026'!BO143)</f>
        <v/>
      </c>
      <c r="Y143" s="473">
        <f t="shared" si="28"/>
        <v>1278000</v>
      </c>
      <c r="Z143" s="473">
        <f>IF('MIS 2026'!CR143&gt;0,'MIS 2026'!CQ143,0)</f>
        <v>0</v>
      </c>
      <c r="AA143" s="473">
        <f t="shared" si="29"/>
        <v>1278000</v>
      </c>
      <c r="AB143" s="476" t="str">
        <f>IF('MIS 2026'!CM143="","",'MIS 2026'!CM143)</f>
        <v/>
      </c>
      <c r="AC143" s="476" t="str">
        <f>'MIS 2026'!U143</f>
        <v>ADVANCE RCVD 22/5</v>
      </c>
      <c r="AD143" s="474" t="str">
        <f>IF('MIS 2026'!BF143&gt;0,'MIS 2026'!BF143,"")</f>
        <v/>
      </c>
      <c r="AE143" s="476" t="str">
        <f>IF('MIS 2026'!N143&gt;0,'MIS 2026'!N143,"")</f>
        <v/>
      </c>
      <c r="AF143" s="474"/>
      <c r="AG143" s="478" t="str">
        <f>IF('MIS 2026'!BV143&lt;&gt;0,'MIS 2026'!BV143,"")</f>
        <v/>
      </c>
      <c r="AH143" s="474">
        <f>IF('MIS 2026'!F143&lt;&gt;0,'MIS 2026'!F143,"")</f>
        <v>32016417</v>
      </c>
      <c r="AI143" s="463" t="str">
        <f t="shared" ca="1" si="30"/>
        <v/>
      </c>
      <c r="AJ143" s="474"/>
    </row>
    <row r="144" spans="1:36">
      <c r="A144" s="149" t="s">
        <v>208</v>
      </c>
      <c r="B144" s="149" t="str">
        <f>'MIS 2026'!EV144</f>
        <v>Yet to load</v>
      </c>
      <c r="C144" s="152">
        <f>'MIS 2026'!F144</f>
        <v>32016426</v>
      </c>
      <c r="D144" s="149" t="str">
        <f>'MIS 2026'!EH144</f>
        <v xml:space="preserve">VALENCY IVC </v>
      </c>
      <c r="E144" s="151">
        <f>'MIS 2026'!AF144</f>
        <v>2000</v>
      </c>
      <c r="F144" s="150">
        <f>'MIS 2026'!EK144</f>
        <v>0</v>
      </c>
      <c r="G144" s="150">
        <f t="shared" si="26"/>
        <v>0</v>
      </c>
      <c r="H144" s="149">
        <f>'MIS 2026'!EL144</f>
        <v>0</v>
      </c>
      <c r="I144" s="148"/>
      <c r="J144" s="473">
        <f>'MIS 2026'!ER144</f>
        <v>0</v>
      </c>
      <c r="K144" s="473">
        <f t="shared" si="27"/>
        <v>0</v>
      </c>
      <c r="L144" s="473">
        <f>'MIS 2026'!EW144</f>
        <v>0</v>
      </c>
      <c r="M144" s="474">
        <f>IF('MIS 2026'!EZ144&gt;0,'MIS 2026'!EW144,0)</f>
        <v>0</v>
      </c>
      <c r="N144" s="474" t="str">
        <f>'MIS 2026'!I144</f>
        <v>IVC</v>
      </c>
      <c r="O144" s="474" t="str">
        <f>'MIS 2026'!H144</f>
        <v>HOANG SON I JOINT STOCK COMPANY</v>
      </c>
      <c r="P144" s="473">
        <f>'MIS 2026'!AI144</f>
        <v>1410</v>
      </c>
      <c r="Q144" s="474" t="str">
        <f>'MIS 2026'!BQ144</f>
        <v>CAT LAI PORT, HCMC, VIETNAM</v>
      </c>
      <c r="R144" s="474">
        <f>'MIS 2026'!AM144</f>
        <v>0.1</v>
      </c>
      <c r="S144" s="474" t="str">
        <f>'MIS 2026'!AL144</f>
        <v>10/88/2</v>
      </c>
      <c r="T144" s="473">
        <f>'MIS 2026'!AZ144</f>
        <v>282000</v>
      </c>
      <c r="U144" s="474" t="str">
        <f>IF('MIS 2026'!BI144="","",'MIS 2026'!BI144)</f>
        <v/>
      </c>
      <c r="V144" s="475">
        <f>IF('MIS 2026'!BJ144&gt;0,'MIS 2026'!BJ144,'MIS 2026'!AF144)</f>
        <v>2000</v>
      </c>
      <c r="W144" s="476" t="str">
        <f>IF('MIS 2026'!BM144="","",'MIS 2026'!BM144)</f>
        <v/>
      </c>
      <c r="X144" s="476" t="str">
        <f>IF('MIS 2026'!BO144="","",'MIS 2026'!BO144)</f>
        <v/>
      </c>
      <c r="Y144" s="473">
        <f t="shared" si="28"/>
        <v>2538000</v>
      </c>
      <c r="Z144" s="473">
        <f>IF('MIS 2026'!CR144&gt;0,'MIS 2026'!CQ144,0)</f>
        <v>0</v>
      </c>
      <c r="AA144" s="473">
        <f t="shared" si="29"/>
        <v>2538000</v>
      </c>
      <c r="AB144" s="476" t="str">
        <f>IF('MIS 2026'!CM144="","",'MIS 2026'!CM144)</f>
        <v/>
      </c>
      <c r="AC144" s="476" t="str">
        <f>'MIS 2026'!U144</f>
        <v>ADVANCE RCVD 28/05</v>
      </c>
      <c r="AD144" s="474" t="str">
        <f>IF('MIS 2026'!BF144&gt;0,'MIS 2026'!BF144,"")</f>
        <v/>
      </c>
      <c r="AE144" s="476" t="str">
        <f>IF('MIS 2026'!N144&gt;0,'MIS 2026'!N144,"")</f>
        <v/>
      </c>
      <c r="AF144" s="474"/>
      <c r="AG144" s="478" t="str">
        <f>IF('MIS 2026'!BV144&lt;&gt;0,'MIS 2026'!BV144,"")</f>
        <v/>
      </c>
      <c r="AH144" s="474">
        <f>IF('MIS 2026'!F144&lt;&gt;0,'MIS 2026'!F144,"")</f>
        <v>32016426</v>
      </c>
      <c r="AI144" s="463" t="str">
        <f t="shared" ca="1" si="30"/>
        <v/>
      </c>
      <c r="AJ144" s="474"/>
    </row>
    <row r="145" spans="1:36">
      <c r="A145" s="149" t="s">
        <v>208</v>
      </c>
      <c r="B145" s="149" t="str">
        <f>'MIS 2026'!EV145</f>
        <v>Yet to load</v>
      </c>
      <c r="C145" s="152">
        <f>'MIS 2026'!F145</f>
        <v>32016427</v>
      </c>
      <c r="D145" s="149" t="str">
        <f>'MIS 2026'!EH145</f>
        <v xml:space="preserve">VALENCY IVC </v>
      </c>
      <c r="E145" s="151">
        <f>'MIS 2026'!AF145</f>
        <v>1000</v>
      </c>
      <c r="F145" s="150">
        <f>'MIS 2026'!EK145</f>
        <v>0</v>
      </c>
      <c r="G145" s="150">
        <f t="shared" si="26"/>
        <v>0</v>
      </c>
      <c r="H145" s="149">
        <f>'MIS 2026'!EL145</f>
        <v>0</v>
      </c>
      <c r="I145" s="148"/>
      <c r="J145" s="473">
        <f>'MIS 2026'!ER145</f>
        <v>0</v>
      </c>
      <c r="K145" s="473">
        <f t="shared" si="27"/>
        <v>0</v>
      </c>
      <c r="L145" s="473">
        <f>'MIS 2026'!EW145</f>
        <v>0</v>
      </c>
      <c r="M145" s="474">
        <f>IF('MIS 2026'!EZ145&gt;0,'MIS 2026'!EW145,0)</f>
        <v>0</v>
      </c>
      <c r="N145" s="474" t="str">
        <f>'MIS 2026'!I145</f>
        <v>IVC</v>
      </c>
      <c r="O145" s="474" t="str">
        <f>'MIS 2026'!H145</f>
        <v>HOANG SON I JOINT STOCK COMPANY</v>
      </c>
      <c r="P145" s="473">
        <f>'MIS 2026'!AI145</f>
        <v>1380</v>
      </c>
      <c r="Q145" s="474" t="str">
        <f>'MIS 2026'!BQ145</f>
        <v>HCMC, VIETNAM</v>
      </c>
      <c r="R145" s="474">
        <f>'MIS 2026'!AM145</f>
        <v>0.1</v>
      </c>
      <c r="S145" s="474" t="str">
        <f>'MIS 2026'!AL145</f>
        <v>10/88/2</v>
      </c>
      <c r="T145" s="473">
        <f>'MIS 2026'!AZ145</f>
        <v>138000</v>
      </c>
      <c r="U145" s="474" t="str">
        <f>IF('MIS 2026'!BI145="","",'MIS 2026'!BI145)</f>
        <v/>
      </c>
      <c r="V145" s="475">
        <f>IF('MIS 2026'!BJ145&gt;0,'MIS 2026'!BJ145,'MIS 2026'!AF145)</f>
        <v>1000</v>
      </c>
      <c r="W145" s="476" t="str">
        <f>IF('MIS 2026'!BM145="","",'MIS 2026'!BM145)</f>
        <v/>
      </c>
      <c r="X145" s="476" t="str">
        <f>IF('MIS 2026'!BO145="","",'MIS 2026'!BO145)</f>
        <v/>
      </c>
      <c r="Y145" s="473">
        <f t="shared" si="28"/>
        <v>1242000</v>
      </c>
      <c r="Z145" s="473">
        <f>IF('MIS 2026'!CR145&gt;0,'MIS 2026'!CQ145,0)</f>
        <v>0</v>
      </c>
      <c r="AA145" s="473">
        <f t="shared" si="29"/>
        <v>1242000</v>
      </c>
      <c r="AB145" s="476" t="str">
        <f>IF('MIS 2026'!CM145="","",'MIS 2026'!CM145)</f>
        <v/>
      </c>
      <c r="AC145" s="476" t="str">
        <f>'MIS 2026'!U145</f>
        <v>ADVANCE RCVD 28/05</v>
      </c>
      <c r="AD145" s="474" t="str">
        <f>IF('MIS 2026'!BF145&gt;0,'MIS 2026'!BF145,"")</f>
        <v/>
      </c>
      <c r="AE145" s="476" t="str">
        <f>IF('MIS 2026'!N145&gt;0,'MIS 2026'!N145,"")</f>
        <v/>
      </c>
      <c r="AF145" s="474"/>
      <c r="AG145" s="478" t="str">
        <f>IF('MIS 2026'!BV145&lt;&gt;0,'MIS 2026'!BV145,"")</f>
        <v/>
      </c>
      <c r="AH145" s="474">
        <f>IF('MIS 2026'!F145&lt;&gt;0,'MIS 2026'!F145,"")</f>
        <v>32016427</v>
      </c>
      <c r="AI145" s="463" t="str">
        <f t="shared" ca="1" si="30"/>
        <v/>
      </c>
      <c r="AJ145" s="474"/>
    </row>
    <row r="146" spans="1:36">
      <c r="A146" s="149" t="s">
        <v>208</v>
      </c>
      <c r="B146" s="149" t="str">
        <f>'MIS 2026'!EV146</f>
        <v>Yet to load</v>
      </c>
      <c r="C146" s="152">
        <f>'MIS 2026'!F146</f>
        <v>32016320</v>
      </c>
      <c r="D146" s="149" t="str">
        <f>'MIS 2026'!EH146</f>
        <v>VK Trading</v>
      </c>
      <c r="E146" s="151">
        <f>'MIS 2026'!AF146</f>
        <v>100</v>
      </c>
      <c r="F146" s="150">
        <f>'MIS 2026'!EK146</f>
        <v>0</v>
      </c>
      <c r="G146" s="150">
        <f t="shared" si="26"/>
        <v>0</v>
      </c>
      <c r="H146" s="149">
        <f>'MIS 2026'!EL146</f>
        <v>0</v>
      </c>
      <c r="I146" s="148"/>
      <c r="J146" s="473">
        <f>'MIS 2026'!ER146</f>
        <v>0</v>
      </c>
      <c r="K146" s="473">
        <f t="shared" si="27"/>
        <v>0</v>
      </c>
      <c r="L146" s="473">
        <f>'MIS 2026'!EW146</f>
        <v>0</v>
      </c>
      <c r="M146" s="474">
        <f>IF('MIS 2026'!EZ146&gt;0,'MIS 2026'!EW146,0)</f>
        <v>0</v>
      </c>
      <c r="N146" s="474" t="str">
        <f>'MIS 2026'!I146</f>
        <v>BISSAU</v>
      </c>
      <c r="O146" s="474" t="str">
        <f>'MIS 2026'!H146</f>
        <v>MAHALASA EXPORTS</v>
      </c>
      <c r="P146" s="473">
        <f>'MIS 2026'!AI146</f>
        <v>1790</v>
      </c>
      <c r="Q146" s="474" t="str">
        <f>'MIS 2026'!BQ146</f>
        <v>MANGALORE, INDIA</v>
      </c>
      <c r="R146" s="474">
        <f>'MIS 2026'!AM146</f>
        <v>0</v>
      </c>
      <c r="S146" s="474" t="str">
        <f>'MIS 2026'!AL146</f>
        <v>DP SIGHT</v>
      </c>
      <c r="T146" s="473">
        <f>'MIS 2026'!AZ146</f>
        <v>0</v>
      </c>
      <c r="U146" s="474" t="str">
        <f>IF('MIS 2026'!BI146="","",'MIS 2026'!BI146)</f>
        <v/>
      </c>
      <c r="V146" s="475">
        <f>IF('MIS 2026'!BJ146&gt;0,'MIS 2026'!BJ146,'MIS 2026'!AF146)</f>
        <v>100</v>
      </c>
      <c r="W146" s="476" t="str">
        <f>IF('MIS 2026'!BM146="","",'MIS 2026'!BM146)</f>
        <v/>
      </c>
      <c r="X146" s="476" t="str">
        <f>IF('MIS 2026'!BO146="","",'MIS 2026'!BO146)</f>
        <v/>
      </c>
      <c r="Y146" s="473">
        <f t="shared" si="28"/>
        <v>179000</v>
      </c>
      <c r="Z146" s="473">
        <f>IF('MIS 2026'!CR146&gt;0,'MIS 2026'!CQ146,0)</f>
        <v>0</v>
      </c>
      <c r="AA146" s="473">
        <f t="shared" si="29"/>
        <v>179000</v>
      </c>
      <c r="AB146" s="476" t="str">
        <f>IF('MIS 2026'!CM146="","",'MIS 2026'!CM146)</f>
        <v/>
      </c>
      <c r="AC146" s="476">
        <f>'MIS 2026'!U146</f>
        <v>0</v>
      </c>
      <c r="AD146" s="474" t="str">
        <f>IF('MIS 2026'!BF146&gt;0,'MIS 2026'!BF146,"")</f>
        <v/>
      </c>
      <c r="AE146" s="476" t="str">
        <f>IF('MIS 2026'!N146&gt;0,'MIS 2026'!N146,"")</f>
        <v/>
      </c>
      <c r="AF146" s="474"/>
      <c r="AG146" s="478" t="str">
        <f>IF('MIS 2026'!BV146&lt;&gt;0,'MIS 2026'!BV146,"")</f>
        <v/>
      </c>
      <c r="AH146" s="474">
        <f>IF('MIS 2026'!F146&lt;&gt;0,'MIS 2026'!F146,"")</f>
        <v>32016320</v>
      </c>
      <c r="AI146" s="463" t="str">
        <f t="shared" ca="1" si="30"/>
        <v/>
      </c>
      <c r="AJ146" s="474"/>
    </row>
    <row r="147" spans="1:36">
      <c r="A147" s="149" t="s">
        <v>208</v>
      </c>
      <c r="B147" s="149" t="str">
        <f>'MIS 2026'!EV147</f>
        <v>Yet to load</v>
      </c>
      <c r="C147" s="152">
        <f>'MIS 2026'!F147</f>
        <v>32016321</v>
      </c>
      <c r="D147" s="149" t="str">
        <f>'MIS 2026'!EH147</f>
        <v>VK Trading</v>
      </c>
      <c r="E147" s="151">
        <f>'MIS 2026'!AF147</f>
        <v>100</v>
      </c>
      <c r="F147" s="150">
        <f>'MIS 2026'!EK147</f>
        <v>0</v>
      </c>
      <c r="G147" s="150">
        <f t="shared" si="26"/>
        <v>0</v>
      </c>
      <c r="H147" s="149">
        <f>'MIS 2026'!EL147</f>
        <v>0</v>
      </c>
      <c r="I147" s="148"/>
      <c r="J147" s="473">
        <f>'MIS 2026'!ER147</f>
        <v>0</v>
      </c>
      <c r="K147" s="473">
        <f t="shared" si="27"/>
        <v>0</v>
      </c>
      <c r="L147" s="473">
        <f>'MIS 2026'!EW147</f>
        <v>0</v>
      </c>
      <c r="M147" s="474">
        <f>IF('MIS 2026'!EZ147&gt;0,'MIS 2026'!EW147,0)</f>
        <v>0</v>
      </c>
      <c r="N147" s="474" t="str">
        <f>'MIS 2026'!I147</f>
        <v>BISSAU</v>
      </c>
      <c r="O147" s="474" t="str">
        <f>'MIS 2026'!H147</f>
        <v>SREE DEVI CASHEW INDUSTRIES</v>
      </c>
      <c r="P147" s="473">
        <f>'MIS 2026'!AI147</f>
        <v>1790</v>
      </c>
      <c r="Q147" s="474" t="str">
        <f>'MIS 2026'!BQ147</f>
        <v>MANGALORE, INDIA</v>
      </c>
      <c r="R147" s="474">
        <f>'MIS 2026'!AM147</f>
        <v>0</v>
      </c>
      <c r="S147" s="474" t="str">
        <f>'MIS 2026'!AL147</f>
        <v>DP SIGHT</v>
      </c>
      <c r="T147" s="473">
        <f>'MIS 2026'!AZ147</f>
        <v>0</v>
      </c>
      <c r="U147" s="474" t="str">
        <f>IF('MIS 2026'!BI147="","",'MIS 2026'!BI147)</f>
        <v/>
      </c>
      <c r="V147" s="475">
        <f>IF('MIS 2026'!BJ147&gt;0,'MIS 2026'!BJ147,'MIS 2026'!AF147)</f>
        <v>100</v>
      </c>
      <c r="W147" s="476" t="str">
        <f>IF('MIS 2026'!BM147="","",'MIS 2026'!BM147)</f>
        <v/>
      </c>
      <c r="X147" s="476" t="str">
        <f>IF('MIS 2026'!BO147="","",'MIS 2026'!BO147)</f>
        <v/>
      </c>
      <c r="Y147" s="473">
        <f t="shared" si="28"/>
        <v>179000</v>
      </c>
      <c r="Z147" s="473">
        <f>IF('MIS 2026'!CR147&gt;0,'MIS 2026'!CQ147,0)</f>
        <v>0</v>
      </c>
      <c r="AA147" s="473">
        <f t="shared" si="29"/>
        <v>179000</v>
      </c>
      <c r="AB147" s="476" t="str">
        <f>IF('MIS 2026'!CM147="","",'MIS 2026'!CM147)</f>
        <v/>
      </c>
      <c r="AC147" s="476">
        <f>'MIS 2026'!U147</f>
        <v>0</v>
      </c>
      <c r="AD147" s="474" t="str">
        <f>IF('MIS 2026'!BF147&gt;0,'MIS 2026'!BF147,"")</f>
        <v/>
      </c>
      <c r="AE147" s="476" t="str">
        <f>IF('MIS 2026'!N147&gt;0,'MIS 2026'!N147,"")</f>
        <v/>
      </c>
      <c r="AF147" s="474"/>
      <c r="AG147" s="478" t="str">
        <f>IF('MIS 2026'!BV147&lt;&gt;0,'MIS 2026'!BV147,"")</f>
        <v/>
      </c>
      <c r="AH147" s="474">
        <f>IF('MIS 2026'!F147&lt;&gt;0,'MIS 2026'!F147,"")</f>
        <v>32016321</v>
      </c>
      <c r="AI147" s="463" t="str">
        <f t="shared" ca="1" si="30"/>
        <v/>
      </c>
      <c r="AJ147" s="474"/>
    </row>
    <row r="148" spans="1:36">
      <c r="A148" s="149" t="s">
        <v>208</v>
      </c>
      <c r="B148" s="149" t="str">
        <f>'MIS 2026'!EV148</f>
        <v>Yet to load</v>
      </c>
      <c r="C148" s="152">
        <f>'MIS 2026'!F148</f>
        <v>32016322</v>
      </c>
      <c r="D148" s="149" t="str">
        <f>'MIS 2026'!EH148</f>
        <v>VK Trading</v>
      </c>
      <c r="E148" s="151">
        <f>'MIS 2026'!AF148</f>
        <v>100</v>
      </c>
      <c r="F148" s="150">
        <f>'MIS 2026'!EK148</f>
        <v>0</v>
      </c>
      <c r="G148" s="150">
        <f t="shared" si="26"/>
        <v>0</v>
      </c>
      <c r="H148" s="149">
        <f>'MIS 2026'!EL148</f>
        <v>0</v>
      </c>
      <c r="I148" s="148"/>
      <c r="J148" s="473">
        <f>'MIS 2026'!ER148</f>
        <v>0</v>
      </c>
      <c r="K148" s="473">
        <f t="shared" si="27"/>
        <v>0</v>
      </c>
      <c r="L148" s="473">
        <f>'MIS 2026'!EW148</f>
        <v>0</v>
      </c>
      <c r="M148" s="474">
        <f>IF('MIS 2026'!EZ148&gt;0,'MIS 2026'!EW148,0)</f>
        <v>0</v>
      </c>
      <c r="N148" s="474" t="str">
        <f>'MIS 2026'!I148</f>
        <v>BISSAU</v>
      </c>
      <c r="O148" s="474" t="str">
        <f>'MIS 2026'!H148</f>
        <v>SRI VIJAYALAXMI CASHEW INDUSTRIES</v>
      </c>
      <c r="P148" s="473">
        <f>'MIS 2026'!AI148</f>
        <v>1785</v>
      </c>
      <c r="Q148" s="474" t="str">
        <f>'MIS 2026'!BQ148</f>
        <v>MANGALORE, INDIA</v>
      </c>
      <c r="R148" s="474">
        <f>'MIS 2026'!AM148</f>
        <v>0</v>
      </c>
      <c r="S148" s="474" t="str">
        <f>'MIS 2026'!AL148</f>
        <v>DP SIGHT</v>
      </c>
      <c r="T148" s="473">
        <f>'MIS 2026'!AZ148</f>
        <v>0</v>
      </c>
      <c r="U148" s="474" t="str">
        <f>IF('MIS 2026'!BI148="","",'MIS 2026'!BI148)</f>
        <v/>
      </c>
      <c r="V148" s="475">
        <f>IF('MIS 2026'!BJ148&gt;0,'MIS 2026'!BJ148,'MIS 2026'!AF148)</f>
        <v>100</v>
      </c>
      <c r="W148" s="476" t="str">
        <f>IF('MIS 2026'!BM148="","",'MIS 2026'!BM148)</f>
        <v/>
      </c>
      <c r="X148" s="476" t="str">
        <f>IF('MIS 2026'!BO148="","",'MIS 2026'!BO148)</f>
        <v/>
      </c>
      <c r="Y148" s="473">
        <f t="shared" si="28"/>
        <v>178500</v>
      </c>
      <c r="Z148" s="473">
        <f>IF('MIS 2026'!CR148&gt;0,'MIS 2026'!CQ148,0)</f>
        <v>0</v>
      </c>
      <c r="AA148" s="473">
        <f t="shared" si="29"/>
        <v>178500</v>
      </c>
      <c r="AB148" s="476" t="str">
        <f>IF('MIS 2026'!CM148="","",'MIS 2026'!CM148)</f>
        <v/>
      </c>
      <c r="AC148" s="476">
        <f>'MIS 2026'!U148</f>
        <v>0</v>
      </c>
      <c r="AD148" s="474" t="str">
        <f>IF('MIS 2026'!BF148&gt;0,'MIS 2026'!BF148,"")</f>
        <v/>
      </c>
      <c r="AE148" s="476" t="str">
        <f>IF('MIS 2026'!N148&gt;0,'MIS 2026'!N148,"")</f>
        <v/>
      </c>
      <c r="AF148" s="474"/>
      <c r="AG148" s="478" t="str">
        <f>IF('MIS 2026'!BV148&lt;&gt;0,'MIS 2026'!BV148,"")</f>
        <v/>
      </c>
      <c r="AH148" s="474">
        <f>IF('MIS 2026'!F148&lt;&gt;0,'MIS 2026'!F148,"")</f>
        <v>32016322</v>
      </c>
      <c r="AI148" s="463" t="str">
        <f t="shared" ca="1" si="30"/>
        <v/>
      </c>
      <c r="AJ148" s="474"/>
    </row>
    <row r="149" spans="1:36">
      <c r="A149" s="149" t="s">
        <v>208</v>
      </c>
      <c r="B149" s="149" t="str">
        <f>'MIS 2026'!EV149</f>
        <v>Yet to load</v>
      </c>
      <c r="C149" s="152">
        <f>'MIS 2026'!F149</f>
        <v>32016328</v>
      </c>
      <c r="D149" s="149" t="str">
        <f>'MIS 2026'!EH149</f>
        <v>VK Trading</v>
      </c>
      <c r="E149" s="151">
        <f>'MIS 2026'!AF149</f>
        <v>300</v>
      </c>
      <c r="F149" s="150">
        <f>'MIS 2026'!EK149</f>
        <v>0</v>
      </c>
      <c r="G149" s="150">
        <f t="shared" si="26"/>
        <v>0</v>
      </c>
      <c r="H149" s="149">
        <f>'MIS 2026'!EL149</f>
        <v>0</v>
      </c>
      <c r="I149" s="148"/>
      <c r="J149" s="473">
        <f>'MIS 2026'!ER149</f>
        <v>0</v>
      </c>
      <c r="K149" s="473">
        <f t="shared" si="27"/>
        <v>0</v>
      </c>
      <c r="L149" s="473">
        <f>'MIS 2026'!EW149</f>
        <v>0</v>
      </c>
      <c r="M149" s="474">
        <f>IF('MIS 2026'!EZ149&gt;0,'MIS 2026'!EW149,0)</f>
        <v>0</v>
      </c>
      <c r="N149" s="474" t="str">
        <f>'MIS 2026'!I149</f>
        <v>BISSAU</v>
      </c>
      <c r="O149" s="474" t="str">
        <f>'MIS 2026'!H149</f>
        <v>ST. GREGORIOUS CASHEW</v>
      </c>
      <c r="P149" s="473">
        <f>'MIS 2026'!AI149</f>
        <v>1785</v>
      </c>
      <c r="Q149" s="474" t="str">
        <f>'MIS 2026'!BQ149</f>
        <v>TUTICORIN, INDIA</v>
      </c>
      <c r="R149" s="474">
        <f>'MIS 2026'!AM149</f>
        <v>0</v>
      </c>
      <c r="S149" s="474" t="str">
        <f>'MIS 2026'!AL149</f>
        <v>DP SIGHT</v>
      </c>
      <c r="T149" s="473">
        <f>'MIS 2026'!AZ149</f>
        <v>0</v>
      </c>
      <c r="U149" s="474" t="str">
        <f>IF('MIS 2026'!BI149="","",'MIS 2026'!BI149)</f>
        <v/>
      </c>
      <c r="V149" s="475">
        <f>IF('MIS 2026'!BJ149&gt;0,'MIS 2026'!BJ149,'MIS 2026'!AF149)</f>
        <v>300</v>
      </c>
      <c r="W149" s="476" t="str">
        <f>IF('MIS 2026'!BM149="","",'MIS 2026'!BM149)</f>
        <v/>
      </c>
      <c r="X149" s="476" t="str">
        <f>IF('MIS 2026'!BO149="","",'MIS 2026'!BO149)</f>
        <v/>
      </c>
      <c r="Y149" s="473">
        <f t="shared" si="28"/>
        <v>535500</v>
      </c>
      <c r="Z149" s="473">
        <f>IF('MIS 2026'!CR149&gt;0,'MIS 2026'!CQ149,0)</f>
        <v>0</v>
      </c>
      <c r="AA149" s="473">
        <f t="shared" si="29"/>
        <v>535500</v>
      </c>
      <c r="AB149" s="476" t="str">
        <f>IF('MIS 2026'!CM149="","",'MIS 2026'!CM149)</f>
        <v/>
      </c>
      <c r="AC149" s="476">
        <f>'MIS 2026'!U149</f>
        <v>0</v>
      </c>
      <c r="AD149" s="474" t="str">
        <f>IF('MIS 2026'!BF149&gt;0,'MIS 2026'!BF149,"")</f>
        <v/>
      </c>
      <c r="AE149" s="476" t="str">
        <f>IF('MIS 2026'!N149&gt;0,'MIS 2026'!N149,"")</f>
        <v/>
      </c>
      <c r="AF149" s="474"/>
      <c r="AG149" s="478" t="str">
        <f>IF('MIS 2026'!BV149&lt;&gt;0,'MIS 2026'!BV149,"")</f>
        <v/>
      </c>
      <c r="AH149" s="474">
        <f>IF('MIS 2026'!F149&lt;&gt;0,'MIS 2026'!F149,"")</f>
        <v>32016328</v>
      </c>
      <c r="AI149" s="463" t="str">
        <f t="shared" ca="1" si="30"/>
        <v/>
      </c>
      <c r="AJ149" s="474"/>
    </row>
    <row r="150" spans="1:36">
      <c r="A150" s="149" t="s">
        <v>208</v>
      </c>
      <c r="B150" s="149" t="str">
        <f>'MIS 2026'!EV150</f>
        <v>Yet to load</v>
      </c>
      <c r="C150" s="152">
        <f>'MIS 2026'!F150</f>
        <v>32016333</v>
      </c>
      <c r="D150" s="149" t="str">
        <f>'MIS 2026'!EH150</f>
        <v>VK Trading</v>
      </c>
      <c r="E150" s="151">
        <f>'MIS 2026'!AF150</f>
        <v>200</v>
      </c>
      <c r="F150" s="150">
        <f>'MIS 2026'!EK150</f>
        <v>0</v>
      </c>
      <c r="G150" s="150">
        <f t="shared" si="26"/>
        <v>0</v>
      </c>
      <c r="H150" s="149">
        <f>'MIS 2026'!EL150</f>
        <v>0</v>
      </c>
      <c r="I150" s="148"/>
      <c r="J150" s="473">
        <f>'MIS 2026'!ER150</f>
        <v>0</v>
      </c>
      <c r="K150" s="473">
        <f t="shared" si="27"/>
        <v>0</v>
      </c>
      <c r="L150" s="473">
        <f>'MIS 2026'!EW150</f>
        <v>0</v>
      </c>
      <c r="M150" s="474">
        <f>IF('MIS 2026'!EZ150&gt;0,'MIS 2026'!EW150,0)</f>
        <v>0</v>
      </c>
      <c r="N150" s="474" t="str">
        <f>'MIS 2026'!I150</f>
        <v>BISSAU</v>
      </c>
      <c r="O150" s="474" t="str">
        <f>'MIS 2026'!H150</f>
        <v>ST.MARY CASHEW FACTORY</v>
      </c>
      <c r="P150" s="473">
        <f>'MIS 2026'!AI150</f>
        <v>1785</v>
      </c>
      <c r="Q150" s="474" t="str">
        <f>'MIS 2026'!BQ150</f>
        <v>TUTICORIN, INDIA</v>
      </c>
      <c r="R150" s="474">
        <f>'MIS 2026'!AM150</f>
        <v>0</v>
      </c>
      <c r="S150" s="474" t="str">
        <f>'MIS 2026'!AL150</f>
        <v>DP SIGHT</v>
      </c>
      <c r="T150" s="473">
        <f>'MIS 2026'!AZ150</f>
        <v>0</v>
      </c>
      <c r="U150" s="474" t="str">
        <f>IF('MIS 2026'!BI150="","",'MIS 2026'!BI150)</f>
        <v/>
      </c>
      <c r="V150" s="475">
        <f>IF('MIS 2026'!BJ150&gt;0,'MIS 2026'!BJ150,'MIS 2026'!AF150)</f>
        <v>200</v>
      </c>
      <c r="W150" s="476" t="str">
        <f>IF('MIS 2026'!BM150="","",'MIS 2026'!BM150)</f>
        <v/>
      </c>
      <c r="X150" s="476" t="str">
        <f>IF('MIS 2026'!BO150="","",'MIS 2026'!BO150)</f>
        <v/>
      </c>
      <c r="Y150" s="473">
        <f t="shared" si="28"/>
        <v>357000</v>
      </c>
      <c r="Z150" s="473">
        <f>IF('MIS 2026'!CR150&gt;0,'MIS 2026'!CQ150,0)</f>
        <v>0</v>
      </c>
      <c r="AA150" s="473">
        <f t="shared" si="29"/>
        <v>357000</v>
      </c>
      <c r="AB150" s="476" t="str">
        <f>IF('MIS 2026'!CM150="","",'MIS 2026'!CM150)</f>
        <v/>
      </c>
      <c r="AC150" s="476">
        <f>'MIS 2026'!U150</f>
        <v>0</v>
      </c>
      <c r="AD150" s="474" t="str">
        <f>IF('MIS 2026'!BF150&gt;0,'MIS 2026'!BF150,"")</f>
        <v/>
      </c>
      <c r="AE150" s="476" t="str">
        <f>IF('MIS 2026'!N150&gt;0,'MIS 2026'!N150,"")</f>
        <v/>
      </c>
      <c r="AF150" s="474"/>
      <c r="AG150" s="478" t="str">
        <f>IF('MIS 2026'!BV150&lt;&gt;0,'MIS 2026'!BV150,"")</f>
        <v/>
      </c>
      <c r="AH150" s="474">
        <f>IF('MIS 2026'!F150&lt;&gt;0,'MIS 2026'!F150,"")</f>
        <v>32016333</v>
      </c>
      <c r="AI150" s="463" t="str">
        <f t="shared" ca="1" si="30"/>
        <v/>
      </c>
      <c r="AJ150" s="474"/>
    </row>
    <row r="151" spans="1:36">
      <c r="A151" s="149" t="s">
        <v>208</v>
      </c>
      <c r="B151" s="149" t="str">
        <f>'MIS 2026'!EV151</f>
        <v>Yet to load</v>
      </c>
      <c r="C151" s="152">
        <f>'MIS 2026'!F151</f>
        <v>32016338</v>
      </c>
      <c r="D151" s="149" t="str">
        <f>'MIS 2026'!EH151</f>
        <v>VK Trading</v>
      </c>
      <c r="E151" s="151">
        <f>'MIS 2026'!AF151</f>
        <v>300</v>
      </c>
      <c r="F151" s="150">
        <f>'MIS 2026'!EK151</f>
        <v>0</v>
      </c>
      <c r="G151" s="150">
        <f t="shared" si="26"/>
        <v>0</v>
      </c>
      <c r="H151" s="149">
        <f>'MIS 2026'!EL151</f>
        <v>0</v>
      </c>
      <c r="I151" s="148"/>
      <c r="J151" s="473">
        <f>'MIS 2026'!ER151</f>
        <v>0</v>
      </c>
      <c r="K151" s="473">
        <f t="shared" si="27"/>
        <v>0</v>
      </c>
      <c r="L151" s="473">
        <f>'MIS 2026'!EW151</f>
        <v>0</v>
      </c>
      <c r="M151" s="474">
        <f>IF('MIS 2026'!EZ151&gt;0,'MIS 2026'!EW151,0)</f>
        <v>0</v>
      </c>
      <c r="N151" s="474" t="str">
        <f>'MIS 2026'!I151</f>
        <v>BISSAU</v>
      </c>
      <c r="O151" s="474" t="str">
        <f>'MIS 2026'!H151</f>
        <v>ST. GREGORIOUS CASHEW</v>
      </c>
      <c r="P151" s="473">
        <f>'MIS 2026'!AI151</f>
        <v>1785</v>
      </c>
      <c r="Q151" s="474" t="str">
        <f>'MIS 2026'!BQ151</f>
        <v>TUTICORIN, INDIA</v>
      </c>
      <c r="R151" s="474">
        <f>'MIS 2026'!AM151</f>
        <v>0</v>
      </c>
      <c r="S151" s="474" t="str">
        <f>'MIS 2026'!AL151</f>
        <v>DP SIGHT</v>
      </c>
      <c r="T151" s="473">
        <f>'MIS 2026'!AZ151</f>
        <v>0</v>
      </c>
      <c r="U151" s="474" t="str">
        <f>IF('MIS 2026'!BI151="","",'MIS 2026'!BI151)</f>
        <v/>
      </c>
      <c r="V151" s="475">
        <f>IF('MIS 2026'!BJ151&gt;0,'MIS 2026'!BJ151,'MIS 2026'!AF151)</f>
        <v>300</v>
      </c>
      <c r="W151" s="476" t="str">
        <f>IF('MIS 2026'!BM151="","",'MIS 2026'!BM151)</f>
        <v/>
      </c>
      <c r="X151" s="476" t="str">
        <f>IF('MIS 2026'!BO151="","",'MIS 2026'!BO151)</f>
        <v/>
      </c>
      <c r="Y151" s="473">
        <f t="shared" si="28"/>
        <v>535500</v>
      </c>
      <c r="Z151" s="473">
        <f>IF('MIS 2026'!CR151&gt;0,'MIS 2026'!CQ151,0)</f>
        <v>0</v>
      </c>
      <c r="AA151" s="473">
        <f t="shared" si="29"/>
        <v>535500</v>
      </c>
      <c r="AB151" s="476" t="str">
        <f>IF('MIS 2026'!CM151="","",'MIS 2026'!CM151)</f>
        <v/>
      </c>
      <c r="AC151" s="476" t="str">
        <f>'MIS 2026'!U151</f>
        <v>SIGNED CONTRACT RECVD</v>
      </c>
      <c r="AD151" s="474" t="str">
        <f>IF('MIS 2026'!BF151&gt;0,'MIS 2026'!BF151,"")</f>
        <v/>
      </c>
      <c r="AE151" s="476" t="str">
        <f>IF('MIS 2026'!N151&gt;0,'MIS 2026'!N151,"")</f>
        <v/>
      </c>
      <c r="AF151" s="474"/>
      <c r="AG151" s="478" t="str">
        <f>IF('MIS 2026'!BV151&lt;&gt;0,'MIS 2026'!BV151,"")</f>
        <v/>
      </c>
      <c r="AH151" s="474">
        <f>IF('MIS 2026'!F151&lt;&gt;0,'MIS 2026'!F151,"")</f>
        <v>32016338</v>
      </c>
      <c r="AI151" s="463" t="str">
        <f t="shared" ca="1" si="30"/>
        <v/>
      </c>
      <c r="AJ151" s="474"/>
    </row>
    <row r="152" spans="1:36">
      <c r="A152" s="149" t="s">
        <v>208</v>
      </c>
      <c r="B152" s="149" t="str">
        <f>'MIS 2026'!EV152</f>
        <v>Yet to load</v>
      </c>
      <c r="C152" s="152">
        <f>'MIS 2026'!F152</f>
        <v>32016343</v>
      </c>
      <c r="D152" s="149" t="str">
        <f>'MIS 2026'!EH152</f>
        <v>VK Trading</v>
      </c>
      <c r="E152" s="151">
        <f>'MIS 2026'!AF152</f>
        <v>200</v>
      </c>
      <c r="F152" s="150">
        <f>'MIS 2026'!EK152</f>
        <v>0</v>
      </c>
      <c r="G152" s="150">
        <f t="shared" si="26"/>
        <v>0</v>
      </c>
      <c r="H152" s="149">
        <f>'MIS 2026'!EL152</f>
        <v>0</v>
      </c>
      <c r="I152" s="148"/>
      <c r="J152" s="473">
        <f>'MIS 2026'!ER152</f>
        <v>0</v>
      </c>
      <c r="K152" s="473">
        <f t="shared" si="27"/>
        <v>0</v>
      </c>
      <c r="L152" s="473">
        <f>'MIS 2026'!EW152</f>
        <v>0</v>
      </c>
      <c r="M152" s="474">
        <f>IF('MIS 2026'!EZ152&gt;0,'MIS 2026'!EW152,0)</f>
        <v>0</v>
      </c>
      <c r="N152" s="474" t="str">
        <f>'MIS 2026'!I152</f>
        <v>BISSAU</v>
      </c>
      <c r="O152" s="474" t="str">
        <f>'MIS 2026'!H152</f>
        <v>ST.MARY CASHEW FACTORY</v>
      </c>
      <c r="P152" s="473">
        <f>'MIS 2026'!AI152</f>
        <v>1785</v>
      </c>
      <c r="Q152" s="474" t="str">
        <f>'MIS 2026'!BQ152</f>
        <v>TUTICORIN, INDIA</v>
      </c>
      <c r="R152" s="474">
        <f>'MIS 2026'!AM152</f>
        <v>0</v>
      </c>
      <c r="S152" s="474" t="str">
        <f>'MIS 2026'!AL152</f>
        <v>DP SIGHT</v>
      </c>
      <c r="T152" s="473">
        <f>'MIS 2026'!AZ152</f>
        <v>0</v>
      </c>
      <c r="U152" s="474" t="str">
        <f>IF('MIS 2026'!BI152="","",'MIS 2026'!BI152)</f>
        <v/>
      </c>
      <c r="V152" s="475">
        <f>IF('MIS 2026'!BJ152&gt;0,'MIS 2026'!BJ152,'MIS 2026'!AF152)</f>
        <v>200</v>
      </c>
      <c r="W152" s="476" t="str">
        <f>IF('MIS 2026'!BM152="","",'MIS 2026'!BM152)</f>
        <v/>
      </c>
      <c r="X152" s="476" t="str">
        <f>IF('MIS 2026'!BO152="","",'MIS 2026'!BO152)</f>
        <v/>
      </c>
      <c r="Y152" s="473">
        <f t="shared" si="28"/>
        <v>357000</v>
      </c>
      <c r="Z152" s="473">
        <f>IF('MIS 2026'!CR152&gt;0,'MIS 2026'!CQ152,0)</f>
        <v>0</v>
      </c>
      <c r="AA152" s="473">
        <f t="shared" si="29"/>
        <v>357000</v>
      </c>
      <c r="AB152" s="476" t="str">
        <f>IF('MIS 2026'!CM152="","",'MIS 2026'!CM152)</f>
        <v/>
      </c>
      <c r="AC152" s="476">
        <f>'MIS 2026'!U152</f>
        <v>0</v>
      </c>
      <c r="AD152" s="474" t="str">
        <f>IF('MIS 2026'!BF152&gt;0,'MIS 2026'!BF152,"")</f>
        <v/>
      </c>
      <c r="AE152" s="476" t="str">
        <f>IF('MIS 2026'!N152&gt;0,'MIS 2026'!N152,"")</f>
        <v/>
      </c>
      <c r="AF152" s="474"/>
      <c r="AG152" s="478" t="str">
        <f>IF('MIS 2026'!BV152&lt;&gt;0,'MIS 2026'!BV152,"")</f>
        <v/>
      </c>
      <c r="AH152" s="474">
        <f>IF('MIS 2026'!F152&lt;&gt;0,'MIS 2026'!F152,"")</f>
        <v>32016343</v>
      </c>
      <c r="AI152" s="463" t="str">
        <f t="shared" ca="1" si="30"/>
        <v/>
      </c>
      <c r="AJ152" s="474"/>
    </row>
    <row r="153" spans="1:36">
      <c r="A153" s="149" t="s">
        <v>208</v>
      </c>
      <c r="B153" s="149" t="str">
        <f>'MIS 2026'!EV153</f>
        <v>Yet to load</v>
      </c>
      <c r="C153" s="152">
        <f>'MIS 2026'!F153</f>
        <v>32016367</v>
      </c>
      <c r="D153" s="149" t="str">
        <f>'MIS 2026'!EH153</f>
        <v>VK Trading</v>
      </c>
      <c r="E153" s="151">
        <f>'MIS 2026'!AF153</f>
        <v>300</v>
      </c>
      <c r="F153" s="150">
        <f>'MIS 2026'!EK153</f>
        <v>0</v>
      </c>
      <c r="G153" s="150">
        <f t="shared" si="26"/>
        <v>0</v>
      </c>
      <c r="H153" s="149">
        <f>'MIS 2026'!EL153</f>
        <v>0</v>
      </c>
      <c r="I153" s="148"/>
      <c r="J153" s="473">
        <f>'MIS 2026'!ER153</f>
        <v>0</v>
      </c>
      <c r="K153" s="473">
        <f t="shared" si="27"/>
        <v>0</v>
      </c>
      <c r="L153" s="473">
        <f>'MIS 2026'!EW153</f>
        <v>0</v>
      </c>
      <c r="M153" s="474">
        <f>IF('MIS 2026'!EZ153&gt;0,'MIS 2026'!EW153,0)</f>
        <v>0</v>
      </c>
      <c r="N153" s="474" t="str">
        <f>'MIS 2026'!I153</f>
        <v>BISSAU</v>
      </c>
      <c r="O153" s="474" t="str">
        <f>'MIS 2026'!H153</f>
        <v>SHREE KRISHNAANUGRAHA AGRO PRIVATE LIMITED</v>
      </c>
      <c r="P153" s="473">
        <f>'MIS 2026'!AI153</f>
        <v>1720</v>
      </c>
      <c r="Q153" s="474" t="str">
        <f>'MIS 2026'!BQ153</f>
        <v>MANGALORE, INDIA</v>
      </c>
      <c r="R153" s="474">
        <f>'MIS 2026'!AM153</f>
        <v>0.1</v>
      </c>
      <c r="S153" s="474" t="str">
        <f>'MIS 2026'!AL153</f>
        <v>DP SIGHT</v>
      </c>
      <c r="T153" s="473">
        <f>'MIS 2026'!AZ153</f>
        <v>51600</v>
      </c>
      <c r="U153" s="474" t="str">
        <f>IF('MIS 2026'!BI153="","",'MIS 2026'!BI153)</f>
        <v/>
      </c>
      <c r="V153" s="475">
        <f>IF('MIS 2026'!BJ153&gt;0,'MIS 2026'!BJ153,'MIS 2026'!AF153)</f>
        <v>300</v>
      </c>
      <c r="W153" s="476" t="str">
        <f>IF('MIS 2026'!BM153="","",'MIS 2026'!BM153)</f>
        <v/>
      </c>
      <c r="X153" s="476" t="str">
        <f>IF('MIS 2026'!BO153="","",'MIS 2026'!BO153)</f>
        <v/>
      </c>
      <c r="Y153" s="473">
        <f t="shared" si="28"/>
        <v>464400</v>
      </c>
      <c r="Z153" s="473">
        <f>IF('MIS 2026'!CR153&gt;0,'MIS 2026'!CQ153,0)</f>
        <v>0</v>
      </c>
      <c r="AA153" s="473">
        <f t="shared" si="29"/>
        <v>464400</v>
      </c>
      <c r="AB153" s="476" t="str">
        <f>IF('MIS 2026'!CM153="","",'MIS 2026'!CM153)</f>
        <v/>
      </c>
      <c r="AC153" s="476" t="str">
        <f>'MIS 2026'!U153</f>
        <v>PENDING ADVANCE (19/5)</v>
      </c>
      <c r="AD153" s="474" t="str">
        <f>IF('MIS 2026'!BF153&gt;0,'MIS 2026'!BF153,"")</f>
        <v/>
      </c>
      <c r="AE153" s="476" t="str">
        <f>IF('MIS 2026'!N153&gt;0,'MIS 2026'!N153,"")</f>
        <v/>
      </c>
      <c r="AF153" s="474"/>
      <c r="AG153" s="478" t="str">
        <f>IF('MIS 2026'!BV153&lt;&gt;0,'MIS 2026'!BV153,"")</f>
        <v/>
      </c>
      <c r="AH153" s="474">
        <f>IF('MIS 2026'!F153&lt;&gt;0,'MIS 2026'!F153,"")</f>
        <v>32016367</v>
      </c>
      <c r="AI153" s="463" t="str">
        <f t="shared" ca="1" si="30"/>
        <v/>
      </c>
      <c r="AJ153" s="474"/>
    </row>
    <row r="154" spans="1:36">
      <c r="A154" s="149" t="s">
        <v>208</v>
      </c>
      <c r="B154" s="149" t="str">
        <f>'MIS 2026'!EV154</f>
        <v>Yet to load</v>
      </c>
      <c r="C154" s="152">
        <f>'MIS 2026'!F154</f>
        <v>32016368</v>
      </c>
      <c r="D154" s="149" t="str">
        <f>'MIS 2026'!EH154</f>
        <v>VK Trading</v>
      </c>
      <c r="E154" s="151">
        <f>'MIS 2026'!AF154</f>
        <v>100</v>
      </c>
      <c r="F154" s="150">
        <f>'MIS 2026'!EK154</f>
        <v>0</v>
      </c>
      <c r="G154" s="150">
        <f t="shared" si="26"/>
        <v>0</v>
      </c>
      <c r="H154" s="149">
        <f>'MIS 2026'!EL154</f>
        <v>0</v>
      </c>
      <c r="I154" s="148"/>
      <c r="J154" s="473">
        <f>'MIS 2026'!ER154</f>
        <v>0</v>
      </c>
      <c r="K154" s="473">
        <f t="shared" si="27"/>
        <v>0</v>
      </c>
      <c r="L154" s="473">
        <f>'MIS 2026'!EW154</f>
        <v>0</v>
      </c>
      <c r="M154" s="474">
        <f>IF('MIS 2026'!EZ154&gt;0,'MIS 2026'!EW154,0)</f>
        <v>0</v>
      </c>
      <c r="N154" s="474" t="str">
        <f>'MIS 2026'!I154</f>
        <v>BISSAU</v>
      </c>
      <c r="O154" s="474" t="str">
        <f>'MIS 2026'!H154</f>
        <v>SHREE KRISHNAKRUPA CASHEWS PVT LTD</v>
      </c>
      <c r="P154" s="473">
        <f>'MIS 2026'!AI154</f>
        <v>1720</v>
      </c>
      <c r="Q154" s="474" t="str">
        <f>'MIS 2026'!BQ154</f>
        <v>MANGALORE, INDIA</v>
      </c>
      <c r="R154" s="474">
        <f>'MIS 2026'!AM154</f>
        <v>0.1</v>
      </c>
      <c r="S154" s="474" t="str">
        <f>'MIS 2026'!AL154</f>
        <v>DP SIGHT</v>
      </c>
      <c r="T154" s="473">
        <f>'MIS 2026'!AZ154</f>
        <v>17200</v>
      </c>
      <c r="U154" s="474" t="str">
        <f>IF('MIS 2026'!BI154="","",'MIS 2026'!BI154)</f>
        <v/>
      </c>
      <c r="V154" s="475">
        <f>IF('MIS 2026'!BJ154&gt;0,'MIS 2026'!BJ154,'MIS 2026'!AF154)</f>
        <v>100</v>
      </c>
      <c r="W154" s="476" t="str">
        <f>IF('MIS 2026'!BM154="","",'MIS 2026'!BM154)</f>
        <v/>
      </c>
      <c r="X154" s="476" t="str">
        <f>IF('MIS 2026'!BO154="","",'MIS 2026'!BO154)</f>
        <v/>
      </c>
      <c r="Y154" s="473">
        <f t="shared" si="28"/>
        <v>154800</v>
      </c>
      <c r="Z154" s="473">
        <f>IF('MIS 2026'!CR154&gt;0,'MIS 2026'!CQ154,0)</f>
        <v>0</v>
      </c>
      <c r="AA154" s="473">
        <f t="shared" si="29"/>
        <v>154800</v>
      </c>
      <c r="AB154" s="476" t="str">
        <f>IF('MIS 2026'!CM154="","",'MIS 2026'!CM154)</f>
        <v/>
      </c>
      <c r="AC154" s="476" t="str">
        <f>'MIS 2026'!U154</f>
        <v>PENDING ADVANCE (18/5)</v>
      </c>
      <c r="AD154" s="474" t="str">
        <f>IF('MIS 2026'!BF154&gt;0,'MIS 2026'!BF154,"")</f>
        <v/>
      </c>
      <c r="AE154" s="476" t="str">
        <f>IF('MIS 2026'!N154&gt;0,'MIS 2026'!N154,"")</f>
        <v/>
      </c>
      <c r="AF154" s="474"/>
      <c r="AG154" s="478" t="str">
        <f>IF('MIS 2026'!BV154&lt;&gt;0,'MIS 2026'!BV154,"")</f>
        <v/>
      </c>
      <c r="AH154" s="474">
        <f>IF('MIS 2026'!F154&lt;&gt;0,'MIS 2026'!F154,"")</f>
        <v>32016368</v>
      </c>
      <c r="AI154" s="463" t="str">
        <f t="shared" ca="1" si="30"/>
        <v/>
      </c>
      <c r="AJ154" s="474"/>
    </row>
    <row r="155" spans="1:36">
      <c r="A155" s="149" t="s">
        <v>208</v>
      </c>
      <c r="B155" s="149" t="str">
        <f>'MIS 2026'!EV155</f>
        <v>Yet to load</v>
      </c>
      <c r="C155" s="152">
        <f>'MIS 2026'!F155</f>
        <v>32016369</v>
      </c>
      <c r="D155" s="149" t="str">
        <f>'MIS 2026'!EH155</f>
        <v>VK Trading</v>
      </c>
      <c r="E155" s="151">
        <f>'MIS 2026'!AF155</f>
        <v>200</v>
      </c>
      <c r="F155" s="150">
        <f>'MIS 2026'!EK155</f>
        <v>0</v>
      </c>
      <c r="G155" s="150">
        <f t="shared" si="26"/>
        <v>0</v>
      </c>
      <c r="H155" s="149">
        <f>'MIS 2026'!EL155</f>
        <v>0</v>
      </c>
      <c r="I155" s="148"/>
      <c r="J155" s="473">
        <f>'MIS 2026'!ER155</f>
        <v>0</v>
      </c>
      <c r="K155" s="473">
        <f t="shared" si="27"/>
        <v>0</v>
      </c>
      <c r="L155" s="473">
        <f>'MIS 2026'!EW155</f>
        <v>0</v>
      </c>
      <c r="M155" s="474">
        <f>IF('MIS 2026'!EZ155&gt;0,'MIS 2026'!EW155,0)</f>
        <v>0</v>
      </c>
      <c r="N155" s="474" t="str">
        <f>'MIS 2026'!I155</f>
        <v>BISSAU</v>
      </c>
      <c r="O155" s="474" t="str">
        <f>'MIS 2026'!H155</f>
        <v>MALNAD CASHEWS</v>
      </c>
      <c r="P155" s="473">
        <f>'MIS 2026'!AI155</f>
        <v>1720</v>
      </c>
      <c r="Q155" s="474" t="str">
        <f>'MIS 2026'!BQ155</f>
        <v>MANGALORE, INDIA</v>
      </c>
      <c r="R155" s="474">
        <f>'MIS 2026'!AM155</f>
        <v>0.1</v>
      </c>
      <c r="S155" s="474" t="str">
        <f>'MIS 2026'!AL155</f>
        <v>DP SIGHT</v>
      </c>
      <c r="T155" s="473">
        <f>'MIS 2026'!AZ155</f>
        <v>34400</v>
      </c>
      <c r="U155" s="474" t="str">
        <f>IF('MIS 2026'!BI155="","",'MIS 2026'!BI155)</f>
        <v/>
      </c>
      <c r="V155" s="475">
        <f>IF('MIS 2026'!BJ155&gt;0,'MIS 2026'!BJ155,'MIS 2026'!AF155)</f>
        <v>200</v>
      </c>
      <c r="W155" s="476" t="str">
        <f>IF('MIS 2026'!BM155="","",'MIS 2026'!BM155)</f>
        <v/>
      </c>
      <c r="X155" s="476" t="str">
        <f>IF('MIS 2026'!BO155="","",'MIS 2026'!BO155)</f>
        <v/>
      </c>
      <c r="Y155" s="473">
        <f t="shared" si="28"/>
        <v>309600</v>
      </c>
      <c r="Z155" s="473">
        <f>IF('MIS 2026'!CR155&gt;0,'MIS 2026'!CQ155,0)</f>
        <v>0</v>
      </c>
      <c r="AA155" s="473">
        <f t="shared" si="29"/>
        <v>309600</v>
      </c>
      <c r="AB155" s="476" t="str">
        <f>IF('MIS 2026'!CM155="","",'MIS 2026'!CM155)</f>
        <v/>
      </c>
      <c r="AC155" s="476">
        <f>'MIS 2026'!U155</f>
        <v>0</v>
      </c>
      <c r="AD155" s="474" t="str">
        <f>IF('MIS 2026'!BF155&gt;0,'MIS 2026'!BF155,"")</f>
        <v/>
      </c>
      <c r="AE155" s="476" t="str">
        <f>IF('MIS 2026'!N155&gt;0,'MIS 2026'!N155,"")</f>
        <v/>
      </c>
      <c r="AF155" s="474"/>
      <c r="AG155" s="478" t="str">
        <f>IF('MIS 2026'!BV155&lt;&gt;0,'MIS 2026'!BV155,"")</f>
        <v/>
      </c>
      <c r="AH155" s="474">
        <f>IF('MIS 2026'!F155&lt;&gt;0,'MIS 2026'!F155,"")</f>
        <v>32016369</v>
      </c>
      <c r="AI155" s="463" t="str">
        <f t="shared" ca="1" si="30"/>
        <v/>
      </c>
      <c r="AJ155" s="474"/>
    </row>
    <row r="156" spans="1:36">
      <c r="A156" s="149" t="s">
        <v>208</v>
      </c>
      <c r="B156" s="149" t="str">
        <f>'MIS 2026'!EV156</f>
        <v>Yet to load</v>
      </c>
      <c r="C156" s="152">
        <f>'MIS 2026'!F156</f>
        <v>32016370</v>
      </c>
      <c r="D156" s="149" t="str">
        <f>'MIS 2026'!EH156</f>
        <v>VK Trading</v>
      </c>
      <c r="E156" s="151">
        <f>'MIS 2026'!AF156</f>
        <v>200</v>
      </c>
      <c r="F156" s="150">
        <f>'MIS 2026'!EK156</f>
        <v>0</v>
      </c>
      <c r="G156" s="150">
        <f t="shared" si="26"/>
        <v>0</v>
      </c>
      <c r="H156" s="149">
        <f>'MIS 2026'!EL156</f>
        <v>0</v>
      </c>
      <c r="I156" s="148"/>
      <c r="J156" s="473">
        <f>'MIS 2026'!ER156</f>
        <v>0</v>
      </c>
      <c r="K156" s="473">
        <f t="shared" si="27"/>
        <v>0</v>
      </c>
      <c r="L156" s="473">
        <f>'MIS 2026'!EW156</f>
        <v>0</v>
      </c>
      <c r="M156" s="474">
        <f>IF('MIS 2026'!EZ156&gt;0,'MIS 2026'!EW156,0)</f>
        <v>0</v>
      </c>
      <c r="N156" s="474" t="str">
        <f>'MIS 2026'!I156</f>
        <v>BISSAU</v>
      </c>
      <c r="O156" s="474" t="str">
        <f>'MIS 2026'!H156</f>
        <v>FAVOURITE CASHEWS</v>
      </c>
      <c r="P156" s="473">
        <f>'MIS 2026'!AI156</f>
        <v>1720</v>
      </c>
      <c r="Q156" s="474" t="str">
        <f>'MIS 2026'!BQ156</f>
        <v>MANGALORE, INDIA</v>
      </c>
      <c r="R156" s="474">
        <f>'MIS 2026'!AM156</f>
        <v>0.1</v>
      </c>
      <c r="S156" s="474" t="str">
        <f>'MIS 2026'!AL156</f>
        <v>DP SIGHT</v>
      </c>
      <c r="T156" s="473">
        <f>'MIS 2026'!AZ156</f>
        <v>34400</v>
      </c>
      <c r="U156" s="474" t="str">
        <f>IF('MIS 2026'!BI156="","",'MIS 2026'!BI156)</f>
        <v/>
      </c>
      <c r="V156" s="475">
        <f>IF('MIS 2026'!BJ156&gt;0,'MIS 2026'!BJ156,'MIS 2026'!AF156)</f>
        <v>200</v>
      </c>
      <c r="W156" s="476" t="str">
        <f>IF('MIS 2026'!BM156="","",'MIS 2026'!BM156)</f>
        <v/>
      </c>
      <c r="X156" s="476" t="str">
        <f>IF('MIS 2026'!BO156="","",'MIS 2026'!BO156)</f>
        <v/>
      </c>
      <c r="Y156" s="473">
        <f t="shared" si="28"/>
        <v>309600</v>
      </c>
      <c r="Z156" s="473">
        <f>IF('MIS 2026'!CR156&gt;0,'MIS 2026'!CQ156,0)</f>
        <v>0</v>
      </c>
      <c r="AA156" s="473">
        <f t="shared" si="29"/>
        <v>309600</v>
      </c>
      <c r="AB156" s="476" t="str">
        <f>IF('MIS 2026'!CM156="","",'MIS 2026'!CM156)</f>
        <v/>
      </c>
      <c r="AC156" s="476" t="str">
        <f>'MIS 2026'!U156</f>
        <v>ADVC RCVD 21/5</v>
      </c>
      <c r="AD156" s="474" t="str">
        <f>IF('MIS 2026'!BF156&gt;0,'MIS 2026'!BF156,"")</f>
        <v/>
      </c>
      <c r="AE156" s="476" t="str">
        <f>IF('MIS 2026'!N156&gt;0,'MIS 2026'!N156,"")</f>
        <v/>
      </c>
      <c r="AF156" s="474"/>
      <c r="AG156" s="478" t="str">
        <f>IF('MIS 2026'!BV156&lt;&gt;0,'MIS 2026'!BV156,"")</f>
        <v/>
      </c>
      <c r="AH156" s="474">
        <f>IF('MIS 2026'!F156&lt;&gt;0,'MIS 2026'!F156,"")</f>
        <v>32016370</v>
      </c>
      <c r="AI156" s="463" t="str">
        <f t="shared" ca="1" si="30"/>
        <v/>
      </c>
      <c r="AJ156" s="474"/>
    </row>
    <row r="157" spans="1:36">
      <c r="A157" s="149" t="s">
        <v>208</v>
      </c>
      <c r="B157" s="149" t="str">
        <f>'MIS 2026'!EV157</f>
        <v>Yet to load</v>
      </c>
      <c r="C157" s="152">
        <f>'MIS 2026'!F157</f>
        <v>32016371</v>
      </c>
      <c r="D157" s="149" t="str">
        <f>'MIS 2026'!EH157</f>
        <v>VK Trading</v>
      </c>
      <c r="E157" s="151">
        <f>'MIS 2026'!AF157</f>
        <v>200</v>
      </c>
      <c r="F157" s="150">
        <f>'MIS 2026'!EK157</f>
        <v>0</v>
      </c>
      <c r="G157" s="150">
        <f t="shared" si="26"/>
        <v>0</v>
      </c>
      <c r="H157" s="149">
        <f>'MIS 2026'!EL157</f>
        <v>0</v>
      </c>
      <c r="I157" s="148"/>
      <c r="J157" s="473">
        <f>'MIS 2026'!ER157</f>
        <v>0</v>
      </c>
      <c r="K157" s="473">
        <f t="shared" si="27"/>
        <v>0</v>
      </c>
      <c r="L157" s="473">
        <f>'MIS 2026'!EW157</f>
        <v>0</v>
      </c>
      <c r="M157" s="474">
        <f>IF('MIS 2026'!EZ157&gt;0,'MIS 2026'!EW157,0)</f>
        <v>0</v>
      </c>
      <c r="N157" s="474" t="str">
        <f>'MIS 2026'!I157</f>
        <v>BISSAU</v>
      </c>
      <c r="O157" s="474" t="str">
        <f>'MIS 2026'!H157</f>
        <v>SIDDHI VINAYAKA CASHEW INDUSTRIES</v>
      </c>
      <c r="P157" s="473">
        <f>'MIS 2026'!AI157</f>
        <v>1720</v>
      </c>
      <c r="Q157" s="474" t="str">
        <f>'MIS 2026'!BQ157</f>
        <v>MANGALORE, INDIA</v>
      </c>
      <c r="R157" s="474">
        <f>'MIS 2026'!AM157</f>
        <v>0.1</v>
      </c>
      <c r="S157" s="474" t="str">
        <f>'MIS 2026'!AL157</f>
        <v>DP SIGHT</v>
      </c>
      <c r="T157" s="473">
        <f>'MIS 2026'!AZ157</f>
        <v>34400</v>
      </c>
      <c r="U157" s="474" t="str">
        <f>IF('MIS 2026'!BI157="","",'MIS 2026'!BI157)</f>
        <v/>
      </c>
      <c r="V157" s="475">
        <f>IF('MIS 2026'!BJ157&gt;0,'MIS 2026'!BJ157,'MIS 2026'!AF157)</f>
        <v>200</v>
      </c>
      <c r="W157" s="476" t="str">
        <f>IF('MIS 2026'!BM157="","",'MIS 2026'!BM157)</f>
        <v/>
      </c>
      <c r="X157" s="476" t="str">
        <f>IF('MIS 2026'!BO157="","",'MIS 2026'!BO157)</f>
        <v/>
      </c>
      <c r="Y157" s="473">
        <f t="shared" si="28"/>
        <v>309600</v>
      </c>
      <c r="Z157" s="473">
        <f>IF('MIS 2026'!CR157&gt;0,'MIS 2026'!CQ157,0)</f>
        <v>0</v>
      </c>
      <c r="AA157" s="473">
        <f t="shared" si="29"/>
        <v>309600</v>
      </c>
      <c r="AB157" s="476" t="str">
        <f>IF('MIS 2026'!CM157="","",'MIS 2026'!CM157)</f>
        <v/>
      </c>
      <c r="AC157" s="476" t="str">
        <f>'MIS 2026'!U157</f>
        <v>ADVANCE RCVD 22/5</v>
      </c>
      <c r="AD157" s="474" t="str">
        <f>IF('MIS 2026'!BF157&gt;0,'MIS 2026'!BF157,"")</f>
        <v/>
      </c>
      <c r="AE157" s="476" t="str">
        <f>IF('MIS 2026'!N157&gt;0,'MIS 2026'!N157,"")</f>
        <v/>
      </c>
      <c r="AF157" s="474"/>
      <c r="AG157" s="478" t="str">
        <f>IF('MIS 2026'!BV157&lt;&gt;0,'MIS 2026'!BV157,"")</f>
        <v/>
      </c>
      <c r="AH157" s="474">
        <f>IF('MIS 2026'!F157&lt;&gt;0,'MIS 2026'!F157,"")</f>
        <v>32016371</v>
      </c>
      <c r="AI157" s="463" t="str">
        <f t="shared" ca="1" si="30"/>
        <v/>
      </c>
      <c r="AJ157" s="474"/>
    </row>
    <row r="158" spans="1:36">
      <c r="A158" s="149" t="s">
        <v>208</v>
      </c>
      <c r="B158" s="149" t="str">
        <f>'MIS 2026'!EV158</f>
        <v>Yet to load</v>
      </c>
      <c r="C158" s="152">
        <f>'MIS 2026'!F158</f>
        <v>32016372</v>
      </c>
      <c r="D158" s="149" t="str">
        <f>'MIS 2026'!EH158</f>
        <v>VK Trading</v>
      </c>
      <c r="E158" s="151">
        <f>'MIS 2026'!AF158</f>
        <v>200</v>
      </c>
      <c r="F158" s="150">
        <f>'MIS 2026'!EK158</f>
        <v>0</v>
      </c>
      <c r="G158" s="150">
        <f t="shared" si="26"/>
        <v>0</v>
      </c>
      <c r="H158" s="149">
        <f>'MIS 2026'!EL158</f>
        <v>0</v>
      </c>
      <c r="I158" s="148"/>
      <c r="J158" s="473">
        <f>'MIS 2026'!ER158</f>
        <v>0</v>
      </c>
      <c r="K158" s="473">
        <f t="shared" si="27"/>
        <v>0</v>
      </c>
      <c r="L158" s="473">
        <f>'MIS 2026'!EW158</f>
        <v>0</v>
      </c>
      <c r="M158" s="474">
        <f>IF('MIS 2026'!EZ158&gt;0,'MIS 2026'!EW158,0)</f>
        <v>0</v>
      </c>
      <c r="N158" s="474" t="str">
        <f>'MIS 2026'!I158</f>
        <v>BISSAU</v>
      </c>
      <c r="O158" s="474" t="str">
        <f>'MIS 2026'!H158</f>
        <v>ST.MARY CASHEW FACTORY</v>
      </c>
      <c r="P158" s="473">
        <f>'MIS 2026'!AI158</f>
        <v>1700</v>
      </c>
      <c r="Q158" s="474" t="str">
        <f>'MIS 2026'!BQ158</f>
        <v>TUTICORIN, INDIA</v>
      </c>
      <c r="R158" s="474">
        <f>'MIS 2026'!AM158</f>
        <v>0</v>
      </c>
      <c r="S158" s="474" t="str">
        <f>'MIS 2026'!AL158</f>
        <v>DP SIGHT</v>
      </c>
      <c r="T158" s="473">
        <f>'MIS 2026'!AZ158</f>
        <v>0</v>
      </c>
      <c r="U158" s="474" t="str">
        <f>IF('MIS 2026'!BI158="","",'MIS 2026'!BI158)</f>
        <v/>
      </c>
      <c r="V158" s="475">
        <f>IF('MIS 2026'!BJ158&gt;0,'MIS 2026'!BJ158,'MIS 2026'!AF158)</f>
        <v>200</v>
      </c>
      <c r="W158" s="476" t="str">
        <f>IF('MIS 2026'!BM158="","",'MIS 2026'!BM158)</f>
        <v/>
      </c>
      <c r="X158" s="476" t="str">
        <f>IF('MIS 2026'!BO158="","",'MIS 2026'!BO158)</f>
        <v/>
      </c>
      <c r="Y158" s="473">
        <f t="shared" si="28"/>
        <v>340000</v>
      </c>
      <c r="Z158" s="473">
        <f>IF('MIS 2026'!CR158&gt;0,'MIS 2026'!CQ158,0)</f>
        <v>0</v>
      </c>
      <c r="AA158" s="473">
        <f t="shared" si="29"/>
        <v>340000</v>
      </c>
      <c r="AB158" s="476" t="str">
        <f>IF('MIS 2026'!CM158="","",'MIS 2026'!CM158)</f>
        <v/>
      </c>
      <c r="AC158" s="476">
        <f>'MIS 2026'!U158</f>
        <v>0</v>
      </c>
      <c r="AD158" s="474" t="str">
        <f>IF('MIS 2026'!BF158&gt;0,'MIS 2026'!BF158,"")</f>
        <v/>
      </c>
      <c r="AE158" s="476" t="str">
        <f>IF('MIS 2026'!N158&gt;0,'MIS 2026'!N158,"")</f>
        <v/>
      </c>
      <c r="AF158" s="474"/>
      <c r="AG158" s="478" t="str">
        <f>IF('MIS 2026'!BV158&lt;&gt;0,'MIS 2026'!BV158,"")</f>
        <v/>
      </c>
      <c r="AH158" s="474">
        <f>IF('MIS 2026'!F158&lt;&gt;0,'MIS 2026'!F158,"")</f>
        <v>32016372</v>
      </c>
      <c r="AI158" s="463" t="str">
        <f t="shared" ca="1" si="30"/>
        <v/>
      </c>
      <c r="AJ158" s="474"/>
    </row>
    <row r="159" spans="1:36">
      <c r="A159" s="149" t="s">
        <v>208</v>
      </c>
      <c r="B159" s="149" t="str">
        <f>'MIS 2026'!EV159</f>
        <v>Yet to load</v>
      </c>
      <c r="C159" s="152">
        <f>'MIS 2026'!F159</f>
        <v>32016373</v>
      </c>
      <c r="D159" s="149" t="str">
        <f>'MIS 2026'!EH159</f>
        <v>VK Trading</v>
      </c>
      <c r="E159" s="151">
        <f>'MIS 2026'!AF159</f>
        <v>300</v>
      </c>
      <c r="F159" s="150">
        <f>'MIS 2026'!EK159</f>
        <v>0</v>
      </c>
      <c r="G159" s="150">
        <f t="shared" si="26"/>
        <v>0</v>
      </c>
      <c r="H159" s="149">
        <f>'MIS 2026'!EL159</f>
        <v>0</v>
      </c>
      <c r="I159" s="148"/>
      <c r="J159" s="473">
        <f>'MIS 2026'!ER159</f>
        <v>0</v>
      </c>
      <c r="K159" s="473">
        <f t="shared" si="27"/>
        <v>0</v>
      </c>
      <c r="L159" s="473">
        <f>'MIS 2026'!EW159</f>
        <v>0</v>
      </c>
      <c r="M159" s="474">
        <f>IF('MIS 2026'!EZ159&gt;0,'MIS 2026'!EW159,0)</f>
        <v>0</v>
      </c>
      <c r="N159" s="474" t="str">
        <f>'MIS 2026'!I159</f>
        <v>BISSAU</v>
      </c>
      <c r="O159" s="474" t="str">
        <f>'MIS 2026'!H159</f>
        <v>ST. GREGORIOUS CASHEW</v>
      </c>
      <c r="P159" s="473">
        <f>'MIS 2026'!AI159</f>
        <v>1700</v>
      </c>
      <c r="Q159" s="474" t="str">
        <f>'MIS 2026'!BQ159</f>
        <v>TUTICORIN, INDIA</v>
      </c>
      <c r="R159" s="474">
        <f>'MIS 2026'!AM159</f>
        <v>0</v>
      </c>
      <c r="S159" s="474" t="str">
        <f>'MIS 2026'!AL159</f>
        <v>DP SIGHT</v>
      </c>
      <c r="T159" s="473">
        <f>'MIS 2026'!AZ159</f>
        <v>0</v>
      </c>
      <c r="U159" s="474" t="str">
        <f>IF('MIS 2026'!BI159="","",'MIS 2026'!BI159)</f>
        <v/>
      </c>
      <c r="V159" s="475">
        <f>IF('MIS 2026'!BJ159&gt;0,'MIS 2026'!BJ159,'MIS 2026'!AF159)</f>
        <v>300</v>
      </c>
      <c r="W159" s="476" t="str">
        <f>IF('MIS 2026'!BM159="","",'MIS 2026'!BM159)</f>
        <v/>
      </c>
      <c r="X159" s="476" t="str">
        <f>IF('MIS 2026'!BO159="","",'MIS 2026'!BO159)</f>
        <v/>
      </c>
      <c r="Y159" s="473">
        <f t="shared" si="28"/>
        <v>510000</v>
      </c>
      <c r="Z159" s="473">
        <f>IF('MIS 2026'!CR159&gt;0,'MIS 2026'!CQ159,0)</f>
        <v>0</v>
      </c>
      <c r="AA159" s="473">
        <f t="shared" si="29"/>
        <v>510000</v>
      </c>
      <c r="AB159" s="476" t="str">
        <f>IF('MIS 2026'!CM159="","",'MIS 2026'!CM159)</f>
        <v/>
      </c>
      <c r="AC159" s="476">
        <f>'MIS 2026'!U159</f>
        <v>0</v>
      </c>
      <c r="AD159" s="474" t="str">
        <f>IF('MIS 2026'!BF159&gt;0,'MIS 2026'!BF159,"")</f>
        <v/>
      </c>
      <c r="AE159" s="476" t="str">
        <f>IF('MIS 2026'!N159&gt;0,'MIS 2026'!N159,"")</f>
        <v/>
      </c>
      <c r="AF159" s="474"/>
      <c r="AG159" s="478" t="str">
        <f>IF('MIS 2026'!BV159&lt;&gt;0,'MIS 2026'!BV159,"")</f>
        <v/>
      </c>
      <c r="AH159" s="474">
        <f>IF('MIS 2026'!F159&lt;&gt;0,'MIS 2026'!F159,"")</f>
        <v>32016373</v>
      </c>
      <c r="AI159" s="463" t="str">
        <f t="shared" ca="1" si="30"/>
        <v/>
      </c>
      <c r="AJ159" s="474"/>
    </row>
    <row r="160" spans="1:36">
      <c r="A160" s="149" t="s">
        <v>208</v>
      </c>
      <c r="B160" s="149" t="str">
        <f>'MIS 2026'!EV160</f>
        <v>Yet to load</v>
      </c>
      <c r="C160" s="152">
        <f>'MIS 2026'!F160</f>
        <v>32016393</v>
      </c>
      <c r="D160" s="149" t="str">
        <f>'MIS 2026'!EH160</f>
        <v>VK Trading</v>
      </c>
      <c r="E160" s="151">
        <f>'MIS 2026'!AF160</f>
        <v>100</v>
      </c>
      <c r="F160" s="150">
        <f>'MIS 2026'!EK160</f>
        <v>0</v>
      </c>
      <c r="G160" s="150">
        <f t="shared" si="26"/>
        <v>0</v>
      </c>
      <c r="H160" s="149">
        <f>'MIS 2026'!EL160</f>
        <v>0</v>
      </c>
      <c r="I160" s="148"/>
      <c r="J160" s="473">
        <f>'MIS 2026'!ER160</f>
        <v>0</v>
      </c>
      <c r="K160" s="473">
        <f t="shared" si="27"/>
        <v>0</v>
      </c>
      <c r="L160" s="473">
        <f>'MIS 2026'!EW160</f>
        <v>0</v>
      </c>
      <c r="M160" s="474">
        <f>IF('MIS 2026'!EZ160&gt;0,'MIS 2026'!EW160,0)</f>
        <v>0</v>
      </c>
      <c r="N160" s="474" t="str">
        <f>'MIS 2026'!I160</f>
        <v>BISSAU</v>
      </c>
      <c r="O160" s="474" t="str">
        <f>'MIS 2026'!H160</f>
        <v>SRI NIVAS INDUSTRIES</v>
      </c>
      <c r="P160" s="473">
        <f>'MIS 2026'!AI160</f>
        <v>1720</v>
      </c>
      <c r="Q160" s="474" t="str">
        <f>'MIS 2026'!BQ160</f>
        <v>MANGALORE, INDIA</v>
      </c>
      <c r="R160" s="474">
        <f>'MIS 2026'!AM160</f>
        <v>0.1</v>
      </c>
      <c r="S160" s="474" t="str">
        <f>'MIS 2026'!AL160</f>
        <v>DP SIGHT</v>
      </c>
      <c r="T160" s="473">
        <f>'MIS 2026'!AZ160</f>
        <v>17200</v>
      </c>
      <c r="U160" s="474" t="str">
        <f>IF('MIS 2026'!BI160="","",'MIS 2026'!BI160)</f>
        <v/>
      </c>
      <c r="V160" s="475">
        <f>IF('MIS 2026'!BJ160&gt;0,'MIS 2026'!BJ160,'MIS 2026'!AF160)</f>
        <v>100</v>
      </c>
      <c r="W160" s="476" t="str">
        <f>IF('MIS 2026'!BM160="","",'MIS 2026'!BM160)</f>
        <v/>
      </c>
      <c r="X160" s="476" t="str">
        <f>IF('MIS 2026'!BO160="","",'MIS 2026'!BO160)</f>
        <v/>
      </c>
      <c r="Y160" s="473">
        <f t="shared" si="28"/>
        <v>154800</v>
      </c>
      <c r="Z160" s="473">
        <f>IF('MIS 2026'!CR160&gt;0,'MIS 2026'!CQ160,0)</f>
        <v>0</v>
      </c>
      <c r="AA160" s="473">
        <f t="shared" si="29"/>
        <v>154800</v>
      </c>
      <c r="AB160" s="476" t="str">
        <f>IF('MIS 2026'!CM160="","",'MIS 2026'!CM160)</f>
        <v/>
      </c>
      <c r="AC160" s="476" t="str">
        <f>'MIS 2026'!U160</f>
        <v>PENDING ADVANCE (19/5)</v>
      </c>
      <c r="AD160" s="474" t="str">
        <f>IF('MIS 2026'!BF160&gt;0,'MIS 2026'!BF160,"")</f>
        <v/>
      </c>
      <c r="AE160" s="476" t="str">
        <f>IF('MIS 2026'!N160&gt;0,'MIS 2026'!N160,"")</f>
        <v/>
      </c>
      <c r="AF160" s="474"/>
      <c r="AG160" s="478" t="str">
        <f>IF('MIS 2026'!BV160&lt;&gt;0,'MIS 2026'!BV160,"")</f>
        <v/>
      </c>
      <c r="AH160" s="474">
        <f>IF('MIS 2026'!F160&lt;&gt;0,'MIS 2026'!F160,"")</f>
        <v>32016393</v>
      </c>
      <c r="AI160" s="463" t="str">
        <f t="shared" ca="1" si="30"/>
        <v/>
      </c>
      <c r="AJ160" s="474"/>
    </row>
    <row r="161" spans="1:36">
      <c r="A161" s="149" t="s">
        <v>208</v>
      </c>
      <c r="B161" s="149" t="str">
        <f>'MIS 2026'!EV161</f>
        <v>Yet to load</v>
      </c>
      <c r="C161" s="152">
        <f>'MIS 2026'!F161</f>
        <v>32016392</v>
      </c>
      <c r="D161" s="149" t="str">
        <f>'MIS 2026'!EH161</f>
        <v>VK Trading</v>
      </c>
      <c r="E161" s="151">
        <f>'MIS 2026'!AF161</f>
        <v>100</v>
      </c>
      <c r="F161" s="150">
        <f>'MIS 2026'!EK161</f>
        <v>0</v>
      </c>
      <c r="G161" s="150">
        <f t="shared" si="26"/>
        <v>0</v>
      </c>
      <c r="H161" s="149">
        <f>'MIS 2026'!EL161</f>
        <v>0</v>
      </c>
      <c r="I161" s="148"/>
      <c r="J161" s="473">
        <f>'MIS 2026'!ER161</f>
        <v>0</v>
      </c>
      <c r="K161" s="473">
        <f t="shared" si="27"/>
        <v>0</v>
      </c>
      <c r="L161" s="473">
        <f>'MIS 2026'!EW161</f>
        <v>0</v>
      </c>
      <c r="M161" s="474">
        <f>IF('MIS 2026'!EZ161&gt;0,'MIS 2026'!EW161,0)</f>
        <v>0</v>
      </c>
      <c r="N161" s="474" t="str">
        <f>'MIS 2026'!I161</f>
        <v>BISSAU</v>
      </c>
      <c r="O161" s="474" t="str">
        <f>'MIS 2026'!H161</f>
        <v>SREE DEVI CASHEW INDUSTRIES</v>
      </c>
      <c r="P161" s="473">
        <f>'MIS 2026'!AI161</f>
        <v>1700</v>
      </c>
      <c r="Q161" s="474" t="str">
        <f>'MIS 2026'!BQ161</f>
        <v>MANGALORE, INDIA</v>
      </c>
      <c r="R161" s="474">
        <f>'MIS 2026'!AM161</f>
        <v>0</v>
      </c>
      <c r="S161" s="474" t="str">
        <f>'MIS 2026'!AL161</f>
        <v>DP SIGHT</v>
      </c>
      <c r="T161" s="473">
        <f>'MIS 2026'!AZ161</f>
        <v>0</v>
      </c>
      <c r="U161" s="474" t="str">
        <f>IF('MIS 2026'!BI161="","",'MIS 2026'!BI161)</f>
        <v/>
      </c>
      <c r="V161" s="475">
        <f>IF('MIS 2026'!BJ161&gt;0,'MIS 2026'!BJ161,'MIS 2026'!AF161)</f>
        <v>100</v>
      </c>
      <c r="W161" s="476" t="str">
        <f>IF('MIS 2026'!BM161="","",'MIS 2026'!BM161)</f>
        <v/>
      </c>
      <c r="X161" s="476" t="str">
        <f>IF('MIS 2026'!BO161="","",'MIS 2026'!BO161)</f>
        <v/>
      </c>
      <c r="Y161" s="473">
        <f t="shared" si="28"/>
        <v>170000</v>
      </c>
      <c r="Z161" s="473">
        <f>IF('MIS 2026'!CR161&gt;0,'MIS 2026'!CQ161,0)</f>
        <v>0</v>
      </c>
      <c r="AA161" s="473">
        <f t="shared" si="29"/>
        <v>170000</v>
      </c>
      <c r="AB161" s="476" t="str">
        <f>IF('MIS 2026'!CM161="","",'MIS 2026'!CM161)</f>
        <v/>
      </c>
      <c r="AC161" s="476">
        <f>'MIS 2026'!U161</f>
        <v>0</v>
      </c>
      <c r="AD161" s="474" t="str">
        <f>IF('MIS 2026'!BF161&gt;0,'MIS 2026'!BF161,"")</f>
        <v/>
      </c>
      <c r="AE161" s="476" t="str">
        <f>IF('MIS 2026'!N161&gt;0,'MIS 2026'!N161,"")</f>
        <v/>
      </c>
      <c r="AF161" s="474"/>
      <c r="AG161" s="478" t="str">
        <f>IF('MIS 2026'!BV161&lt;&gt;0,'MIS 2026'!BV161,"")</f>
        <v/>
      </c>
      <c r="AH161" s="474">
        <f>IF('MIS 2026'!F161&lt;&gt;0,'MIS 2026'!F161,"")</f>
        <v>32016392</v>
      </c>
      <c r="AI161" s="463" t="str">
        <f t="shared" ca="1" si="30"/>
        <v/>
      </c>
      <c r="AJ161" s="474"/>
    </row>
    <row r="162" spans="1:36">
      <c r="A162" s="149" t="s">
        <v>208</v>
      </c>
      <c r="B162" s="149" t="str">
        <f>'MIS 2026'!EV162</f>
        <v>Yet to load</v>
      </c>
      <c r="C162" s="152">
        <f>'MIS 2026'!F162</f>
        <v>32016391</v>
      </c>
      <c r="D162" s="149" t="str">
        <f>'MIS 2026'!EH162</f>
        <v>VK Trading</v>
      </c>
      <c r="E162" s="151">
        <f>'MIS 2026'!AF162</f>
        <v>100</v>
      </c>
      <c r="F162" s="150">
        <f>'MIS 2026'!EK162</f>
        <v>0</v>
      </c>
      <c r="G162" s="150">
        <f t="shared" si="26"/>
        <v>0</v>
      </c>
      <c r="H162" s="149">
        <f>'MIS 2026'!EL162</f>
        <v>0</v>
      </c>
      <c r="I162" s="148"/>
      <c r="J162" s="473">
        <f>'MIS 2026'!ER162</f>
        <v>0</v>
      </c>
      <c r="K162" s="473">
        <f t="shared" si="27"/>
        <v>0</v>
      </c>
      <c r="L162" s="473">
        <f>'MIS 2026'!EW162</f>
        <v>0</v>
      </c>
      <c r="M162" s="474">
        <f>IF('MIS 2026'!EZ162&gt;0,'MIS 2026'!EW162,0)</f>
        <v>0</v>
      </c>
      <c r="N162" s="474" t="str">
        <f>'MIS 2026'!I162</f>
        <v>BISSAU</v>
      </c>
      <c r="O162" s="474" t="str">
        <f>'MIS 2026'!H162</f>
        <v>MAHALASA EXPORTS</v>
      </c>
      <c r="P162" s="473">
        <f>'MIS 2026'!AI162</f>
        <v>1700</v>
      </c>
      <c r="Q162" s="474" t="str">
        <f>'MIS 2026'!BQ162</f>
        <v>MANGALORE, INDIA</v>
      </c>
      <c r="R162" s="474">
        <f>'MIS 2026'!AM162</f>
        <v>0</v>
      </c>
      <c r="S162" s="474" t="str">
        <f>'MIS 2026'!AL162</f>
        <v>DP SIGHT</v>
      </c>
      <c r="T162" s="473">
        <f>'MIS 2026'!AZ162</f>
        <v>0</v>
      </c>
      <c r="U162" s="474" t="str">
        <f>IF('MIS 2026'!BI162="","",'MIS 2026'!BI162)</f>
        <v/>
      </c>
      <c r="V162" s="475">
        <f>IF('MIS 2026'!BJ162&gt;0,'MIS 2026'!BJ162,'MIS 2026'!AF162)</f>
        <v>100</v>
      </c>
      <c r="W162" s="476" t="str">
        <f>IF('MIS 2026'!BM162="","",'MIS 2026'!BM162)</f>
        <v/>
      </c>
      <c r="X162" s="476" t="str">
        <f>IF('MIS 2026'!BO162="","",'MIS 2026'!BO162)</f>
        <v/>
      </c>
      <c r="Y162" s="473">
        <f t="shared" si="28"/>
        <v>170000</v>
      </c>
      <c r="Z162" s="473">
        <f>IF('MIS 2026'!CR162&gt;0,'MIS 2026'!CQ162,0)</f>
        <v>0</v>
      </c>
      <c r="AA162" s="473">
        <f t="shared" si="29"/>
        <v>170000</v>
      </c>
      <c r="AB162" s="476" t="str">
        <f>IF('MIS 2026'!CM162="","",'MIS 2026'!CM162)</f>
        <v/>
      </c>
      <c r="AC162" s="476">
        <f>'MIS 2026'!U162</f>
        <v>0</v>
      </c>
      <c r="AD162" s="474" t="str">
        <f>IF('MIS 2026'!BF162&gt;0,'MIS 2026'!BF162,"")</f>
        <v/>
      </c>
      <c r="AE162" s="476" t="str">
        <f>IF('MIS 2026'!N162&gt;0,'MIS 2026'!N162,"")</f>
        <v/>
      </c>
      <c r="AF162" s="474"/>
      <c r="AG162" s="478" t="str">
        <f>IF('MIS 2026'!BV162&lt;&gt;0,'MIS 2026'!BV162,"")</f>
        <v/>
      </c>
      <c r="AH162" s="474">
        <f>IF('MIS 2026'!F162&lt;&gt;0,'MIS 2026'!F162,"")</f>
        <v>32016391</v>
      </c>
      <c r="AI162" s="463" t="str">
        <f t="shared" ca="1" si="30"/>
        <v/>
      </c>
      <c r="AJ162" s="474"/>
    </row>
    <row r="163" spans="1:36">
      <c r="A163" s="149" t="s">
        <v>208</v>
      </c>
      <c r="B163" s="149" t="str">
        <f>'MIS 2026'!EV163</f>
        <v>Yet to load</v>
      </c>
      <c r="C163" s="152">
        <f>'MIS 2026'!F163</f>
        <v>32016390</v>
      </c>
      <c r="D163" s="149" t="str">
        <f>'MIS 2026'!EH163</f>
        <v>VK Trading</v>
      </c>
      <c r="E163" s="151">
        <f>'MIS 2026'!AF163</f>
        <v>100</v>
      </c>
      <c r="F163" s="150">
        <f>'MIS 2026'!EK163</f>
        <v>0</v>
      </c>
      <c r="G163" s="150">
        <f t="shared" si="26"/>
        <v>0</v>
      </c>
      <c r="H163" s="149">
        <f>'MIS 2026'!EL163</f>
        <v>0</v>
      </c>
      <c r="I163" s="148"/>
      <c r="J163" s="473">
        <f>'MIS 2026'!ER163</f>
        <v>0</v>
      </c>
      <c r="K163" s="473">
        <f t="shared" si="27"/>
        <v>0</v>
      </c>
      <c r="L163" s="473">
        <f>'MIS 2026'!EW163</f>
        <v>0</v>
      </c>
      <c r="M163" s="474">
        <f>IF('MIS 2026'!EZ163&gt;0,'MIS 2026'!EW163,0)</f>
        <v>0</v>
      </c>
      <c r="N163" s="474" t="str">
        <f>'MIS 2026'!I163</f>
        <v>BISSAU</v>
      </c>
      <c r="O163" s="474" t="str">
        <f>'MIS 2026'!H163</f>
        <v>SRI VIJAYALAXMI CASHEW INDUSTRIES</v>
      </c>
      <c r="P163" s="473">
        <f>'MIS 2026'!AI163</f>
        <v>1695</v>
      </c>
      <c r="Q163" s="474" t="str">
        <f>'MIS 2026'!BQ163</f>
        <v>MANGALORE, INDIA</v>
      </c>
      <c r="R163" s="474">
        <f>'MIS 2026'!AM163</f>
        <v>0</v>
      </c>
      <c r="S163" s="474" t="str">
        <f>'MIS 2026'!AL163</f>
        <v>DP SIGHT</v>
      </c>
      <c r="T163" s="473">
        <f>'MIS 2026'!AZ163</f>
        <v>0</v>
      </c>
      <c r="U163" s="474" t="str">
        <f>IF('MIS 2026'!BI163="","",'MIS 2026'!BI163)</f>
        <v/>
      </c>
      <c r="V163" s="475">
        <f>IF('MIS 2026'!BJ163&gt;0,'MIS 2026'!BJ163,'MIS 2026'!AF163)</f>
        <v>100</v>
      </c>
      <c r="W163" s="476" t="str">
        <f>IF('MIS 2026'!BM163="","",'MIS 2026'!BM163)</f>
        <v/>
      </c>
      <c r="X163" s="476" t="str">
        <f>IF('MIS 2026'!BO163="","",'MIS 2026'!BO163)</f>
        <v/>
      </c>
      <c r="Y163" s="473">
        <f t="shared" si="28"/>
        <v>169500</v>
      </c>
      <c r="Z163" s="473">
        <f>IF('MIS 2026'!CR163&gt;0,'MIS 2026'!CQ163,0)</f>
        <v>0</v>
      </c>
      <c r="AA163" s="473">
        <f t="shared" si="29"/>
        <v>169500</v>
      </c>
      <c r="AB163" s="476" t="str">
        <f>IF('MIS 2026'!CM163="","",'MIS 2026'!CM163)</f>
        <v/>
      </c>
      <c r="AC163" s="476">
        <f>'MIS 2026'!U163</f>
        <v>0</v>
      </c>
      <c r="AD163" s="474" t="str">
        <f>IF('MIS 2026'!BF163&gt;0,'MIS 2026'!BF163,"")</f>
        <v/>
      </c>
      <c r="AE163" s="476" t="str">
        <f>IF('MIS 2026'!N163&gt;0,'MIS 2026'!N163,"")</f>
        <v/>
      </c>
      <c r="AF163" s="474"/>
      <c r="AG163" s="478" t="str">
        <f>IF('MIS 2026'!BV163&lt;&gt;0,'MIS 2026'!BV163,"")</f>
        <v/>
      </c>
      <c r="AH163" s="474">
        <f>IF('MIS 2026'!F163&lt;&gt;0,'MIS 2026'!F163,"")</f>
        <v>32016390</v>
      </c>
      <c r="AI163" s="463" t="str">
        <f t="shared" ca="1" si="30"/>
        <v/>
      </c>
      <c r="AJ163" s="474"/>
    </row>
    <row r="164" spans="1:36">
      <c r="A164" s="149" t="s">
        <v>208</v>
      </c>
      <c r="B164" s="149" t="str">
        <f>'MIS 2026'!EV164</f>
        <v>Yet to load</v>
      </c>
      <c r="C164" s="152" t="str">
        <f>'MIS 2026'!F164</f>
        <v>RCN/2026/1002</v>
      </c>
      <c r="D164" s="149" t="str">
        <f>'MIS 2026'!EH164</f>
        <v xml:space="preserve">VALENCY IVC </v>
      </c>
      <c r="E164" s="151">
        <f>'MIS 2026'!AF164</f>
        <v>250</v>
      </c>
      <c r="F164" s="150">
        <f>'MIS 2026'!EK164</f>
        <v>0</v>
      </c>
      <c r="G164" s="150">
        <f t="shared" ref="G164:G175" si="31">F164*E164</f>
        <v>0</v>
      </c>
      <c r="H164" s="149">
        <f>'MIS 2026'!EL164</f>
        <v>0</v>
      </c>
      <c r="I164" s="148"/>
      <c r="J164" s="473">
        <f>'MIS 2026'!ER164</f>
        <v>0</v>
      </c>
      <c r="K164" s="473">
        <f t="shared" ref="K164:K175" si="32">G164-J164</f>
        <v>0</v>
      </c>
      <c r="L164" s="473">
        <f>'MIS 2026'!EW164</f>
        <v>0</v>
      </c>
      <c r="M164" s="474">
        <f>IF('MIS 2026'!EZ164&gt;0,'MIS 2026'!EW164,0)</f>
        <v>0</v>
      </c>
      <c r="N164" s="474" t="str">
        <f>'MIS 2026'!I164</f>
        <v>IVC</v>
      </c>
      <c r="O164" s="474" t="str">
        <f>'MIS 2026'!H164</f>
        <v>Xuan Teo Co</v>
      </c>
      <c r="P164" s="473">
        <f>'MIS 2026'!AI164</f>
        <v>1435</v>
      </c>
      <c r="Q164" s="474" t="str">
        <f>'MIS 2026'!BQ164</f>
        <v>HCMC, VIETNAM</v>
      </c>
      <c r="R164" s="474">
        <f>'MIS 2026'!AM164</f>
        <v>0.1</v>
      </c>
      <c r="S164" s="474" t="str">
        <f>'MIS 2026'!AL164</f>
        <v>10/88/2</v>
      </c>
      <c r="T164" s="473">
        <f>'MIS 2026'!AZ164</f>
        <v>35875</v>
      </c>
      <c r="U164" s="474" t="str">
        <f>IF('MIS 2026'!BI164="","",'MIS 2026'!BI164)</f>
        <v/>
      </c>
      <c r="V164" s="475">
        <f>IF('MIS 2026'!BJ164&gt;0,'MIS 2026'!BJ164,'MIS 2026'!AF164)</f>
        <v>250</v>
      </c>
      <c r="W164" s="476" t="str">
        <f>IF('MIS 2026'!BM164="","",'MIS 2026'!BM164)</f>
        <v/>
      </c>
      <c r="X164" s="476" t="str">
        <f>IF('MIS 2026'!BO164="","",'MIS 2026'!BO164)</f>
        <v/>
      </c>
      <c r="Y164" s="473">
        <f t="shared" ref="Y164:Y175" si="33">(V164*P164)-T164</f>
        <v>322875</v>
      </c>
      <c r="Z164" s="473">
        <f>IF('MIS 2026'!CR164&gt;0,'MIS 2026'!CQ164,0)</f>
        <v>0</v>
      </c>
      <c r="AA164" s="473">
        <f t="shared" ref="AA164:AA175" si="34">Y164-Z164</f>
        <v>322875</v>
      </c>
      <c r="AB164" s="476" t="str">
        <f>IF('MIS 2026'!CM164="","",'MIS 2026'!CM164)</f>
        <v/>
      </c>
      <c r="AC164" s="476" t="str">
        <f>'MIS 2026'!U164</f>
        <v>ADVANCE RCVD 18/5-KYC IN PROCESS</v>
      </c>
      <c r="AD164" s="474" t="str">
        <f>IF('MIS 2026'!BF164&gt;0,'MIS 2026'!BF164,"")</f>
        <v/>
      </c>
      <c r="AE164" s="476" t="str">
        <f>IF('MIS 2026'!N164&gt;0,'MIS 2026'!N164,"")</f>
        <v/>
      </c>
      <c r="AF164" s="474"/>
      <c r="AG164" s="478" t="str">
        <f>IF('MIS 2026'!BV164&lt;&gt;0,'MIS 2026'!BV164,"")</f>
        <v/>
      </c>
      <c r="AH164" s="474" t="str">
        <f>IF('MIS 2026'!F164&lt;&gt;0,'MIS 2026'!F164,"")</f>
        <v>RCN/2026/1002</v>
      </c>
      <c r="AI164" s="463" t="str">
        <f t="shared" ref="AI164:AI175" ca="1" si="35">IFERROR(IF(AB164="",TODAY()-W164,""),"")</f>
        <v/>
      </c>
      <c r="AJ164" s="474"/>
    </row>
    <row r="165" spans="1:36">
      <c r="A165" s="149" t="s">
        <v>208</v>
      </c>
      <c r="B165" s="149" t="str">
        <f>'MIS 2026'!EV165</f>
        <v>Yet to load</v>
      </c>
      <c r="C165" s="152" t="str">
        <f>'MIS 2026'!F165</f>
        <v>RCN/2026/1001</v>
      </c>
      <c r="D165" s="149" t="str">
        <f>'MIS 2026'!EH165</f>
        <v xml:space="preserve">VALENCY IVC </v>
      </c>
      <c r="E165" s="151">
        <f>'MIS 2026'!AF165</f>
        <v>1000</v>
      </c>
      <c r="F165" s="150">
        <f>'MIS 2026'!EK165</f>
        <v>0</v>
      </c>
      <c r="G165" s="150">
        <f t="shared" si="31"/>
        <v>0</v>
      </c>
      <c r="H165" s="149">
        <f>'MIS 2026'!EL165</f>
        <v>0</v>
      </c>
      <c r="I165" s="148"/>
      <c r="J165" s="473">
        <f>'MIS 2026'!ER165</f>
        <v>0</v>
      </c>
      <c r="K165" s="473">
        <f t="shared" si="32"/>
        <v>0</v>
      </c>
      <c r="L165" s="473">
        <f>'MIS 2026'!EW165</f>
        <v>0</v>
      </c>
      <c r="M165" s="474">
        <f>IF('MIS 2026'!EZ165&gt;0,'MIS 2026'!EW165,0)</f>
        <v>0</v>
      </c>
      <c r="N165" s="474" t="str">
        <f>'MIS 2026'!I165</f>
        <v>IVC</v>
      </c>
      <c r="O165" s="474" t="str">
        <f>'MIS 2026'!H165</f>
        <v xml:space="preserve">Xuan Teo Co </v>
      </c>
      <c r="P165" s="473">
        <f>'MIS 2026'!AI165</f>
        <v>1435</v>
      </c>
      <c r="Q165" s="474" t="str">
        <f>'MIS 2026'!BQ165</f>
        <v>HCMC, VIETNAM</v>
      </c>
      <c r="R165" s="474">
        <f>'MIS 2026'!AM165</f>
        <v>0.1</v>
      </c>
      <c r="S165" s="474" t="str">
        <f>'MIS 2026'!AL165</f>
        <v>10/88/2</v>
      </c>
      <c r="T165" s="473">
        <f>'MIS 2026'!AZ165</f>
        <v>143500</v>
      </c>
      <c r="U165" s="474" t="str">
        <f>IF('MIS 2026'!BI165="","",'MIS 2026'!BI165)</f>
        <v/>
      </c>
      <c r="V165" s="475">
        <f>IF('MIS 2026'!BJ165&gt;0,'MIS 2026'!BJ165,'MIS 2026'!AF165)</f>
        <v>1000</v>
      </c>
      <c r="W165" s="476" t="str">
        <f>IF('MIS 2026'!BM165="","",'MIS 2026'!BM165)</f>
        <v/>
      </c>
      <c r="X165" s="476" t="str">
        <f>IF('MIS 2026'!BO165="","",'MIS 2026'!BO165)</f>
        <v/>
      </c>
      <c r="Y165" s="473">
        <f t="shared" si="33"/>
        <v>1291500</v>
      </c>
      <c r="Z165" s="473">
        <f>IF('MIS 2026'!CR165&gt;0,'MIS 2026'!CQ165,0)</f>
        <v>0</v>
      </c>
      <c r="AA165" s="473">
        <f t="shared" si="34"/>
        <v>1291500</v>
      </c>
      <c r="AB165" s="476" t="str">
        <f>IF('MIS 2026'!CM165="","",'MIS 2026'!CM165)</f>
        <v/>
      </c>
      <c r="AC165" s="476" t="str">
        <f>'MIS 2026'!U165</f>
        <v>ADVC RCVD 20/5-KYC IN PROCESS</v>
      </c>
      <c r="AD165" s="474" t="str">
        <f>IF('MIS 2026'!BF165&gt;0,'MIS 2026'!BF165,"")</f>
        <v/>
      </c>
      <c r="AE165" s="476" t="str">
        <f>IF('MIS 2026'!N165&gt;0,'MIS 2026'!N165,"")</f>
        <v/>
      </c>
      <c r="AF165" s="474"/>
      <c r="AG165" s="478" t="str">
        <f>IF('MIS 2026'!BV165&lt;&gt;0,'MIS 2026'!BV165,"")</f>
        <v/>
      </c>
      <c r="AH165" s="474" t="str">
        <f>IF('MIS 2026'!F165&lt;&gt;0,'MIS 2026'!F165,"")</f>
        <v>RCN/2026/1001</v>
      </c>
      <c r="AI165" s="463" t="str">
        <f t="shared" ca="1" si="35"/>
        <v/>
      </c>
      <c r="AJ165" s="474"/>
    </row>
    <row r="166" spans="1:36">
      <c r="A166" s="149" t="s">
        <v>208</v>
      </c>
      <c r="B166" s="149" t="str">
        <f>'MIS 2026'!EV166</f>
        <v>Yet to load</v>
      </c>
      <c r="C166" s="152">
        <f>'MIS 2026'!F166</f>
        <v>32016399</v>
      </c>
      <c r="D166" s="149" t="str">
        <f>'MIS 2026'!EH166</f>
        <v>VK Trading</v>
      </c>
      <c r="E166" s="151">
        <f>'MIS 2026'!AF166</f>
        <v>100</v>
      </c>
      <c r="F166" s="150">
        <f>'MIS 2026'!EK166</f>
        <v>0</v>
      </c>
      <c r="G166" s="150">
        <f t="shared" si="31"/>
        <v>0</v>
      </c>
      <c r="H166" s="149">
        <f>'MIS 2026'!EL166</f>
        <v>0</v>
      </c>
      <c r="I166" s="148"/>
      <c r="J166" s="473">
        <f>'MIS 2026'!ER166</f>
        <v>0</v>
      </c>
      <c r="K166" s="473">
        <f t="shared" si="32"/>
        <v>0</v>
      </c>
      <c r="L166" s="473">
        <f>'MIS 2026'!EW166</f>
        <v>0</v>
      </c>
      <c r="M166" s="474">
        <f>IF('MIS 2026'!EZ166&gt;0,'MIS 2026'!EW166,0)</f>
        <v>0</v>
      </c>
      <c r="N166" s="474" t="str">
        <f>'MIS 2026'!I166</f>
        <v>BISSAU</v>
      </c>
      <c r="O166" s="474" t="str">
        <f>'MIS 2026'!H166</f>
        <v>KAMAKSHI EXPORTS</v>
      </c>
      <c r="P166" s="473">
        <f>'MIS 2026'!AI166</f>
        <v>1720</v>
      </c>
      <c r="Q166" s="474" t="str">
        <f>'MIS 2026'!BQ166</f>
        <v>MANGALORE, INDIA</v>
      </c>
      <c r="R166" s="474">
        <f>'MIS 2026'!AM166</f>
        <v>0.1</v>
      </c>
      <c r="S166" s="474" t="str">
        <f>'MIS 2026'!AL166</f>
        <v>10% ADV AND 90% CAD</v>
      </c>
      <c r="T166" s="473">
        <f>'MIS 2026'!AZ166</f>
        <v>17200</v>
      </c>
      <c r="U166" s="474" t="str">
        <f>IF('MIS 2026'!BI166="","",'MIS 2026'!BI166)</f>
        <v/>
      </c>
      <c r="V166" s="475">
        <f>IF('MIS 2026'!BJ166&gt;0,'MIS 2026'!BJ166,'MIS 2026'!AF166)</f>
        <v>100</v>
      </c>
      <c r="W166" s="476" t="str">
        <f>IF('MIS 2026'!BM166="","",'MIS 2026'!BM166)</f>
        <v/>
      </c>
      <c r="X166" s="476" t="str">
        <f>IF('MIS 2026'!BO166="","",'MIS 2026'!BO166)</f>
        <v/>
      </c>
      <c r="Y166" s="473">
        <f t="shared" si="33"/>
        <v>154800</v>
      </c>
      <c r="Z166" s="473">
        <f>IF('MIS 2026'!CR166&gt;0,'MIS 2026'!CQ166,0)</f>
        <v>0</v>
      </c>
      <c r="AA166" s="473">
        <f t="shared" si="34"/>
        <v>154800</v>
      </c>
      <c r="AB166" s="476" t="str">
        <f>IF('MIS 2026'!CM166="","",'MIS 2026'!CM166)</f>
        <v/>
      </c>
      <c r="AC166" s="476" t="str">
        <f>'MIS 2026'!U166</f>
        <v>PENDING ADVANCE(20/5)-SWIFT RCVD 23/5</v>
      </c>
      <c r="AD166" s="474" t="str">
        <f>IF('MIS 2026'!BF166&gt;0,'MIS 2026'!BF166,"")</f>
        <v/>
      </c>
      <c r="AE166" s="476" t="str">
        <f>IF('MIS 2026'!N166&gt;0,'MIS 2026'!N166,"")</f>
        <v/>
      </c>
      <c r="AF166" s="474"/>
      <c r="AG166" s="478" t="str">
        <f>IF('MIS 2026'!BV166&lt;&gt;0,'MIS 2026'!BV166,"")</f>
        <v/>
      </c>
      <c r="AH166" s="474">
        <f>IF('MIS 2026'!F166&lt;&gt;0,'MIS 2026'!F166,"")</f>
        <v>32016399</v>
      </c>
      <c r="AI166" s="463" t="str">
        <f t="shared" ca="1" si="35"/>
        <v/>
      </c>
      <c r="AJ166" s="474"/>
    </row>
    <row r="167" spans="1:36">
      <c r="A167" s="149" t="s">
        <v>208</v>
      </c>
      <c r="B167" s="149" t="str">
        <f>'MIS 2026'!EV167</f>
        <v>Yet to load</v>
      </c>
      <c r="C167" s="152" t="str">
        <f>'MIS 2026'!F167</f>
        <v>32015969-4</v>
      </c>
      <c r="D167" s="149" t="str">
        <f>'MIS 2026'!EH167</f>
        <v xml:space="preserve">VALENCY IVC </v>
      </c>
      <c r="E167" s="151">
        <f>'MIS 2026'!AF167</f>
        <v>250</v>
      </c>
      <c r="F167" s="150">
        <f>'MIS 2026'!EK167</f>
        <v>0</v>
      </c>
      <c r="G167" s="150">
        <f t="shared" si="31"/>
        <v>0</v>
      </c>
      <c r="H167" s="149">
        <f>'MIS 2026'!EL167</f>
        <v>0</v>
      </c>
      <c r="I167" s="148"/>
      <c r="J167" s="473">
        <f>'MIS 2026'!ER167</f>
        <v>0</v>
      </c>
      <c r="K167" s="473">
        <f t="shared" si="32"/>
        <v>0</v>
      </c>
      <c r="L167" s="473">
        <f>'MIS 2026'!EW167</f>
        <v>0</v>
      </c>
      <c r="M167" s="474">
        <f>IF('MIS 2026'!EZ167&gt;0,'MIS 2026'!EW167,0)</f>
        <v>0</v>
      </c>
      <c r="N167" s="474" t="str">
        <f>'MIS 2026'!I167</f>
        <v>IVC</v>
      </c>
      <c r="O167" s="474" t="str">
        <f>'MIS 2026'!H167</f>
        <v>Valency Agro (Processing)</v>
      </c>
      <c r="P167" s="473">
        <f>'MIS 2026'!AI167</f>
        <v>1508</v>
      </c>
      <c r="Q167" s="474" t="str">
        <f>'MIS 2026'!BQ167</f>
        <v>MUNDRA, INDIA</v>
      </c>
      <c r="R167" s="474">
        <f>'MIS 2026'!AM167</f>
        <v>0</v>
      </c>
      <c r="S167" s="474" t="str">
        <f>'MIS 2026'!AL167</f>
        <v>DP SIGHT</v>
      </c>
      <c r="T167" s="473">
        <f>'MIS 2026'!AZ167</f>
        <v>0</v>
      </c>
      <c r="U167" s="474">
        <f>IF('MIS 2026'!BI167="","",'MIS 2026'!BI167)</f>
        <v>268584744</v>
      </c>
      <c r="V167" s="475">
        <f>IF('MIS 2026'!BJ167&gt;0,'MIS 2026'!BJ167,'MIS 2026'!AF167)</f>
        <v>237.42</v>
      </c>
      <c r="W167" s="476">
        <f>IF('MIS 2026'!BM167="","",'MIS 2026'!BM167)</f>
        <v>46172</v>
      </c>
      <c r="X167" s="476">
        <f>IF('MIS 2026'!BO167="","",'MIS 2026'!BO167)</f>
        <v>46193</v>
      </c>
      <c r="Y167" s="473">
        <f t="shared" si="33"/>
        <v>358029.36</v>
      </c>
      <c r="Z167" s="473">
        <f>IF('MIS 2026'!CR167&gt;0,'MIS 2026'!CQ167,0)</f>
        <v>0</v>
      </c>
      <c r="AA167" s="473">
        <f t="shared" si="34"/>
        <v>358029.36</v>
      </c>
      <c r="AB167" s="476" t="str">
        <f>IF('MIS 2026'!CM167="","",'MIS 2026'!CM167)</f>
        <v/>
      </c>
      <c r="AC167" s="476" t="str">
        <f>'MIS 2026'!U167</f>
        <v>DRAFT BL RCVD 26/5 SENT TO INDIA TEAM</v>
      </c>
      <c r="AD167" s="474">
        <f>IF('MIS 2026'!BF167&gt;0,'MIS 2026'!BF167,"")</f>
        <v>46078</v>
      </c>
      <c r="AE167" s="476">
        <f>IF('MIS 2026'!N167&gt;0,'MIS 2026'!N167,"")</f>
        <v>46172</v>
      </c>
      <c r="AF167" s="474"/>
      <c r="AG167" s="478" t="str">
        <f>IF('MIS 2026'!BV167&lt;&gt;0,'MIS 2026'!BV167,"")</f>
        <v/>
      </c>
      <c r="AH167" s="474" t="str">
        <f>IF('MIS 2026'!F167&lt;&gt;0,'MIS 2026'!F167,"")</f>
        <v>32015969-4</v>
      </c>
      <c r="AI167" s="463">
        <f t="shared" ca="1" si="35"/>
        <v>0</v>
      </c>
      <c r="AJ167" s="474"/>
    </row>
    <row r="168" spans="1:36">
      <c r="A168" s="149" t="s">
        <v>208</v>
      </c>
      <c r="B168" s="149" t="str">
        <f>'MIS 2026'!EV168</f>
        <v>Yet to load</v>
      </c>
      <c r="C168" s="152" t="str">
        <f>'MIS 2026'!F168</f>
        <v>32015969-1</v>
      </c>
      <c r="D168" s="149" t="str">
        <f>'MIS 2026'!EH168</f>
        <v xml:space="preserve">VALENCY IVC </v>
      </c>
      <c r="E168" s="151">
        <f>'MIS 2026'!AF168</f>
        <v>250</v>
      </c>
      <c r="F168" s="150">
        <f>'MIS 2026'!EK168</f>
        <v>0</v>
      </c>
      <c r="G168" s="150">
        <f t="shared" si="31"/>
        <v>0</v>
      </c>
      <c r="H168" s="149">
        <f>'MIS 2026'!EL168</f>
        <v>0</v>
      </c>
      <c r="I168" s="148"/>
      <c r="J168" s="473">
        <f>'MIS 2026'!ER168</f>
        <v>0</v>
      </c>
      <c r="K168" s="473">
        <f t="shared" si="32"/>
        <v>0</v>
      </c>
      <c r="L168" s="473">
        <f>'MIS 2026'!EW168</f>
        <v>0</v>
      </c>
      <c r="M168" s="474">
        <f>IF('MIS 2026'!EZ168&gt;0,'MIS 2026'!EW168,0)</f>
        <v>0</v>
      </c>
      <c r="N168" s="474" t="str">
        <f>'MIS 2026'!I168</f>
        <v>IVC</v>
      </c>
      <c r="O168" s="474" t="str">
        <f>'MIS 2026'!H168</f>
        <v>Valency Agro (Processing)</v>
      </c>
      <c r="P168" s="473">
        <f>'MIS 2026'!AI168</f>
        <v>1508</v>
      </c>
      <c r="Q168" s="474" t="str">
        <f>'MIS 2026'!BQ168</f>
        <v>MUNDRA, INDIA</v>
      </c>
      <c r="R168" s="474">
        <f>'MIS 2026'!AM168</f>
        <v>0</v>
      </c>
      <c r="S168" s="474" t="str">
        <f>'MIS 2026'!AL168</f>
        <v>DP SIGHT</v>
      </c>
      <c r="T168" s="473">
        <f>'MIS 2026'!AZ168</f>
        <v>0</v>
      </c>
      <c r="U168" s="474">
        <f>IF('MIS 2026'!BI168="","",'MIS 2026'!BI168)</f>
        <v>268586303</v>
      </c>
      <c r="V168" s="475">
        <f>IF('MIS 2026'!BJ168&gt;0,'MIS 2026'!BJ168,'MIS 2026'!AF168)</f>
        <v>238.71</v>
      </c>
      <c r="W168" s="476">
        <f>IF('MIS 2026'!BM168="","",'MIS 2026'!BM168)</f>
        <v>46172</v>
      </c>
      <c r="X168" s="476">
        <f>IF('MIS 2026'!BO168="","",'MIS 2026'!BO168)</f>
        <v>46193</v>
      </c>
      <c r="Y168" s="473">
        <f t="shared" si="33"/>
        <v>359974.68</v>
      </c>
      <c r="Z168" s="473">
        <f>IF('MIS 2026'!CR168&gt;0,'MIS 2026'!CQ168,0)</f>
        <v>0</v>
      </c>
      <c r="AA168" s="473">
        <f t="shared" si="34"/>
        <v>359974.68</v>
      </c>
      <c r="AB168" s="476" t="str">
        <f>IF('MIS 2026'!CM168="","",'MIS 2026'!CM168)</f>
        <v/>
      </c>
      <c r="AC168" s="476" t="str">
        <f>'MIS 2026'!U168</f>
        <v>DRAFT BL RCVD 21/5 SENT TO INDIA TEAM</v>
      </c>
      <c r="AD168" s="474">
        <f>IF('MIS 2026'!BF168&gt;0,'MIS 2026'!BF168,"")</f>
        <v>46078</v>
      </c>
      <c r="AE168" s="476">
        <f>IF('MIS 2026'!N168&gt;0,'MIS 2026'!N168,"")</f>
        <v>46172</v>
      </c>
      <c r="AF168" s="474"/>
      <c r="AG168" s="478" t="str">
        <f>IF('MIS 2026'!BV168&lt;&gt;0,'MIS 2026'!BV168,"")</f>
        <v/>
      </c>
      <c r="AH168" s="474" t="str">
        <f>IF('MIS 2026'!F168&lt;&gt;0,'MIS 2026'!F168,"")</f>
        <v>32015969-1</v>
      </c>
      <c r="AI168" s="463">
        <f t="shared" ca="1" si="35"/>
        <v>0</v>
      </c>
      <c r="AJ168" s="474"/>
    </row>
    <row r="169" spans="1:36">
      <c r="A169" s="149" t="s">
        <v>208</v>
      </c>
      <c r="B169" s="149" t="str">
        <f>'MIS 2026'!EV169</f>
        <v>Yet to load</v>
      </c>
      <c r="C169" s="152" t="str">
        <f>'MIS 2026'!F169</f>
        <v>32015969-2</v>
      </c>
      <c r="D169" s="149" t="str">
        <f>'MIS 2026'!EH169</f>
        <v xml:space="preserve">VALENCY IVC </v>
      </c>
      <c r="E169" s="151">
        <f>'MIS 2026'!AF169</f>
        <v>250</v>
      </c>
      <c r="F169" s="150">
        <f>'MIS 2026'!EK169</f>
        <v>0</v>
      </c>
      <c r="G169" s="150">
        <f t="shared" si="31"/>
        <v>0</v>
      </c>
      <c r="H169" s="149">
        <f>'MIS 2026'!EL169</f>
        <v>0</v>
      </c>
      <c r="I169" s="148"/>
      <c r="J169" s="473">
        <f>'MIS 2026'!ER169</f>
        <v>0</v>
      </c>
      <c r="K169" s="473">
        <f t="shared" si="32"/>
        <v>0</v>
      </c>
      <c r="L169" s="473">
        <f>'MIS 2026'!EW169</f>
        <v>0</v>
      </c>
      <c r="M169" s="474">
        <f>IF('MIS 2026'!EZ169&gt;0,'MIS 2026'!EW169,0)</f>
        <v>0</v>
      </c>
      <c r="N169" s="474" t="str">
        <f>'MIS 2026'!I169</f>
        <v>IVC</v>
      </c>
      <c r="O169" s="474" t="str">
        <f>'MIS 2026'!H169</f>
        <v>Valency Agro (Processing)</v>
      </c>
      <c r="P169" s="473">
        <f>'MIS 2026'!AI169</f>
        <v>1508</v>
      </c>
      <c r="Q169" s="474" t="str">
        <f>'MIS 2026'!BQ169</f>
        <v>MUNDRA, INDIA</v>
      </c>
      <c r="R169" s="474">
        <f>'MIS 2026'!AM169</f>
        <v>0</v>
      </c>
      <c r="S169" s="474" t="str">
        <f>'MIS 2026'!AL169</f>
        <v>DP SIGHT</v>
      </c>
      <c r="T169" s="473">
        <f>'MIS 2026'!AZ169</f>
        <v>0</v>
      </c>
      <c r="U169" s="474">
        <f>IF('MIS 2026'!BI169="","",'MIS 2026'!BI169)</f>
        <v>268589748</v>
      </c>
      <c r="V169" s="475">
        <f>IF('MIS 2026'!BJ169&gt;0,'MIS 2026'!BJ169,'MIS 2026'!AF169)</f>
        <v>239.89</v>
      </c>
      <c r="W169" s="476">
        <f>IF('MIS 2026'!BM169="","",'MIS 2026'!BM169)</f>
        <v>46172</v>
      </c>
      <c r="X169" s="476">
        <f>IF('MIS 2026'!BO169="","",'MIS 2026'!BO169)</f>
        <v>46193</v>
      </c>
      <c r="Y169" s="473">
        <f t="shared" si="33"/>
        <v>361754.12</v>
      </c>
      <c r="Z169" s="473">
        <f>IF('MIS 2026'!CR169&gt;0,'MIS 2026'!CQ169,0)</f>
        <v>0</v>
      </c>
      <c r="AA169" s="473">
        <f t="shared" si="34"/>
        <v>361754.12</v>
      </c>
      <c r="AB169" s="476" t="str">
        <f>IF('MIS 2026'!CM169="","",'MIS 2026'!CM169)</f>
        <v/>
      </c>
      <c r="AC169" s="476" t="str">
        <f>'MIS 2026'!U169</f>
        <v>DRAFT BL RCVD 21/5 SENT TO INDIA TEAM</v>
      </c>
      <c r="AD169" s="474">
        <f>IF('MIS 2026'!BF169&gt;0,'MIS 2026'!BF169,"")</f>
        <v>46078</v>
      </c>
      <c r="AE169" s="476">
        <f>IF('MIS 2026'!N169&gt;0,'MIS 2026'!N169,"")</f>
        <v>46172</v>
      </c>
      <c r="AF169" s="474"/>
      <c r="AG169" s="478" t="str">
        <f>IF('MIS 2026'!BV169&lt;&gt;0,'MIS 2026'!BV169,"")</f>
        <v/>
      </c>
      <c r="AH169" s="474" t="str">
        <f>IF('MIS 2026'!F169&lt;&gt;0,'MIS 2026'!F169,"")</f>
        <v>32015969-2</v>
      </c>
      <c r="AI169" s="463">
        <f t="shared" ca="1" si="35"/>
        <v>0</v>
      </c>
      <c r="AJ169" s="474"/>
    </row>
    <row r="170" spans="1:36">
      <c r="A170" s="149" t="s">
        <v>208</v>
      </c>
      <c r="B170" s="149" t="str">
        <f>'MIS 2026'!EV170</f>
        <v>Yet to load</v>
      </c>
      <c r="C170" s="152">
        <f>'MIS 2026'!F170</f>
        <v>32016410</v>
      </c>
      <c r="D170" s="149" t="str">
        <f>'MIS 2026'!EH170</f>
        <v xml:space="preserve">VALENCY IVC </v>
      </c>
      <c r="E170" s="151">
        <f>'MIS 2026'!AF170</f>
        <v>850</v>
      </c>
      <c r="F170" s="150">
        <f>'MIS 2026'!EK170</f>
        <v>0</v>
      </c>
      <c r="G170" s="150">
        <f t="shared" si="31"/>
        <v>0</v>
      </c>
      <c r="H170" s="149">
        <f>'MIS 2026'!EL170</f>
        <v>0</v>
      </c>
      <c r="I170" s="148"/>
      <c r="J170" s="473">
        <f>'MIS 2026'!ER170</f>
        <v>0</v>
      </c>
      <c r="K170" s="473">
        <f t="shared" si="32"/>
        <v>0</v>
      </c>
      <c r="L170" s="473">
        <f>'MIS 2026'!EW170</f>
        <v>0</v>
      </c>
      <c r="M170" s="474">
        <f>IF('MIS 2026'!EZ170&gt;0,'MIS 2026'!EW170,0)</f>
        <v>0</v>
      </c>
      <c r="N170" s="474" t="str">
        <f>'MIS 2026'!I170</f>
        <v>IVC</v>
      </c>
      <c r="O170" s="474" t="str">
        <f>'MIS 2026'!H170</f>
        <v>NGOC KHANG COMPANY</v>
      </c>
      <c r="P170" s="473">
        <f>'MIS 2026'!AI170</f>
        <v>1390</v>
      </c>
      <c r="Q170" s="474" t="str">
        <f>'MIS 2026'!BQ170</f>
        <v>CAT LAI, VIETNAM</v>
      </c>
      <c r="R170" s="474">
        <f>'MIS 2026'!AM170</f>
        <v>0.1</v>
      </c>
      <c r="S170" s="474" t="str">
        <f>'MIS 2026'!AL170</f>
        <v>10/88/2</v>
      </c>
      <c r="T170" s="473">
        <f>'MIS 2026'!AZ170</f>
        <v>118150</v>
      </c>
      <c r="U170" s="474" t="str">
        <f>IF('MIS 2026'!BI170="","",'MIS 2026'!BI170)</f>
        <v/>
      </c>
      <c r="V170" s="475">
        <f>IF('MIS 2026'!BJ170&gt;0,'MIS 2026'!BJ170,'MIS 2026'!AF170)</f>
        <v>850</v>
      </c>
      <c r="W170" s="476" t="str">
        <f>IF('MIS 2026'!BM170="","",'MIS 2026'!BM170)</f>
        <v/>
      </c>
      <c r="X170" s="476" t="str">
        <f>IF('MIS 2026'!BO170="","",'MIS 2026'!BO170)</f>
        <v/>
      </c>
      <c r="Y170" s="473">
        <f t="shared" si="33"/>
        <v>1063350</v>
      </c>
      <c r="Z170" s="473">
        <f>IF('MIS 2026'!CR170&gt;0,'MIS 2026'!CQ170,0)</f>
        <v>0</v>
      </c>
      <c r="AA170" s="473">
        <f t="shared" si="34"/>
        <v>1063350</v>
      </c>
      <c r="AB170" s="476" t="str">
        <f>IF('MIS 2026'!CM170="","",'MIS 2026'!CM170)</f>
        <v/>
      </c>
      <c r="AC170" s="476" t="str">
        <f>'MIS 2026'!U170</f>
        <v>ADVANCE RCVD 28/05</v>
      </c>
      <c r="AD170" s="474" t="str">
        <f>IF('MIS 2026'!BF170&gt;0,'MIS 2026'!BF170,"")</f>
        <v/>
      </c>
      <c r="AE170" s="476" t="str">
        <f>IF('MIS 2026'!N170&gt;0,'MIS 2026'!N170,"")</f>
        <v/>
      </c>
      <c r="AF170" s="474"/>
      <c r="AG170" s="478" t="str">
        <f>IF('MIS 2026'!BV170&lt;&gt;0,'MIS 2026'!BV170,"")</f>
        <v/>
      </c>
      <c r="AH170" s="474">
        <f>IF('MIS 2026'!F170&lt;&gt;0,'MIS 2026'!F170,"")</f>
        <v>32016410</v>
      </c>
      <c r="AI170" s="463" t="str">
        <f t="shared" ca="1" si="35"/>
        <v/>
      </c>
      <c r="AJ170" s="474"/>
    </row>
    <row r="171" spans="1:36">
      <c r="A171" s="149" t="s">
        <v>208</v>
      </c>
      <c r="B171" s="149" t="str">
        <f>'MIS 2026'!EV171</f>
        <v>Yet to load</v>
      </c>
      <c r="C171" s="152">
        <f>'MIS 2026'!F171</f>
        <v>32016406</v>
      </c>
      <c r="D171" s="149" t="str">
        <f>'MIS 2026'!EH171</f>
        <v xml:space="preserve">VALENCY IVC </v>
      </c>
      <c r="E171" s="151">
        <f>'MIS 2026'!AF171</f>
        <v>1000</v>
      </c>
      <c r="F171" s="150">
        <f>'MIS 2026'!EK171</f>
        <v>0</v>
      </c>
      <c r="G171" s="150">
        <f t="shared" si="31"/>
        <v>0</v>
      </c>
      <c r="H171" s="149">
        <f>'MIS 2026'!EL171</f>
        <v>0</v>
      </c>
      <c r="I171" s="148"/>
      <c r="J171" s="473">
        <f>'MIS 2026'!ER171</f>
        <v>0</v>
      </c>
      <c r="K171" s="473">
        <f t="shared" si="32"/>
        <v>0</v>
      </c>
      <c r="L171" s="473">
        <f>'MIS 2026'!EW171</f>
        <v>0</v>
      </c>
      <c r="M171" s="474">
        <f>IF('MIS 2026'!EZ171&gt;0,'MIS 2026'!EW171,0)</f>
        <v>0</v>
      </c>
      <c r="N171" s="474" t="str">
        <f>'MIS 2026'!I171</f>
        <v>IVC</v>
      </c>
      <c r="O171" s="474" t="str">
        <f>'MIS 2026'!H171</f>
        <v>HOANG SON I JOINT STOCK COMPANY</v>
      </c>
      <c r="P171" s="473">
        <f>'MIS 2026'!AI171</f>
        <v>1380</v>
      </c>
      <c r="Q171" s="474" t="str">
        <f>'MIS 2026'!BQ171</f>
        <v>HCMC, VIETNAM</v>
      </c>
      <c r="R171" s="474">
        <f>'MIS 2026'!AM171</f>
        <v>0.1</v>
      </c>
      <c r="S171" s="474" t="str">
        <f>'MIS 2026'!AL171</f>
        <v>10/88/2</v>
      </c>
      <c r="T171" s="473">
        <f>'MIS 2026'!AZ171</f>
        <v>138000</v>
      </c>
      <c r="U171" s="474" t="str">
        <f>IF('MIS 2026'!BI171="","",'MIS 2026'!BI171)</f>
        <v/>
      </c>
      <c r="V171" s="475">
        <f>IF('MIS 2026'!BJ171&gt;0,'MIS 2026'!BJ171,'MIS 2026'!AF171)</f>
        <v>1000</v>
      </c>
      <c r="W171" s="476" t="str">
        <f>IF('MIS 2026'!BM171="","",'MIS 2026'!BM171)</f>
        <v/>
      </c>
      <c r="X171" s="476" t="str">
        <f>IF('MIS 2026'!BO171="","",'MIS 2026'!BO171)</f>
        <v/>
      </c>
      <c r="Y171" s="473">
        <f t="shared" si="33"/>
        <v>1242000</v>
      </c>
      <c r="Z171" s="473">
        <f>IF('MIS 2026'!CR171&gt;0,'MIS 2026'!CQ171,0)</f>
        <v>0</v>
      </c>
      <c r="AA171" s="473">
        <f t="shared" si="34"/>
        <v>1242000</v>
      </c>
      <c r="AB171" s="476" t="str">
        <f>IF('MIS 2026'!CM171="","",'MIS 2026'!CM171)</f>
        <v/>
      </c>
      <c r="AC171" s="476" t="str">
        <f>'MIS 2026'!U171</f>
        <v>ADVANCE RCVD 22/5</v>
      </c>
      <c r="AD171" s="474" t="str">
        <f>IF('MIS 2026'!BF171&gt;0,'MIS 2026'!BF171,"")</f>
        <v/>
      </c>
      <c r="AE171" s="476" t="str">
        <f>IF('MIS 2026'!N171&gt;0,'MIS 2026'!N171,"")</f>
        <v/>
      </c>
      <c r="AF171" s="474"/>
      <c r="AG171" s="478" t="str">
        <f>IF('MIS 2026'!BV171&lt;&gt;0,'MIS 2026'!BV171,"")</f>
        <v/>
      </c>
      <c r="AH171" s="474">
        <f>IF('MIS 2026'!F171&lt;&gt;0,'MIS 2026'!F171,"")</f>
        <v>32016406</v>
      </c>
      <c r="AI171" s="463" t="str">
        <f t="shared" ca="1" si="35"/>
        <v/>
      </c>
      <c r="AJ171" s="474"/>
    </row>
    <row r="172" spans="1:36">
      <c r="A172" s="149" t="s">
        <v>208</v>
      </c>
      <c r="B172" s="149" t="str">
        <f>'MIS 2026'!EV172</f>
        <v>Yet to load</v>
      </c>
      <c r="C172" s="152">
        <f>'MIS 2026'!F172</f>
        <v>32016408</v>
      </c>
      <c r="D172" s="149" t="str">
        <f>'MIS 2026'!EH172</f>
        <v xml:space="preserve">VALENCY IVC </v>
      </c>
      <c r="E172" s="151">
        <f>'MIS 2026'!AF172</f>
        <v>500</v>
      </c>
      <c r="F172" s="150">
        <f>'MIS 2026'!EK172</f>
        <v>0</v>
      </c>
      <c r="G172" s="150">
        <f t="shared" si="31"/>
        <v>0</v>
      </c>
      <c r="H172" s="149">
        <f>'MIS 2026'!EL172</f>
        <v>0</v>
      </c>
      <c r="I172" s="148"/>
      <c r="J172" s="473">
        <f>'MIS 2026'!ER172</f>
        <v>0</v>
      </c>
      <c r="K172" s="473">
        <f t="shared" si="32"/>
        <v>0</v>
      </c>
      <c r="L172" s="473">
        <f>'MIS 2026'!EW172</f>
        <v>0</v>
      </c>
      <c r="M172" s="474">
        <f>IF('MIS 2026'!EZ172&gt;0,'MIS 2026'!EW172,0)</f>
        <v>0</v>
      </c>
      <c r="N172" s="474" t="str">
        <f>'MIS 2026'!I172</f>
        <v>IVC</v>
      </c>
      <c r="O172" s="474" t="str">
        <f>'MIS 2026'!H172</f>
        <v xml:space="preserve">KIEU LOAN COMPANY LIMITED </v>
      </c>
      <c r="P172" s="473">
        <f>'MIS 2026'!AI172</f>
        <v>1380</v>
      </c>
      <c r="Q172" s="474" t="str">
        <f>'MIS 2026'!BQ172</f>
        <v>Cat Lai/ SPCT in HCM City</v>
      </c>
      <c r="R172" s="474">
        <f>'MIS 2026'!AM172</f>
        <v>0.1</v>
      </c>
      <c r="S172" s="474" t="str">
        <f>'MIS 2026'!AL172</f>
        <v>10/88/2</v>
      </c>
      <c r="T172" s="473">
        <f>'MIS 2026'!AZ172</f>
        <v>69000</v>
      </c>
      <c r="U172" s="474" t="str">
        <f>IF('MIS 2026'!BI172="","",'MIS 2026'!BI172)</f>
        <v/>
      </c>
      <c r="V172" s="475">
        <f>IF('MIS 2026'!BJ172&gt;0,'MIS 2026'!BJ172,'MIS 2026'!AF172)</f>
        <v>500</v>
      </c>
      <c r="W172" s="476" t="str">
        <f>IF('MIS 2026'!BM172="","",'MIS 2026'!BM172)</f>
        <v/>
      </c>
      <c r="X172" s="476" t="str">
        <f>IF('MIS 2026'!BO172="","",'MIS 2026'!BO172)</f>
        <v/>
      </c>
      <c r="Y172" s="473">
        <f t="shared" si="33"/>
        <v>621000</v>
      </c>
      <c r="Z172" s="473">
        <f>IF('MIS 2026'!CR172&gt;0,'MIS 2026'!CQ172,0)</f>
        <v>0</v>
      </c>
      <c r="AA172" s="473">
        <f t="shared" si="34"/>
        <v>621000</v>
      </c>
      <c r="AB172" s="476" t="str">
        <f>IF('MIS 2026'!CM172="","",'MIS 2026'!CM172)</f>
        <v/>
      </c>
      <c r="AC172" s="476" t="str">
        <f>'MIS 2026'!U172</f>
        <v>ADV RCVD 26/05</v>
      </c>
      <c r="AD172" s="474" t="str">
        <f>IF('MIS 2026'!BF172&gt;0,'MIS 2026'!BF172,"")</f>
        <v/>
      </c>
      <c r="AE172" s="476" t="str">
        <f>IF('MIS 2026'!N172&gt;0,'MIS 2026'!N172,"")</f>
        <v/>
      </c>
      <c r="AF172" s="474"/>
      <c r="AG172" s="478" t="str">
        <f>IF('MIS 2026'!BV172&lt;&gt;0,'MIS 2026'!BV172,"")</f>
        <v/>
      </c>
      <c r="AH172" s="474">
        <f>IF('MIS 2026'!F172&lt;&gt;0,'MIS 2026'!F172,"")</f>
        <v>32016408</v>
      </c>
      <c r="AI172" s="463" t="str">
        <f t="shared" ca="1" si="35"/>
        <v/>
      </c>
      <c r="AJ172" s="474"/>
    </row>
    <row r="173" spans="1:36">
      <c r="A173" s="149" t="s">
        <v>208</v>
      </c>
      <c r="B173" s="149" t="str">
        <f>'MIS 2026'!EV173</f>
        <v>Yet to load</v>
      </c>
      <c r="C173" s="152" t="str">
        <f>'MIS 2026'!F173</f>
        <v>32015969-3</v>
      </c>
      <c r="D173" s="149" t="str">
        <f>'MIS 2026'!EH173</f>
        <v xml:space="preserve">VALENCY IVC </v>
      </c>
      <c r="E173" s="151">
        <f>'MIS 2026'!AF173</f>
        <v>250</v>
      </c>
      <c r="F173" s="150">
        <f>'MIS 2026'!EK173</f>
        <v>0</v>
      </c>
      <c r="G173" s="150">
        <f t="shared" si="31"/>
        <v>0</v>
      </c>
      <c r="H173" s="149">
        <f>'MIS 2026'!EL173</f>
        <v>0</v>
      </c>
      <c r="I173" s="148"/>
      <c r="J173" s="473">
        <f>'MIS 2026'!ER173</f>
        <v>0</v>
      </c>
      <c r="K173" s="473">
        <f t="shared" si="32"/>
        <v>0</v>
      </c>
      <c r="L173" s="473">
        <f>'MIS 2026'!EW173</f>
        <v>0</v>
      </c>
      <c r="M173" s="474">
        <f>IF('MIS 2026'!EZ173&gt;0,'MIS 2026'!EW173,0)</f>
        <v>0</v>
      </c>
      <c r="N173" s="474" t="str">
        <f>'MIS 2026'!I173</f>
        <v>IVC</v>
      </c>
      <c r="O173" s="474" t="str">
        <f>'MIS 2026'!H173</f>
        <v>Valency Agro (Processing)</v>
      </c>
      <c r="P173" s="473">
        <f>'MIS 2026'!AI173</f>
        <v>1508</v>
      </c>
      <c r="Q173" s="474" t="str">
        <f>'MIS 2026'!BQ173</f>
        <v>MUNDRA, INDIA</v>
      </c>
      <c r="R173" s="474">
        <f>'MIS 2026'!AM173</f>
        <v>0</v>
      </c>
      <c r="S173" s="474" t="str">
        <f>'MIS 2026'!AL173</f>
        <v>DP SIGHT</v>
      </c>
      <c r="T173" s="473">
        <f>'MIS 2026'!AZ173</f>
        <v>0</v>
      </c>
      <c r="U173" s="474">
        <f>IF('MIS 2026'!BI173="","",'MIS 2026'!BI173)</f>
        <v>268590042</v>
      </c>
      <c r="V173" s="475">
        <f>IF('MIS 2026'!BJ173&gt;0,'MIS 2026'!BJ173,'MIS 2026'!AF173)</f>
        <v>240.24</v>
      </c>
      <c r="W173" s="476">
        <f>IF('MIS 2026'!BM173="","",'MIS 2026'!BM173)</f>
        <v>46172</v>
      </c>
      <c r="X173" s="476">
        <f>IF('MIS 2026'!BO173="","",'MIS 2026'!BO173)</f>
        <v>46193</v>
      </c>
      <c r="Y173" s="473">
        <f t="shared" si="33"/>
        <v>362281.92000000004</v>
      </c>
      <c r="Z173" s="473">
        <f>IF('MIS 2026'!CR173&gt;0,'MIS 2026'!CQ173,0)</f>
        <v>0</v>
      </c>
      <c r="AA173" s="473">
        <f t="shared" si="34"/>
        <v>362281.92000000004</v>
      </c>
      <c r="AB173" s="476" t="str">
        <f>IF('MIS 2026'!CM173="","",'MIS 2026'!CM173)</f>
        <v/>
      </c>
      <c r="AC173" s="476" t="str">
        <f>'MIS 2026'!U173</f>
        <v>DRAFT BL RCVD 21/5 SENT TO INDIA TEAM</v>
      </c>
      <c r="AD173" s="474">
        <f>IF('MIS 2026'!BF173&gt;0,'MIS 2026'!BF173,"")</f>
        <v>46078</v>
      </c>
      <c r="AE173" s="476">
        <f>IF('MIS 2026'!N173&gt;0,'MIS 2026'!N173,"")</f>
        <v>46172</v>
      </c>
      <c r="AF173" s="474"/>
      <c r="AG173" s="478" t="str">
        <f>IF('MIS 2026'!BV173&lt;&gt;0,'MIS 2026'!BV173,"")</f>
        <v/>
      </c>
      <c r="AH173" s="474" t="str">
        <f>IF('MIS 2026'!F173&lt;&gt;0,'MIS 2026'!F173,"")</f>
        <v>32015969-3</v>
      </c>
      <c r="AI173" s="463">
        <f t="shared" ca="1" si="35"/>
        <v>0</v>
      </c>
      <c r="AJ173" s="474"/>
    </row>
    <row r="174" spans="1:36">
      <c r="A174" s="149" t="s">
        <v>208</v>
      </c>
      <c r="B174" s="149">
        <f>'MIS 2026'!EV174</f>
        <v>0</v>
      </c>
      <c r="C174" s="152" t="str">
        <f>'MIS 2026'!F174</f>
        <v>32015969-5</v>
      </c>
      <c r="D174" s="149" t="str">
        <f>'MIS 2026'!EH174</f>
        <v xml:space="preserve">VALENCY IVC </v>
      </c>
      <c r="E174" s="151">
        <f>'MIS 2026'!AF174</f>
        <v>250</v>
      </c>
      <c r="F174" s="150">
        <f>'MIS 2026'!EK174</f>
        <v>0</v>
      </c>
      <c r="G174" s="150">
        <f t="shared" si="31"/>
        <v>0</v>
      </c>
      <c r="H174" s="149">
        <f>'MIS 2026'!EL174</f>
        <v>0</v>
      </c>
      <c r="I174" s="148"/>
      <c r="J174" s="473">
        <f>'MIS 2026'!ER174</f>
        <v>0</v>
      </c>
      <c r="K174" s="473">
        <f t="shared" si="32"/>
        <v>0</v>
      </c>
      <c r="L174" s="473">
        <f>'MIS 2026'!EW174</f>
        <v>0</v>
      </c>
      <c r="M174" s="474">
        <f>IF('MIS 2026'!EZ174&gt;0,'MIS 2026'!EW174,0)</f>
        <v>0</v>
      </c>
      <c r="N174" s="474" t="str">
        <f>'MIS 2026'!I174</f>
        <v>IVC</v>
      </c>
      <c r="O174" s="474" t="str">
        <f>'MIS 2026'!H174</f>
        <v>Valency Agro (Processing)</v>
      </c>
      <c r="P174" s="473">
        <f>'MIS 2026'!AI174</f>
        <v>1508</v>
      </c>
      <c r="Q174" s="474" t="str">
        <f>'MIS 2026'!BQ174</f>
        <v>MUNDRA, INDIA</v>
      </c>
      <c r="R174" s="474">
        <f>'MIS 2026'!AM174</f>
        <v>0</v>
      </c>
      <c r="S174" s="474" t="str">
        <f>'MIS 2026'!AL174</f>
        <v>DP SIGHT</v>
      </c>
      <c r="T174" s="473">
        <f>'MIS 2026'!AZ174</f>
        <v>0</v>
      </c>
      <c r="U174" s="474">
        <f>IF('MIS 2026'!BI174="","",'MIS 2026'!BI174)</f>
        <v>268585803</v>
      </c>
      <c r="V174" s="475">
        <f>IF('MIS 2026'!BJ174&gt;0,'MIS 2026'!BJ174,'MIS 2026'!AF174)</f>
        <v>244.22</v>
      </c>
      <c r="W174" s="476">
        <f>IF('MIS 2026'!BM174="","",'MIS 2026'!BM174)</f>
        <v>46172</v>
      </c>
      <c r="X174" s="476">
        <f>IF('MIS 2026'!BO174="","",'MIS 2026'!BO174)</f>
        <v>46193</v>
      </c>
      <c r="Y174" s="473">
        <f t="shared" si="33"/>
        <v>368283.76</v>
      </c>
      <c r="Z174" s="473">
        <f>IF('MIS 2026'!CR174&gt;0,'MIS 2026'!CQ174,0)</f>
        <v>0</v>
      </c>
      <c r="AA174" s="473">
        <f t="shared" si="34"/>
        <v>368283.76</v>
      </c>
      <c r="AB174" s="476" t="str">
        <f>IF('MIS 2026'!CM174="","",'MIS 2026'!CM174)</f>
        <v/>
      </c>
      <c r="AC174" s="476" t="str">
        <f>'MIS 2026'!U174</f>
        <v>DRAFT BL RCVD 26/5 SENT TO INDIA TEAM</v>
      </c>
      <c r="AD174" s="474">
        <f>IF('MIS 2026'!BF174&gt;0,'MIS 2026'!BF174,"")</f>
        <v>46078</v>
      </c>
      <c r="AE174" s="476">
        <f>IF('MIS 2026'!N174&gt;0,'MIS 2026'!N174,"")</f>
        <v>46172</v>
      </c>
      <c r="AF174" s="474"/>
      <c r="AG174" s="478" t="str">
        <f>IF('MIS 2026'!BV174&lt;&gt;0,'MIS 2026'!BV174,"")</f>
        <v/>
      </c>
      <c r="AH174" s="474" t="str">
        <f>IF('MIS 2026'!F174&lt;&gt;0,'MIS 2026'!F174,"")</f>
        <v>32015969-5</v>
      </c>
      <c r="AI174" s="463">
        <f t="shared" ca="1" si="35"/>
        <v>0</v>
      </c>
      <c r="AJ174" s="474"/>
    </row>
    <row r="175" spans="1:36">
      <c r="A175" s="149" t="s">
        <v>208</v>
      </c>
      <c r="B175" s="149">
        <f>'MIS 2026'!EV175</f>
        <v>0</v>
      </c>
      <c r="C175" s="152" t="str">
        <f>'MIS 2026'!F175</f>
        <v>32015969-6</v>
      </c>
      <c r="D175" s="149" t="str">
        <f>'MIS 2026'!EH175</f>
        <v xml:space="preserve">VALENCY IVC </v>
      </c>
      <c r="E175" s="151">
        <f>'MIS 2026'!AF175</f>
        <v>250</v>
      </c>
      <c r="F175" s="150">
        <f>'MIS 2026'!EK175</f>
        <v>0</v>
      </c>
      <c r="G175" s="150">
        <f t="shared" si="31"/>
        <v>0</v>
      </c>
      <c r="H175" s="149">
        <f>'MIS 2026'!EL175</f>
        <v>0</v>
      </c>
      <c r="I175" s="148"/>
      <c r="J175" s="473">
        <f>'MIS 2026'!ER175</f>
        <v>0</v>
      </c>
      <c r="K175" s="473">
        <f t="shared" si="32"/>
        <v>0</v>
      </c>
      <c r="L175" s="473">
        <f>'MIS 2026'!EW175</f>
        <v>0</v>
      </c>
      <c r="M175" s="474">
        <f>IF('MIS 2026'!EZ175&gt;0,'MIS 2026'!EW175,0)</f>
        <v>0</v>
      </c>
      <c r="N175" s="474" t="str">
        <f>'MIS 2026'!I175</f>
        <v>IVC</v>
      </c>
      <c r="O175" s="474" t="str">
        <f>'MIS 2026'!H175</f>
        <v>Valency Agro (Processing)</v>
      </c>
      <c r="P175" s="473">
        <f>'MIS 2026'!AI175</f>
        <v>1508</v>
      </c>
      <c r="Q175" s="474" t="str">
        <f>'MIS 2026'!BQ175</f>
        <v>MUNDRA, INDIA</v>
      </c>
      <c r="R175" s="474">
        <f>'MIS 2026'!AM175</f>
        <v>0</v>
      </c>
      <c r="S175" s="474" t="str">
        <f>'MIS 2026'!AL175</f>
        <v>DP SIGHT</v>
      </c>
      <c r="T175" s="473">
        <f>'MIS 2026'!AZ175</f>
        <v>0</v>
      </c>
      <c r="U175" s="474">
        <f>IF('MIS 2026'!BI175="","",'MIS 2026'!BI175)</f>
        <v>268593044</v>
      </c>
      <c r="V175" s="475">
        <f>IF('MIS 2026'!BJ175&gt;0,'MIS 2026'!BJ175,'MIS 2026'!AF175)</f>
        <v>235.62</v>
      </c>
      <c r="W175" s="476">
        <f>IF('MIS 2026'!BM175="","",'MIS 2026'!BM175)</f>
        <v>46172</v>
      </c>
      <c r="X175" s="476">
        <f>IF('MIS 2026'!BO175="","",'MIS 2026'!BO175)</f>
        <v>46193</v>
      </c>
      <c r="Y175" s="473">
        <f t="shared" si="33"/>
        <v>355314.96</v>
      </c>
      <c r="Z175" s="473">
        <f>IF('MIS 2026'!CR175&gt;0,'MIS 2026'!CQ175,0)</f>
        <v>0</v>
      </c>
      <c r="AA175" s="473">
        <f t="shared" si="34"/>
        <v>355314.96</v>
      </c>
      <c r="AB175" s="476" t="str">
        <f>IF('MIS 2026'!CM175="","",'MIS 2026'!CM175)</f>
        <v/>
      </c>
      <c r="AC175" s="476" t="str">
        <f>'MIS 2026'!U175</f>
        <v>DRAFT BL RCVD 26/5 SENT TO INDIA TEAM</v>
      </c>
      <c r="AD175" s="474">
        <f>IF('MIS 2026'!BF175&gt;0,'MIS 2026'!BF175,"")</f>
        <v>46078</v>
      </c>
      <c r="AE175" s="476">
        <f>IF('MIS 2026'!N175&gt;0,'MIS 2026'!N175,"")</f>
        <v>46172</v>
      </c>
      <c r="AF175" s="474"/>
      <c r="AG175" s="478" t="str">
        <f>IF('MIS 2026'!BV175&lt;&gt;0,'MIS 2026'!BV175,"")</f>
        <v/>
      </c>
      <c r="AH175" s="474" t="str">
        <f>IF('MIS 2026'!F175&lt;&gt;0,'MIS 2026'!F175,"")</f>
        <v>32015969-6</v>
      </c>
      <c r="AI175" s="463">
        <f t="shared" ca="1" si="35"/>
        <v>0</v>
      </c>
      <c r="AJ175" s="474"/>
    </row>
    <row r="176" spans="1:36">
      <c r="A176" s="622" t="s">
        <v>208</v>
      </c>
      <c r="B176" s="622" t="str">
        <f>'MIS 2026'!EV176</f>
        <v>Yet to load</v>
      </c>
      <c r="C176" s="623" t="str">
        <f>'MIS 2026'!F176</f>
        <v>32015968-5</v>
      </c>
      <c r="D176" s="622" t="str">
        <f>'MIS 2026'!EH176</f>
        <v xml:space="preserve">VALENCY IVC </v>
      </c>
      <c r="E176" s="624">
        <f>'MIS 2026'!AF176</f>
        <v>250</v>
      </c>
      <c r="F176" s="625">
        <f>'MIS 2026'!EK176</f>
        <v>0</v>
      </c>
      <c r="G176" s="625">
        <f t="shared" ref="G176:G197" si="36">F176*E176</f>
        <v>0</v>
      </c>
      <c r="H176" s="622">
        <f>'MIS 2026'!EL176</f>
        <v>0</v>
      </c>
      <c r="I176" s="626"/>
      <c r="J176" s="627">
        <f>'MIS 2026'!ER176</f>
        <v>0</v>
      </c>
      <c r="K176" s="627">
        <f t="shared" ref="K176:K197" si="37">G176-J176</f>
        <v>0</v>
      </c>
      <c r="L176" s="627">
        <f>'MIS 2026'!EW176</f>
        <v>0</v>
      </c>
      <c r="M176" s="628">
        <f>IF('MIS 2026'!EZ176&gt;0,'MIS 2026'!EW176,0)</f>
        <v>0</v>
      </c>
      <c r="N176" s="628" t="str">
        <f>'MIS 2026'!I176</f>
        <v>IVC</v>
      </c>
      <c r="O176" s="628" t="str">
        <f>'MIS 2026'!H176</f>
        <v>Valency Agro (Processing)</v>
      </c>
      <c r="P176" s="627">
        <f>'MIS 2026'!AI176</f>
        <v>1508</v>
      </c>
      <c r="Q176" s="628" t="str">
        <f>'MIS 2026'!BQ176</f>
        <v>MANGALORE, INDIA</v>
      </c>
      <c r="R176" s="628">
        <f>'MIS 2026'!AM176</f>
        <v>0</v>
      </c>
      <c r="S176" s="628" t="str">
        <f>'MIS 2026'!AL176</f>
        <v>DP SIGHT</v>
      </c>
      <c r="T176" s="627">
        <f>'MIS 2026'!AZ176</f>
        <v>0</v>
      </c>
      <c r="U176" s="628">
        <f>IF('MIS 2026'!BI176="","",'MIS 2026'!BI176)</f>
        <v>268607083</v>
      </c>
      <c r="V176" s="629">
        <f>IF('MIS 2026'!BJ176&gt;0,'MIS 2026'!BJ176,'MIS 2026'!AF176)</f>
        <v>247.91</v>
      </c>
      <c r="W176" s="630">
        <f>IF('MIS 2026'!BM176="","",'MIS 2026'!BM176)</f>
        <v>46172</v>
      </c>
      <c r="X176" s="630">
        <f>IF('MIS 2026'!BO176="","",'MIS 2026'!BO176)</f>
        <v>46202</v>
      </c>
      <c r="Y176" s="627">
        <f t="shared" ref="Y176:Y197" si="38">(V176*P176)-T176</f>
        <v>373848.27999999997</v>
      </c>
      <c r="Z176" s="627">
        <f>IF('MIS 2026'!CR176&gt;0,'MIS 2026'!CQ176,0)</f>
        <v>0</v>
      </c>
      <c r="AA176" s="627">
        <f t="shared" ref="AA176:AA197" si="39">Y176-Z176</f>
        <v>373848.27999999997</v>
      </c>
      <c r="AB176" s="630" t="str">
        <f>IF('MIS 2026'!CM176="","",'MIS 2026'!CM176)</f>
        <v/>
      </c>
      <c r="AC176" s="630" t="str">
        <f>'MIS 2026'!U176</f>
        <v>DRAFT BL APPROVED 23/5</v>
      </c>
      <c r="AD176" s="628">
        <f>IF('MIS 2026'!BF176&gt;0,'MIS 2026'!BF176,"")</f>
        <v>46078</v>
      </c>
      <c r="AE176" s="630">
        <f>IF('MIS 2026'!N176&gt;0,'MIS 2026'!N176,"")</f>
        <v>46172</v>
      </c>
      <c r="AF176" s="628"/>
      <c r="AG176" s="631" t="str">
        <f>IF('MIS 2026'!BV176&lt;&gt;0,'MIS 2026'!BV176,"")</f>
        <v/>
      </c>
      <c r="AH176" s="628" t="str">
        <f>IF('MIS 2026'!F176&lt;&gt;0,'MIS 2026'!F176,"")</f>
        <v>32015968-5</v>
      </c>
      <c r="AI176" s="463">
        <f t="shared" ref="AI176:AI197" ca="1" si="40">IFERROR(IF(AB176="",TODAY()-W176,""),"")</f>
        <v>0</v>
      </c>
      <c r="AJ176" s="628"/>
    </row>
    <row r="177" spans="1:36">
      <c r="A177" s="622" t="s">
        <v>208</v>
      </c>
      <c r="B177" s="622" t="str">
        <f>'MIS 2026'!EV177</f>
        <v>Yet to load</v>
      </c>
      <c r="C177" s="623" t="str">
        <f>'MIS 2026'!F177</f>
        <v>32015968-6</v>
      </c>
      <c r="D177" s="622" t="str">
        <f>'MIS 2026'!EH177</f>
        <v xml:space="preserve">VALENCY IVC </v>
      </c>
      <c r="E177" s="624">
        <f>'MIS 2026'!AF177</f>
        <v>250</v>
      </c>
      <c r="F177" s="625">
        <f>'MIS 2026'!EK177</f>
        <v>0</v>
      </c>
      <c r="G177" s="625">
        <f t="shared" si="36"/>
        <v>0</v>
      </c>
      <c r="H177" s="622">
        <f>'MIS 2026'!EL177</f>
        <v>0</v>
      </c>
      <c r="I177" s="626"/>
      <c r="J177" s="627">
        <f>'MIS 2026'!ER177</f>
        <v>0</v>
      </c>
      <c r="K177" s="627">
        <f t="shared" si="37"/>
        <v>0</v>
      </c>
      <c r="L177" s="627">
        <f>'MIS 2026'!EW177</f>
        <v>0</v>
      </c>
      <c r="M177" s="628">
        <f>IF('MIS 2026'!EZ177&gt;0,'MIS 2026'!EW177,0)</f>
        <v>0</v>
      </c>
      <c r="N177" s="628" t="str">
        <f>'MIS 2026'!I177</f>
        <v>IVC</v>
      </c>
      <c r="O177" s="628" t="str">
        <f>'MIS 2026'!H177</f>
        <v>Valency Agro (Processing)</v>
      </c>
      <c r="P177" s="627">
        <f>'MIS 2026'!AI177</f>
        <v>1508</v>
      </c>
      <c r="Q177" s="628" t="str">
        <f>'MIS 2026'!BQ177</f>
        <v>MANGALORE, INDIA</v>
      </c>
      <c r="R177" s="628">
        <f>'MIS 2026'!AM177</f>
        <v>0</v>
      </c>
      <c r="S177" s="628" t="str">
        <f>'MIS 2026'!AL177</f>
        <v>DP SIGHT</v>
      </c>
      <c r="T177" s="627">
        <f>'MIS 2026'!AZ177</f>
        <v>0</v>
      </c>
      <c r="U177" s="628">
        <f>IF('MIS 2026'!BI177="","",'MIS 2026'!BI177)</f>
        <v>268606982</v>
      </c>
      <c r="V177" s="629">
        <f>IF('MIS 2026'!BJ177&gt;0,'MIS 2026'!BJ177,'MIS 2026'!AF177)</f>
        <v>244.37</v>
      </c>
      <c r="W177" s="630">
        <f>IF('MIS 2026'!BM177="","",'MIS 2026'!BM177)</f>
        <v>46172</v>
      </c>
      <c r="X177" s="630">
        <f>IF('MIS 2026'!BO177="","",'MIS 2026'!BO177)</f>
        <v>46202</v>
      </c>
      <c r="Y177" s="627">
        <f t="shared" si="38"/>
        <v>368509.96</v>
      </c>
      <c r="Z177" s="627">
        <f>IF('MIS 2026'!CR177&gt;0,'MIS 2026'!CQ177,0)</f>
        <v>0</v>
      </c>
      <c r="AA177" s="627">
        <f t="shared" si="39"/>
        <v>368509.96</v>
      </c>
      <c r="AB177" s="630" t="str">
        <f>IF('MIS 2026'!CM177="","",'MIS 2026'!CM177)</f>
        <v/>
      </c>
      <c r="AC177" s="630" t="str">
        <f>'MIS 2026'!U177</f>
        <v>DRAFT BL APPROVED 23/5</v>
      </c>
      <c r="AD177" s="628">
        <f>IF('MIS 2026'!BF177&gt;0,'MIS 2026'!BF177,"")</f>
        <v>46078</v>
      </c>
      <c r="AE177" s="630">
        <f>IF('MIS 2026'!N177&gt;0,'MIS 2026'!N177,"")</f>
        <v>46172</v>
      </c>
      <c r="AF177" s="628"/>
      <c r="AG177" s="631" t="str">
        <f>IF('MIS 2026'!BV177&lt;&gt;0,'MIS 2026'!BV177,"")</f>
        <v/>
      </c>
      <c r="AH177" s="628" t="str">
        <f>IF('MIS 2026'!F177&lt;&gt;0,'MIS 2026'!F177,"")</f>
        <v>32015968-6</v>
      </c>
      <c r="AI177" s="463">
        <f t="shared" ca="1" si="40"/>
        <v>0</v>
      </c>
      <c r="AJ177" s="628"/>
    </row>
    <row r="178" spans="1:36">
      <c r="A178" s="622" t="s">
        <v>208</v>
      </c>
      <c r="B178" s="622">
        <f>'MIS 2026'!EV178</f>
        <v>0</v>
      </c>
      <c r="C178" s="623" t="str">
        <f>'MIS 2026'!F178</f>
        <v>32015968-7</v>
      </c>
      <c r="D178" s="622" t="str">
        <f>'MIS 2026'!EH178</f>
        <v xml:space="preserve">VALENCY IVC </v>
      </c>
      <c r="E178" s="624">
        <f>'MIS 2026'!AF178</f>
        <v>250</v>
      </c>
      <c r="F178" s="625">
        <f>'MIS 2026'!EK178</f>
        <v>0</v>
      </c>
      <c r="G178" s="625">
        <f t="shared" si="36"/>
        <v>0</v>
      </c>
      <c r="H178" s="622">
        <f>'MIS 2026'!EL178</f>
        <v>0</v>
      </c>
      <c r="I178" s="626"/>
      <c r="J178" s="627">
        <f>'MIS 2026'!ER178</f>
        <v>0</v>
      </c>
      <c r="K178" s="627">
        <f t="shared" si="37"/>
        <v>0</v>
      </c>
      <c r="L178" s="627">
        <f>'MIS 2026'!EW178</f>
        <v>0</v>
      </c>
      <c r="M178" s="628">
        <f>IF('MIS 2026'!EZ178&gt;0,'MIS 2026'!EW178,0)</f>
        <v>0</v>
      </c>
      <c r="N178" s="628" t="str">
        <f>'MIS 2026'!I178</f>
        <v>IVC</v>
      </c>
      <c r="O178" s="628" t="str">
        <f>'MIS 2026'!H178</f>
        <v>Valency Agro (Processing)</v>
      </c>
      <c r="P178" s="627">
        <f>'MIS 2026'!AI178</f>
        <v>1508</v>
      </c>
      <c r="Q178" s="628" t="str">
        <f>'MIS 2026'!BQ178</f>
        <v>MANGALORE, INDIA</v>
      </c>
      <c r="R178" s="628">
        <f>'MIS 2026'!AM178</f>
        <v>0</v>
      </c>
      <c r="S178" s="628" t="str">
        <f>'MIS 2026'!AL178</f>
        <v>DP SIGHT</v>
      </c>
      <c r="T178" s="627">
        <f>'MIS 2026'!AZ178</f>
        <v>0</v>
      </c>
      <c r="U178" s="628">
        <f>IF('MIS 2026'!BI178="","",'MIS 2026'!BI178)</f>
        <v>268607193</v>
      </c>
      <c r="V178" s="629">
        <f>IF('MIS 2026'!BJ178&gt;0,'MIS 2026'!BJ178,'MIS 2026'!AF178)</f>
        <v>243.56</v>
      </c>
      <c r="W178" s="630">
        <f>IF('MIS 2026'!BM178="","",'MIS 2026'!BM178)</f>
        <v>46172</v>
      </c>
      <c r="X178" s="630">
        <f>IF('MIS 2026'!BO178="","",'MIS 2026'!BO178)</f>
        <v>46202</v>
      </c>
      <c r="Y178" s="627">
        <f t="shared" si="38"/>
        <v>367288.48</v>
      </c>
      <c r="Z178" s="627">
        <f>IF('MIS 2026'!CR178&gt;0,'MIS 2026'!CQ178,0)</f>
        <v>0</v>
      </c>
      <c r="AA178" s="627">
        <f t="shared" si="39"/>
        <v>367288.48</v>
      </c>
      <c r="AB178" s="630" t="str">
        <f>IF('MIS 2026'!CM178="","",'MIS 2026'!CM178)</f>
        <v/>
      </c>
      <c r="AC178" s="630" t="str">
        <f>'MIS 2026'!U178</f>
        <v>DRAFT BL RCVD 23/5</v>
      </c>
      <c r="AD178" s="628">
        <f>IF('MIS 2026'!BF178&gt;0,'MIS 2026'!BF178,"")</f>
        <v>46078</v>
      </c>
      <c r="AE178" s="630">
        <f>IF('MIS 2026'!N178&gt;0,'MIS 2026'!N178,"")</f>
        <v>46172</v>
      </c>
      <c r="AF178" s="628"/>
      <c r="AG178" s="631" t="str">
        <f>IF('MIS 2026'!BV178&lt;&gt;0,'MIS 2026'!BV178,"")</f>
        <v/>
      </c>
      <c r="AH178" s="628" t="str">
        <f>IF('MIS 2026'!F178&lt;&gt;0,'MIS 2026'!F178,"")</f>
        <v>32015968-7</v>
      </c>
      <c r="AI178" s="463">
        <f t="shared" ca="1" si="40"/>
        <v>0</v>
      </c>
      <c r="AJ178" s="628"/>
    </row>
    <row r="179" spans="1:36">
      <c r="A179" s="622" t="s">
        <v>208</v>
      </c>
      <c r="B179" s="622" t="str">
        <f>'MIS 2026'!EV179</f>
        <v>Yet to load</v>
      </c>
      <c r="C179" s="623" t="str">
        <f>'MIS 2026'!F179</f>
        <v>32015968-9</v>
      </c>
      <c r="D179" s="622" t="str">
        <f>'MIS 2026'!EH179</f>
        <v xml:space="preserve">VALENCY IVC </v>
      </c>
      <c r="E179" s="624">
        <f>'MIS 2026'!AF179</f>
        <v>250</v>
      </c>
      <c r="F179" s="625">
        <f>'MIS 2026'!EK179</f>
        <v>0</v>
      </c>
      <c r="G179" s="625">
        <f t="shared" si="36"/>
        <v>0</v>
      </c>
      <c r="H179" s="622">
        <f>'MIS 2026'!EL179</f>
        <v>0</v>
      </c>
      <c r="I179" s="626"/>
      <c r="J179" s="627">
        <f>'MIS 2026'!ER179</f>
        <v>0</v>
      </c>
      <c r="K179" s="627">
        <f t="shared" si="37"/>
        <v>0</v>
      </c>
      <c r="L179" s="627">
        <f>'MIS 2026'!EW179</f>
        <v>0</v>
      </c>
      <c r="M179" s="628">
        <f>IF('MIS 2026'!EZ179&gt;0,'MIS 2026'!EW179,0)</f>
        <v>0</v>
      </c>
      <c r="N179" s="628" t="str">
        <f>'MIS 2026'!I179</f>
        <v>IVC</v>
      </c>
      <c r="O179" s="628" t="str">
        <f>'MIS 2026'!H179</f>
        <v>Valency Agro (Processing)</v>
      </c>
      <c r="P179" s="627">
        <f>'MIS 2026'!AI179</f>
        <v>1508</v>
      </c>
      <c r="Q179" s="628" t="str">
        <f>'MIS 2026'!BQ179</f>
        <v>MANGALORE, INDIA</v>
      </c>
      <c r="R179" s="628">
        <f>'MIS 2026'!AM179</f>
        <v>0</v>
      </c>
      <c r="S179" s="628" t="str">
        <f>'MIS 2026'!AL179</f>
        <v>DP SIGHT</v>
      </c>
      <c r="T179" s="627">
        <f>'MIS 2026'!AZ179</f>
        <v>0</v>
      </c>
      <c r="U179" s="628">
        <f>IF('MIS 2026'!BI179="","",'MIS 2026'!BI179)</f>
        <v>267778042</v>
      </c>
      <c r="V179" s="629">
        <f>IF('MIS 2026'!BJ179&gt;0,'MIS 2026'!BJ179,'MIS 2026'!AF179)</f>
        <v>241.07</v>
      </c>
      <c r="W179" s="630">
        <f>IF('MIS 2026'!BM179="","",'MIS 2026'!BM179)</f>
        <v>46172</v>
      </c>
      <c r="X179" s="630">
        <f>IF('MIS 2026'!BO179="","",'MIS 2026'!BO179)</f>
        <v>46202</v>
      </c>
      <c r="Y179" s="627">
        <f t="shared" si="38"/>
        <v>363533.56</v>
      </c>
      <c r="Z179" s="627">
        <f>IF('MIS 2026'!CR179&gt;0,'MIS 2026'!CQ179,0)</f>
        <v>0</v>
      </c>
      <c r="AA179" s="627">
        <f t="shared" si="39"/>
        <v>363533.56</v>
      </c>
      <c r="AB179" s="630" t="str">
        <f>IF('MIS 2026'!CM179="","",'MIS 2026'!CM179)</f>
        <v/>
      </c>
      <c r="AC179" s="630" t="str">
        <f>'MIS 2026'!U179</f>
        <v>RCVD COUNTERSIGNED</v>
      </c>
      <c r="AD179" s="628">
        <f>IF('MIS 2026'!BF179&gt;0,'MIS 2026'!BF179,"")</f>
        <v>46078</v>
      </c>
      <c r="AE179" s="630">
        <f>IF('MIS 2026'!N179&gt;0,'MIS 2026'!N179,"")</f>
        <v>46172</v>
      </c>
      <c r="AF179" s="628"/>
      <c r="AG179" s="631" t="str">
        <f>IF('MIS 2026'!BV179&lt;&gt;0,'MIS 2026'!BV179,"")</f>
        <v/>
      </c>
      <c r="AH179" s="628" t="str">
        <f>IF('MIS 2026'!F179&lt;&gt;0,'MIS 2026'!F179,"")</f>
        <v>32015968-9</v>
      </c>
      <c r="AI179" s="463">
        <f t="shared" ca="1" si="40"/>
        <v>0</v>
      </c>
      <c r="AJ179" s="628"/>
    </row>
    <row r="180" spans="1:36">
      <c r="A180" s="622" t="s">
        <v>208</v>
      </c>
      <c r="B180" s="622" t="str">
        <f>'MIS 2026'!EV180</f>
        <v>Yet to load</v>
      </c>
      <c r="C180" s="623">
        <f>'MIS 2026'!F180</f>
        <v>32014493</v>
      </c>
      <c r="D180" s="622" t="str">
        <f>'MIS 2026'!EH180</f>
        <v xml:space="preserve">VALENCY IVC </v>
      </c>
      <c r="E180" s="624">
        <f>'MIS 2026'!AF180</f>
        <v>100</v>
      </c>
      <c r="F180" s="625">
        <f>'MIS 2026'!EK180</f>
        <v>0</v>
      </c>
      <c r="G180" s="625">
        <f t="shared" si="36"/>
        <v>0</v>
      </c>
      <c r="H180" s="622">
        <f>'MIS 2026'!EL180</f>
        <v>0</v>
      </c>
      <c r="I180" s="626"/>
      <c r="J180" s="627">
        <f>'MIS 2026'!ER180</f>
        <v>0</v>
      </c>
      <c r="K180" s="627">
        <f t="shared" si="37"/>
        <v>0</v>
      </c>
      <c r="L180" s="627">
        <f>'MIS 2026'!EW180</f>
        <v>0</v>
      </c>
      <c r="M180" s="628">
        <f>IF('MIS 2026'!EZ180&gt;0,'MIS 2026'!EW180,0)</f>
        <v>0</v>
      </c>
      <c r="N180" s="628" t="str">
        <f>'MIS 2026'!I180</f>
        <v>IVC</v>
      </c>
      <c r="O180" s="628" t="str">
        <f>'MIS 2026'!H180</f>
        <v>ST. PAULS CASHEW FACTORY</v>
      </c>
      <c r="P180" s="627">
        <f>'MIS 2026'!AI180</f>
        <v>1545</v>
      </c>
      <c r="Q180" s="628" t="str">
        <f>'MIS 2026'!BQ180</f>
        <v>TUTICORIN, INDIA</v>
      </c>
      <c r="R180" s="628">
        <f>'MIS 2026'!AM180</f>
        <v>0</v>
      </c>
      <c r="S180" s="628" t="str">
        <f>'MIS 2026'!AL180</f>
        <v>DP SIGHT</v>
      </c>
      <c r="T180" s="627">
        <f>'MIS 2026'!AZ180</f>
        <v>0</v>
      </c>
      <c r="U180" s="628">
        <f>IF('MIS 2026'!BI180="","",'MIS 2026'!BI180)</f>
        <v>268716048</v>
      </c>
      <c r="V180" s="629">
        <f>IF('MIS 2026'!BJ180&gt;0,'MIS 2026'!BJ180,'MIS 2026'!AF180)</f>
        <v>97</v>
      </c>
      <c r="W180" s="630">
        <f>IF('MIS 2026'!BM180="","",'MIS 2026'!BM180)</f>
        <v>46172</v>
      </c>
      <c r="X180" s="630">
        <f>IF('MIS 2026'!BO180="","",'MIS 2026'!BO180)</f>
        <v>46189</v>
      </c>
      <c r="Y180" s="627">
        <f t="shared" si="38"/>
        <v>149865</v>
      </c>
      <c r="Z180" s="627">
        <f>IF('MIS 2026'!CR180&gt;0,'MIS 2026'!CQ180,0)</f>
        <v>0</v>
      </c>
      <c r="AA180" s="627">
        <f t="shared" si="39"/>
        <v>149865</v>
      </c>
      <c r="AB180" s="630" t="str">
        <f>IF('MIS 2026'!CM180="","",'MIS 2026'!CM180)</f>
        <v/>
      </c>
      <c r="AC180" s="630" t="str">
        <f>'MIS 2026'!U180</f>
        <v>DRAFT BL APPROVED 25/5</v>
      </c>
      <c r="AD180" s="628">
        <f>IF('MIS 2026'!BF180&gt;0,'MIS 2026'!BF180,"")</f>
        <v>46083</v>
      </c>
      <c r="AE180" s="630">
        <f>IF('MIS 2026'!N180&gt;0,'MIS 2026'!N180,"")</f>
        <v>46172</v>
      </c>
      <c r="AF180" s="628"/>
      <c r="AG180" s="631" t="str">
        <f>IF('MIS 2026'!BV180&lt;&gt;0,'MIS 2026'!BV180,"")</f>
        <v/>
      </c>
      <c r="AH180" s="628">
        <f>IF('MIS 2026'!F180&lt;&gt;0,'MIS 2026'!F180,"")</f>
        <v>32014493</v>
      </c>
      <c r="AI180" s="463">
        <f t="shared" ca="1" si="40"/>
        <v>0</v>
      </c>
      <c r="AJ180" s="628"/>
    </row>
    <row r="181" spans="1:36">
      <c r="A181" s="622" t="s">
        <v>208</v>
      </c>
      <c r="B181" s="622" t="str">
        <f>'MIS 2026'!EV181</f>
        <v>Yet to load</v>
      </c>
      <c r="C181" s="623">
        <f>'MIS 2026'!F181</f>
        <v>32014459</v>
      </c>
      <c r="D181" s="622" t="str">
        <f>'MIS 2026'!EH181</f>
        <v xml:space="preserve">VALENCY IVC </v>
      </c>
      <c r="E181" s="624">
        <f>'MIS 2026'!AF181</f>
        <v>100</v>
      </c>
      <c r="F181" s="625">
        <f>'MIS 2026'!EK181</f>
        <v>0</v>
      </c>
      <c r="G181" s="625">
        <f t="shared" si="36"/>
        <v>0</v>
      </c>
      <c r="H181" s="622">
        <f>'MIS 2026'!EL181</f>
        <v>0</v>
      </c>
      <c r="I181" s="626"/>
      <c r="J181" s="627">
        <f>'MIS 2026'!ER181</f>
        <v>0</v>
      </c>
      <c r="K181" s="627">
        <f t="shared" si="37"/>
        <v>0</v>
      </c>
      <c r="L181" s="627">
        <f>'MIS 2026'!EW181</f>
        <v>0</v>
      </c>
      <c r="M181" s="628">
        <f>IF('MIS 2026'!EZ181&gt;0,'MIS 2026'!EW181,0)</f>
        <v>0</v>
      </c>
      <c r="N181" s="628" t="str">
        <f>'MIS 2026'!I181</f>
        <v>IVC</v>
      </c>
      <c r="O181" s="628" t="str">
        <f>'MIS 2026'!H181</f>
        <v xml:space="preserve">Maa Tarini Traders and Processing </v>
      </c>
      <c r="P181" s="627">
        <f>'MIS 2026'!AI181</f>
        <v>1560</v>
      </c>
      <c r="Q181" s="628" t="str">
        <f>'MIS 2026'!BQ181</f>
        <v>Vishakhapatnam, INDIA</v>
      </c>
      <c r="R181" s="628">
        <f>'MIS 2026'!AM181</f>
        <v>0.1</v>
      </c>
      <c r="S181" s="628" t="str">
        <f>'MIS 2026'!AL181</f>
        <v>DP SIGHT</v>
      </c>
      <c r="T181" s="627">
        <f>'MIS 2026'!AZ181</f>
        <v>15600</v>
      </c>
      <c r="U181" s="628">
        <f>IF('MIS 2026'!BI181="","",'MIS 2026'!BI181)</f>
        <v>267514904</v>
      </c>
      <c r="V181" s="629">
        <f>IF('MIS 2026'!BJ181&gt;0,'MIS 2026'!BJ181,'MIS 2026'!AF181)</f>
        <v>97.3</v>
      </c>
      <c r="W181" s="630">
        <f>IF('MIS 2026'!BM181="","",'MIS 2026'!BM181)</f>
        <v>46183</v>
      </c>
      <c r="X181" s="630">
        <f>IF('MIS 2026'!BO181="","",'MIS 2026'!BO181)</f>
        <v>46183</v>
      </c>
      <c r="Y181" s="627">
        <f t="shared" si="38"/>
        <v>136188</v>
      </c>
      <c r="Z181" s="627">
        <f>IF('MIS 2026'!CR181&gt;0,'MIS 2026'!CQ181,0)</f>
        <v>0</v>
      </c>
      <c r="AA181" s="627">
        <f t="shared" si="39"/>
        <v>136188</v>
      </c>
      <c r="AB181" s="630" t="str">
        <f>IF('MIS 2026'!CM181="","",'MIS 2026'!CM181)</f>
        <v/>
      </c>
      <c r="AC181" s="630" t="str">
        <f>'MIS 2026'!U181</f>
        <v xml:space="preserve">ADVANCE RCVD 26/2-267514904
</v>
      </c>
      <c r="AD181" s="628">
        <f>IF('MIS 2026'!BF181&gt;0,'MIS 2026'!BF181,"")</f>
        <v>46083</v>
      </c>
      <c r="AE181" s="630">
        <f>IF('MIS 2026'!N181&gt;0,'MIS 2026'!N181,"")</f>
        <v>46183</v>
      </c>
      <c r="AF181" s="628"/>
      <c r="AG181" s="631" t="str">
        <f>IF('MIS 2026'!BV181&lt;&gt;0,'MIS 2026'!BV181,"")</f>
        <v/>
      </c>
      <c r="AH181" s="628">
        <f>IF('MIS 2026'!F181&lt;&gt;0,'MIS 2026'!F181,"")</f>
        <v>32014459</v>
      </c>
      <c r="AI181" s="463">
        <f t="shared" ca="1" si="40"/>
        <v>-11</v>
      </c>
      <c r="AJ181" s="628"/>
    </row>
    <row r="182" spans="1:36">
      <c r="A182" s="622" t="s">
        <v>208</v>
      </c>
      <c r="B182" s="622" t="str">
        <f>'MIS 2026'!EV182</f>
        <v>Yet to load</v>
      </c>
      <c r="C182" s="623">
        <f>'MIS 2026'!F182</f>
        <v>0</v>
      </c>
      <c r="D182" s="622" t="str">
        <f>'MIS 2026'!EH182</f>
        <v xml:space="preserve">VALENCY IVC </v>
      </c>
      <c r="E182" s="624">
        <f>'MIS 2026'!AF182</f>
        <v>200</v>
      </c>
      <c r="F182" s="625">
        <f>'MIS 2026'!EK182</f>
        <v>0</v>
      </c>
      <c r="G182" s="625">
        <f t="shared" si="36"/>
        <v>0</v>
      </c>
      <c r="H182" s="622">
        <f>'MIS 2026'!EL182</f>
        <v>0</v>
      </c>
      <c r="I182" s="626"/>
      <c r="J182" s="627">
        <f>'MIS 2026'!ER182</f>
        <v>0</v>
      </c>
      <c r="K182" s="627">
        <f t="shared" si="37"/>
        <v>0</v>
      </c>
      <c r="L182" s="627">
        <f>'MIS 2026'!EW182</f>
        <v>0</v>
      </c>
      <c r="M182" s="628">
        <f>IF('MIS 2026'!EZ182&gt;0,'MIS 2026'!EW182,0)</f>
        <v>0</v>
      </c>
      <c r="N182" s="628" t="str">
        <f>'MIS 2026'!I182</f>
        <v>IVC</v>
      </c>
      <c r="O182" s="628" t="str">
        <f>'MIS 2026'!H182</f>
        <v>VALENCY AGRO UNSOLD</v>
      </c>
      <c r="P182" s="627">
        <f>'MIS 2026'!AI182</f>
        <v>1565</v>
      </c>
      <c r="Q182" s="628" t="str">
        <f>'MIS 2026'!BQ182</f>
        <v>TUTICORIN, INDIA</v>
      </c>
      <c r="R182" s="628">
        <f>'MIS 2026'!AM182</f>
        <v>0.1</v>
      </c>
      <c r="S182" s="628" t="str">
        <f>'MIS 2026'!AL182</f>
        <v>DP SIGHT</v>
      </c>
      <c r="T182" s="627">
        <f>'MIS 2026'!AZ182</f>
        <v>31300</v>
      </c>
      <c r="U182" s="628">
        <f>IF('MIS 2026'!BI182="","",'MIS 2026'!BI182)</f>
        <v>268715092</v>
      </c>
      <c r="V182" s="629">
        <f>IF('MIS 2026'!BJ182&gt;0,'MIS 2026'!BJ182,'MIS 2026'!AF182)</f>
        <v>202.87</v>
      </c>
      <c r="W182" s="630">
        <f>IF('MIS 2026'!BM182="","",'MIS 2026'!BM182)</f>
        <v>46189</v>
      </c>
      <c r="X182" s="630">
        <f>IF('MIS 2026'!BO182="","",'MIS 2026'!BO182)</f>
        <v>46189</v>
      </c>
      <c r="Y182" s="627">
        <f t="shared" si="38"/>
        <v>286191.55</v>
      </c>
      <c r="Z182" s="627">
        <f>IF('MIS 2026'!CR182&gt;0,'MIS 2026'!CQ182,0)</f>
        <v>0</v>
      </c>
      <c r="AA182" s="627">
        <f t="shared" si="39"/>
        <v>286191.55</v>
      </c>
      <c r="AB182" s="630" t="str">
        <f>IF('MIS 2026'!CM182="","",'MIS 2026'!CM182)</f>
        <v/>
      </c>
      <c r="AC182" s="630" t="str">
        <f>'MIS 2026'!U182</f>
        <v>BL CHANGED TO VALENCY AGRO AS UNSOLD-DRAFT BL RCVD 25/5</v>
      </c>
      <c r="AD182" s="628">
        <f>IF('MIS 2026'!BF182&gt;0,'MIS 2026'!BF182,"")</f>
        <v>46083</v>
      </c>
      <c r="AE182" s="630">
        <f>IF('MIS 2026'!N182&gt;0,'MIS 2026'!N182,"")</f>
        <v>46189</v>
      </c>
      <c r="AF182" s="628"/>
      <c r="AG182" s="631" t="str">
        <f>IF('MIS 2026'!BV182&lt;&gt;0,'MIS 2026'!BV182,"")</f>
        <v/>
      </c>
      <c r="AH182" s="628" t="str">
        <f>IF('MIS 2026'!F182&lt;&gt;0,'MIS 2026'!F182,"")</f>
        <v/>
      </c>
      <c r="AI182" s="632">
        <f t="shared" ca="1" si="40"/>
        <v>-17</v>
      </c>
      <c r="AJ182" s="628"/>
    </row>
    <row r="183" spans="1:36">
      <c r="A183" s="622" t="s">
        <v>208</v>
      </c>
      <c r="B183" s="622" t="str">
        <f>'MIS 2026'!EV183</f>
        <v>Yet to load</v>
      </c>
      <c r="C183" s="623" t="str">
        <f>'MIS 2026'!F183</f>
        <v>32014540-1</v>
      </c>
      <c r="D183" s="622" t="str">
        <f>'MIS 2026'!EH183</f>
        <v xml:space="preserve">VALENCY IVC </v>
      </c>
      <c r="E183" s="624">
        <f>'MIS 2026'!AF183</f>
        <v>250</v>
      </c>
      <c r="F183" s="625">
        <f>'MIS 2026'!EK183</f>
        <v>0</v>
      </c>
      <c r="G183" s="625">
        <f t="shared" si="36"/>
        <v>0</v>
      </c>
      <c r="H183" s="622">
        <f>'MIS 2026'!EL183</f>
        <v>0</v>
      </c>
      <c r="I183" s="626"/>
      <c r="J183" s="627">
        <f>'MIS 2026'!ER183</f>
        <v>0</v>
      </c>
      <c r="K183" s="627">
        <f t="shared" si="37"/>
        <v>0</v>
      </c>
      <c r="L183" s="627">
        <f>'MIS 2026'!EW183</f>
        <v>0</v>
      </c>
      <c r="M183" s="628">
        <f>IF('MIS 2026'!EZ183&gt;0,'MIS 2026'!EW183,0)</f>
        <v>0</v>
      </c>
      <c r="N183" s="628" t="str">
        <f>'MIS 2026'!I183</f>
        <v>IVC</v>
      </c>
      <c r="O183" s="628" t="str">
        <f>'MIS 2026'!H183</f>
        <v xml:space="preserve">SHREE KRISHNAPRASAD CASHEWS </v>
      </c>
      <c r="P183" s="627">
        <f>'MIS 2026'!AI183</f>
        <v>1510</v>
      </c>
      <c r="Q183" s="628" t="str">
        <f>'MIS 2026'!BQ183</f>
        <v>MANGALORE, INDIA</v>
      </c>
      <c r="R183" s="628">
        <f>'MIS 2026'!AM183</f>
        <v>0.1</v>
      </c>
      <c r="S183" s="628" t="str">
        <f>'MIS 2026'!AL183</f>
        <v>DP SIGHT</v>
      </c>
      <c r="T183" s="627">
        <f>'MIS 2026'!AZ183</f>
        <v>37750</v>
      </c>
      <c r="U183" s="628">
        <f>IF('MIS 2026'!BI183="","",'MIS 2026'!BI183)</f>
        <v>267455386</v>
      </c>
      <c r="V183" s="629">
        <f>IF('MIS 2026'!BJ183&gt;0,'MIS 2026'!BJ183,'MIS 2026'!AF183)</f>
        <v>243.93</v>
      </c>
      <c r="W183" s="630">
        <f>IF('MIS 2026'!BM183="","",'MIS 2026'!BM183)</f>
        <v>46202</v>
      </c>
      <c r="X183" s="630">
        <f>IF('MIS 2026'!BO183="","",'MIS 2026'!BO183)</f>
        <v>46202</v>
      </c>
      <c r="Y183" s="627">
        <f t="shared" si="38"/>
        <v>330584.3</v>
      </c>
      <c r="Z183" s="627">
        <f>IF('MIS 2026'!CR183&gt;0,'MIS 2026'!CQ183,0)</f>
        <v>0</v>
      </c>
      <c r="AA183" s="627">
        <f t="shared" si="39"/>
        <v>330584.3</v>
      </c>
      <c r="AB183" s="630" t="str">
        <f>IF('MIS 2026'!CM183="","",'MIS 2026'!CM183)</f>
        <v/>
      </c>
      <c r="AC183" s="630" t="str">
        <f>'MIS 2026'!U183</f>
        <v>DRAFT BL APPROVED 22/5</v>
      </c>
      <c r="AD183" s="628">
        <f>IF('MIS 2026'!BF183&gt;0,'MIS 2026'!BF183,"")</f>
        <v>46083</v>
      </c>
      <c r="AE183" s="630">
        <f>IF('MIS 2026'!N183&gt;0,'MIS 2026'!N183,"")</f>
        <v>46202</v>
      </c>
      <c r="AF183" s="628"/>
      <c r="AG183" s="631" t="str">
        <f>IF('MIS 2026'!BV183&lt;&gt;0,'MIS 2026'!BV183,"")</f>
        <v/>
      </c>
      <c r="AH183" s="628" t="str">
        <f>IF('MIS 2026'!F183&lt;&gt;0,'MIS 2026'!F183,"")</f>
        <v>32014540-1</v>
      </c>
      <c r="AI183" s="632">
        <f t="shared" ca="1" si="40"/>
        <v>-30</v>
      </c>
      <c r="AJ183" s="628"/>
    </row>
    <row r="184" spans="1:36">
      <c r="A184" s="622" t="s">
        <v>208</v>
      </c>
      <c r="B184" s="622" t="str">
        <f>'MIS 2026'!EV184</f>
        <v>Yet to load</v>
      </c>
      <c r="C184" s="623">
        <f>'MIS 2026'!F184</f>
        <v>32016433</v>
      </c>
      <c r="D184" s="622" t="str">
        <f>'MIS 2026'!EH184</f>
        <v xml:space="preserve">VALENCY IVC </v>
      </c>
      <c r="E184" s="624">
        <f>'MIS 2026'!AF184</f>
        <v>300</v>
      </c>
      <c r="F184" s="625">
        <f>'MIS 2026'!EK184</f>
        <v>0</v>
      </c>
      <c r="G184" s="625">
        <f t="shared" si="36"/>
        <v>0</v>
      </c>
      <c r="H184" s="622">
        <f>'MIS 2026'!EL184</f>
        <v>0</v>
      </c>
      <c r="I184" s="626"/>
      <c r="J184" s="627">
        <f>'MIS 2026'!ER184</f>
        <v>0</v>
      </c>
      <c r="K184" s="627">
        <f t="shared" si="37"/>
        <v>0</v>
      </c>
      <c r="L184" s="627">
        <f>'MIS 2026'!EW184</f>
        <v>0</v>
      </c>
      <c r="M184" s="628">
        <f>IF('MIS 2026'!EZ184&gt;0,'MIS 2026'!EW184,0)</f>
        <v>0</v>
      </c>
      <c r="N184" s="628" t="str">
        <f>'MIS 2026'!I184</f>
        <v>IVC</v>
      </c>
      <c r="O184" s="628" t="str">
        <f>'MIS 2026'!H184</f>
        <v xml:space="preserve">KIEU LOAN COMPANY LIMITED </v>
      </c>
      <c r="P184" s="627">
        <f>'MIS 2026'!AI184</f>
        <v>1380</v>
      </c>
      <c r="Q184" s="628" t="str">
        <f>'MIS 2026'!BQ184</f>
        <v>Cat Lai/ SPCT in HCM City</v>
      </c>
      <c r="R184" s="628">
        <f>'MIS 2026'!AM184</f>
        <v>0.1</v>
      </c>
      <c r="S184" s="628" t="str">
        <f>'MIS 2026'!AL184</f>
        <v>10/88/2</v>
      </c>
      <c r="T184" s="627">
        <f>'MIS 2026'!AZ184</f>
        <v>41400</v>
      </c>
      <c r="U184" s="628" t="str">
        <f>IF('MIS 2026'!BI184="","",'MIS 2026'!BI184)</f>
        <v/>
      </c>
      <c r="V184" s="629">
        <f>IF('MIS 2026'!BJ184&gt;0,'MIS 2026'!BJ184,'MIS 2026'!AF184)</f>
        <v>300</v>
      </c>
      <c r="W184" s="630" t="str">
        <f>IF('MIS 2026'!BM184="","",'MIS 2026'!BM184)</f>
        <v/>
      </c>
      <c r="X184" s="630" t="str">
        <f>IF('MIS 2026'!BO184="","",'MIS 2026'!BO184)</f>
        <v/>
      </c>
      <c r="Y184" s="627">
        <f t="shared" si="38"/>
        <v>372600</v>
      </c>
      <c r="Z184" s="627">
        <f>IF('MIS 2026'!CR184&gt;0,'MIS 2026'!CQ184,0)</f>
        <v>0</v>
      </c>
      <c r="AA184" s="627">
        <f t="shared" si="39"/>
        <v>372600</v>
      </c>
      <c r="AB184" s="630" t="str">
        <f>IF('MIS 2026'!CM184="","",'MIS 2026'!CM184)</f>
        <v/>
      </c>
      <c r="AC184" s="630" t="str">
        <f>'MIS 2026'!U184</f>
        <v>PENDING TO SHARE WITH BUYER-ONCE WE GET THE ADVANCE FOR PREVIOUS CONTRACT</v>
      </c>
      <c r="AD184" s="628" t="str">
        <f>IF('MIS 2026'!BF184&gt;0,'MIS 2026'!BF184,"")</f>
        <v/>
      </c>
      <c r="AE184" s="630" t="str">
        <f>IF('MIS 2026'!N184&gt;0,'MIS 2026'!N184,"")</f>
        <v/>
      </c>
      <c r="AF184" s="628"/>
      <c r="AG184" s="631" t="str">
        <f>IF('MIS 2026'!BV184&lt;&gt;0,'MIS 2026'!BV184,"")</f>
        <v/>
      </c>
      <c r="AH184" s="628">
        <f>IF('MIS 2026'!F184&lt;&gt;0,'MIS 2026'!F184,"")</f>
        <v>32016433</v>
      </c>
      <c r="AI184" s="632" t="str">
        <f t="shared" ca="1" si="40"/>
        <v/>
      </c>
      <c r="AJ184" s="628"/>
    </row>
    <row r="185" spans="1:36">
      <c r="A185" s="622" t="s">
        <v>208</v>
      </c>
      <c r="B185" s="622" t="str">
        <f>'MIS 2026'!EV185</f>
        <v>Yet to load</v>
      </c>
      <c r="C185" s="623">
        <f>'MIS 2026'!F185</f>
        <v>32016434</v>
      </c>
      <c r="D185" s="622" t="str">
        <f>'MIS 2026'!EH185</f>
        <v xml:space="preserve">VALENCY IVC </v>
      </c>
      <c r="E185" s="624">
        <f>'MIS 2026'!AF185</f>
        <v>300</v>
      </c>
      <c r="F185" s="625">
        <f>'MIS 2026'!EK185</f>
        <v>0</v>
      </c>
      <c r="G185" s="625">
        <f t="shared" si="36"/>
        <v>0</v>
      </c>
      <c r="H185" s="622">
        <f>'MIS 2026'!EL185</f>
        <v>0</v>
      </c>
      <c r="I185" s="626"/>
      <c r="J185" s="627">
        <f>'MIS 2026'!ER185</f>
        <v>0</v>
      </c>
      <c r="K185" s="627">
        <f t="shared" si="37"/>
        <v>0</v>
      </c>
      <c r="L185" s="627">
        <f>'MIS 2026'!EW185</f>
        <v>0</v>
      </c>
      <c r="M185" s="628">
        <f>IF('MIS 2026'!EZ185&gt;0,'MIS 2026'!EW185,0)</f>
        <v>0</v>
      </c>
      <c r="N185" s="628" t="str">
        <f>'MIS 2026'!I185</f>
        <v>IVC</v>
      </c>
      <c r="O185" s="628" t="str">
        <f>'MIS 2026'!H185</f>
        <v xml:space="preserve">KIEU LOAN COMPANY LIMITED </v>
      </c>
      <c r="P185" s="627">
        <f>'MIS 2026'!AI185</f>
        <v>1345</v>
      </c>
      <c r="Q185" s="628" t="str">
        <f>'MIS 2026'!BQ185</f>
        <v>Cat Lai/ SPCT in HCM City</v>
      </c>
      <c r="R185" s="628">
        <f>'MIS 2026'!AM185</f>
        <v>0.1</v>
      </c>
      <c r="S185" s="628" t="str">
        <f>'MIS 2026'!AL185</f>
        <v>10/88/2</v>
      </c>
      <c r="T185" s="627">
        <f>'MIS 2026'!AZ185</f>
        <v>40350</v>
      </c>
      <c r="U185" s="628" t="str">
        <f>IF('MIS 2026'!BI185="","",'MIS 2026'!BI185)</f>
        <v/>
      </c>
      <c r="V185" s="629">
        <f>IF('MIS 2026'!BJ185&gt;0,'MIS 2026'!BJ185,'MIS 2026'!AF185)</f>
        <v>300</v>
      </c>
      <c r="W185" s="630" t="str">
        <f>IF('MIS 2026'!BM185="","",'MIS 2026'!BM185)</f>
        <v/>
      </c>
      <c r="X185" s="630" t="str">
        <f>IF('MIS 2026'!BO185="","",'MIS 2026'!BO185)</f>
        <v/>
      </c>
      <c r="Y185" s="627">
        <f t="shared" si="38"/>
        <v>363150</v>
      </c>
      <c r="Z185" s="627">
        <f>IF('MIS 2026'!CR185&gt;0,'MIS 2026'!CQ185,0)</f>
        <v>0</v>
      </c>
      <c r="AA185" s="627">
        <f t="shared" si="39"/>
        <v>363150</v>
      </c>
      <c r="AB185" s="630" t="str">
        <f>IF('MIS 2026'!CM185="","",'MIS 2026'!CM185)</f>
        <v/>
      </c>
      <c r="AC185" s="630" t="str">
        <f>'MIS 2026'!U185</f>
        <v>PENDING TO SHARE WITH BUYER-ONCE WE GET THE ADVANCE FOR PREVIOUS CONTRACT</v>
      </c>
      <c r="AD185" s="628" t="str">
        <f>IF('MIS 2026'!BF185&gt;0,'MIS 2026'!BF185,"")</f>
        <v/>
      </c>
      <c r="AE185" s="630" t="str">
        <f>IF('MIS 2026'!N185&gt;0,'MIS 2026'!N185,"")</f>
        <v/>
      </c>
      <c r="AF185" s="628"/>
      <c r="AG185" s="631" t="str">
        <f>IF('MIS 2026'!BV185&lt;&gt;0,'MIS 2026'!BV185,"")</f>
        <v/>
      </c>
      <c r="AH185" s="628">
        <f>IF('MIS 2026'!F185&lt;&gt;0,'MIS 2026'!F185,"")</f>
        <v>32016434</v>
      </c>
      <c r="AI185" s="632" t="str">
        <f t="shared" ca="1" si="40"/>
        <v/>
      </c>
      <c r="AJ185" s="628"/>
    </row>
    <row r="186" spans="1:36">
      <c r="A186" s="622" t="s">
        <v>208</v>
      </c>
      <c r="B186" s="622" t="str">
        <f>'MIS 2026'!EV186</f>
        <v>Yet to load</v>
      </c>
      <c r="C186" s="623">
        <f>'MIS 2026'!F186</f>
        <v>32016445</v>
      </c>
      <c r="D186" s="622" t="str">
        <f>'MIS 2026'!EH186</f>
        <v>Valency Nigeria</v>
      </c>
      <c r="E186" s="624">
        <f>'MIS 2026'!AF186</f>
        <v>250</v>
      </c>
      <c r="F186" s="625">
        <f>'MIS 2026'!EK186</f>
        <v>0</v>
      </c>
      <c r="G186" s="625">
        <f t="shared" si="36"/>
        <v>0</v>
      </c>
      <c r="H186" s="622">
        <f>'MIS 2026'!EL186</f>
        <v>0</v>
      </c>
      <c r="I186" s="626"/>
      <c r="J186" s="627">
        <f>'MIS 2026'!ER186</f>
        <v>0</v>
      </c>
      <c r="K186" s="627">
        <f t="shared" si="37"/>
        <v>0</v>
      </c>
      <c r="L186" s="627">
        <f>'MIS 2026'!EW186</f>
        <v>0</v>
      </c>
      <c r="M186" s="628">
        <f>IF('MIS 2026'!EZ186&gt;0,'MIS 2026'!EW186,0)</f>
        <v>0</v>
      </c>
      <c r="N186" s="628" t="str">
        <f>'MIS 2026'!I186</f>
        <v>NIGERIA(OGB)</v>
      </c>
      <c r="O186" s="628" t="str">
        <f>'MIS 2026'!H186</f>
        <v>Hoang Cuong</v>
      </c>
      <c r="P186" s="627">
        <f>'MIS 2026'!AI186</f>
        <v>1590</v>
      </c>
      <c r="Q186" s="628" t="str">
        <f>'MIS 2026'!BQ186</f>
        <v>HCMC, VIETNAM</v>
      </c>
      <c r="R186" s="628">
        <f>'MIS 2026'!AM186</f>
        <v>0.1</v>
      </c>
      <c r="S186" s="628" t="str">
        <f>'MIS 2026'!AL186</f>
        <v>10/88/2</v>
      </c>
      <c r="T186" s="627">
        <f>'MIS 2026'!AZ186</f>
        <v>39750</v>
      </c>
      <c r="U186" s="628" t="str">
        <f>IF('MIS 2026'!BI186="","",'MIS 2026'!BI186)</f>
        <v/>
      </c>
      <c r="V186" s="629">
        <f>IF('MIS 2026'!BJ186&gt;0,'MIS 2026'!BJ186,'MIS 2026'!AF186)</f>
        <v>250</v>
      </c>
      <c r="W186" s="630" t="str">
        <f>IF('MIS 2026'!BM186="","",'MIS 2026'!BM186)</f>
        <v/>
      </c>
      <c r="X186" s="630" t="str">
        <f>IF('MIS 2026'!BO186="","",'MIS 2026'!BO186)</f>
        <v/>
      </c>
      <c r="Y186" s="627">
        <f t="shared" si="38"/>
        <v>357750</v>
      </c>
      <c r="Z186" s="627">
        <f>IF('MIS 2026'!CR186&gt;0,'MIS 2026'!CQ186,0)</f>
        <v>0</v>
      </c>
      <c r="AA186" s="627">
        <f t="shared" si="39"/>
        <v>357750</v>
      </c>
      <c r="AB186" s="630" t="str">
        <f>IF('MIS 2026'!CM186="","",'MIS 2026'!CM186)</f>
        <v/>
      </c>
      <c r="AC186" s="630" t="str">
        <f>'MIS 2026'!U186</f>
        <v>KYC IN PROCESS</v>
      </c>
      <c r="AD186" s="628" t="str">
        <f>IF('MIS 2026'!BF186&gt;0,'MIS 2026'!BF186,"")</f>
        <v/>
      </c>
      <c r="AE186" s="630" t="str">
        <f>IF('MIS 2026'!N186&gt;0,'MIS 2026'!N186,"")</f>
        <v/>
      </c>
      <c r="AF186" s="628"/>
      <c r="AG186" s="631" t="str">
        <f>IF('MIS 2026'!BV186&lt;&gt;0,'MIS 2026'!BV186,"")</f>
        <v/>
      </c>
      <c r="AH186" s="628">
        <f>IF('MIS 2026'!F186&lt;&gt;0,'MIS 2026'!F186,"")</f>
        <v>32016445</v>
      </c>
      <c r="AI186" s="632" t="str">
        <f t="shared" ca="1" si="40"/>
        <v/>
      </c>
      <c r="AJ186" s="628"/>
    </row>
    <row r="187" spans="1:36">
      <c r="A187" s="622" t="s">
        <v>208</v>
      </c>
      <c r="B187" s="622">
        <f>'MIS 2026'!EV187</f>
        <v>0</v>
      </c>
      <c r="C187" s="623">
        <f>'MIS 2026'!F187</f>
        <v>32016436</v>
      </c>
      <c r="D187" s="622" t="str">
        <f>'MIS 2026'!EH187</f>
        <v>Valora Exim</v>
      </c>
      <c r="E187" s="624">
        <f>'MIS 2026'!AF187</f>
        <v>200</v>
      </c>
      <c r="F187" s="625">
        <f>'MIS 2026'!EK187</f>
        <v>0</v>
      </c>
      <c r="G187" s="625">
        <f t="shared" si="36"/>
        <v>0</v>
      </c>
      <c r="H187" s="622">
        <f>'MIS 2026'!EL187</f>
        <v>0</v>
      </c>
      <c r="I187" s="626"/>
      <c r="J187" s="627">
        <f>'MIS 2026'!ER187</f>
        <v>0</v>
      </c>
      <c r="K187" s="627">
        <f t="shared" si="37"/>
        <v>0</v>
      </c>
      <c r="L187" s="627">
        <f>'MIS 2026'!EW187</f>
        <v>0</v>
      </c>
      <c r="M187" s="628">
        <f>IF('MIS 2026'!EZ187&gt;0,'MIS 2026'!EW187,0)</f>
        <v>0</v>
      </c>
      <c r="N187" s="628" t="str">
        <f>'MIS 2026'!I187</f>
        <v>GHANA</v>
      </c>
      <c r="O187" s="628" t="str">
        <f>'MIS 2026'!H187</f>
        <v xml:space="preserve">KHAI HUNG COMPANY LIMITED </v>
      </c>
      <c r="P187" s="627">
        <f>'MIS 2026'!AI187</f>
        <v>1480</v>
      </c>
      <c r="Q187" s="628" t="str">
        <f>'MIS 2026'!BQ187</f>
        <v>HCMC, VIETNAM</v>
      </c>
      <c r="R187" s="628">
        <f>'MIS 2026'!AM187</f>
        <v>0.1</v>
      </c>
      <c r="S187" s="628" t="str">
        <f>'MIS 2026'!AL187</f>
        <v>DP SIGHT</v>
      </c>
      <c r="T187" s="627">
        <f>'MIS 2026'!AZ187</f>
        <v>29600</v>
      </c>
      <c r="U187" s="628" t="str">
        <f>IF('MIS 2026'!BI187="","",'MIS 2026'!BI187)</f>
        <v/>
      </c>
      <c r="V187" s="629">
        <f>IF('MIS 2026'!BJ187&gt;0,'MIS 2026'!BJ187,'MIS 2026'!AF187)</f>
        <v>200</v>
      </c>
      <c r="W187" s="630" t="str">
        <f>IF('MIS 2026'!BM187="","",'MIS 2026'!BM187)</f>
        <v/>
      </c>
      <c r="X187" s="630" t="str">
        <f>IF('MIS 2026'!BO187="","",'MIS 2026'!BO187)</f>
        <v/>
      </c>
      <c r="Y187" s="627">
        <f t="shared" si="38"/>
        <v>266400</v>
      </c>
      <c r="Z187" s="627">
        <f>IF('MIS 2026'!CR187&gt;0,'MIS 2026'!CQ187,0)</f>
        <v>0</v>
      </c>
      <c r="AA187" s="627">
        <f t="shared" si="39"/>
        <v>266400</v>
      </c>
      <c r="AB187" s="630" t="str">
        <f>IF('MIS 2026'!CM187="","",'MIS 2026'!CM187)</f>
        <v/>
      </c>
      <c r="AC187" s="630" t="str">
        <f>'MIS 2026'!U187</f>
        <v>PENDING COUNTERSIGNED + ADVANCE(30/5)</v>
      </c>
      <c r="AD187" s="628" t="str">
        <f>IF('MIS 2026'!BF187&gt;0,'MIS 2026'!BF187,"")</f>
        <v/>
      </c>
      <c r="AE187" s="630" t="str">
        <f>IF('MIS 2026'!N187&gt;0,'MIS 2026'!N187,"")</f>
        <v/>
      </c>
      <c r="AF187" s="628"/>
      <c r="AG187" s="631" t="str">
        <f>IF('MIS 2026'!BV187&lt;&gt;0,'MIS 2026'!BV187,"")</f>
        <v/>
      </c>
      <c r="AH187" s="628">
        <f>IF('MIS 2026'!F187&lt;&gt;0,'MIS 2026'!F187,"")</f>
        <v>32016436</v>
      </c>
      <c r="AI187" s="632" t="str">
        <f t="shared" ca="1" si="40"/>
        <v/>
      </c>
      <c r="AJ187" s="628"/>
    </row>
    <row r="188" spans="1:36">
      <c r="A188" s="622" t="s">
        <v>208</v>
      </c>
      <c r="B188" s="622">
        <f>'MIS 2026'!EV188</f>
        <v>0</v>
      </c>
      <c r="C188" s="623">
        <f>'MIS 2026'!F188</f>
        <v>32016437</v>
      </c>
      <c r="D188" s="622" t="str">
        <f>'MIS 2026'!EH188</f>
        <v>Valora Exim</v>
      </c>
      <c r="E188" s="624">
        <f>'MIS 2026'!AF188</f>
        <v>150</v>
      </c>
      <c r="F188" s="625">
        <f>'MIS 2026'!EK188</f>
        <v>0</v>
      </c>
      <c r="G188" s="625">
        <f t="shared" si="36"/>
        <v>0</v>
      </c>
      <c r="H188" s="622">
        <f>'MIS 2026'!EL188</f>
        <v>0</v>
      </c>
      <c r="I188" s="626"/>
      <c r="J188" s="627">
        <f>'MIS 2026'!ER188</f>
        <v>0</v>
      </c>
      <c r="K188" s="627">
        <f t="shared" si="37"/>
        <v>0</v>
      </c>
      <c r="L188" s="627">
        <f>'MIS 2026'!EW188</f>
        <v>0</v>
      </c>
      <c r="M188" s="628">
        <f>IF('MIS 2026'!EZ188&gt;0,'MIS 2026'!EW188,0)</f>
        <v>0</v>
      </c>
      <c r="N188" s="628" t="str">
        <f>'MIS 2026'!I188</f>
        <v>GHANA</v>
      </c>
      <c r="O188" s="628" t="str">
        <f>'MIS 2026'!H188</f>
        <v xml:space="preserve">KHAI HUNG COMPANY LIMITED </v>
      </c>
      <c r="P188" s="627">
        <f>'MIS 2026'!AI188</f>
        <v>1455</v>
      </c>
      <c r="Q188" s="628" t="str">
        <f>'MIS 2026'!BQ188</f>
        <v>HCMC, VIETNAM</v>
      </c>
      <c r="R188" s="628">
        <f>'MIS 2026'!AM188</f>
        <v>0.1</v>
      </c>
      <c r="S188" s="628" t="str">
        <f>'MIS 2026'!AL188</f>
        <v>DP SIGHT</v>
      </c>
      <c r="T188" s="627">
        <f>'MIS 2026'!AZ188</f>
        <v>21825</v>
      </c>
      <c r="U188" s="628" t="str">
        <f>IF('MIS 2026'!BI188="","",'MIS 2026'!BI188)</f>
        <v/>
      </c>
      <c r="V188" s="629">
        <f>IF('MIS 2026'!BJ188&gt;0,'MIS 2026'!BJ188,'MIS 2026'!AF188)</f>
        <v>150</v>
      </c>
      <c r="W188" s="630" t="str">
        <f>IF('MIS 2026'!BM188="","",'MIS 2026'!BM188)</f>
        <v/>
      </c>
      <c r="X188" s="630" t="str">
        <f>IF('MIS 2026'!BO188="","",'MIS 2026'!BO188)</f>
        <v/>
      </c>
      <c r="Y188" s="627">
        <f t="shared" si="38"/>
        <v>196425</v>
      </c>
      <c r="Z188" s="627">
        <f>IF('MIS 2026'!CR188&gt;0,'MIS 2026'!CQ188,0)</f>
        <v>0</v>
      </c>
      <c r="AA188" s="627">
        <f t="shared" si="39"/>
        <v>196425</v>
      </c>
      <c r="AB188" s="630" t="str">
        <f>IF('MIS 2026'!CM188="","",'MIS 2026'!CM188)</f>
        <v/>
      </c>
      <c r="AC188" s="630" t="str">
        <f>'MIS 2026'!U188</f>
        <v>PENDING COUNTERSIGNED + ADVANCE(30/5)</v>
      </c>
      <c r="AD188" s="628" t="str">
        <f>IF('MIS 2026'!BF188&gt;0,'MIS 2026'!BF188,"")</f>
        <v/>
      </c>
      <c r="AE188" s="630" t="str">
        <f>IF('MIS 2026'!N188&gt;0,'MIS 2026'!N188,"")</f>
        <v/>
      </c>
      <c r="AF188" s="628"/>
      <c r="AG188" s="631" t="str">
        <f>IF('MIS 2026'!BV188&lt;&gt;0,'MIS 2026'!BV188,"")</f>
        <v/>
      </c>
      <c r="AH188" s="628">
        <f>IF('MIS 2026'!F188&lt;&gt;0,'MIS 2026'!F188,"")</f>
        <v>32016437</v>
      </c>
      <c r="AI188" s="632" t="str">
        <f t="shared" ca="1" si="40"/>
        <v/>
      </c>
      <c r="AJ188" s="628"/>
    </row>
    <row r="189" spans="1:36">
      <c r="A189" s="622" t="s">
        <v>208</v>
      </c>
      <c r="B189" s="622" t="str">
        <f>'MIS 2026'!EV189</f>
        <v>Yet to load</v>
      </c>
      <c r="C189" s="623">
        <f>'MIS 2026'!F189</f>
        <v>32016438</v>
      </c>
      <c r="D189" s="622" t="str">
        <f>'MIS 2026'!EH189</f>
        <v xml:space="preserve">VALENCY IVC </v>
      </c>
      <c r="E189" s="624">
        <f>'MIS 2026'!AF189</f>
        <v>500</v>
      </c>
      <c r="F189" s="625">
        <f>'MIS 2026'!EK189</f>
        <v>0</v>
      </c>
      <c r="G189" s="625">
        <f t="shared" si="36"/>
        <v>0</v>
      </c>
      <c r="H189" s="622">
        <f>'MIS 2026'!EL189</f>
        <v>0</v>
      </c>
      <c r="I189" s="626"/>
      <c r="J189" s="627">
        <f>'MIS 2026'!ER189</f>
        <v>0</v>
      </c>
      <c r="K189" s="627">
        <f t="shared" si="37"/>
        <v>0</v>
      </c>
      <c r="L189" s="627">
        <f>'MIS 2026'!EW189</f>
        <v>0</v>
      </c>
      <c r="M189" s="628">
        <f>IF('MIS 2026'!EZ189&gt;0,'MIS 2026'!EW189,0)</f>
        <v>0</v>
      </c>
      <c r="N189" s="628" t="str">
        <f>'MIS 2026'!I189</f>
        <v>IVC</v>
      </c>
      <c r="O189" s="628" t="str">
        <f>'MIS 2026'!H189</f>
        <v>TERRA NUTS GROUP JOINT STOCK COMPANY</v>
      </c>
      <c r="P189" s="627">
        <f>'MIS 2026'!AI189</f>
        <v>1405</v>
      </c>
      <c r="Q189" s="628" t="str">
        <f>'MIS 2026'!BQ189</f>
        <v>HCMC, VIETNAM</v>
      </c>
      <c r="R189" s="628">
        <f>'MIS 2026'!AM189</f>
        <v>0.1</v>
      </c>
      <c r="S189" s="628" t="str">
        <f>'MIS 2026'!AL189</f>
        <v>10/88/2</v>
      </c>
      <c r="T189" s="627">
        <f>'MIS 2026'!AZ189</f>
        <v>70250</v>
      </c>
      <c r="U189" s="628" t="str">
        <f>IF('MIS 2026'!BI189="","",'MIS 2026'!BI189)</f>
        <v/>
      </c>
      <c r="V189" s="629">
        <f>IF('MIS 2026'!BJ189&gt;0,'MIS 2026'!BJ189,'MIS 2026'!AF189)</f>
        <v>500</v>
      </c>
      <c r="W189" s="630" t="str">
        <f>IF('MIS 2026'!BM189="","",'MIS 2026'!BM189)</f>
        <v/>
      </c>
      <c r="X189" s="630" t="str">
        <f>IF('MIS 2026'!BO189="","",'MIS 2026'!BO189)</f>
        <v/>
      </c>
      <c r="Y189" s="627">
        <f t="shared" si="38"/>
        <v>632250</v>
      </c>
      <c r="Z189" s="627">
        <f>IF('MIS 2026'!CR189&gt;0,'MIS 2026'!CQ189,0)</f>
        <v>0</v>
      </c>
      <c r="AA189" s="627">
        <f t="shared" si="39"/>
        <v>632250</v>
      </c>
      <c r="AB189" s="630" t="str">
        <f>IF('MIS 2026'!CM189="","",'MIS 2026'!CM189)</f>
        <v/>
      </c>
      <c r="AC189" s="630" t="str">
        <f>'MIS 2026'!U189</f>
        <v>PENDING COUNTERSIGNED + ADVANCE(30/5)</v>
      </c>
      <c r="AD189" s="628" t="str">
        <f>IF('MIS 2026'!BF189&gt;0,'MIS 2026'!BF189,"")</f>
        <v/>
      </c>
      <c r="AE189" s="630" t="str">
        <f>IF('MIS 2026'!N189&gt;0,'MIS 2026'!N189,"")</f>
        <v/>
      </c>
      <c r="AF189" s="628"/>
      <c r="AG189" s="631" t="str">
        <f>IF('MIS 2026'!BV189&lt;&gt;0,'MIS 2026'!BV189,"")</f>
        <v/>
      </c>
      <c r="AH189" s="628">
        <f>IF('MIS 2026'!F189&lt;&gt;0,'MIS 2026'!F189,"")</f>
        <v>32016438</v>
      </c>
      <c r="AI189" s="632" t="str">
        <f t="shared" ca="1" si="40"/>
        <v/>
      </c>
      <c r="AJ189" s="628"/>
    </row>
    <row r="190" spans="1:36">
      <c r="A190" s="622" t="s">
        <v>208</v>
      </c>
      <c r="B190" s="622" t="str">
        <f>'MIS 2026'!EV190</f>
        <v>Yet to load</v>
      </c>
      <c r="C190" s="623">
        <f>'MIS 2026'!F190</f>
        <v>32016491</v>
      </c>
      <c r="D190" s="622" t="str">
        <f>'MIS 2026'!EH190</f>
        <v xml:space="preserve">VALENCY IVC </v>
      </c>
      <c r="E190" s="624">
        <f>'MIS 2026'!AF190</f>
        <v>500</v>
      </c>
      <c r="F190" s="625">
        <f>'MIS 2026'!EK190</f>
        <v>0</v>
      </c>
      <c r="G190" s="625">
        <f t="shared" si="36"/>
        <v>0</v>
      </c>
      <c r="H190" s="622">
        <f>'MIS 2026'!EL190</f>
        <v>0</v>
      </c>
      <c r="I190" s="626"/>
      <c r="J190" s="627">
        <f>'MIS 2026'!ER190</f>
        <v>0</v>
      </c>
      <c r="K190" s="627">
        <f t="shared" si="37"/>
        <v>0</v>
      </c>
      <c r="L190" s="627">
        <f>'MIS 2026'!EW190</f>
        <v>0</v>
      </c>
      <c r="M190" s="628">
        <f>IF('MIS 2026'!EZ190&gt;0,'MIS 2026'!EW190,0)</f>
        <v>0</v>
      </c>
      <c r="N190" s="628" t="str">
        <f>'MIS 2026'!I190</f>
        <v>IVC</v>
      </c>
      <c r="O190" s="628" t="str">
        <f>'MIS 2026'!H190</f>
        <v>TERRA NUTS GROUP JOINT STOCK COMPANY</v>
      </c>
      <c r="P190" s="627">
        <f>'MIS 2026'!AI190</f>
        <v>1405</v>
      </c>
      <c r="Q190" s="628" t="str">
        <f>'MIS 2026'!BQ190</f>
        <v>HCMC, VIETNAM</v>
      </c>
      <c r="R190" s="628">
        <f>'MIS 2026'!AM190</f>
        <v>0.1</v>
      </c>
      <c r="S190" s="628" t="str">
        <f>'MIS 2026'!AL190</f>
        <v>10/88/2</v>
      </c>
      <c r="T190" s="627">
        <f>'MIS 2026'!AZ190</f>
        <v>70250</v>
      </c>
      <c r="U190" s="628" t="str">
        <f>IF('MIS 2026'!BI190="","",'MIS 2026'!BI190)</f>
        <v/>
      </c>
      <c r="V190" s="629">
        <f>IF('MIS 2026'!BJ190&gt;0,'MIS 2026'!BJ190,'MIS 2026'!AF190)</f>
        <v>500</v>
      </c>
      <c r="W190" s="630" t="str">
        <f>IF('MIS 2026'!BM190="","",'MIS 2026'!BM190)</f>
        <v/>
      </c>
      <c r="X190" s="630" t="str">
        <f>IF('MIS 2026'!BO190="","",'MIS 2026'!BO190)</f>
        <v/>
      </c>
      <c r="Y190" s="627">
        <f t="shared" si="38"/>
        <v>632250</v>
      </c>
      <c r="Z190" s="627">
        <f>IF('MIS 2026'!CR190&gt;0,'MIS 2026'!CQ190,0)</f>
        <v>0</v>
      </c>
      <c r="AA190" s="627">
        <f t="shared" si="39"/>
        <v>632250</v>
      </c>
      <c r="AB190" s="630" t="str">
        <f>IF('MIS 2026'!CM190="","",'MIS 2026'!CM190)</f>
        <v/>
      </c>
      <c r="AC190" s="630" t="str">
        <f>'MIS 2026'!U190</f>
        <v>PENDING COUNTERSIGNED + ADVANCE(30/5)</v>
      </c>
      <c r="AD190" s="628" t="str">
        <f>IF('MIS 2026'!BF190&gt;0,'MIS 2026'!BF190,"")</f>
        <v/>
      </c>
      <c r="AE190" s="630" t="str">
        <f>IF('MIS 2026'!N190&gt;0,'MIS 2026'!N190,"")</f>
        <v/>
      </c>
      <c r="AF190" s="628"/>
      <c r="AG190" s="631" t="str">
        <f>IF('MIS 2026'!BV190&lt;&gt;0,'MIS 2026'!BV190,"")</f>
        <v/>
      </c>
      <c r="AH190" s="628">
        <f>IF('MIS 2026'!F190&lt;&gt;0,'MIS 2026'!F190,"")</f>
        <v>32016491</v>
      </c>
      <c r="AI190" s="632" t="str">
        <f t="shared" ca="1" si="40"/>
        <v/>
      </c>
      <c r="AJ190" s="628"/>
    </row>
    <row r="191" spans="1:36">
      <c r="A191" s="622" t="s">
        <v>208</v>
      </c>
      <c r="B191" s="622" t="str">
        <f>'MIS 2026'!EV191</f>
        <v>Yet to load</v>
      </c>
      <c r="C191" s="623">
        <f>'MIS 2026'!F191</f>
        <v>32016439</v>
      </c>
      <c r="D191" s="622" t="str">
        <f>'MIS 2026'!EH191</f>
        <v>Valency Nigeria</v>
      </c>
      <c r="E191" s="624">
        <f>'MIS 2026'!AF191</f>
        <v>250</v>
      </c>
      <c r="F191" s="625">
        <f>'MIS 2026'!EK191</f>
        <v>0</v>
      </c>
      <c r="G191" s="625">
        <f t="shared" si="36"/>
        <v>0</v>
      </c>
      <c r="H191" s="622">
        <f>'MIS 2026'!EL191</f>
        <v>0</v>
      </c>
      <c r="I191" s="626"/>
      <c r="J191" s="627">
        <f>'MIS 2026'!ER191</f>
        <v>0</v>
      </c>
      <c r="K191" s="627">
        <f t="shared" si="37"/>
        <v>0</v>
      </c>
      <c r="L191" s="627">
        <f>'MIS 2026'!EW191</f>
        <v>0</v>
      </c>
      <c r="M191" s="628">
        <f>IF('MIS 2026'!EZ191&gt;0,'MIS 2026'!EW191,0)</f>
        <v>0</v>
      </c>
      <c r="N191" s="628" t="str">
        <f>'MIS 2026'!I191</f>
        <v>NIGERIA(OGB)</v>
      </c>
      <c r="O191" s="628" t="str">
        <f>'MIS 2026'!H191</f>
        <v>INTIMEX GROUP JOINT STOCK COMPANY</v>
      </c>
      <c r="P191" s="627">
        <f>'MIS 2026'!AI191</f>
        <v>1540</v>
      </c>
      <c r="Q191" s="628" t="str">
        <f>'MIS 2026'!BQ191</f>
        <v>HCMC, VIETNAM</v>
      </c>
      <c r="R191" s="628">
        <f>'MIS 2026'!AM191</f>
        <v>0.1</v>
      </c>
      <c r="S191" s="628" t="str">
        <f>'MIS 2026'!AL191</f>
        <v>10/88/2</v>
      </c>
      <c r="T191" s="627">
        <f>'MIS 2026'!AZ191</f>
        <v>38500</v>
      </c>
      <c r="U191" s="628" t="str">
        <f>IF('MIS 2026'!BI191="","",'MIS 2026'!BI191)</f>
        <v/>
      </c>
      <c r="V191" s="629">
        <f>IF('MIS 2026'!BJ191&gt;0,'MIS 2026'!BJ191,'MIS 2026'!AF191)</f>
        <v>250</v>
      </c>
      <c r="W191" s="630" t="str">
        <f>IF('MIS 2026'!BM191="","",'MIS 2026'!BM191)</f>
        <v/>
      </c>
      <c r="X191" s="630" t="str">
        <f>IF('MIS 2026'!BO191="","",'MIS 2026'!BO191)</f>
        <v/>
      </c>
      <c r="Y191" s="627">
        <f t="shared" si="38"/>
        <v>346500</v>
      </c>
      <c r="Z191" s="627">
        <f>IF('MIS 2026'!CR191&gt;0,'MIS 2026'!CQ191,0)</f>
        <v>0</v>
      </c>
      <c r="AA191" s="627">
        <f t="shared" si="39"/>
        <v>346500</v>
      </c>
      <c r="AB191" s="630" t="str">
        <f>IF('MIS 2026'!CM191="","",'MIS 2026'!CM191)</f>
        <v/>
      </c>
      <c r="AC191" s="630" t="str">
        <f>'MIS 2026'!U191</f>
        <v>RCVD COUNTERSIGNED + ADVANCE PENDING(30/5)</v>
      </c>
      <c r="AD191" s="628" t="str">
        <f>IF('MIS 2026'!BF191&gt;0,'MIS 2026'!BF191,"")</f>
        <v/>
      </c>
      <c r="AE191" s="630" t="str">
        <f>IF('MIS 2026'!N191&gt;0,'MIS 2026'!N191,"")</f>
        <v/>
      </c>
      <c r="AF191" s="628"/>
      <c r="AG191" s="631" t="str">
        <f>IF('MIS 2026'!BV191&lt;&gt;0,'MIS 2026'!BV191,"")</f>
        <v/>
      </c>
      <c r="AH191" s="628">
        <f>IF('MIS 2026'!F191&lt;&gt;0,'MIS 2026'!F191,"")</f>
        <v>32016439</v>
      </c>
      <c r="AI191" s="632" t="str">
        <f t="shared" ca="1" si="40"/>
        <v/>
      </c>
      <c r="AJ191" s="628"/>
    </row>
    <row r="192" spans="1:36">
      <c r="A192" s="622" t="s">
        <v>208</v>
      </c>
      <c r="B192" s="622" t="str">
        <f>'MIS 2026'!EV192</f>
        <v>Yet to load</v>
      </c>
      <c r="C192" s="623">
        <f>'MIS 2026'!F192</f>
        <v>32016409</v>
      </c>
      <c r="D192" s="622" t="str">
        <f>'MIS 2026'!EH192</f>
        <v xml:space="preserve">VALENCY IVC </v>
      </c>
      <c r="E192" s="624">
        <f>'MIS 2026'!AF192</f>
        <v>500</v>
      </c>
      <c r="F192" s="625">
        <f>'MIS 2026'!EK192</f>
        <v>0</v>
      </c>
      <c r="G192" s="625">
        <f t="shared" si="36"/>
        <v>0</v>
      </c>
      <c r="H192" s="622">
        <f>'MIS 2026'!EL192</f>
        <v>0</v>
      </c>
      <c r="I192" s="626"/>
      <c r="J192" s="627">
        <f>'MIS 2026'!ER192</f>
        <v>0</v>
      </c>
      <c r="K192" s="627">
        <f t="shared" si="37"/>
        <v>0</v>
      </c>
      <c r="L192" s="627">
        <f>'MIS 2026'!EW192</f>
        <v>0</v>
      </c>
      <c r="M192" s="628">
        <f>IF('MIS 2026'!EZ192&gt;0,'MIS 2026'!EW192,0)</f>
        <v>0</v>
      </c>
      <c r="N192" s="628" t="str">
        <f>'MIS 2026'!I192</f>
        <v>IVC</v>
      </c>
      <c r="O192" s="628" t="str">
        <f>'MIS 2026'!H192</f>
        <v xml:space="preserve">KIEU LOAN COMPANY LIMITED </v>
      </c>
      <c r="P192" s="627">
        <f>'MIS 2026'!AI192</f>
        <v>1345</v>
      </c>
      <c r="Q192" s="628" t="str">
        <f>'MIS 2026'!BQ192</f>
        <v>Cat Lai/ SPCT in HCM City</v>
      </c>
      <c r="R192" s="628">
        <f>'MIS 2026'!AM192</f>
        <v>0.1</v>
      </c>
      <c r="S192" s="628" t="str">
        <f>'MIS 2026'!AL192</f>
        <v>10/88/2</v>
      </c>
      <c r="T192" s="627">
        <f>'MIS 2026'!AZ192</f>
        <v>67250</v>
      </c>
      <c r="U192" s="628" t="str">
        <f>IF('MIS 2026'!BI192="","",'MIS 2026'!BI192)</f>
        <v/>
      </c>
      <c r="V192" s="629">
        <f>IF('MIS 2026'!BJ192&gt;0,'MIS 2026'!BJ192,'MIS 2026'!AF192)</f>
        <v>500</v>
      </c>
      <c r="W192" s="630" t="str">
        <f>IF('MIS 2026'!BM192="","",'MIS 2026'!BM192)</f>
        <v/>
      </c>
      <c r="X192" s="630" t="str">
        <f>IF('MIS 2026'!BO192="","",'MIS 2026'!BO192)</f>
        <v/>
      </c>
      <c r="Y192" s="627">
        <f t="shared" si="38"/>
        <v>605250</v>
      </c>
      <c r="Z192" s="627">
        <f>IF('MIS 2026'!CR192&gt;0,'MIS 2026'!CQ192,0)</f>
        <v>0</v>
      </c>
      <c r="AA192" s="627">
        <f t="shared" si="39"/>
        <v>605250</v>
      </c>
      <c r="AB192" s="630" t="str">
        <f>IF('MIS 2026'!CM192="","",'MIS 2026'!CM192)</f>
        <v/>
      </c>
      <c r="AC192" s="630" t="str">
        <f>'MIS 2026'!U192</f>
        <v>ADVANCE RCVD 28/05</v>
      </c>
      <c r="AD192" s="628" t="str">
        <f>IF('MIS 2026'!BF192&gt;0,'MIS 2026'!BF192,"")</f>
        <v/>
      </c>
      <c r="AE192" s="630" t="str">
        <f>IF('MIS 2026'!N192&gt;0,'MIS 2026'!N192,"")</f>
        <v/>
      </c>
      <c r="AF192" s="628"/>
      <c r="AG192" s="631" t="str">
        <f>IF('MIS 2026'!BV192&lt;&gt;0,'MIS 2026'!BV192,"")</f>
        <v/>
      </c>
      <c r="AH192" s="628">
        <f>IF('MIS 2026'!F192&lt;&gt;0,'MIS 2026'!F192,"")</f>
        <v>32016409</v>
      </c>
      <c r="AI192" s="632" t="str">
        <f t="shared" ca="1" si="40"/>
        <v/>
      </c>
      <c r="AJ192" s="628"/>
    </row>
    <row r="193" spans="1:36">
      <c r="A193" s="622" t="s">
        <v>208</v>
      </c>
      <c r="B193" s="622" t="str">
        <f>'MIS 2026'!EV193</f>
        <v>Yet to load</v>
      </c>
      <c r="C193" s="623">
        <f>'MIS 2026'!F193</f>
        <v>32014591</v>
      </c>
      <c r="D193" s="622" t="str">
        <f>'MIS 2026'!EH193</f>
        <v xml:space="preserve">VALENCY IVC </v>
      </c>
      <c r="E193" s="624">
        <f>'MIS 2026'!AF193</f>
        <v>100</v>
      </c>
      <c r="F193" s="625">
        <f>'MIS 2026'!EK193</f>
        <v>0</v>
      </c>
      <c r="G193" s="625">
        <f t="shared" si="36"/>
        <v>0</v>
      </c>
      <c r="H193" s="622">
        <f>'MIS 2026'!EL193</f>
        <v>0</v>
      </c>
      <c r="I193" s="626"/>
      <c r="J193" s="627">
        <f>'MIS 2026'!ER193</f>
        <v>0</v>
      </c>
      <c r="K193" s="627">
        <f t="shared" si="37"/>
        <v>0</v>
      </c>
      <c r="L193" s="627">
        <f>'MIS 2026'!EW193</f>
        <v>0</v>
      </c>
      <c r="M193" s="628">
        <f>IF('MIS 2026'!EZ193&gt;0,'MIS 2026'!EW193,0)</f>
        <v>0</v>
      </c>
      <c r="N193" s="628" t="str">
        <f>'MIS 2026'!I193</f>
        <v>IVC</v>
      </c>
      <c r="O193" s="628" t="str">
        <f>'MIS 2026'!H193</f>
        <v>SIDDHI VINAYAKA CASHEW INDUSTRIES</v>
      </c>
      <c r="P193" s="627">
        <f>'MIS 2026'!AI193</f>
        <v>1510</v>
      </c>
      <c r="Q193" s="628" t="str">
        <f>'MIS 2026'!BQ193</f>
        <v>MANGALORE, INDIA</v>
      </c>
      <c r="R193" s="628">
        <f>'MIS 2026'!AM193</f>
        <v>0.1</v>
      </c>
      <c r="S193" s="628" t="str">
        <f>'MIS 2026'!AL193</f>
        <v>DP SIGHT</v>
      </c>
      <c r="T193" s="627">
        <f>'MIS 2026'!AZ193</f>
        <v>15100</v>
      </c>
      <c r="U193" s="628">
        <f>IF('MIS 2026'!BI193="","",'MIS 2026'!BI193)</f>
        <v>267490088</v>
      </c>
      <c r="V193" s="629">
        <f>IF('MIS 2026'!BJ193&gt;0,'MIS 2026'!BJ193,'MIS 2026'!AF193)</f>
        <v>97.98</v>
      </c>
      <c r="W193" s="630">
        <f>IF('MIS 2026'!BM193="","",'MIS 2026'!BM193)</f>
        <v>46202</v>
      </c>
      <c r="X193" s="630">
        <f>IF('MIS 2026'!BO193="","",'MIS 2026'!BO193)</f>
        <v>46202</v>
      </c>
      <c r="Y193" s="627">
        <f t="shared" si="38"/>
        <v>132849.80000000002</v>
      </c>
      <c r="Z193" s="627">
        <f>IF('MIS 2026'!CR193&gt;0,'MIS 2026'!CQ193,0)</f>
        <v>0</v>
      </c>
      <c r="AA193" s="627">
        <f t="shared" si="39"/>
        <v>132849.80000000002</v>
      </c>
      <c r="AB193" s="630" t="str">
        <f>IF('MIS 2026'!CM193="","",'MIS 2026'!CM193)</f>
        <v/>
      </c>
      <c r="AC193" s="630" t="str">
        <f>'MIS 2026'!U193</f>
        <v>DRAFT BL APPROVED 22/5</v>
      </c>
      <c r="AD193" s="628">
        <f>IF('MIS 2026'!BF193&gt;0,'MIS 2026'!BF193,"")</f>
        <v>46083</v>
      </c>
      <c r="AE193" s="630">
        <f>IF('MIS 2026'!N193&gt;0,'MIS 2026'!N193,"")</f>
        <v>46202</v>
      </c>
      <c r="AF193" s="628"/>
      <c r="AG193" s="631" t="str">
        <f>IF('MIS 2026'!BV193&lt;&gt;0,'MIS 2026'!BV193,"")</f>
        <v/>
      </c>
      <c r="AH193" s="628">
        <f>IF('MIS 2026'!F193&lt;&gt;0,'MIS 2026'!F193,"")</f>
        <v>32014591</v>
      </c>
      <c r="AI193" s="632">
        <f t="shared" ca="1" si="40"/>
        <v>-30</v>
      </c>
      <c r="AJ193" s="628"/>
    </row>
    <row r="194" spans="1:36">
      <c r="A194" s="622" t="s">
        <v>208</v>
      </c>
      <c r="B194" s="622" t="str">
        <f>'MIS 2026'!EV194</f>
        <v>Yet to load</v>
      </c>
      <c r="C194" s="623">
        <f>'MIS 2026'!F194</f>
        <v>32016405</v>
      </c>
      <c r="D194" s="622" t="str">
        <f>'MIS 2026'!EH194</f>
        <v>VK Trading</v>
      </c>
      <c r="E194" s="624">
        <f>'MIS 2026'!AF194</f>
        <v>500</v>
      </c>
      <c r="F194" s="625">
        <f>'MIS 2026'!EK194</f>
        <v>0</v>
      </c>
      <c r="G194" s="625">
        <f t="shared" si="36"/>
        <v>0</v>
      </c>
      <c r="H194" s="622">
        <f>'MIS 2026'!EL194</f>
        <v>0</v>
      </c>
      <c r="I194" s="626"/>
      <c r="J194" s="627">
        <f>'MIS 2026'!ER194</f>
        <v>0</v>
      </c>
      <c r="K194" s="627">
        <f t="shared" si="37"/>
        <v>0</v>
      </c>
      <c r="L194" s="627">
        <f>'MIS 2026'!EW194</f>
        <v>0</v>
      </c>
      <c r="M194" s="628">
        <f>IF('MIS 2026'!EZ194&gt;0,'MIS 2026'!EW194,0)</f>
        <v>0</v>
      </c>
      <c r="N194" s="628" t="str">
        <f>'MIS 2026'!I194</f>
        <v>BISSAU</v>
      </c>
      <c r="O194" s="628" t="str">
        <f>'MIS 2026'!H194</f>
        <v xml:space="preserve">THAO NGUYEN COMPANY LIMITED </v>
      </c>
      <c r="P194" s="627">
        <f>'MIS 2026'!AI194</f>
        <v>1660</v>
      </c>
      <c r="Q194" s="628" t="str">
        <f>'MIS 2026'!BQ194</f>
        <v>THI VAI- CAI MEP PORT, BA RIA VUNG TAU</v>
      </c>
      <c r="R194" s="628">
        <f>'MIS 2026'!AM194</f>
        <v>0.1</v>
      </c>
      <c r="S194" s="628" t="str">
        <f>'MIS 2026'!AL194</f>
        <v>10/88/2</v>
      </c>
      <c r="T194" s="627">
        <f>'MIS 2026'!AZ194</f>
        <v>83000</v>
      </c>
      <c r="U194" s="628" t="str">
        <f>IF('MIS 2026'!BI194="","",'MIS 2026'!BI194)</f>
        <v/>
      </c>
      <c r="V194" s="629">
        <f>IF('MIS 2026'!BJ194&gt;0,'MIS 2026'!BJ194,'MIS 2026'!AF194)</f>
        <v>500</v>
      </c>
      <c r="W194" s="630" t="str">
        <f>IF('MIS 2026'!BM194="","",'MIS 2026'!BM194)</f>
        <v/>
      </c>
      <c r="X194" s="630" t="str">
        <f>IF('MIS 2026'!BO194="","",'MIS 2026'!BO194)</f>
        <v/>
      </c>
      <c r="Y194" s="627">
        <f t="shared" si="38"/>
        <v>747000</v>
      </c>
      <c r="Z194" s="627">
        <f>IF('MIS 2026'!CR194&gt;0,'MIS 2026'!CQ194,0)</f>
        <v>0</v>
      </c>
      <c r="AA194" s="627">
        <f t="shared" si="39"/>
        <v>747000</v>
      </c>
      <c r="AB194" s="630" t="str">
        <f>IF('MIS 2026'!CM194="","",'MIS 2026'!CM194)</f>
        <v/>
      </c>
      <c r="AC194" s="630" t="str">
        <f>'MIS 2026'!U194</f>
        <v>ADV RCVD 26/5</v>
      </c>
      <c r="AD194" s="628" t="str">
        <f>IF('MIS 2026'!BF194&gt;0,'MIS 2026'!BF194,"")</f>
        <v/>
      </c>
      <c r="AE194" s="630" t="str">
        <f>IF('MIS 2026'!N194&gt;0,'MIS 2026'!N194,"")</f>
        <v/>
      </c>
      <c r="AF194" s="628"/>
      <c r="AG194" s="631" t="str">
        <f>IF('MIS 2026'!BV194&lt;&gt;0,'MIS 2026'!BV194,"")</f>
        <v/>
      </c>
      <c r="AH194" s="628">
        <f>IF('MIS 2026'!F194&lt;&gt;0,'MIS 2026'!F194,"")</f>
        <v>32016405</v>
      </c>
      <c r="AI194" s="632" t="str">
        <f t="shared" ca="1" si="40"/>
        <v/>
      </c>
      <c r="AJ194" s="628"/>
    </row>
    <row r="195" spans="1:36">
      <c r="A195" s="622" t="s">
        <v>208</v>
      </c>
      <c r="B195" s="622" t="str">
        <f>'MIS 2026'!EV195</f>
        <v>Yet to load</v>
      </c>
      <c r="C195" s="623">
        <f>'MIS 2026'!F195</f>
        <v>32016444</v>
      </c>
      <c r="D195" s="622" t="str">
        <f>'MIS 2026'!EH195</f>
        <v xml:space="preserve">VALENCY IVC </v>
      </c>
      <c r="E195" s="624">
        <f>'MIS 2026'!AF195</f>
        <v>200</v>
      </c>
      <c r="F195" s="625">
        <f>'MIS 2026'!EK195</f>
        <v>0</v>
      </c>
      <c r="G195" s="625">
        <f t="shared" si="36"/>
        <v>0</v>
      </c>
      <c r="H195" s="622">
        <f>'MIS 2026'!EL195</f>
        <v>0</v>
      </c>
      <c r="I195" s="626"/>
      <c r="J195" s="627">
        <f>'MIS 2026'!ER195</f>
        <v>0</v>
      </c>
      <c r="K195" s="627">
        <f t="shared" si="37"/>
        <v>0</v>
      </c>
      <c r="L195" s="627">
        <f>'MIS 2026'!EW195</f>
        <v>0</v>
      </c>
      <c r="M195" s="628">
        <f>IF('MIS 2026'!EZ195&gt;0,'MIS 2026'!EW195,0)</f>
        <v>0</v>
      </c>
      <c r="N195" s="628" t="str">
        <f>'MIS 2026'!I195</f>
        <v>IVC</v>
      </c>
      <c r="O195" s="628" t="str">
        <f>'MIS 2026'!H195</f>
        <v>HOANG KIM CASHEW ONE MEMBER COMPANY LIMITED</v>
      </c>
      <c r="P195" s="627">
        <f>'MIS 2026'!AI195</f>
        <v>1275</v>
      </c>
      <c r="Q195" s="628" t="str">
        <f>'MIS 2026'!BQ195</f>
        <v>HCMC, VIETNAM</v>
      </c>
      <c r="R195" s="628">
        <f>'MIS 2026'!AM195</f>
        <v>0.1</v>
      </c>
      <c r="S195" s="628" t="str">
        <f>'MIS 2026'!AL195</f>
        <v>10/88/2</v>
      </c>
      <c r="T195" s="627">
        <f>'MIS 2026'!AZ195</f>
        <v>25500</v>
      </c>
      <c r="U195" s="628" t="str">
        <f>IF('MIS 2026'!BI195="","",'MIS 2026'!BI195)</f>
        <v/>
      </c>
      <c r="V195" s="629">
        <f>IF('MIS 2026'!BJ195&gt;0,'MIS 2026'!BJ195,'MIS 2026'!AF195)</f>
        <v>200</v>
      </c>
      <c r="W195" s="630" t="str">
        <f>IF('MIS 2026'!BM195="","",'MIS 2026'!BM195)</f>
        <v/>
      </c>
      <c r="X195" s="630" t="str">
        <f>IF('MIS 2026'!BO195="","",'MIS 2026'!BO195)</f>
        <v/>
      </c>
      <c r="Y195" s="627">
        <f t="shared" si="38"/>
        <v>229500</v>
      </c>
      <c r="Z195" s="627">
        <f>IF('MIS 2026'!CR195&gt;0,'MIS 2026'!CQ195,0)</f>
        <v>0</v>
      </c>
      <c r="AA195" s="627">
        <f t="shared" si="39"/>
        <v>229500</v>
      </c>
      <c r="AB195" s="630" t="str">
        <f>IF('MIS 2026'!CM195="","",'MIS 2026'!CM195)</f>
        <v/>
      </c>
      <c r="AC195" s="630" t="str">
        <f>'MIS 2026'!U195</f>
        <v>AS PER TUYET CONTRACT CANCELLED</v>
      </c>
      <c r="AD195" s="628" t="str">
        <f>IF('MIS 2026'!BF195&gt;0,'MIS 2026'!BF195,"")</f>
        <v/>
      </c>
      <c r="AE195" s="630" t="str">
        <f>IF('MIS 2026'!N195&gt;0,'MIS 2026'!N195,"")</f>
        <v/>
      </c>
      <c r="AF195" s="628"/>
      <c r="AG195" s="631" t="str">
        <f>IF('MIS 2026'!BV195&lt;&gt;0,'MIS 2026'!BV195,"")</f>
        <v/>
      </c>
      <c r="AH195" s="628">
        <f>IF('MIS 2026'!F195&lt;&gt;0,'MIS 2026'!F195,"")</f>
        <v>32016444</v>
      </c>
      <c r="AI195" s="632" t="str">
        <f t="shared" ca="1" si="40"/>
        <v/>
      </c>
      <c r="AJ195" s="628"/>
    </row>
    <row r="196" spans="1:36">
      <c r="A196" s="622" t="s">
        <v>208</v>
      </c>
      <c r="B196" s="622" t="str">
        <f>'MIS 2026'!EV196</f>
        <v>Yet to load</v>
      </c>
      <c r="C196" s="623">
        <f>'MIS 2026'!F196</f>
        <v>0</v>
      </c>
      <c r="D196" s="622">
        <f>'MIS 2026'!EH196</f>
        <v>0</v>
      </c>
      <c r="E196" s="624">
        <f>'MIS 2026'!AF196</f>
        <v>100</v>
      </c>
      <c r="F196" s="625">
        <f>'MIS 2026'!EK196</f>
        <v>0</v>
      </c>
      <c r="G196" s="625">
        <f t="shared" si="36"/>
        <v>0</v>
      </c>
      <c r="H196" s="622">
        <f>'MIS 2026'!EL196</f>
        <v>0</v>
      </c>
      <c r="I196" s="626"/>
      <c r="J196" s="627">
        <f>'MIS 2026'!ER196</f>
        <v>0</v>
      </c>
      <c r="K196" s="627">
        <f t="shared" si="37"/>
        <v>0</v>
      </c>
      <c r="L196" s="627">
        <f>'MIS 2026'!EW196</f>
        <v>0</v>
      </c>
      <c r="M196" s="628">
        <f>IF('MIS 2026'!EZ196&gt;0,'MIS 2026'!EW196,0)</f>
        <v>0</v>
      </c>
      <c r="N196" s="628" t="str">
        <f>'MIS 2026'!I196</f>
        <v>SENEGAL</v>
      </c>
      <c r="O196" s="628" t="str">
        <f>'MIS 2026'!H196</f>
        <v>VALENCY AGRO //HSS//The Nut company</v>
      </c>
      <c r="P196" s="627">
        <f>'MIS 2026'!AI196</f>
        <v>1595</v>
      </c>
      <c r="Q196" s="628" t="str">
        <f>'MIS 2026'!BQ196</f>
        <v>MUNDRA, INDIA</v>
      </c>
      <c r="R196" s="628">
        <f>'MIS 2026'!AM196</f>
        <v>0</v>
      </c>
      <c r="S196" s="628" t="str">
        <f>'MIS 2026'!AL196</f>
        <v>DP SIGHT</v>
      </c>
      <c r="T196" s="627">
        <f>'MIS 2026'!AZ196</f>
        <v>0</v>
      </c>
      <c r="U196" s="628" t="str">
        <f>IF('MIS 2026'!BI196="","",'MIS 2026'!BI196)</f>
        <v/>
      </c>
      <c r="V196" s="629">
        <f>IF('MIS 2026'!BJ196&gt;0,'MIS 2026'!BJ196,'MIS 2026'!AF196)</f>
        <v>100</v>
      </c>
      <c r="W196" s="630" t="str">
        <f>IF('MIS 2026'!BM196="","",'MIS 2026'!BM196)</f>
        <v/>
      </c>
      <c r="X196" s="630" t="str">
        <f>IF('MIS 2026'!BO196="","",'MIS 2026'!BO196)</f>
        <v/>
      </c>
      <c r="Y196" s="627">
        <f t="shared" si="38"/>
        <v>159500</v>
      </c>
      <c r="Z196" s="627">
        <f>IF('MIS 2026'!CR196&gt;0,'MIS 2026'!CQ196,0)</f>
        <v>0</v>
      </c>
      <c r="AA196" s="627">
        <f t="shared" si="39"/>
        <v>159500</v>
      </c>
      <c r="AB196" s="630" t="str">
        <f>IF('MIS 2026'!CM196="","",'MIS 2026'!CM196)</f>
        <v/>
      </c>
      <c r="AC196" s="630" t="str">
        <f>'MIS 2026'!U196</f>
        <v>NEW SC TO BE ISSUED-VIPL TO VAPL</v>
      </c>
      <c r="AD196" s="628" t="str">
        <f>IF('MIS 2026'!BF196&gt;0,'MIS 2026'!BF196,"")</f>
        <v/>
      </c>
      <c r="AE196" s="630" t="str">
        <f>IF('MIS 2026'!N196&gt;0,'MIS 2026'!N196,"")</f>
        <v/>
      </c>
      <c r="AF196" s="628"/>
      <c r="AG196" s="631" t="str">
        <f>IF('MIS 2026'!BV196&lt;&gt;0,'MIS 2026'!BV196,"")</f>
        <v/>
      </c>
      <c r="AH196" s="628" t="str">
        <f>IF('MIS 2026'!F196&lt;&gt;0,'MIS 2026'!F196,"")</f>
        <v/>
      </c>
      <c r="AI196" s="632" t="str">
        <f t="shared" ca="1" si="40"/>
        <v/>
      </c>
      <c r="AJ196" s="628"/>
    </row>
    <row r="197" spans="1:36">
      <c r="A197" s="622" t="s">
        <v>208</v>
      </c>
      <c r="B197" s="622" t="str">
        <f>'MIS 2026'!EV197</f>
        <v>Yet to load</v>
      </c>
      <c r="C197" s="623">
        <f>'MIS 2026'!F197</f>
        <v>32016492</v>
      </c>
      <c r="D197" s="622" t="str">
        <f>'MIS 2026'!EH197</f>
        <v>VK Trading</v>
      </c>
      <c r="E197" s="624">
        <f>'MIS 2026'!AF197</f>
        <v>100</v>
      </c>
      <c r="F197" s="625">
        <f>'MIS 2026'!EK197</f>
        <v>0</v>
      </c>
      <c r="G197" s="625">
        <f t="shared" si="36"/>
        <v>0</v>
      </c>
      <c r="H197" s="622">
        <f>'MIS 2026'!EL197</f>
        <v>0</v>
      </c>
      <c r="I197" s="626"/>
      <c r="J197" s="627">
        <f>'MIS 2026'!ER197</f>
        <v>0</v>
      </c>
      <c r="K197" s="627">
        <f t="shared" si="37"/>
        <v>0</v>
      </c>
      <c r="L197" s="627">
        <f>'MIS 2026'!EW197</f>
        <v>0</v>
      </c>
      <c r="M197" s="628">
        <f>IF('MIS 2026'!EZ197&gt;0,'MIS 2026'!EW197,0)</f>
        <v>0</v>
      </c>
      <c r="N197" s="628" t="str">
        <f>'MIS 2026'!I197</f>
        <v>BISSAU</v>
      </c>
      <c r="O197" s="628" t="str">
        <f>'MIS 2026'!H197</f>
        <v xml:space="preserve">Maa Tarini Traders and Processing </v>
      </c>
      <c r="P197" s="627">
        <f>'MIS 2026'!AI197</f>
        <v>1655</v>
      </c>
      <c r="Q197" s="628" t="str">
        <f>'MIS 2026'!BQ197</f>
        <v>Vishakhapatnam, INDIA</v>
      </c>
      <c r="R197" s="628">
        <f>'MIS 2026'!AM197</f>
        <v>0.1</v>
      </c>
      <c r="S197" s="628" t="str">
        <f>'MIS 2026'!AL197</f>
        <v>10% ADV AND 90% CAD</v>
      </c>
      <c r="T197" s="627">
        <f>'MIS 2026'!AZ197</f>
        <v>16550</v>
      </c>
      <c r="U197" s="628" t="str">
        <f>IF('MIS 2026'!BI197="","",'MIS 2026'!BI197)</f>
        <v/>
      </c>
      <c r="V197" s="629">
        <f>IF('MIS 2026'!BJ197&gt;0,'MIS 2026'!BJ197,'MIS 2026'!AF197)</f>
        <v>100</v>
      </c>
      <c r="W197" s="630" t="str">
        <f>IF('MIS 2026'!BM197="","",'MIS 2026'!BM197)</f>
        <v/>
      </c>
      <c r="X197" s="630" t="str">
        <f>IF('MIS 2026'!BO197="","",'MIS 2026'!BO197)</f>
        <v/>
      </c>
      <c r="Y197" s="627">
        <f t="shared" si="38"/>
        <v>148950</v>
      </c>
      <c r="Z197" s="627">
        <f>IF('MIS 2026'!CR197&gt;0,'MIS 2026'!CQ197,0)</f>
        <v>0</v>
      </c>
      <c r="AA197" s="627">
        <f t="shared" si="39"/>
        <v>148950</v>
      </c>
      <c r="AB197" s="630" t="str">
        <f>IF('MIS 2026'!CM197="","",'MIS 2026'!CM197)</f>
        <v/>
      </c>
      <c r="AC197" s="630">
        <f>'MIS 2026'!U197</f>
        <v>0</v>
      </c>
      <c r="AD197" s="628" t="str">
        <f>IF('MIS 2026'!BF197&gt;0,'MIS 2026'!BF197,"")</f>
        <v/>
      </c>
      <c r="AE197" s="630" t="str">
        <f>IF('MIS 2026'!N197&gt;0,'MIS 2026'!N197,"")</f>
        <v/>
      </c>
      <c r="AF197" s="628"/>
      <c r="AG197" s="631" t="str">
        <f>IF('MIS 2026'!BV197&lt;&gt;0,'MIS 2026'!BV197,"")</f>
        <v/>
      </c>
      <c r="AH197" s="628">
        <f>IF('MIS 2026'!F197&lt;&gt;0,'MIS 2026'!F197,"")</f>
        <v>32016492</v>
      </c>
      <c r="AI197" s="632" t="str">
        <f t="shared" ca="1" si="40"/>
        <v/>
      </c>
      <c r="AJ197" s="628"/>
    </row>
  </sheetData>
  <autoFilter ref="A2:AI197" xr:uid="{1EB82403-3BB1-458C-8620-4CEFC73D518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69FA-7D16-4CDA-ADFD-CFDB2EA9A3AB}">
  <dimension ref="A1:L18"/>
  <sheetViews>
    <sheetView workbookViewId="0">
      <selection activeCell="G4" sqref="G4"/>
    </sheetView>
  </sheetViews>
  <sheetFormatPr defaultRowHeight="14.45"/>
  <cols>
    <col min="1" max="1" width="27.5703125" bestFit="1" customWidth="1"/>
    <col min="2" max="2" width="11.42578125" bestFit="1" customWidth="1"/>
    <col min="3" max="3" width="35.28515625" customWidth="1"/>
    <col min="4" max="4" width="34.140625" customWidth="1"/>
    <col min="5" max="5" width="9.85546875" customWidth="1"/>
    <col min="6" max="6" width="7.85546875" customWidth="1"/>
    <col min="7" max="7" width="18.7109375" bestFit="1" customWidth="1"/>
    <col min="10" max="10" width="29.7109375" bestFit="1" customWidth="1"/>
    <col min="11" max="11" width="27.85546875" bestFit="1" customWidth="1"/>
  </cols>
  <sheetData>
    <row r="1" spans="1:12">
      <c r="A1" s="703" t="s">
        <v>1054</v>
      </c>
      <c r="B1" s="703"/>
      <c r="C1" s="703"/>
      <c r="D1" s="703"/>
    </row>
    <row r="2" spans="1:12">
      <c r="A2" s="443" t="s">
        <v>1055</v>
      </c>
      <c r="B2" s="443" t="s">
        <v>1056</v>
      </c>
      <c r="C2" s="443" t="s">
        <v>915</v>
      </c>
      <c r="D2" s="444" t="s">
        <v>1057</v>
      </c>
      <c r="E2" s="443" t="s">
        <v>48</v>
      </c>
      <c r="F2" s="445" t="s">
        <v>1058</v>
      </c>
      <c r="G2" s="443" t="s">
        <v>916</v>
      </c>
      <c r="H2" s="443" t="s">
        <v>917</v>
      </c>
      <c r="I2" s="443" t="s">
        <v>34</v>
      </c>
      <c r="J2" s="443" t="s">
        <v>919</v>
      </c>
      <c r="K2" s="443" t="s">
        <v>920</v>
      </c>
      <c r="L2" s="443" t="s">
        <v>921</v>
      </c>
    </row>
    <row r="3" spans="1:12">
      <c r="A3" s="419" t="str">
        <f>IF(B3="","",_xlfn.XLOOKUP(B3,'MIS 2026'!$AA$3:$AA$895,'MIS 2026'!$A$3:$A$895))</f>
        <v>OBL Scan Recd, Nego Pending</v>
      </c>
      <c r="B3" s="419" t="str" cm="1">
        <f t="array" ref="B3:B18">_xlfn.UNIQUE(_xlfn._xlws.FILTER('MIS 2026'!$F$3:$F$895,('MIS 2026'!$T$3:$T$895&lt;&gt;"")*ISNUMBER(SEARCH("NIGERIA",'MIS 2026'!$I$3:$I$895))))</f>
        <v>32015806-1</v>
      </c>
      <c r="C3" s="419" t="str">
        <f>IF(B3="","",_xlfn.XLOOKUP(B3,'MIS 2026'!$AA$3:$AA$895,'MIS 2026'!$AB$3:$AB$895))</f>
        <v>INDIA ENTERPRISES</v>
      </c>
      <c r="D3" s="419" t="str">
        <f>IF(B3="","",_xlfn.XLOOKUP(B3,'MIS 2026'!$AA$3:$AA$895,'MIS 2026'!$T$3:$T$895))</f>
        <v>OBL Expected on 25/5</v>
      </c>
      <c r="E3" s="446">
        <f>IF(B3="","",_xlfn.XLOOKUP(B3,'MIS 2026'!$AA$3:$AA$895,'MIS 2026'!$AD$3:$AD$895))</f>
        <v>46157</v>
      </c>
      <c r="F3" s="419"/>
      <c r="G3" s="419" t="str">
        <f>IF(B3="","",_xlfn.XLOOKUP(B3,'MIS 2026'!$AA$3:$AA$895,'MIS 2026'!$BI$3:$BI$895))</f>
        <v>MEDULG632861</v>
      </c>
      <c r="H3" s="446" t="e">
        <f>IF(B3="","",_xlfn.XLOOKUP(B3,'MIS 2026'!$AA$3:$AA$895,'MIS 2026'!#REF!))</f>
        <v>#REF!</v>
      </c>
      <c r="I3" s="446">
        <f>IF(B3="","",_xlfn.XLOOKUP(B3,'MIS 2026'!$AA$3:$AA$895,'MIS 2026'!$BO$3:$BO$895))</f>
        <v>46193</v>
      </c>
      <c r="J3" s="419" t="str">
        <f>IF(B3="","",_xlfn.XLOOKUP(B3,'MIS 2026'!$AA$3:$AA$895,'MIS 2026'!$P$3:$P$895))</f>
        <v>OBL in Origin - NIGERIA(SAKI)</v>
      </c>
      <c r="K3" s="419" t="str">
        <f>IF(B3="","",_xlfn.XLOOKUP(B3,'MIS 2026'!$AA$3:$AA$895,'MIS 2026'!$R$3:$R$895))</f>
        <v>No CERTS Yet</v>
      </c>
      <c r="L3" s="419" t="str">
        <f>IF(B3="","",_xlfn.XLOOKUP(B3,'MIS 2026'!$AA$3:$AA$895,'MIS 2026'!$S$3:$S$895))</f>
        <v/>
      </c>
    </row>
    <row r="4" spans="1:12">
      <c r="A4" s="419" t="str">
        <f>IF(B4="","",_xlfn.XLOOKUP(B4,'MIS 2026'!$AA$3:$AA$895,'MIS 2026'!$A$3:$A$895))</f>
        <v>Sailed, OBL &amp; Certs Pending</v>
      </c>
      <c r="B4" s="419" t="str">
        <v>32015806-2</v>
      </c>
      <c r="C4" s="419" t="str">
        <f>IF(B4="","",_xlfn.XLOOKUP(B4,'MIS 2026'!$AA$3:$AA$895,'MIS 2026'!$AB$3:$AB$895))</f>
        <v>INDIA ENTERPRISES</v>
      </c>
      <c r="D4" s="419" t="str">
        <f>IF(B4="","",_xlfn.XLOOKUP(B4,'MIS 2026'!$AA$3:$AA$895,'MIS 2026'!$T$3:$T$895))</f>
        <v>OBL Expected on 25/5</v>
      </c>
      <c r="E4" s="446">
        <f>IF(B4="","",_xlfn.XLOOKUP(B4,'MIS 2026'!$AA$3:$AA$895,'MIS 2026'!$AD$3:$AD$895))</f>
        <v>46157</v>
      </c>
      <c r="F4" s="419"/>
      <c r="G4" s="419" t="str">
        <f>IF(B4="","",_xlfn.XLOOKUP(B4,'MIS 2026'!$AA$3:$AA$895,'MIS 2026'!$BI$3:$BI$895))</f>
        <v>MEDULG632812</v>
      </c>
      <c r="H4" s="446" t="e">
        <f>IF(B4="","",_xlfn.XLOOKUP(B4,'MIS 2026'!$AA$3:$AA$895,'MIS 2026'!#REF!))</f>
        <v>#REF!</v>
      </c>
      <c r="I4" s="446">
        <f>IF(B4="","",_xlfn.XLOOKUP(B4,'MIS 2026'!$AA$3:$AA$895,'MIS 2026'!$BO$3:$BO$895))</f>
        <v>46193</v>
      </c>
      <c r="J4" s="419" t="str">
        <f>IF(B4="","",_xlfn.XLOOKUP(B4,'MIS 2026'!$AA$3:$AA$895,'MIS 2026'!$P$3:$P$895))</f>
        <v>No OBL Yet</v>
      </c>
      <c r="K4" s="419" t="str">
        <f>IF(B4="","",_xlfn.XLOOKUP(B4,'MIS 2026'!$AA$3:$AA$895,'MIS 2026'!$R$3:$R$895))</f>
        <v>No CERTS Yet</v>
      </c>
      <c r="L4" s="419" t="str">
        <f>IF(B4="","",_xlfn.XLOOKUP(B4,'MIS 2026'!$AA$3:$AA$895,'MIS 2026'!$S$3:$S$895))</f>
        <v/>
      </c>
    </row>
    <row r="5" spans="1:12">
      <c r="A5" s="419" t="str">
        <f>IF(B5="","",_xlfn.XLOOKUP(B5,'MIS 2026'!$AA$3:$AA$895,'MIS 2026'!$A$3:$A$895))</f>
        <v>Stuffed, Yet to Sail</v>
      </c>
      <c r="B5" s="419">
        <v>32016180</v>
      </c>
      <c r="C5" s="419" t="str">
        <f>IF(B5="","",_xlfn.XLOOKUP(B5,'MIS 2026'!$AA$3:$AA$895,'MIS 2026'!$AB$3:$AB$895))</f>
        <v>QUOC DUY IMPORT EXPORT TRADING PRODUCTION CO., LTD</v>
      </c>
      <c r="D5" s="419" t="str">
        <f>IF(B5="","",_xlfn.XLOOKUP(B5,'MIS 2026'!$AA$3:$AA$895,'MIS 2026'!$T$3:$T$895))</f>
        <v>ETD: 22/5: MSC ANTONIA - CONFIRMATION AWAITED</v>
      </c>
      <c r="E5" s="446">
        <f>IF(B5="","",_xlfn.XLOOKUP(B5,'MIS 2026'!$AA$3:$AA$895,'MIS 2026'!$AD$3:$AD$895))</f>
        <v>46142</v>
      </c>
      <c r="F5" s="419"/>
      <c r="G5" s="419" t="str">
        <f>IF(B5="","",_xlfn.XLOOKUP(B5,'MIS 2026'!$AA$3:$AA$895,'MIS 2026'!$BI$3:$BI$895))</f>
        <v>MEDULG637035</v>
      </c>
      <c r="H5" s="446" t="e">
        <f>IF(B5="","",_xlfn.XLOOKUP(B5,'MIS 2026'!$AA$3:$AA$895,'MIS 2026'!#REF!))</f>
        <v>#REF!</v>
      </c>
      <c r="I5" s="446">
        <f>IF(B5="","",_xlfn.XLOOKUP(B5,'MIS 2026'!$AA$3:$AA$895,'MIS 2026'!$BO$3:$BO$895))</f>
        <v>46198</v>
      </c>
      <c r="J5" s="419" t="str">
        <f>IF(B5="","",_xlfn.XLOOKUP(B5,'MIS 2026'!$AA$3:$AA$895,'MIS 2026'!$P$3:$P$895))</f>
        <v>No OBL Yet</v>
      </c>
      <c r="K5" s="419" t="str">
        <f>IF(B5="","",_xlfn.XLOOKUP(B5,'MIS 2026'!$AA$3:$AA$895,'MIS 2026'!$R$3:$R$895))</f>
        <v>No CERTS Yet</v>
      </c>
      <c r="L5" s="419" t="str">
        <f>IF(B5="","",_xlfn.XLOOKUP(B5,'MIS 2026'!$AA$3:$AA$895,'MIS 2026'!$S$3:$S$895))</f>
        <v/>
      </c>
    </row>
    <row r="6" spans="1:12">
      <c r="A6" s="419" t="str">
        <f>IF(B6="","",_xlfn.XLOOKUP(B6,'MIS 2026'!$AA$3:$AA$895,'MIS 2026'!$A$3:$A$895))</f>
        <v>Stuffed, Yet to Sail</v>
      </c>
      <c r="B6" s="419" t="str">
        <v>32016309-1</v>
      </c>
      <c r="C6" s="419" t="str">
        <f>IF(B6="","",_xlfn.XLOOKUP(B6,'MIS 2026'!$AA$3:$AA$895,'MIS 2026'!$AB$3:$AB$895))</f>
        <v>Valency Agro (Processing)</v>
      </c>
      <c r="D6" s="419" t="str">
        <f>IF(B6="","",_xlfn.XLOOKUP(B6,'MIS 2026'!$AA$3:$AA$895,'MIS 2026'!$T$3:$T$895))</f>
        <v>ETD: 24/5: MSC CHANNE</v>
      </c>
      <c r="E6" s="446">
        <f>IF(B6="","",_xlfn.XLOOKUP(B6,'MIS 2026'!$AA$3:$AA$895,'MIS 2026'!$AD$3:$AD$895))</f>
        <v>46142</v>
      </c>
      <c r="F6" s="419"/>
      <c r="G6" s="419" t="str">
        <f>IF(B6="","",_xlfn.XLOOKUP(B6,'MIS 2026'!$AA$3:$AA$895,'MIS 2026'!$BI$3:$BI$895))</f>
        <v>MEDULG640948</v>
      </c>
      <c r="H6" s="446" t="e">
        <f>IF(B6="","",_xlfn.XLOOKUP(B6,'MIS 2026'!$AA$3:$AA$895,'MIS 2026'!#REF!))</f>
        <v>#REF!</v>
      </c>
      <c r="I6" s="446">
        <f>IF(B6="","",_xlfn.XLOOKUP(B6,'MIS 2026'!$AA$3:$AA$895,'MIS 2026'!$BO$3:$BO$895))</f>
        <v>46200</v>
      </c>
      <c r="J6" s="419" t="str">
        <f>IF(B6="","",_xlfn.XLOOKUP(B6,'MIS 2026'!$AA$3:$AA$895,'MIS 2026'!$P$3:$P$895))</f>
        <v>No OBL Yet</v>
      </c>
      <c r="K6" s="419" t="str">
        <f>IF(B6="","",_xlfn.XLOOKUP(B6,'MIS 2026'!$AA$3:$AA$895,'MIS 2026'!$R$3:$R$895))</f>
        <v>No CERTS Yet</v>
      </c>
      <c r="L6" s="419" t="str">
        <f>IF(B6="","",_xlfn.XLOOKUP(B6,'MIS 2026'!$AA$3:$AA$895,'MIS 2026'!$S$3:$S$895))</f>
        <v/>
      </c>
    </row>
    <row r="7" spans="1:12">
      <c r="A7" s="419" t="str">
        <f>IF(B7="","",_xlfn.XLOOKUP(B7,'MIS 2026'!$AA$3:$AA$895,'MIS 2026'!$A$3:$A$895))</f>
        <v>Stuffed, Yet to Sail</v>
      </c>
      <c r="B7" s="419" t="str">
        <v>32016309-2</v>
      </c>
      <c r="C7" s="419" t="str">
        <f>IF(B7="","",_xlfn.XLOOKUP(B7,'MIS 2026'!$AA$3:$AA$895,'MIS 2026'!$AB$3:$AB$895))</f>
        <v>Valency Agro (Processing)</v>
      </c>
      <c r="D7" s="419" t="str">
        <f>IF(B7="","",_xlfn.XLOOKUP(B7,'MIS 2026'!$AA$3:$AA$895,'MIS 2026'!$T$3:$T$895))</f>
        <v>ETD: 24/5: MSC CHANNE</v>
      </c>
      <c r="E7" s="446">
        <f>IF(B7="","",_xlfn.XLOOKUP(B7,'MIS 2026'!$AA$3:$AA$895,'MIS 2026'!$AD$3:$AD$895))</f>
        <v>46142</v>
      </c>
      <c r="F7" s="419"/>
      <c r="G7" s="419" t="str">
        <f>IF(B7="","",_xlfn.XLOOKUP(B7,'MIS 2026'!$AA$3:$AA$895,'MIS 2026'!$BI$3:$BI$895))</f>
        <v>MEDULG640963</v>
      </c>
      <c r="H7" s="446" t="e">
        <f>IF(B7="","",_xlfn.XLOOKUP(B7,'MIS 2026'!$AA$3:$AA$895,'MIS 2026'!#REF!))</f>
        <v>#REF!</v>
      </c>
      <c r="I7" s="446">
        <f>IF(B7="","",_xlfn.XLOOKUP(B7,'MIS 2026'!$AA$3:$AA$895,'MIS 2026'!$BO$3:$BO$895))</f>
        <v>0</v>
      </c>
      <c r="J7" s="419" t="str">
        <f>IF(B7="","",_xlfn.XLOOKUP(B7,'MIS 2026'!$AA$3:$AA$895,'MIS 2026'!$P$3:$P$895))</f>
        <v>No OBL Yet</v>
      </c>
      <c r="K7" s="419" t="str">
        <f>IF(B7="","",_xlfn.XLOOKUP(B7,'MIS 2026'!$AA$3:$AA$895,'MIS 2026'!$R$3:$R$895))</f>
        <v>No CERTS Yet</v>
      </c>
      <c r="L7" s="419" t="str">
        <f>IF(B7="","",_xlfn.XLOOKUP(B7,'MIS 2026'!$AA$3:$AA$895,'MIS 2026'!$S$3:$S$895))</f>
        <v/>
      </c>
    </row>
    <row r="8" spans="1:12">
      <c r="A8" s="419" t="str">
        <f>IF(B8="","",_xlfn.XLOOKUP(B8,'MIS 2026'!$AA$3:$AA$895,'MIS 2026'!$A$3:$A$895))</f>
        <v>Sailed, OBL &amp; Certs Pending</v>
      </c>
      <c r="B8" s="419">
        <v>32015269</v>
      </c>
      <c r="C8" s="419" t="str">
        <f>IF(B8="","",_xlfn.XLOOKUP(B8,'MIS 2026'!$AA$3:$AA$895,'MIS 2026'!$AB$3:$AB$895))</f>
        <v>VALENCY AGRO //HSS//Balaji Cashew</v>
      </c>
      <c r="D8" s="419" t="str">
        <f>IF(B8="","",_xlfn.XLOOKUP(B8,'MIS 2026'!$AA$3:$AA$895,'MIS 2026'!$T$3:$T$895))</f>
        <v>OBL Expected on 25/5</v>
      </c>
      <c r="E8" s="446">
        <f>IF(B8="","",_xlfn.XLOOKUP(B8,'MIS 2026'!$AA$3:$AA$895,'MIS 2026'!$AD$3:$AD$895))</f>
        <v>46142</v>
      </c>
      <c r="F8" s="419"/>
      <c r="G8" s="419" t="str">
        <f>IF(B8="","",_xlfn.XLOOKUP(B8,'MIS 2026'!$AA$3:$AA$895,'MIS 2026'!$BI$3:$BI$895))</f>
        <v>MEDULG637951</v>
      </c>
      <c r="H8" s="446" t="e">
        <f>IF(B8="","",_xlfn.XLOOKUP(B8,'MIS 2026'!$AA$3:$AA$895,'MIS 2026'!#REF!))</f>
        <v>#REF!</v>
      </c>
      <c r="I8" s="446">
        <f>IF(B8="","",_xlfn.XLOOKUP(B8,'MIS 2026'!$AA$3:$AA$895,'MIS 2026'!$BO$3:$BO$895))</f>
        <v>46191</v>
      </c>
      <c r="J8" s="419" t="str">
        <f>IF(B8="","",_xlfn.XLOOKUP(B8,'MIS 2026'!$AA$3:$AA$895,'MIS 2026'!$P$3:$P$895))</f>
        <v>No OBL Yet</v>
      </c>
      <c r="K8" s="419" t="str">
        <f>IF(B8="","",_xlfn.XLOOKUP(B8,'MIS 2026'!$AA$3:$AA$895,'MIS 2026'!$R$3:$R$895))</f>
        <v>No CERTS Yet</v>
      </c>
      <c r="L8" s="419" t="str">
        <f>IF(B8="","",_xlfn.XLOOKUP(B8,'MIS 2026'!$AA$3:$AA$895,'MIS 2026'!$S$3:$S$895))</f>
        <v/>
      </c>
    </row>
    <row r="9" spans="1:12">
      <c r="A9" s="419" t="str">
        <f>IF(B9="","",_xlfn.XLOOKUP(B9,'MIS 2026'!$AA$3:$AA$895,'MIS 2026'!$A$3:$A$895))</f>
        <v>Stuffed, Yet to Sail</v>
      </c>
      <c r="B9" s="419" t="str">
        <v>TBA 11</v>
      </c>
      <c r="C9" s="419" t="str">
        <f>IF(B9="","",_xlfn.XLOOKUP(B9,'MIS 2026'!$AA$3:$AA$895,'MIS 2026'!$AB$3:$AB$895))</f>
        <v>VALENCY AGRO UNSOLD</v>
      </c>
      <c r="D9" s="419" t="str">
        <f>IF(B9="","",_xlfn.XLOOKUP(B9,'MIS 2026'!$AA$3:$AA$895,'MIS 2026'!$T$3:$T$895))</f>
        <v>ETD: 22/5 : MSC ANTONIA - CONFIRMATION AWAITED</v>
      </c>
      <c r="E9" s="446">
        <f>IF(B9="","",_xlfn.XLOOKUP(B9,'MIS 2026'!$AA$3:$AA$895,'MIS 2026'!$AD$3:$AD$895))</f>
        <v>46142</v>
      </c>
      <c r="F9" s="419"/>
      <c r="G9" s="419" t="str">
        <f>IF(B9="","",_xlfn.XLOOKUP(B9,'MIS 2026'!$AA$3:$AA$895,'MIS 2026'!$BI$3:$BI$895))</f>
        <v>MEDULG632572</v>
      </c>
      <c r="H9" s="446" t="e">
        <f>IF(B9="","",_xlfn.XLOOKUP(B9,'MIS 2026'!$AA$3:$AA$895,'MIS 2026'!#REF!))</f>
        <v>#REF!</v>
      </c>
      <c r="I9" s="446">
        <f>IF(B9="","",_xlfn.XLOOKUP(B9,'MIS 2026'!$AA$3:$AA$895,'MIS 2026'!$BO$3:$BO$895))</f>
        <v>46200</v>
      </c>
      <c r="J9" s="419" t="str">
        <f>IF(B9="","",_xlfn.XLOOKUP(B9,'MIS 2026'!$AA$3:$AA$895,'MIS 2026'!$P$3:$P$895))</f>
        <v>No OBL Yet</v>
      </c>
      <c r="K9" s="419" t="str">
        <f>IF(B9="","",_xlfn.XLOOKUP(B9,'MIS 2026'!$AA$3:$AA$895,'MIS 2026'!$R$3:$R$895))</f>
        <v>No CERTS Yet</v>
      </c>
      <c r="L9" s="419" t="str">
        <f>IF(B9="","",_xlfn.XLOOKUP(B9,'MIS 2026'!$AA$3:$AA$895,'MIS 2026'!$S$3:$S$895))</f>
        <v/>
      </c>
    </row>
    <row r="10" spans="1:12">
      <c r="A10" s="419" t="str">
        <f>IF(B10="","",_xlfn.XLOOKUP(B10,'MIS 2026'!$AA$3:$AA$895,'MIS 2026'!$A$3:$A$895))</f>
        <v>Stuffed, Yet to Sail</v>
      </c>
      <c r="B10" s="419">
        <v>32016443</v>
      </c>
      <c r="C10" s="419" t="str">
        <f>IF(B10="","",_xlfn.XLOOKUP(B10,'MIS 2026'!$AA$3:$AA$895,'MIS 2026'!$AB$3:$AB$895))</f>
        <v>Valency Agro (Processing)</v>
      </c>
      <c r="D10" s="419" t="str">
        <f>IF(B10="","",_xlfn.XLOOKUP(B10,'MIS 2026'!$AA$3:$AA$895,'MIS 2026'!$T$3:$T$895))</f>
        <v>ETD: 22/5 : MSC ANTONIA - CONFIRMATION AWAITED</v>
      </c>
      <c r="E10" s="446">
        <f>IF(B10="","",_xlfn.XLOOKUP(B10,'MIS 2026'!$AA$3:$AA$895,'MIS 2026'!$AD$3:$AD$895))</f>
        <v>46142</v>
      </c>
      <c r="F10" s="419" t="s">
        <v>1059</v>
      </c>
      <c r="G10" s="419" t="str">
        <f>IF(B10="","",_xlfn.XLOOKUP(B10,'MIS 2026'!$AA$3:$AA$895,'MIS 2026'!$BI$3:$BI$895))</f>
        <v>MEDULG638603</v>
      </c>
      <c r="H10" s="446" t="e">
        <f>IF(B10="","",_xlfn.XLOOKUP(B10,'MIS 2026'!$AA$3:$AA$895,'MIS 2026'!#REF!))</f>
        <v>#REF!</v>
      </c>
      <c r="I10" s="446">
        <f>IF(B10="","",_xlfn.XLOOKUP(B10,'MIS 2026'!$AA$3:$AA$895,'MIS 2026'!$BO$3:$BO$895))</f>
        <v>46200</v>
      </c>
      <c r="J10" s="419" t="str">
        <f>IF(B10="","",_xlfn.XLOOKUP(B10,'MIS 2026'!$AA$3:$AA$895,'MIS 2026'!$P$3:$P$895))</f>
        <v>No OBL Yet</v>
      </c>
      <c r="K10" s="419" t="str">
        <f>IF(B10="","",_xlfn.XLOOKUP(B10,'MIS 2026'!$AA$3:$AA$895,'MIS 2026'!$R$3:$R$895))</f>
        <v>No CERTS Yet</v>
      </c>
      <c r="L10" s="419" t="str">
        <f>IF(B10="","",_xlfn.XLOOKUP(B10,'MIS 2026'!$AA$3:$AA$895,'MIS 2026'!$S$3:$S$895))</f>
        <v/>
      </c>
    </row>
    <row r="11" spans="1:12">
      <c r="A11" s="419" t="str">
        <f>IF(B11="","",_xlfn.XLOOKUP(B11,'MIS 2026'!$AA$3:$AA$895,'MIS 2026'!$A$3:$A$895))</f>
        <v>Exp Dox Presented to Bank, Pmt Pending</v>
      </c>
      <c r="B11" s="419">
        <v>32015892</v>
      </c>
      <c r="C11" s="419" t="str">
        <f>IF(B11="","",_xlfn.XLOOKUP(B11,'MIS 2026'!$AA$3:$AA$895,'MIS 2026'!$AB$3:$AB$895))</f>
        <v>INDIA ENTERPRISES</v>
      </c>
      <c r="D11" s="419" t="str">
        <f>IF(B11="","",_xlfn.XLOOKUP(B11,'MIS 2026'!$AA$3:$AA$895,'MIS 2026'!$T$3:$T$895))</f>
        <v>Purchase Docs Pending</v>
      </c>
      <c r="E11" s="446">
        <f>IF(B11="","",_xlfn.XLOOKUP(B11,'MIS 2026'!$AA$3:$AA$895,'MIS 2026'!$AD$3:$AD$895))</f>
        <v>46142</v>
      </c>
      <c r="F11" s="419" t="s">
        <v>1059</v>
      </c>
      <c r="G11" s="419" t="str">
        <f>IF(B11="","",_xlfn.XLOOKUP(B11,'MIS 2026'!$AA$3:$AA$895,'MIS 2026'!$BI$3:$BI$895))</f>
        <v>MEDULG629446</v>
      </c>
      <c r="H11" s="446" t="e">
        <f>IF(B11="","",_xlfn.XLOOKUP(B11,'MIS 2026'!$AA$3:$AA$895,'MIS 2026'!#REF!))</f>
        <v>#REF!</v>
      </c>
      <c r="I11" s="446">
        <f>IF(B11="","",_xlfn.XLOOKUP(B11,'MIS 2026'!$AA$3:$AA$895,'MIS 2026'!$BO$3:$BO$895))</f>
        <v>46193</v>
      </c>
      <c r="J11" s="419" t="str">
        <f>IF(B11="","",_xlfn.XLOOKUP(B11,'MIS 2026'!$AA$3:$AA$895,'MIS 2026'!$P$3:$P$895))</f>
        <v>OBL in Transit with Nego Docs - INDIA</v>
      </c>
      <c r="K11" s="419" t="str">
        <f>IF(B11="","",_xlfn.XLOOKUP(B11,'MIS 2026'!$AA$3:$AA$895,'MIS 2026'!$R$3:$R$895))</f>
        <v>CERTS in Destination - INDIA</v>
      </c>
      <c r="L11" s="419" t="str">
        <f>IF(B11="","",_xlfn.XLOOKUP(B11,'MIS 2026'!$AA$3:$AA$895,'MIS 2026'!$S$3:$S$895))</f>
        <v>Docs in Transit to Buyer's Nego Bank</v>
      </c>
    </row>
    <row r="12" spans="1:12">
      <c r="A12" s="419" t="str">
        <f>IF(B12="","",_xlfn.XLOOKUP(B12,'MIS 2026'!$AA$3:$AA$895,'MIS 2026'!$A$3:$A$895))</f>
        <v>Sailed, OBL &amp; Certs Pending</v>
      </c>
      <c r="B12" s="419" t="str">
        <v>TBA 01</v>
      </c>
      <c r="C12" s="419" t="str">
        <f>IF(B12="","",_xlfn.XLOOKUP(B12,'MIS 2026'!$AA$3:$AA$895,'MIS 2026'!$AB$3:$AB$895))</f>
        <v>VALENCY VIETNAM UNSOLD</v>
      </c>
      <c r="D12" s="419" t="str">
        <f>IF(B12="","",_xlfn.XLOOKUP(B12,'MIS 2026'!$AA$3:$AA$895,'MIS 2026'!$T$3:$T$895))</f>
        <v>OBL Expected on 25/5</v>
      </c>
      <c r="E12" s="446">
        <f>IF(B12="","",_xlfn.XLOOKUP(B12,'MIS 2026'!$AA$3:$AA$895,'MIS 2026'!$AD$3:$AD$895))</f>
        <v>46142</v>
      </c>
      <c r="F12" s="419" t="s">
        <v>1059</v>
      </c>
      <c r="G12" s="419" t="str">
        <f>IF(B12="","",_xlfn.XLOOKUP(B12,'MIS 2026'!$AA$3:$AA$895,'MIS 2026'!$BI$3:$BI$895))</f>
        <v>MEDULG630568</v>
      </c>
      <c r="H12" s="446" t="e">
        <f>IF(B12="","",_xlfn.XLOOKUP(B12,'MIS 2026'!$AA$3:$AA$895,'MIS 2026'!#REF!))</f>
        <v>#REF!</v>
      </c>
      <c r="I12" s="446">
        <f>IF(B12="","",_xlfn.XLOOKUP(B12,'MIS 2026'!$AA$3:$AA$895,'MIS 2026'!$BO$3:$BO$895))</f>
        <v>46191</v>
      </c>
      <c r="J12" s="419" t="str">
        <f>IF(B12="","",_xlfn.XLOOKUP(B12,'MIS 2026'!$AA$3:$AA$895,'MIS 2026'!$P$3:$P$895))</f>
        <v>No OBL Yet</v>
      </c>
      <c r="K12" s="419" t="str">
        <f>IF(B12="","",_xlfn.XLOOKUP(B12,'MIS 2026'!$AA$3:$AA$895,'MIS 2026'!$R$3:$R$895))</f>
        <v>No CERTS Yet</v>
      </c>
      <c r="L12" s="419" t="str">
        <f>IF(B12="","",_xlfn.XLOOKUP(B12,'MIS 2026'!$AA$3:$AA$895,'MIS 2026'!$S$3:$S$895))</f>
        <v/>
      </c>
    </row>
    <row r="13" spans="1:12">
      <c r="A13" s="419" t="str">
        <f>IF(B13="","",_xlfn.XLOOKUP(B13,'MIS 2026'!$AA$3:$AA$895,'MIS 2026'!$A$3:$A$895))</f>
        <v>OBL Scan Recd, Nego Pending</v>
      </c>
      <c r="B13" s="419" t="str">
        <v>TBA 02</v>
      </c>
      <c r="C13" s="419" t="str">
        <f>IF(B13="","",_xlfn.XLOOKUP(B13,'MIS 2026'!$AA$3:$AA$895,'MIS 2026'!$AB$3:$AB$895))</f>
        <v>VALENCY VIETNAM UNSOLD</v>
      </c>
      <c r="D13" s="419" t="str">
        <f>IF(B13="","",_xlfn.XLOOKUP(B13,'MIS 2026'!$AA$3:$AA$895,'MIS 2026'!$T$3:$T$895))</f>
        <v>Unsold so OBL and Cert are in hold</v>
      </c>
      <c r="E13" s="446">
        <f>IF(B13="","",_xlfn.XLOOKUP(B13,'MIS 2026'!$AA$3:$AA$895,'MIS 2026'!$AD$3:$AD$895))</f>
        <v>46142</v>
      </c>
      <c r="F13" s="419" t="s">
        <v>1059</v>
      </c>
      <c r="G13" s="419" t="str">
        <f>IF(B13="","",_xlfn.XLOOKUP(B13,'MIS 2026'!$AA$3:$AA$895,'MIS 2026'!$BI$3:$BI$895))</f>
        <v>MEDULG628505</v>
      </c>
      <c r="H13" s="446" t="e">
        <f>IF(B13="","",_xlfn.XLOOKUP(B13,'MIS 2026'!$AA$3:$AA$895,'MIS 2026'!#REF!))</f>
        <v>#REF!</v>
      </c>
      <c r="I13" s="446">
        <f>IF(B13="","",_xlfn.XLOOKUP(B13,'MIS 2026'!$AA$3:$AA$895,'MIS 2026'!$BO$3:$BO$895))</f>
        <v>46190</v>
      </c>
      <c r="J13" s="419" t="str">
        <f>IF(B13="","",_xlfn.XLOOKUP(B13,'MIS 2026'!$AA$3:$AA$895,'MIS 2026'!$P$3:$P$895))</f>
        <v>OBL in Origin - NIGERIA(OGB)</v>
      </c>
      <c r="K13" s="419" t="str">
        <f>IF(B13="","",_xlfn.XLOOKUP(B13,'MIS 2026'!$AA$3:$AA$895,'MIS 2026'!$R$3:$R$895))</f>
        <v>No CERTS Yet</v>
      </c>
      <c r="L13" s="419" t="str">
        <f>IF(B13="","",_xlfn.XLOOKUP(B13,'MIS 2026'!$AA$3:$AA$895,'MIS 2026'!$S$3:$S$895))</f>
        <v/>
      </c>
    </row>
    <row r="14" spans="1:12">
      <c r="A14" s="419" t="str">
        <f>IF(B14="","",_xlfn.XLOOKUP(B14,'MIS 2026'!$AA$3:$AA$895,'MIS 2026'!$A$3:$A$895))</f>
        <v>Sailed, OBL &amp; Certs Pending</v>
      </c>
      <c r="B14" s="419" t="str">
        <v>TBA 04</v>
      </c>
      <c r="C14" s="419" t="str">
        <f>IF(B14="","",_xlfn.XLOOKUP(B14,'MIS 2026'!$AA$3:$AA$895,'MIS 2026'!$AB$3:$AB$895))</f>
        <v>VALENCY VIETNAM UNSOLD</v>
      </c>
      <c r="D14" s="419" t="str">
        <f>IF(B14="","",_xlfn.XLOOKUP(B14,'MIS 2026'!$AA$3:$AA$895,'MIS 2026'!$T$3:$T$895))</f>
        <v>ETD: 24/5 : ATHENS BRIDGE</v>
      </c>
      <c r="E14" s="446">
        <f>IF(B14="","",_xlfn.XLOOKUP(B14,'MIS 2026'!$AA$3:$AA$895,'MIS 2026'!$AD$3:$AD$895))</f>
        <v>46142</v>
      </c>
      <c r="F14" s="419"/>
      <c r="G14" s="419" t="str">
        <f>IF(B14="","",_xlfn.XLOOKUP(B14,'MIS 2026'!$AA$3:$AA$895,'MIS 2026'!$BI$3:$BI$895))</f>
        <v>ONEYLOSG02030900</v>
      </c>
      <c r="H14" s="446" t="e">
        <f>IF(B14="","",_xlfn.XLOOKUP(B14,'MIS 2026'!$AA$3:$AA$895,'MIS 2026'!#REF!))</f>
        <v>#REF!</v>
      </c>
      <c r="I14" s="446">
        <f>IF(B14="","",_xlfn.XLOOKUP(B14,'MIS 2026'!$AA$3:$AA$895,'MIS 2026'!$BO$3:$BO$895))</f>
        <v>46199</v>
      </c>
      <c r="J14" s="419" t="str">
        <f>IF(B14="","",_xlfn.XLOOKUP(B14,'MIS 2026'!$AA$3:$AA$895,'MIS 2026'!$P$3:$P$895))</f>
        <v>No OBL Yet</v>
      </c>
      <c r="K14" s="419" t="str">
        <f>IF(B14="","",_xlfn.XLOOKUP(B14,'MIS 2026'!$AA$3:$AA$895,'MIS 2026'!$R$3:$R$895))</f>
        <v>No CERTS Yet</v>
      </c>
      <c r="L14" s="419" t="str">
        <f>IF(B14="","",_xlfn.XLOOKUP(B14,'MIS 2026'!$AA$3:$AA$895,'MIS 2026'!$S$3:$S$895))</f>
        <v/>
      </c>
    </row>
    <row r="15" spans="1:12">
      <c r="A15" s="419" t="str">
        <f>IF(B15="","",_xlfn.XLOOKUP(B15,'MIS 2026'!$AA$3:$AA$895,'MIS 2026'!$A$3:$A$895))</f>
        <v>Sailed, OBL &amp; Certs Pending</v>
      </c>
      <c r="B15" s="419" t="str">
        <v>TBA 05</v>
      </c>
      <c r="C15" s="419" t="str">
        <f>IF(B15="","",_xlfn.XLOOKUP(B15,'MIS 2026'!$AA$3:$AA$895,'MIS 2026'!$AB$3:$AB$895))</f>
        <v>VALENCY VIETNAM UNSOLD</v>
      </c>
      <c r="D15" s="419" t="str">
        <f>IF(B15="","",_xlfn.XLOOKUP(B15,'MIS 2026'!$AA$3:$AA$895,'MIS 2026'!$T$3:$T$895))</f>
        <v>ETD: 24/5 : ATHENS BRIDGE,</v>
      </c>
      <c r="E15" s="446">
        <f>IF(B15="","",_xlfn.XLOOKUP(B15,'MIS 2026'!$AA$3:$AA$895,'MIS 2026'!$AD$3:$AD$895))</f>
        <v>46142</v>
      </c>
      <c r="F15" s="419"/>
      <c r="G15" s="419" t="str">
        <f>IF(B15="","",_xlfn.XLOOKUP(B15,'MIS 2026'!$AA$3:$AA$895,'MIS 2026'!$BI$3:$BI$895))</f>
        <v>ONEYLOSG02033500</v>
      </c>
      <c r="H15" s="446" t="e">
        <f>IF(B15="","",_xlfn.XLOOKUP(B15,'MIS 2026'!$AA$3:$AA$895,'MIS 2026'!#REF!))</f>
        <v>#REF!</v>
      </c>
      <c r="I15" s="446">
        <f>IF(B15="","",_xlfn.XLOOKUP(B15,'MIS 2026'!$AA$3:$AA$895,'MIS 2026'!$BO$3:$BO$895))</f>
        <v>46199</v>
      </c>
      <c r="J15" s="419" t="str">
        <f>IF(B15="","",_xlfn.XLOOKUP(B15,'MIS 2026'!$AA$3:$AA$895,'MIS 2026'!$P$3:$P$895))</f>
        <v>No OBL Yet</v>
      </c>
      <c r="K15" s="419" t="str">
        <f>IF(B15="","",_xlfn.XLOOKUP(B15,'MIS 2026'!$AA$3:$AA$895,'MIS 2026'!$R$3:$R$895))</f>
        <v>No CERTS Yet</v>
      </c>
      <c r="L15" s="419" t="str">
        <f>IF(B15="","",_xlfn.XLOOKUP(B15,'MIS 2026'!$AA$3:$AA$895,'MIS 2026'!$S$3:$S$895))</f>
        <v/>
      </c>
    </row>
    <row r="16" spans="1:12">
      <c r="A16" s="419" t="str">
        <f>IF(B16="","",_xlfn.XLOOKUP(B16,'MIS 2026'!$AA$3:$AA$895,'MIS 2026'!$A$3:$A$895))</f>
        <v>Stuffed, Yet to Sail</v>
      </c>
      <c r="B16" s="419" t="str">
        <v>TBA 13</v>
      </c>
      <c r="C16" s="419" t="str">
        <f>IF(B16="","",_xlfn.XLOOKUP(B16,'MIS 2026'!$AA$3:$AA$895,'MIS 2026'!$AB$3:$AB$895))</f>
        <v>VALENCY AGRO UNSOLD</v>
      </c>
      <c r="D16" s="419" t="str">
        <f>IF(B16="","",_xlfn.XLOOKUP(B16,'MIS 2026'!$AA$3:$AA$895,'MIS 2026'!$T$3:$T$895))</f>
        <v>ETD: 27/05 -  RIO</v>
      </c>
      <c r="E16" s="446">
        <f>IF(B16="","",_xlfn.XLOOKUP(B16,'MIS 2026'!$AA$3:$AA$895,'MIS 2026'!$AD$3:$AD$895))</f>
        <v>46173</v>
      </c>
      <c r="F16" s="419"/>
      <c r="G16" s="419" t="str">
        <f>IF(B16="","",_xlfn.XLOOKUP(B16,'MIS 2026'!$AA$3:$AA$895,'MIS 2026'!$BI$3:$BI$895))</f>
        <v>ONEYLOSG02180800</v>
      </c>
      <c r="H16" s="446" t="e">
        <f>IF(B16="","",_xlfn.XLOOKUP(B16,'MIS 2026'!$AA$3:$AA$895,'MIS 2026'!#REF!))</f>
        <v>#REF!</v>
      </c>
      <c r="I16" s="446">
        <f>IF(B16="","",_xlfn.XLOOKUP(B16,'MIS 2026'!$AA$3:$AA$895,'MIS 2026'!$BO$3:$BO$895))</f>
        <v>46218</v>
      </c>
      <c r="J16" s="419" t="str">
        <f>IF(B16="","",_xlfn.XLOOKUP(B16,'MIS 2026'!$AA$3:$AA$895,'MIS 2026'!$P$3:$P$895))</f>
        <v>Draft Rcvd</v>
      </c>
      <c r="K16" s="419" t="str">
        <f>IF(B16="","",_xlfn.XLOOKUP(B16,'MIS 2026'!$AA$3:$AA$895,'MIS 2026'!$R$3:$R$895))</f>
        <v>No CERTS Yet</v>
      </c>
      <c r="L16" s="419" t="str">
        <f>IF(B16="","",_xlfn.XLOOKUP(B16,'MIS 2026'!$AA$3:$AA$895,'MIS 2026'!$S$3:$S$895))</f>
        <v/>
      </c>
    </row>
    <row r="17" spans="1:12">
      <c r="A17" s="419" t="str">
        <f>IF(B17="","",_xlfn.XLOOKUP(B17,'MIS 2026'!$AA$3:$AA$895,'MIS 2026'!$A$3:$A$895))</f>
        <v>Stuffed, Yet to Sail</v>
      </c>
      <c r="B17" t="str">
        <v>TBA 14</v>
      </c>
      <c r="C17" s="419" t="str">
        <f>IF(B17="","",_xlfn.XLOOKUP(B17,'MIS 2026'!$AA$3:$AA$895,'MIS 2026'!$AB$3:$AB$895))</f>
        <v>VALENCY AGRO UNSOLD</v>
      </c>
      <c r="D17" s="419" t="str">
        <f>IF(B17="","",_xlfn.XLOOKUP(B17,'MIS 2026'!$AA$3:$AA$895,'MIS 2026'!$T$3:$T$895))</f>
        <v>ETD: 27/05 -  RIO</v>
      </c>
      <c r="E17" s="446">
        <f>IF(B17="","",_xlfn.XLOOKUP(B17,'MIS 2026'!$AA$3:$AA$895,'MIS 2026'!$AD$3:$AD$895))</f>
        <v>46173</v>
      </c>
      <c r="F17" s="419"/>
      <c r="G17" s="419" t="str">
        <f>IF(B17="","",_xlfn.XLOOKUP(B17,'MIS 2026'!$AA$3:$AA$895,'MIS 2026'!$BI$3:$BI$895))</f>
        <v>ONEYLOSG02181900</v>
      </c>
      <c r="H17" s="446" t="e">
        <f>IF(B17="","",_xlfn.XLOOKUP(B17,'MIS 2026'!$AA$3:$AA$895,'MIS 2026'!#REF!))</f>
        <v>#REF!</v>
      </c>
      <c r="I17" s="446">
        <f>IF(B17="","",_xlfn.XLOOKUP(B17,'MIS 2026'!$AA$3:$AA$895,'MIS 2026'!$BO$3:$BO$895))</f>
        <v>46218</v>
      </c>
      <c r="J17" s="419" t="str">
        <f>IF(B17="","",_xlfn.XLOOKUP(B17,'MIS 2026'!$AA$3:$AA$895,'MIS 2026'!$P$3:$P$895))</f>
        <v>No OBL Yet</v>
      </c>
      <c r="K17" s="419" t="str">
        <f>IF(B17="","",_xlfn.XLOOKUP(B17,'MIS 2026'!$AA$3:$AA$895,'MIS 2026'!$R$3:$R$895))</f>
        <v>No CERTS Yet</v>
      </c>
      <c r="L17" s="419" t="str">
        <f>IF(B17="","",_xlfn.XLOOKUP(B17,'MIS 2026'!$AA$3:$AA$895,'MIS 2026'!$S$3:$S$895))</f>
        <v/>
      </c>
    </row>
    <row r="18" spans="1:12">
      <c r="B18" t="str">
        <v>TBA 15</v>
      </c>
    </row>
  </sheetData>
  <autoFilter ref="A2:L16" xr:uid="{CD0469FA-7D16-4CDA-ADFD-CFDB2EA9A3AB}"/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D2BA-D4CE-47E7-8B1E-9520AE3A6155}">
  <sheetPr filterMode="1"/>
  <dimension ref="A1:L58"/>
  <sheetViews>
    <sheetView topLeftCell="A3" workbookViewId="0">
      <selection activeCell="A34" sqref="A34:A39"/>
    </sheetView>
  </sheetViews>
  <sheetFormatPr defaultRowHeight="14.45"/>
  <cols>
    <col min="1" max="1" width="27.5703125" bestFit="1" customWidth="1"/>
    <col min="2" max="2" width="11.42578125" bestFit="1" customWidth="1"/>
    <col min="3" max="3" width="45" customWidth="1"/>
    <col min="4" max="4" width="41.85546875" customWidth="1"/>
    <col min="5" max="5" width="11.28515625" customWidth="1"/>
    <col min="6" max="6" width="22.85546875" customWidth="1"/>
    <col min="7" max="7" width="17.42578125" customWidth="1"/>
    <col min="10" max="10" width="29.7109375" bestFit="1" customWidth="1"/>
    <col min="11" max="11" width="27.85546875" bestFit="1" customWidth="1"/>
  </cols>
  <sheetData>
    <row r="1" spans="1:12">
      <c r="A1" s="703" t="s">
        <v>1060</v>
      </c>
      <c r="B1" s="703"/>
      <c r="C1" s="703"/>
      <c r="D1" s="703"/>
    </row>
    <row r="2" spans="1:12">
      <c r="A2" s="443" t="s">
        <v>1055</v>
      </c>
      <c r="B2" s="443" t="s">
        <v>1056</v>
      </c>
      <c r="C2" s="443" t="s">
        <v>915</v>
      </c>
      <c r="D2" s="444" t="s">
        <v>1057</v>
      </c>
      <c r="E2" s="443" t="s">
        <v>48</v>
      </c>
      <c r="F2" s="445" t="s">
        <v>1058</v>
      </c>
      <c r="G2" s="443" t="s">
        <v>916</v>
      </c>
      <c r="H2" s="443" t="s">
        <v>917</v>
      </c>
      <c r="I2" s="443" t="s">
        <v>34</v>
      </c>
      <c r="J2" s="443" t="s">
        <v>919</v>
      </c>
      <c r="K2" s="443" t="s">
        <v>920</v>
      </c>
      <c r="L2" s="443" t="s">
        <v>921</v>
      </c>
    </row>
    <row r="3" spans="1:12">
      <c r="A3" s="419" t="str">
        <f>IF(B3="","",_xlfn.XLOOKUP(B3,'MIS 2026'!$AA$3:$AA$895,'MIS 2026'!$A$3:$A$895))</f>
        <v>SI Sent, Shipment Awaited</v>
      </c>
      <c r="B3" s="419" cm="1">
        <f t="array" ref="B3:B58">_xlfn.UNIQUE(_xlfn._xlws.FILTER('MIS 2026'!$F$3:$F$895,('MIS 2026'!$T$3:$T$895&lt;&gt;"")*ISNUMBER(SEARCH("IVC",'MIS 2026'!$I$3:$I$895))))</f>
        <v>32014480</v>
      </c>
      <c r="C3" s="419" t="str">
        <f>IF(B3="","",_xlfn.XLOOKUP(B3,'MIS 2026'!$AA$3:$AA$895,'MIS 2026'!$AB$3:$AB$895))</f>
        <v>AMITH CASHEWS PVT LTD</v>
      </c>
      <c r="D3" s="419" t="str">
        <f>IF(B3="","",_xlfn.XLOOKUP(B3,'MIS 2026'!$AA$3:$AA$895,'MIS 2026'!$T$3:$T$895))</f>
        <v>CLARIFICATION ON LATEST SOB</v>
      </c>
      <c r="E3" s="446">
        <f>IF(B3="","",_xlfn.XLOOKUP(B3,'MIS 2026'!$AA$3:$AA$895,'MIS 2026'!$AD$3:$AD$895))</f>
        <v>46142</v>
      </c>
      <c r="F3" s="419"/>
      <c r="G3" s="419">
        <f>IF(B3="","",_xlfn.XLOOKUP(B3,'MIS 2026'!$AA$3:$AA$895,'MIS 2026'!$BI$3:$BI$895))</f>
        <v>0</v>
      </c>
      <c r="H3" s="446" t="e">
        <f>IF(B3="","",_xlfn.XLOOKUP(B3,'MIS 2026'!$AA$3:$AA$895,'MIS 2026'!#REF!))</f>
        <v>#REF!</v>
      </c>
      <c r="I3" s="446">
        <f>IF(B3="","",_xlfn.XLOOKUP(B3,'MIS 2026'!$AA$3:$AA$895,'MIS 2026'!$BO$3:$BO$895))</f>
        <v>0</v>
      </c>
      <c r="J3" s="419" t="str">
        <f>IF(B3="","",_xlfn.XLOOKUP(B3,'MIS 2026'!$AA$3:$AA$895,'MIS 2026'!$P$3:$P$895))</f>
        <v>No OBL Yet</v>
      </c>
      <c r="K3" s="419" t="str">
        <f>IF(B3="","",_xlfn.XLOOKUP(B3,'MIS 2026'!$AA$3:$AA$895,'MIS 2026'!$R$3:$R$895))</f>
        <v>No CERTS Yet</v>
      </c>
      <c r="L3" s="419" t="str">
        <f>IF(B3="","",_xlfn.XLOOKUP(B3,'MIS 2026'!$AA$3:$AA$895,'MIS 2026'!$S$3:$S$895))</f>
        <v/>
      </c>
    </row>
    <row r="4" spans="1:12">
      <c r="A4" s="419" t="str">
        <f>IF(B4="","",_xlfn.XLOOKUP(B4,'MIS 2026'!$AA$3:$AA$895,'MIS 2026'!$A$3:$A$895))</f>
        <v>SI Sent, Shipment Awaited</v>
      </c>
      <c r="B4" s="419">
        <v>32014497</v>
      </c>
      <c r="C4" s="419" t="str">
        <f>IF(B4="","",_xlfn.XLOOKUP(B4,'MIS 2026'!$AA$3:$AA$895,'MIS 2026'!$AB$3:$AB$895))</f>
        <v>FAVOURITE CASHEWS</v>
      </c>
      <c r="D4" s="419" t="str">
        <f>IF(B4="","",_xlfn.XLOOKUP(B4,'MIS 2026'!$AA$3:$AA$895,'MIS 2026'!$T$3:$T$895))</f>
        <v>CLARIFICATION ON LATEST SOB</v>
      </c>
      <c r="E4" s="446">
        <f>IF(B4="","",_xlfn.XLOOKUP(B4,'MIS 2026'!$AA$3:$AA$895,'MIS 2026'!$AD$3:$AD$895))</f>
        <v>46142</v>
      </c>
      <c r="F4" s="419"/>
      <c r="G4" s="419">
        <f>IF(B4="","",_xlfn.XLOOKUP(B4,'MIS 2026'!$AA$3:$AA$895,'MIS 2026'!$BI$3:$BI$895))</f>
        <v>267489852</v>
      </c>
      <c r="H4" s="446" t="e">
        <f>IF(B4="","",_xlfn.XLOOKUP(B4,'MIS 2026'!$AA$3:$AA$895,'MIS 2026'!#REF!))</f>
        <v>#REF!</v>
      </c>
      <c r="I4" s="446">
        <f>IF(B4="","",_xlfn.XLOOKUP(B4,'MIS 2026'!$AA$3:$AA$895,'MIS 2026'!$BO$3:$BO$895))</f>
        <v>46202</v>
      </c>
      <c r="J4" s="419" t="str">
        <f>IF(B4="","",_xlfn.XLOOKUP(B4,'MIS 2026'!$AA$3:$AA$895,'MIS 2026'!$P$3:$P$895))</f>
        <v>No OBL Yet</v>
      </c>
      <c r="K4" s="419" t="str">
        <f>IF(B4="","",_xlfn.XLOOKUP(B4,'MIS 2026'!$AA$3:$AA$895,'MIS 2026'!$R$3:$R$895))</f>
        <v>No CERTS Yet</v>
      </c>
      <c r="L4" s="419" t="str">
        <f>IF(B4="","",_xlfn.XLOOKUP(B4,'MIS 2026'!$AA$3:$AA$895,'MIS 2026'!$S$3:$S$895))</f>
        <v/>
      </c>
    </row>
    <row r="5" spans="1:12">
      <c r="A5" s="419" t="str">
        <f>IF(B5="","",_xlfn.XLOOKUP(B5,'MIS 2026'!$AA$3:$AA$895,'MIS 2026'!$A$3:$A$895))</f>
        <v>SI Sent, Shipment Awaited</v>
      </c>
      <c r="B5" s="419">
        <v>32014482</v>
      </c>
      <c r="C5" s="419" t="str">
        <f>IF(B5="","",_xlfn.XLOOKUP(B5,'MIS 2026'!$AA$3:$AA$895,'MIS 2026'!$AB$3:$AB$895))</f>
        <v>MADHAVARAYA PRABHU</v>
      </c>
      <c r="D5" s="419" t="str">
        <f>IF(B5="","",_xlfn.XLOOKUP(B5,'MIS 2026'!$AA$3:$AA$895,'MIS 2026'!$T$3:$T$895))</f>
        <v>CLARIFICATION ON LATEST SOB</v>
      </c>
      <c r="E5" s="446">
        <f>IF(B5="","",_xlfn.XLOOKUP(B5,'MIS 2026'!$AA$3:$AA$895,'MIS 2026'!$AD$3:$AD$895))</f>
        <v>46142</v>
      </c>
      <c r="F5" s="419"/>
      <c r="G5" s="419">
        <f>IF(B5="","",_xlfn.XLOOKUP(B5,'MIS 2026'!$AA$3:$AA$895,'MIS 2026'!$BI$3:$BI$895))</f>
        <v>0</v>
      </c>
      <c r="H5" s="446" t="e">
        <f>IF(B5="","",_xlfn.XLOOKUP(B5,'MIS 2026'!$AA$3:$AA$895,'MIS 2026'!#REF!))</f>
        <v>#REF!</v>
      </c>
      <c r="I5" s="446">
        <f>IF(B5="","",_xlfn.XLOOKUP(B5,'MIS 2026'!$AA$3:$AA$895,'MIS 2026'!$BO$3:$BO$895))</f>
        <v>0</v>
      </c>
      <c r="J5" s="419" t="str">
        <f>IF(B5="","",_xlfn.XLOOKUP(B5,'MIS 2026'!$AA$3:$AA$895,'MIS 2026'!$P$3:$P$895))</f>
        <v>No OBL Yet</v>
      </c>
      <c r="K5" s="419" t="str">
        <f>IF(B5="","",_xlfn.XLOOKUP(B5,'MIS 2026'!$AA$3:$AA$895,'MIS 2026'!$R$3:$R$895))</f>
        <v>No CERTS Yet</v>
      </c>
      <c r="L5" s="419" t="str">
        <f>IF(B5="","",_xlfn.XLOOKUP(B5,'MIS 2026'!$AA$3:$AA$895,'MIS 2026'!$S$3:$S$895))</f>
        <v/>
      </c>
    </row>
    <row r="6" spans="1:12">
      <c r="A6" s="419" t="str">
        <f>IF(B6="","",_xlfn.XLOOKUP(B6,'MIS 2026'!$AA$3:$AA$895,'MIS 2026'!$A$3:$A$895))</f>
        <v>Sailed, OBL &amp; Certs Pending</v>
      </c>
      <c r="B6" s="419">
        <v>32015058</v>
      </c>
      <c r="C6" s="419" t="str">
        <f>IF(B6="","",_xlfn.XLOOKUP(B6,'MIS 2026'!$AA$3:$AA$895,'MIS 2026'!$AB$3:$AB$895))</f>
        <v xml:space="preserve">THAO NGUYEN COMPANY LIMITED  </v>
      </c>
      <c r="D6" s="419" t="str">
        <f>IF(B6="","",_xlfn.XLOOKUP(B6,'MIS 2026'!$AA$3:$AA$895,'MIS 2026'!$T$3:$T$895))</f>
        <v>PENDING OBL-SAILED 17/5</v>
      </c>
      <c r="E6" s="446">
        <f>IF(B6="","",_xlfn.XLOOKUP(B6,'MIS 2026'!$AA$3:$AA$895,'MIS 2026'!$AD$3:$AD$895))</f>
        <v>46173</v>
      </c>
      <c r="F6" s="419"/>
      <c r="G6" s="419" t="str">
        <f>IF(B6="","",_xlfn.XLOOKUP(B6,'MIS 2026'!$AA$3:$AA$895,'MIS 2026'!$BI$3:$BI$895))</f>
        <v>ONEYABJG00281500</v>
      </c>
      <c r="H6" s="446" t="e">
        <f>IF(B6="","",_xlfn.XLOOKUP(B6,'MIS 2026'!$AA$3:$AA$895,'MIS 2026'!#REF!))</f>
        <v>#REF!</v>
      </c>
      <c r="I6" s="446">
        <f>IF(B6="","",_xlfn.XLOOKUP(B6,'MIS 2026'!$AA$3:$AA$895,'MIS 2026'!$BO$3:$BO$895))</f>
        <v>46178</v>
      </c>
      <c r="J6" s="419" t="str">
        <f>IF(B6="","",_xlfn.XLOOKUP(B6,'MIS 2026'!$AA$3:$AA$895,'MIS 2026'!$P$3:$P$895))</f>
        <v>No OBL Yet</v>
      </c>
      <c r="K6" s="419" t="str">
        <f>IF(B6="","",_xlfn.XLOOKUP(B6,'MIS 2026'!$AA$3:$AA$895,'MIS 2026'!$R$3:$R$895))</f>
        <v>No CERTS Yet</v>
      </c>
      <c r="L6" s="419" t="str">
        <f>IF(B6="","",_xlfn.XLOOKUP(B6,'MIS 2026'!$AA$3:$AA$895,'MIS 2026'!$S$3:$S$895))</f>
        <v/>
      </c>
    </row>
    <row r="7" spans="1:12">
      <c r="A7" s="419" t="str">
        <f>IF(B7="","",_xlfn.XLOOKUP(B7,'MIS 2026'!$AA$3:$AA$895,'MIS 2026'!$A$3:$A$895))</f>
        <v>Stuffed, Yet to Sail</v>
      </c>
      <c r="B7" s="419">
        <v>32014495</v>
      </c>
      <c r="C7" s="419" t="str">
        <f>IF(B7="","",_xlfn.XLOOKUP(B7,'MIS 2026'!$AA$3:$AA$895,'MIS 2026'!$AB$3:$AB$895))</f>
        <v>MAHALASA EXPORTS</v>
      </c>
      <c r="D7" s="419" t="str">
        <f>IF(B7="","",_xlfn.XLOOKUP(B7,'MIS 2026'!$AA$3:$AA$895,'MIS 2026'!$T$3:$T$895))</f>
        <v>CLARIFICATION ON LATEST SOB</v>
      </c>
      <c r="E7" s="446">
        <f>IF(B7="","",_xlfn.XLOOKUP(B7,'MIS 2026'!$AA$3:$AA$895,'MIS 2026'!$AD$3:$AD$895))</f>
        <v>46142</v>
      </c>
      <c r="F7" s="419"/>
      <c r="G7" s="419">
        <f>IF(B7="","",_xlfn.XLOOKUP(B7,'MIS 2026'!$AA$3:$AA$895,'MIS 2026'!$BI$3:$BI$895))</f>
        <v>267489886</v>
      </c>
      <c r="H7" s="446" t="e">
        <f>IF(B7="","",_xlfn.XLOOKUP(B7,'MIS 2026'!$AA$3:$AA$895,'MIS 2026'!#REF!))</f>
        <v>#REF!</v>
      </c>
      <c r="I7" s="446">
        <f>IF(B7="","",_xlfn.XLOOKUP(B7,'MIS 2026'!$AA$3:$AA$895,'MIS 2026'!$BO$3:$BO$895))</f>
        <v>46202</v>
      </c>
      <c r="J7" s="419" t="str">
        <f>IF(B7="","",_xlfn.XLOOKUP(B7,'MIS 2026'!$AA$3:$AA$895,'MIS 2026'!$P$3:$P$895))</f>
        <v>No OBL Yet</v>
      </c>
      <c r="K7" s="419" t="str">
        <f>IF(B7="","",_xlfn.XLOOKUP(B7,'MIS 2026'!$AA$3:$AA$895,'MIS 2026'!$R$3:$R$895))</f>
        <v>No CERTS Yet</v>
      </c>
      <c r="L7" s="419" t="str">
        <f>IF(B7="","",_xlfn.XLOOKUP(B7,'MIS 2026'!$AA$3:$AA$895,'MIS 2026'!$S$3:$S$895))</f>
        <v/>
      </c>
    </row>
    <row r="8" spans="1:12">
      <c r="A8" s="419" t="str">
        <f>IF(B8="","",_xlfn.XLOOKUP(B8,'MIS 2026'!$AA$3:$AA$895,'MIS 2026'!$A$3:$A$895))</f>
        <v>SI Sent, Shipment Awaited</v>
      </c>
      <c r="B8" s="419">
        <v>32014496</v>
      </c>
      <c r="C8" s="419" t="str">
        <f>IF(B8="","",_xlfn.XLOOKUP(B8,'MIS 2026'!$AA$3:$AA$895,'MIS 2026'!$AB$3:$AB$895))</f>
        <v>MALNAD CASHEWS</v>
      </c>
      <c r="D8" s="419" t="str">
        <f>IF(B8="","",_xlfn.XLOOKUP(B8,'MIS 2026'!$AA$3:$AA$895,'MIS 2026'!$T$3:$T$895))</f>
        <v>CLARIFICATION ON LATEST SOB</v>
      </c>
      <c r="E8" s="446">
        <f>IF(B8="","",_xlfn.XLOOKUP(B8,'MIS 2026'!$AA$3:$AA$895,'MIS 2026'!$AD$3:$AD$895))</f>
        <v>46142</v>
      </c>
      <c r="F8" s="419"/>
      <c r="G8" s="419">
        <f>IF(B8="","",_xlfn.XLOOKUP(B8,'MIS 2026'!$AA$3:$AA$895,'MIS 2026'!$BI$3:$BI$895))</f>
        <v>267490071</v>
      </c>
      <c r="H8" s="446" t="e">
        <f>IF(B8="","",_xlfn.XLOOKUP(B8,'MIS 2026'!$AA$3:$AA$895,'MIS 2026'!#REF!))</f>
        <v>#REF!</v>
      </c>
      <c r="I8" s="446">
        <f>IF(B8="","",_xlfn.XLOOKUP(B8,'MIS 2026'!$AA$3:$AA$895,'MIS 2026'!$BO$3:$BO$895))</f>
        <v>46202</v>
      </c>
      <c r="J8" s="419" t="str">
        <f>IF(B8="","",_xlfn.XLOOKUP(B8,'MIS 2026'!$AA$3:$AA$895,'MIS 2026'!$P$3:$P$895))</f>
        <v>No OBL Yet</v>
      </c>
      <c r="K8" s="419" t="str">
        <f>IF(B8="","",_xlfn.XLOOKUP(B8,'MIS 2026'!$AA$3:$AA$895,'MIS 2026'!$R$3:$R$895))</f>
        <v>No CERTS Yet</v>
      </c>
      <c r="L8" s="419" t="str">
        <f>IF(B8="","",_xlfn.XLOOKUP(B8,'MIS 2026'!$AA$3:$AA$895,'MIS 2026'!$S$3:$S$895))</f>
        <v/>
      </c>
    </row>
    <row r="9" spans="1:12">
      <c r="A9" s="419" t="str">
        <f>IF(B9="","",_xlfn.XLOOKUP(B9,'MIS 2026'!$AA$3:$AA$895,'MIS 2026'!$A$3:$A$895))</f>
        <v>Sailed, OBL &amp; Certs Pending</v>
      </c>
      <c r="B9" s="419">
        <v>32014998</v>
      </c>
      <c r="C9" s="419" t="str">
        <f>IF(B9="","",_xlfn.XLOOKUP(B9,'MIS 2026'!$AA$3:$AA$895,'MIS 2026'!$AB$3:$AB$895))</f>
        <v xml:space="preserve">THAO NGUYEN COMPANY LIMITED  </v>
      </c>
      <c r="D9" s="419" t="str">
        <f>IF(B9="","",_xlfn.XLOOKUP(B9,'MIS 2026'!$AA$3:$AA$895,'MIS 2026'!$T$3:$T$895))</f>
        <v>PENDING OBL-SAILED 17/5</v>
      </c>
      <c r="E9" s="446">
        <f>IF(B9="","",_xlfn.XLOOKUP(B9,'MIS 2026'!$AA$3:$AA$895,'MIS 2026'!$AD$3:$AD$895))</f>
        <v>46173</v>
      </c>
      <c r="F9" s="419"/>
      <c r="G9" s="419" t="str">
        <f>IF(B9="","",_xlfn.XLOOKUP(B9,'MIS 2026'!$AA$3:$AA$895,'MIS 2026'!$BI$3:$BI$895))</f>
        <v>ONEYABJG00282600</v>
      </c>
      <c r="H9" s="446" t="e">
        <f>IF(B9="","",_xlfn.XLOOKUP(B9,'MIS 2026'!$AA$3:$AA$895,'MIS 2026'!#REF!))</f>
        <v>#REF!</v>
      </c>
      <c r="I9" s="446">
        <f>IF(B9="","",_xlfn.XLOOKUP(B9,'MIS 2026'!$AA$3:$AA$895,'MIS 2026'!$BO$3:$BO$895))</f>
        <v>46178</v>
      </c>
      <c r="J9" s="419" t="str">
        <f>IF(B9="","",_xlfn.XLOOKUP(B9,'MIS 2026'!$AA$3:$AA$895,'MIS 2026'!$P$3:$P$895))</f>
        <v>No OBL Yet</v>
      </c>
      <c r="K9" s="419" t="str">
        <f>IF(B9="","",_xlfn.XLOOKUP(B9,'MIS 2026'!$AA$3:$AA$895,'MIS 2026'!$R$3:$R$895))</f>
        <v>No CERTS Yet</v>
      </c>
      <c r="L9" s="419" t="str">
        <f>IF(B9="","",_xlfn.XLOOKUP(B9,'MIS 2026'!$AA$3:$AA$895,'MIS 2026'!$S$3:$S$895))</f>
        <v/>
      </c>
    </row>
    <row r="10" spans="1:12">
      <c r="A10" s="419" t="str">
        <f>IF(B10="","",_xlfn.XLOOKUP(B10,'MIS 2026'!$AA$3:$AA$895,'MIS 2026'!$A$3:$A$895))</f>
        <v>SI Sent, Shipment Awaited</v>
      </c>
      <c r="B10" s="419">
        <v>32014499</v>
      </c>
      <c r="C10" s="419" t="str">
        <f>IF(B10="","",_xlfn.XLOOKUP(B10,'MIS 2026'!$AA$3:$AA$895,'MIS 2026'!$AB$3:$AB$895))</f>
        <v>SHANKARNARAYANA CASHEWS</v>
      </c>
      <c r="D10" s="419" t="str">
        <f>IF(B10="","",_xlfn.XLOOKUP(B10,'MIS 2026'!$AA$3:$AA$895,'MIS 2026'!$T$3:$T$895))</f>
        <v>CLARIFICATION ON LATEST SOB</v>
      </c>
      <c r="E10" s="446">
        <f>IF(B10="","",_xlfn.XLOOKUP(B10,'MIS 2026'!$AA$3:$AA$895,'MIS 2026'!$AD$3:$AD$895))</f>
        <v>46142</v>
      </c>
      <c r="F10" s="419"/>
      <c r="G10" s="419">
        <f>IF(B10="","",_xlfn.XLOOKUP(B10,'MIS 2026'!$AA$3:$AA$895,'MIS 2026'!$BI$3:$BI$895))</f>
        <v>267490043</v>
      </c>
      <c r="H10" s="446" t="e">
        <f>IF(B10="","",_xlfn.XLOOKUP(B10,'MIS 2026'!$AA$3:$AA$895,'MIS 2026'!#REF!))</f>
        <v>#REF!</v>
      </c>
      <c r="I10" s="446">
        <f>IF(B10="","",_xlfn.XLOOKUP(B10,'MIS 2026'!$AA$3:$AA$895,'MIS 2026'!$BO$3:$BO$895))</f>
        <v>46202</v>
      </c>
      <c r="J10" s="419" t="str">
        <f>IF(B10="","",_xlfn.XLOOKUP(B10,'MIS 2026'!$AA$3:$AA$895,'MIS 2026'!$P$3:$P$895))</f>
        <v>No OBL Yet</v>
      </c>
      <c r="K10" s="419" t="str">
        <f>IF(B10="","",_xlfn.XLOOKUP(B10,'MIS 2026'!$AA$3:$AA$895,'MIS 2026'!$R$3:$R$895))</f>
        <v>No CERTS Yet</v>
      </c>
      <c r="L10" s="419" t="str">
        <f>IF(B10="","",_xlfn.XLOOKUP(B10,'MIS 2026'!$AA$3:$AA$895,'MIS 2026'!$S$3:$S$895))</f>
        <v/>
      </c>
    </row>
    <row r="11" spans="1:12">
      <c r="A11" s="419" t="str">
        <f>IF(B11="","",_xlfn.XLOOKUP(B11,'MIS 2026'!$AA$3:$AA$895,'MIS 2026'!$A$3:$A$895))</f>
        <v>SI Sent, Shipment Awaited</v>
      </c>
      <c r="B11" s="419">
        <v>32014588</v>
      </c>
      <c r="C11" s="419" t="str">
        <f>IF(B11="","",_xlfn.XLOOKUP(B11,'MIS 2026'!$AA$3:$AA$895,'MIS 2026'!$AB$3:$AB$895))</f>
        <v>SHREE KRISHNAKRUPA CASHEWS PVT LTD</v>
      </c>
      <c r="D11" s="419" t="str">
        <f>IF(B11="","",_xlfn.XLOOKUP(B11,'MIS 2026'!$AA$3:$AA$895,'MIS 2026'!$T$3:$T$895))</f>
        <v>CLARIFICATION ON LATEST SOB</v>
      </c>
      <c r="E11" s="446">
        <f>IF(B11="","",_xlfn.XLOOKUP(B11,'MIS 2026'!$AA$3:$AA$895,'MIS 2026'!$AD$3:$AD$895))</f>
        <v>46142</v>
      </c>
      <c r="F11" s="419"/>
      <c r="G11" s="419">
        <f>IF(B11="","",_xlfn.XLOOKUP(B11,'MIS 2026'!$AA$3:$AA$895,'MIS 2026'!$BI$3:$BI$895))</f>
        <v>267490043</v>
      </c>
      <c r="H11" s="446" t="e">
        <f>IF(B11="","",_xlfn.XLOOKUP(B11,'MIS 2026'!$AA$3:$AA$895,'MIS 2026'!#REF!))</f>
        <v>#REF!</v>
      </c>
      <c r="I11" s="446">
        <f>IF(B11="","",_xlfn.XLOOKUP(B11,'MIS 2026'!$AA$3:$AA$895,'MIS 2026'!$BO$3:$BO$895))</f>
        <v>0</v>
      </c>
      <c r="J11" s="419" t="str">
        <f>IF(B11="","",_xlfn.XLOOKUP(B11,'MIS 2026'!$AA$3:$AA$895,'MIS 2026'!$P$3:$P$895))</f>
        <v>No OBL Yet</v>
      </c>
      <c r="K11" s="419" t="str">
        <f>IF(B11="","",_xlfn.XLOOKUP(B11,'MIS 2026'!$AA$3:$AA$895,'MIS 2026'!$R$3:$R$895))</f>
        <v>No CERTS Yet</v>
      </c>
      <c r="L11" s="419" t="str">
        <f>IF(B11="","",_xlfn.XLOOKUP(B11,'MIS 2026'!$AA$3:$AA$895,'MIS 2026'!$S$3:$S$895))</f>
        <v/>
      </c>
    </row>
    <row r="12" spans="1:12">
      <c r="A12" s="419" t="str">
        <f>IF(B12="","",_xlfn.XLOOKUP(B12,'MIS 2026'!$AA$3:$AA$895,'MIS 2026'!$A$3:$A$895))</f>
        <v>SI Sent, Shipment Awaited</v>
      </c>
      <c r="B12" s="419">
        <v>32014455</v>
      </c>
      <c r="C12" s="419" t="str">
        <f>IF(B12="","",_xlfn.XLOOKUP(B12,'MIS 2026'!$AA$3:$AA$895,'MIS 2026'!$AB$3:$AB$895))</f>
        <v>SREE DEVI CASHEW INDUSTRIES</v>
      </c>
      <c r="D12" s="419" t="str">
        <f>IF(B12="","",_xlfn.XLOOKUP(B12,'MIS 2026'!$AA$3:$AA$895,'MIS 2026'!$T$3:$T$895))</f>
        <v>MEARSK CUANZA, ETD: 30/5</v>
      </c>
      <c r="E12" s="446">
        <f>IF(B12="","",_xlfn.XLOOKUP(B12,'MIS 2026'!$AA$3:$AA$895,'MIS 2026'!$AD$3:$AD$895))</f>
        <v>46142</v>
      </c>
      <c r="F12" s="419"/>
      <c r="G12" s="419">
        <f>IF(B12="","",_xlfn.XLOOKUP(B12,'MIS 2026'!$AA$3:$AA$895,'MIS 2026'!$BI$3:$BI$895))</f>
        <v>0</v>
      </c>
      <c r="H12" s="446" t="e">
        <f>IF(B12="","",_xlfn.XLOOKUP(B12,'MIS 2026'!$AA$3:$AA$895,'MIS 2026'!#REF!))</f>
        <v>#REF!</v>
      </c>
      <c r="I12" s="446">
        <f>IF(B12="","",_xlfn.XLOOKUP(B12,'MIS 2026'!$AA$3:$AA$895,'MIS 2026'!$BO$3:$BO$895))</f>
        <v>0</v>
      </c>
      <c r="J12" s="419" t="str">
        <f>IF(B12="","",_xlfn.XLOOKUP(B12,'MIS 2026'!$AA$3:$AA$895,'MIS 2026'!$P$3:$P$895))</f>
        <v>No OBL Yet</v>
      </c>
      <c r="K12" s="419" t="str">
        <f>IF(B12="","",_xlfn.XLOOKUP(B12,'MIS 2026'!$AA$3:$AA$895,'MIS 2026'!$R$3:$R$895))</f>
        <v>No CERTS Yet</v>
      </c>
      <c r="L12" s="419" t="str">
        <f>IF(B12="","",_xlfn.XLOOKUP(B12,'MIS 2026'!$AA$3:$AA$895,'MIS 2026'!$S$3:$S$895))</f>
        <v/>
      </c>
    </row>
    <row r="13" spans="1:12">
      <c r="A13" s="419" t="str">
        <f>IF(B13="","",_xlfn.XLOOKUP(B13,'MIS 2026'!$AA$3:$AA$895,'MIS 2026'!$A$3:$A$895))</f>
        <v>SI Sent, Shipment Awaited</v>
      </c>
      <c r="B13" s="419">
        <v>32014486</v>
      </c>
      <c r="C13" s="419" t="str">
        <f>IF(B13="","",_xlfn.XLOOKUP(B13,'MIS 2026'!$AA$3:$AA$895,'MIS 2026'!$AB$3:$AB$895))</f>
        <v>SRI MAHAGANAPATHI CASHEW INDUSTRIES</v>
      </c>
      <c r="D13" s="419" t="str">
        <f>IF(B13="","",_xlfn.XLOOKUP(B13,'MIS 2026'!$AA$3:$AA$895,'MIS 2026'!$T$3:$T$895))</f>
        <v>CLARIFICATION ON LATEST SOB</v>
      </c>
      <c r="E13" s="446">
        <f>IF(B13="","",_xlfn.XLOOKUP(B13,'MIS 2026'!$AA$3:$AA$895,'MIS 2026'!$AD$3:$AD$895))</f>
        <v>46142</v>
      </c>
      <c r="F13" s="419"/>
      <c r="G13" s="419">
        <f>IF(B13="","",_xlfn.XLOOKUP(B13,'MIS 2026'!$AA$3:$AA$895,'MIS 2026'!$BI$3:$BI$895))</f>
        <v>0</v>
      </c>
      <c r="H13" s="446" t="e">
        <f>IF(B13="","",_xlfn.XLOOKUP(B13,'MIS 2026'!$AA$3:$AA$895,'MIS 2026'!#REF!))</f>
        <v>#REF!</v>
      </c>
      <c r="I13" s="446">
        <f>IF(B13="","",_xlfn.XLOOKUP(B13,'MIS 2026'!$AA$3:$AA$895,'MIS 2026'!$BO$3:$BO$895))</f>
        <v>0</v>
      </c>
      <c r="J13" s="419" t="str">
        <f>IF(B13="","",_xlfn.XLOOKUP(B13,'MIS 2026'!$AA$3:$AA$895,'MIS 2026'!$P$3:$P$895))</f>
        <v>No OBL Yet</v>
      </c>
      <c r="K13" s="419" t="str">
        <f>IF(B13="","",_xlfn.XLOOKUP(B13,'MIS 2026'!$AA$3:$AA$895,'MIS 2026'!$R$3:$R$895))</f>
        <v>No CERTS Yet</v>
      </c>
      <c r="L13" s="419" t="str">
        <f>IF(B13="","",_xlfn.XLOOKUP(B13,'MIS 2026'!$AA$3:$AA$895,'MIS 2026'!$S$3:$S$895))</f>
        <v/>
      </c>
    </row>
    <row r="14" spans="1:12">
      <c r="A14" s="419" t="str">
        <f>IF(B14="","",_xlfn.XLOOKUP(B14,'MIS 2026'!$AA$3:$AA$895,'MIS 2026'!$A$3:$A$895))</f>
        <v>Sailed, OBL &amp; Certs Pending</v>
      </c>
      <c r="B14" s="419" t="str">
        <v>32016289-1</v>
      </c>
      <c r="C14" s="419" t="str">
        <f>IF(B14="","",_xlfn.XLOOKUP(B14,'MIS 2026'!$AA$3:$AA$895,'MIS 2026'!$AB$3:$AB$895))</f>
        <v xml:space="preserve">VIET PHI AGRICULTURE JOINT 
STOCK COMPANY </v>
      </c>
      <c r="D14" s="419" t="str">
        <f>IF(B14="","",_xlfn.XLOOKUP(B14,'MIS 2026'!$AA$3:$AA$895,'MIS 2026'!$T$3:$T$895))</f>
        <v>DRAFT BL RCVD 20/5</v>
      </c>
      <c r="E14" s="446">
        <f>IF(B14="","",_xlfn.XLOOKUP(B14,'MIS 2026'!$AA$3:$AA$895,'MIS 2026'!$AD$3:$AD$895))</f>
        <v>46173</v>
      </c>
      <c r="F14" s="419"/>
      <c r="G14" s="419" t="str">
        <f>IF(B14="","",_xlfn.XLOOKUP(B14,'MIS 2026'!$AA$3:$AA$895,'MIS 2026'!$BI$3:$BI$895))</f>
        <v>HLCUAB1260401247</v>
      </c>
      <c r="H14" s="446" t="e">
        <f>IF(B14="","",_xlfn.XLOOKUP(B14,'MIS 2026'!$AA$3:$AA$895,'MIS 2026'!#REF!))</f>
        <v>#REF!</v>
      </c>
      <c r="I14" s="446">
        <f>IF(B14="","",_xlfn.XLOOKUP(B14,'MIS 2026'!$AA$3:$AA$895,'MIS 2026'!$BO$3:$BO$895))</f>
        <v>46208</v>
      </c>
      <c r="J14" s="419" t="str">
        <f>IF(B14="","",_xlfn.XLOOKUP(B14,'MIS 2026'!$AA$3:$AA$895,'MIS 2026'!$P$3:$P$895))</f>
        <v>No OBL Yet</v>
      </c>
      <c r="K14" s="419" t="str">
        <f>IF(B14="","",_xlfn.XLOOKUP(B14,'MIS 2026'!$AA$3:$AA$895,'MIS 2026'!$R$3:$R$895))</f>
        <v>No CERTS Yet</v>
      </c>
      <c r="L14" s="419" t="str">
        <f>IF(B14="","",_xlfn.XLOOKUP(B14,'MIS 2026'!$AA$3:$AA$895,'MIS 2026'!$S$3:$S$895))</f>
        <v/>
      </c>
    </row>
    <row r="15" spans="1:12">
      <c r="A15" s="419" t="str">
        <f>IF(B15="","",_xlfn.XLOOKUP(B15,'MIS 2026'!$AA$3:$AA$895,'MIS 2026'!$A$3:$A$895))</f>
        <v>Sailed, OBL &amp; Certs Pending</v>
      </c>
      <c r="B15" s="419" t="str">
        <v>32016289-2</v>
      </c>
      <c r="C15" s="419" t="str">
        <f>IF(B15="","",_xlfn.XLOOKUP(B15,'MIS 2026'!$AA$3:$AA$895,'MIS 2026'!$AB$3:$AB$895))</f>
        <v xml:space="preserve">VIET PHI AGRICULTURE JOINT 
STOCK COMPANY </v>
      </c>
      <c r="D15" s="419" t="str">
        <f>IF(B15="","",_xlfn.XLOOKUP(B15,'MIS 2026'!$AA$3:$AA$895,'MIS 2026'!$T$3:$T$895))</f>
        <v>DRAFT BL RCVD 20/5</v>
      </c>
      <c r="E15" s="446">
        <f>IF(B15="","",_xlfn.XLOOKUP(B15,'MIS 2026'!$AA$3:$AA$895,'MIS 2026'!$AD$3:$AD$895))</f>
        <v>46173</v>
      </c>
      <c r="F15" s="419"/>
      <c r="G15" s="419" t="str">
        <f>IF(B15="","",_xlfn.XLOOKUP(B15,'MIS 2026'!$AA$3:$AA$895,'MIS 2026'!$BI$3:$BI$895))</f>
        <v>HLCUAB1260401258</v>
      </c>
      <c r="H15" s="446" t="e">
        <f>IF(B15="","",_xlfn.XLOOKUP(B15,'MIS 2026'!$AA$3:$AA$895,'MIS 2026'!#REF!))</f>
        <v>#REF!</v>
      </c>
      <c r="I15" s="446">
        <f>IF(B15="","",_xlfn.XLOOKUP(B15,'MIS 2026'!$AA$3:$AA$895,'MIS 2026'!$BO$3:$BO$895))</f>
        <v>46208</v>
      </c>
      <c r="J15" s="419" t="str">
        <f>IF(B15="","",_xlfn.XLOOKUP(B15,'MIS 2026'!$AA$3:$AA$895,'MIS 2026'!$P$3:$P$895))</f>
        <v>No OBL Yet</v>
      </c>
      <c r="K15" s="419" t="str">
        <f>IF(B15="","",_xlfn.XLOOKUP(B15,'MIS 2026'!$AA$3:$AA$895,'MIS 2026'!$R$3:$R$895))</f>
        <v>No CERTS Yet</v>
      </c>
      <c r="L15" s="419" t="str">
        <f>IF(B15="","",_xlfn.XLOOKUP(B15,'MIS 2026'!$AA$3:$AA$895,'MIS 2026'!$S$3:$S$895))</f>
        <v/>
      </c>
    </row>
    <row r="16" spans="1:12">
      <c r="A16" s="419" t="str">
        <f>IF(B16="","",_xlfn.XLOOKUP(B16,'MIS 2026'!$AA$3:$AA$895,'MIS 2026'!$A$3:$A$895))</f>
        <v>Sailed, OBL &amp; Certs Pending</v>
      </c>
      <c r="B16" s="419" t="str">
        <v>32016289-3</v>
      </c>
      <c r="C16" s="419" t="str">
        <f>IF(B16="","",_xlfn.XLOOKUP(B16,'MIS 2026'!$AA$3:$AA$895,'MIS 2026'!$AB$3:$AB$895))</f>
        <v xml:space="preserve">VIET PHI AGRICULTURE JOINT 
STOCK COMPANY </v>
      </c>
      <c r="D16" s="419" t="str">
        <f>IF(B16="","",_xlfn.XLOOKUP(B16,'MIS 2026'!$AA$3:$AA$895,'MIS 2026'!$T$3:$T$895))</f>
        <v>DRAFT BL RCVD 20/5</v>
      </c>
      <c r="E16" s="446">
        <f>IF(B16="","",_xlfn.XLOOKUP(B16,'MIS 2026'!$AA$3:$AA$895,'MIS 2026'!$AD$3:$AD$895))</f>
        <v>46173</v>
      </c>
      <c r="F16" s="419"/>
      <c r="G16" s="419" t="str">
        <f>IF(B16="","",_xlfn.XLOOKUP(B16,'MIS 2026'!$AA$3:$AA$895,'MIS 2026'!$BI$3:$BI$895))</f>
        <v>HLCUAB1260400752</v>
      </c>
      <c r="H16" s="446" t="e">
        <f>IF(B16="","",_xlfn.XLOOKUP(B16,'MIS 2026'!$AA$3:$AA$895,'MIS 2026'!#REF!))</f>
        <v>#REF!</v>
      </c>
      <c r="I16" s="446">
        <f>IF(B16="","",_xlfn.XLOOKUP(B16,'MIS 2026'!$AA$3:$AA$895,'MIS 2026'!$BO$3:$BO$895))</f>
        <v>46215</v>
      </c>
      <c r="J16" s="419" t="str">
        <f>IF(B16="","",_xlfn.XLOOKUP(B16,'MIS 2026'!$AA$3:$AA$895,'MIS 2026'!$P$3:$P$895))</f>
        <v>No OBL Yet</v>
      </c>
      <c r="K16" s="419" t="str">
        <f>IF(B16="","",_xlfn.XLOOKUP(B16,'MIS 2026'!$AA$3:$AA$895,'MIS 2026'!$R$3:$R$895))</f>
        <v>No CERTS Yet</v>
      </c>
      <c r="L16" s="419" t="str">
        <f>IF(B16="","",_xlfn.XLOOKUP(B16,'MIS 2026'!$AA$3:$AA$895,'MIS 2026'!$S$3:$S$895))</f>
        <v/>
      </c>
    </row>
    <row r="17" spans="1:12">
      <c r="A17" s="419" t="str">
        <f>IF(B17="","",_xlfn.XLOOKUP(B17,'MIS 2026'!$AA$3:$AA$895,'MIS 2026'!$A$3:$A$895))</f>
        <v>SI Sent, Shipment Awaited</v>
      </c>
      <c r="B17">
        <v>32014498</v>
      </c>
      <c r="C17" s="419" t="str">
        <f>IF(B17="","",_xlfn.XLOOKUP(B17,'MIS 2026'!$AA$3:$AA$895,'MIS 2026'!$AB$3:$AB$895))</f>
        <v>SRI VIJAYALAXMI CASHEW INDUSTRIES</v>
      </c>
      <c r="D17" s="419" t="str">
        <f>IF(B17="","",_xlfn.XLOOKUP(B17,'MIS 2026'!$AA$3:$AA$895,'MIS 2026'!$T$3:$T$895))</f>
        <v>CLARIFICATION ON LATEST SOB</v>
      </c>
      <c r="E17" s="446">
        <f>IF(B17="","",_xlfn.XLOOKUP(B17,'MIS 2026'!$AA$3:$AA$895,'MIS 2026'!$AD$3:$AD$895))</f>
        <v>46142</v>
      </c>
      <c r="F17" s="419"/>
      <c r="G17" s="419">
        <f>IF(B17="","",_xlfn.XLOOKUP(B17,'MIS 2026'!$AA$3:$AA$895,'MIS 2026'!$BI$3:$BI$895))</f>
        <v>267490003</v>
      </c>
      <c r="H17" s="446" t="e">
        <f>IF(B17="","",_xlfn.XLOOKUP(B17,'MIS 2026'!$AA$3:$AA$895,'MIS 2026'!#REF!))</f>
        <v>#REF!</v>
      </c>
      <c r="I17" s="446">
        <f>IF(B17="","",_xlfn.XLOOKUP(B17,'MIS 2026'!$AA$3:$AA$895,'MIS 2026'!$BO$3:$BO$895))</f>
        <v>0</v>
      </c>
      <c r="J17" s="419" t="str">
        <f>IF(B17="","",_xlfn.XLOOKUP(B17,'MIS 2026'!$AA$3:$AA$895,'MIS 2026'!$P$3:$P$895))</f>
        <v>No OBL Yet</v>
      </c>
      <c r="K17" s="419" t="str">
        <f>IF(B17="","",_xlfn.XLOOKUP(B17,'MIS 2026'!$AA$3:$AA$895,'MIS 2026'!$R$3:$R$895))</f>
        <v>No CERTS Yet</v>
      </c>
      <c r="L17" s="419" t="str">
        <f>IF(B17="","",_xlfn.XLOOKUP(B17,'MIS 2026'!$AA$3:$AA$895,'MIS 2026'!$S$3:$S$895))</f>
        <v/>
      </c>
    </row>
    <row r="18" spans="1:12">
      <c r="A18" s="419" t="str">
        <f>IF(B18="","",_xlfn.XLOOKUP(B18,'MIS 2026'!$AA$3:$AA$895,'MIS 2026'!$A$3:$A$895))</f>
        <v>SI Sent, Shipment Awaited</v>
      </c>
      <c r="B18">
        <v>32014483</v>
      </c>
      <c r="C18" s="419" t="str">
        <f>IF(B18="","",_xlfn.XLOOKUP(B18,'MIS 2026'!$AA$3:$AA$895,'MIS 2026'!$AB$3:$AB$895))</f>
        <v>SRI VIJAYALAXMI CASHEW INDUSTRIES</v>
      </c>
      <c r="D18" s="419" t="str">
        <f>IF(B18="","",_xlfn.XLOOKUP(B18,'MIS 2026'!$AA$3:$AA$895,'MIS 2026'!$T$3:$T$895))</f>
        <v>CLARIFICATION ON LATEST SOB</v>
      </c>
      <c r="E18" s="446">
        <f>IF(B18="","",_xlfn.XLOOKUP(B18,'MIS 2026'!$AA$3:$AA$895,'MIS 2026'!$AD$3:$AD$895))</f>
        <v>46142</v>
      </c>
      <c r="F18" s="419"/>
      <c r="G18" s="419">
        <f>IF(B18="","",_xlfn.XLOOKUP(B18,'MIS 2026'!$AA$3:$AA$895,'MIS 2026'!$BI$3:$BI$895))</f>
        <v>269658785</v>
      </c>
      <c r="H18" s="446" t="e">
        <f>IF(B18="","",_xlfn.XLOOKUP(B18,'MIS 2026'!$AA$3:$AA$895,'MIS 2026'!#REF!))</f>
        <v>#REF!</v>
      </c>
      <c r="I18" s="446">
        <f>IF(B18="","",_xlfn.XLOOKUP(B18,'MIS 2026'!$AA$3:$AA$895,'MIS 2026'!$BO$3:$BO$895))</f>
        <v>0</v>
      </c>
      <c r="J18" s="419" t="str">
        <f>IF(B18="","",_xlfn.XLOOKUP(B18,'MIS 2026'!$AA$3:$AA$895,'MIS 2026'!$P$3:$P$895))</f>
        <v>No OBL Yet</v>
      </c>
      <c r="K18" s="419" t="str">
        <f>IF(B18="","",_xlfn.XLOOKUP(B18,'MIS 2026'!$AA$3:$AA$895,'MIS 2026'!$R$3:$R$895))</f>
        <v>No CERTS Yet</v>
      </c>
      <c r="L18" s="419" t="str">
        <f>IF(B18="","",_xlfn.XLOOKUP(B18,'MIS 2026'!$AA$3:$AA$895,'MIS 2026'!$S$3:$S$895))</f>
        <v/>
      </c>
    </row>
    <row r="19" spans="1:12">
      <c r="A19" s="419" t="str">
        <f>IF(B19="","",_xlfn.XLOOKUP(B19,'MIS 2026'!$AA$3:$AA$895,'MIS 2026'!$A$3:$A$895))</f>
        <v>SI Sent, Shipment Awaited</v>
      </c>
      <c r="B19">
        <v>32014461</v>
      </c>
      <c r="C19" s="419" t="str">
        <f>IF(B19="","",_xlfn.XLOOKUP(B19,'MIS 2026'!$AA$3:$AA$895,'MIS 2026'!$AB$3:$AB$895))</f>
        <v>ST. GREGORIOUS CASHEW</v>
      </c>
      <c r="D19" s="419" t="str">
        <f>IF(B19="","",_xlfn.XLOOKUP(B19,'MIS 2026'!$AA$3:$AA$895,'MIS 2026'!$T$3:$T$895))</f>
        <v>CLARIFICATION ON LATEST SOB</v>
      </c>
      <c r="E19" s="446">
        <f>IF(B19="","",_xlfn.XLOOKUP(B19,'MIS 2026'!$AA$3:$AA$895,'MIS 2026'!$AD$3:$AD$895))</f>
        <v>46142</v>
      </c>
      <c r="F19" s="419"/>
      <c r="G19" s="419">
        <f>IF(B19="","",_xlfn.XLOOKUP(B19,'MIS 2026'!$AA$3:$AA$895,'MIS 2026'!$BI$3:$BI$895))</f>
        <v>268716278</v>
      </c>
      <c r="H19" s="446" t="e">
        <f>IF(B19="","",_xlfn.XLOOKUP(B19,'MIS 2026'!$AA$3:$AA$895,'MIS 2026'!#REF!))</f>
        <v>#REF!</v>
      </c>
      <c r="I19" s="446">
        <f>IF(B19="","",_xlfn.XLOOKUP(B19,'MIS 2026'!$AA$3:$AA$895,'MIS 2026'!$BO$3:$BO$895))</f>
        <v>0</v>
      </c>
      <c r="J19" s="419" t="str">
        <f>IF(B19="","",_xlfn.XLOOKUP(B19,'MIS 2026'!$AA$3:$AA$895,'MIS 2026'!$P$3:$P$895))</f>
        <v>Draft Rcvd</v>
      </c>
      <c r="K19" s="419" t="str">
        <f>IF(B19="","",_xlfn.XLOOKUP(B19,'MIS 2026'!$AA$3:$AA$895,'MIS 2026'!$R$3:$R$895))</f>
        <v>No CERTS Yet</v>
      </c>
      <c r="L19" s="419" t="str">
        <f>IF(B19="","",_xlfn.XLOOKUP(B19,'MIS 2026'!$AA$3:$AA$895,'MIS 2026'!$S$3:$S$895))</f>
        <v/>
      </c>
    </row>
    <row r="20" spans="1:12">
      <c r="A20" s="419" t="str">
        <f>IF(B20="","",_xlfn.XLOOKUP(B20,'MIS 2026'!$AA$3:$AA$895,'MIS 2026'!$A$3:$A$895))</f>
        <v>SI Sent, Shipment Awaited</v>
      </c>
      <c r="B20">
        <v>32014537</v>
      </c>
      <c r="C20" s="419" t="str">
        <f>IF(B20="","",_xlfn.XLOOKUP(B20,'MIS 2026'!$AA$3:$AA$895,'MIS 2026'!$AB$3:$AB$895))</f>
        <v>ST. GREGORIOUS CASHEW</v>
      </c>
      <c r="D20" s="419" t="str">
        <f>IF(B20="","",_xlfn.XLOOKUP(B20,'MIS 2026'!$AA$3:$AA$895,'MIS 2026'!$T$3:$T$895))</f>
        <v>CLARIFICATION ON LATEST SOB</v>
      </c>
      <c r="E20" s="446">
        <f>IF(B20="","",_xlfn.XLOOKUP(B20,'MIS 2026'!$AA$3:$AA$895,'MIS 2026'!$AD$3:$AD$895))</f>
        <v>46142</v>
      </c>
      <c r="F20" s="419"/>
      <c r="G20" s="419">
        <f>IF(B20="","",_xlfn.XLOOKUP(B20,'MIS 2026'!$AA$3:$AA$895,'MIS 2026'!$BI$3:$BI$895))</f>
        <v>0</v>
      </c>
      <c r="H20" s="446" t="e">
        <f>IF(B20="","",_xlfn.XLOOKUP(B20,'MIS 2026'!$AA$3:$AA$895,'MIS 2026'!#REF!))</f>
        <v>#REF!</v>
      </c>
      <c r="I20" s="446">
        <f>IF(B20="","",_xlfn.XLOOKUP(B20,'MIS 2026'!$AA$3:$AA$895,'MIS 2026'!$BO$3:$BO$895))</f>
        <v>0</v>
      </c>
      <c r="J20" s="419" t="str">
        <f>IF(B20="","",_xlfn.XLOOKUP(B20,'MIS 2026'!$AA$3:$AA$895,'MIS 2026'!$P$3:$P$895))</f>
        <v>No OBL Yet</v>
      </c>
      <c r="K20" s="419" t="str">
        <f>IF(B20="","",_xlfn.XLOOKUP(B20,'MIS 2026'!$AA$3:$AA$895,'MIS 2026'!$R$3:$R$895))</f>
        <v>No CERTS Yet</v>
      </c>
      <c r="L20" s="419" t="str">
        <f>IF(B20="","",_xlfn.XLOOKUP(B20,'MIS 2026'!$AA$3:$AA$895,'MIS 2026'!$S$3:$S$895))</f>
        <v/>
      </c>
    </row>
    <row r="21" spans="1:12">
      <c r="A21" s="419" t="str">
        <f>IF(B21="","",_xlfn.XLOOKUP(B21,'MIS 2026'!$AA$3:$AA$895,'MIS 2026'!$A$3:$A$895))</f>
        <v>Stuffed, Yet to Sail</v>
      </c>
      <c r="B21">
        <v>32014450</v>
      </c>
      <c r="C21" s="419" t="str">
        <f>IF(B21="","",_xlfn.XLOOKUP(B21,'MIS 2026'!$AA$3:$AA$895,'MIS 2026'!$AB$3:$AB$895))</f>
        <v>ST. PAULS CASHEW FACTORY</v>
      </c>
      <c r="D21" s="419" t="str">
        <f>IF(B21="","",_xlfn.XLOOKUP(B21,'MIS 2026'!$AA$3:$AA$895,'MIS 2026'!$T$3:$T$895))</f>
        <v>CLARIFICATION ON LATEST SOB</v>
      </c>
      <c r="E21" s="446">
        <f>IF(B21="","",_xlfn.XLOOKUP(B21,'MIS 2026'!$AA$3:$AA$895,'MIS 2026'!$AD$3:$AD$895))</f>
        <v>46142</v>
      </c>
      <c r="F21" s="419"/>
      <c r="G21" s="419">
        <f>IF(B21="","",_xlfn.XLOOKUP(B21,'MIS 2026'!$AA$3:$AA$895,'MIS 2026'!$BI$3:$BI$895))</f>
        <v>268715415</v>
      </c>
      <c r="H21" s="446" t="e">
        <f>IF(B21="","",_xlfn.XLOOKUP(B21,'MIS 2026'!$AA$3:$AA$895,'MIS 2026'!#REF!))</f>
        <v>#REF!</v>
      </c>
      <c r="I21" s="446">
        <f>IF(B21="","",_xlfn.XLOOKUP(B21,'MIS 2026'!$AA$3:$AA$895,'MIS 2026'!$BO$3:$BO$895))</f>
        <v>46189</v>
      </c>
      <c r="J21" s="419" t="str">
        <f>IF(B21="","",_xlfn.XLOOKUP(B21,'MIS 2026'!$AA$3:$AA$895,'MIS 2026'!$P$3:$P$895))</f>
        <v>Draft Rcvd</v>
      </c>
      <c r="K21" s="419" t="str">
        <f>IF(B21="","",_xlfn.XLOOKUP(B21,'MIS 2026'!$AA$3:$AA$895,'MIS 2026'!$R$3:$R$895))</f>
        <v>No CERTS Yet</v>
      </c>
      <c r="L21" s="419" t="str">
        <f>IF(B21="","",_xlfn.XLOOKUP(B21,'MIS 2026'!$AA$3:$AA$895,'MIS 2026'!$S$3:$S$895))</f>
        <v/>
      </c>
    </row>
    <row r="22" spans="1:12">
      <c r="A22" s="419" t="str">
        <f>IF(B22="","",_xlfn.XLOOKUP(B22,'MIS 2026'!$AA$3:$AA$895,'MIS 2026'!$A$3:$A$895))</f>
        <v>SI Sent, Shipment Awaited</v>
      </c>
      <c r="B22" t="str">
        <v>32014539-2</v>
      </c>
      <c r="C22" s="419" t="str">
        <f>IF(B22="","",_xlfn.XLOOKUP(B22,'MIS 2026'!$AA$3:$AA$895,'MIS 2026'!$AB$3:$AB$895))</f>
        <v>ST. PAULS CASHEW FACTORY</v>
      </c>
      <c r="D22" s="419" t="str">
        <f>IF(B22="","",_xlfn.XLOOKUP(B22,'MIS 2026'!$AA$3:$AA$895,'MIS 2026'!$T$3:$T$895))</f>
        <v>CLARIFICATION ON LATEST SOB</v>
      </c>
      <c r="E22" s="446">
        <f>IF(B22="","",_xlfn.XLOOKUP(B22,'MIS 2026'!$AA$3:$AA$895,'MIS 2026'!$AD$3:$AD$895))</f>
        <v>46142</v>
      </c>
      <c r="F22" s="419"/>
      <c r="G22" s="419">
        <f>IF(B22="","",_xlfn.XLOOKUP(B22,'MIS 2026'!$AA$3:$AA$895,'MIS 2026'!$BI$3:$BI$895))</f>
        <v>0</v>
      </c>
      <c r="H22" s="446" t="e">
        <f>IF(B22="","",_xlfn.XLOOKUP(B22,'MIS 2026'!$AA$3:$AA$895,'MIS 2026'!#REF!))</f>
        <v>#REF!</v>
      </c>
      <c r="I22" s="446">
        <f>IF(B22="","",_xlfn.XLOOKUP(B22,'MIS 2026'!$AA$3:$AA$895,'MIS 2026'!$BO$3:$BO$895))</f>
        <v>0</v>
      </c>
      <c r="J22" s="419" t="str">
        <f>IF(B22="","",_xlfn.XLOOKUP(B22,'MIS 2026'!$AA$3:$AA$895,'MIS 2026'!$P$3:$P$895))</f>
        <v>No OBL Yet</v>
      </c>
      <c r="K22" s="419" t="str">
        <f>IF(B22="","",_xlfn.XLOOKUP(B22,'MIS 2026'!$AA$3:$AA$895,'MIS 2026'!$R$3:$R$895))</f>
        <v>No CERTS Yet</v>
      </c>
      <c r="L22" s="419" t="str">
        <f>IF(B22="","",_xlfn.XLOOKUP(B22,'MIS 2026'!$AA$3:$AA$895,'MIS 2026'!$S$3:$S$895))</f>
        <v/>
      </c>
    </row>
    <row r="23" spans="1:12">
      <c r="A23" s="419" t="str">
        <f>IF(B23="","",_xlfn.XLOOKUP(B23,'MIS 2026'!$AA$3:$AA$895,'MIS 2026'!$A$3:$A$895))</f>
        <v>Sailed, OBL &amp; Certs Pending</v>
      </c>
      <c r="B23" t="str">
        <v>32016289-4</v>
      </c>
      <c r="C23" s="419" t="str">
        <f>IF(B23="","",_xlfn.XLOOKUP(B23,'MIS 2026'!$AA$3:$AA$895,'MIS 2026'!$AB$3:$AB$895))</f>
        <v xml:space="preserve">VIET PHI AGRICULTURE JOINT 
STOCK COMPANY </v>
      </c>
      <c r="D23" s="419" t="str">
        <f>IF(B23="","",_xlfn.XLOOKUP(B23,'MIS 2026'!$AA$3:$AA$895,'MIS 2026'!$T$3:$T$895))</f>
        <v>DRAFT BL RCVD 20/5</v>
      </c>
      <c r="E23" s="446">
        <f>IF(B23="","",_xlfn.XLOOKUP(B23,'MIS 2026'!$AA$3:$AA$895,'MIS 2026'!$AD$3:$AD$895))</f>
        <v>46173</v>
      </c>
      <c r="F23" s="419"/>
      <c r="G23" s="419" t="str">
        <f>IF(B23="","",_xlfn.XLOOKUP(B23,'MIS 2026'!$AA$3:$AA$895,'MIS 2026'!$BI$3:$BI$895))</f>
        <v>HLCUAB1260400774</v>
      </c>
      <c r="H23" s="446" t="e">
        <f>IF(B23="","",_xlfn.XLOOKUP(B23,'MIS 2026'!$AA$3:$AA$895,'MIS 2026'!#REF!))</f>
        <v>#REF!</v>
      </c>
      <c r="I23" s="446">
        <f>IF(B23="","",_xlfn.XLOOKUP(B23,'MIS 2026'!$AA$3:$AA$895,'MIS 2026'!$BO$3:$BO$895))</f>
        <v>46208</v>
      </c>
      <c r="J23" s="419" t="str">
        <f>IF(B23="","",_xlfn.XLOOKUP(B23,'MIS 2026'!$AA$3:$AA$895,'MIS 2026'!$P$3:$P$895))</f>
        <v>No OBL Yet</v>
      </c>
      <c r="K23" s="419" t="str">
        <f>IF(B23="","",_xlfn.XLOOKUP(B23,'MIS 2026'!$AA$3:$AA$895,'MIS 2026'!$R$3:$R$895))</f>
        <v>No CERTS Yet</v>
      </c>
      <c r="L23" s="419" t="str">
        <f>IF(B23="","",_xlfn.XLOOKUP(B23,'MIS 2026'!$AA$3:$AA$895,'MIS 2026'!$S$3:$S$895))</f>
        <v/>
      </c>
    </row>
    <row r="24" spans="1:12">
      <c r="A24" s="419" t="str">
        <f>IF(B24="","",_xlfn.XLOOKUP(B24,'MIS 2026'!$AA$3:$AA$895,'MIS 2026'!$A$3:$A$895))</f>
        <v>SI Sent, Shipment Awaited</v>
      </c>
      <c r="B24">
        <v>32015968</v>
      </c>
      <c r="C24" s="419" t="str">
        <f>IF(B24="","",_xlfn.XLOOKUP(B24,'MIS 2026'!$AA$3:$AA$895,'MIS 2026'!$AB$3:$AB$895))</f>
        <v>Valency Agro (Processing)</v>
      </c>
      <c r="D24" s="419" t="str">
        <f>IF(B24="","",_xlfn.XLOOKUP(B24,'MIS 2026'!$AA$3:$AA$895,'MIS 2026'!$T$3:$T$895))</f>
        <v xml:space="preserve">ETD: 30/5, MEARSK CUANZA, </v>
      </c>
      <c r="E24" s="446">
        <f>IF(B24="","",_xlfn.XLOOKUP(B24,'MIS 2026'!$AA$3:$AA$895,'MIS 2026'!$AD$3:$AD$895))</f>
        <v>46142</v>
      </c>
      <c r="F24" s="419"/>
      <c r="G24" s="419">
        <f>IF(B24="","",_xlfn.XLOOKUP(B24,'MIS 2026'!$AA$3:$AA$895,'MIS 2026'!$BI$3:$BI$895))</f>
        <v>0</v>
      </c>
      <c r="H24" s="446" t="e">
        <f>IF(B24="","",_xlfn.XLOOKUP(B24,'MIS 2026'!$AA$3:$AA$895,'MIS 2026'!#REF!))</f>
        <v>#REF!</v>
      </c>
      <c r="I24" s="446">
        <f>IF(B24="","",_xlfn.XLOOKUP(B24,'MIS 2026'!$AA$3:$AA$895,'MIS 2026'!$BO$3:$BO$895))</f>
        <v>0</v>
      </c>
      <c r="J24" s="419" t="str">
        <f>IF(B24="","",_xlfn.XLOOKUP(B24,'MIS 2026'!$AA$3:$AA$895,'MIS 2026'!$P$3:$P$895))</f>
        <v>No OBL Yet</v>
      </c>
      <c r="K24" s="419" t="str">
        <f>IF(B24="","",_xlfn.XLOOKUP(B24,'MIS 2026'!$AA$3:$AA$895,'MIS 2026'!$R$3:$R$895))</f>
        <v>No CERTS Yet</v>
      </c>
      <c r="L24" s="419" t="str">
        <f>IF(B24="","",_xlfn.XLOOKUP(B24,'MIS 2026'!$AA$3:$AA$895,'MIS 2026'!$S$3:$S$895))</f>
        <v/>
      </c>
    </row>
    <row r="25" spans="1:12">
      <c r="A25" s="419" t="str">
        <f>IF(B25="","",_xlfn.XLOOKUP(B25,'MIS 2026'!$AA$3:$AA$895,'MIS 2026'!$A$3:$A$895))</f>
        <v>Stuffed, Yet to Sail</v>
      </c>
      <c r="B25">
        <v>32014470</v>
      </c>
      <c r="C25" s="419" t="str">
        <f>IF(B25="","",_xlfn.XLOOKUP(B25,'MIS 2026'!$AA$3:$AA$895,'MIS 2026'!$AB$3:$AB$895))</f>
        <v xml:space="preserve">VALENCY AGRO // HSS // Orissa Cashew Industries </v>
      </c>
      <c r="D25" s="419" t="str">
        <f>IF(B25="","",_xlfn.XLOOKUP(B25,'MIS 2026'!$AA$3:$AA$895,'MIS 2026'!$T$3:$T$895))</f>
        <v>CLARIFICATION ON LATEST SOB</v>
      </c>
      <c r="E25" s="446">
        <f>IF(B25="","",_xlfn.XLOOKUP(B25,'MIS 2026'!$AA$3:$AA$895,'MIS 2026'!$AD$3:$AD$895))</f>
        <v>46142</v>
      </c>
      <c r="F25" s="419"/>
      <c r="G25" s="419">
        <f>IF(B25="","",_xlfn.XLOOKUP(B25,'MIS 2026'!$AA$3:$AA$895,'MIS 2026'!$BI$3:$BI$895))</f>
        <v>267466662</v>
      </c>
      <c r="H25" s="446" t="e">
        <f>IF(B25="","",_xlfn.XLOOKUP(B25,'MIS 2026'!$AA$3:$AA$895,'MIS 2026'!#REF!))</f>
        <v>#REF!</v>
      </c>
      <c r="I25" s="446">
        <f>IF(B25="","",_xlfn.XLOOKUP(B25,'MIS 2026'!$AA$3:$AA$895,'MIS 2026'!$BO$3:$BO$895))</f>
        <v>46183</v>
      </c>
      <c r="J25" s="419" t="str">
        <f>IF(B25="","",_xlfn.XLOOKUP(B25,'MIS 2026'!$AA$3:$AA$895,'MIS 2026'!$P$3:$P$895))</f>
        <v>No OBL Yet</v>
      </c>
      <c r="K25" s="419" t="str">
        <f>IF(B25="","",_xlfn.XLOOKUP(B25,'MIS 2026'!$AA$3:$AA$895,'MIS 2026'!$R$3:$R$895))</f>
        <v>No CERTS Yet</v>
      </c>
      <c r="L25" s="419" t="str">
        <f>IF(B25="","",_xlfn.XLOOKUP(B25,'MIS 2026'!$AA$3:$AA$895,'MIS 2026'!$S$3:$S$895))</f>
        <v/>
      </c>
    </row>
    <row r="26" spans="1:12">
      <c r="A26" s="419" t="str">
        <f>IF(B26="","",_xlfn.XLOOKUP(B26,'MIS 2026'!$AA$3:$AA$895,'MIS 2026'!$A$3:$A$895))</f>
        <v>SI Sent, Shipment Awaited</v>
      </c>
      <c r="B26">
        <v>32014569</v>
      </c>
      <c r="C26" s="419" t="str">
        <f>IF(B26="","",_xlfn.XLOOKUP(B26,'MIS 2026'!$AA$3:$AA$895,'MIS 2026'!$AB$3:$AB$895))</f>
        <v>VALENCY AGRO //HSS//Anjali Cashew Traders</v>
      </c>
      <c r="D26" s="419" t="str">
        <f>IF(B26="","",_xlfn.XLOOKUP(B26,'MIS 2026'!$AA$3:$AA$895,'MIS 2026'!$T$3:$T$895))</f>
        <v>CLARIFICATION ON LATEST SOB</v>
      </c>
      <c r="E26" s="446">
        <f>IF(B26="","",_xlfn.XLOOKUP(B26,'MIS 2026'!$AA$3:$AA$895,'MIS 2026'!$AD$3:$AD$895))</f>
        <v>46142</v>
      </c>
      <c r="F26" s="419"/>
      <c r="G26" s="419">
        <f>IF(B26="","",_xlfn.XLOOKUP(B26,'MIS 2026'!$AA$3:$AA$895,'MIS 2026'!$BI$3:$BI$895))</f>
        <v>0</v>
      </c>
      <c r="H26" s="446" t="e">
        <f>IF(B26="","",_xlfn.XLOOKUP(B26,'MIS 2026'!$AA$3:$AA$895,'MIS 2026'!#REF!))</f>
        <v>#REF!</v>
      </c>
      <c r="I26" s="446">
        <f>IF(B26="","",_xlfn.XLOOKUP(B26,'MIS 2026'!$AA$3:$AA$895,'MIS 2026'!$BO$3:$BO$895))</f>
        <v>0</v>
      </c>
      <c r="J26" s="419" t="str">
        <f>IF(B26="","",_xlfn.XLOOKUP(B26,'MIS 2026'!$AA$3:$AA$895,'MIS 2026'!$P$3:$P$895))</f>
        <v>No OBL Yet</v>
      </c>
      <c r="K26" s="419" t="str">
        <f>IF(B26="","",_xlfn.XLOOKUP(B26,'MIS 2026'!$AA$3:$AA$895,'MIS 2026'!$R$3:$R$895))</f>
        <v>No CERTS Yet</v>
      </c>
      <c r="L26" s="419" t="str">
        <f>IF(B26="","",_xlfn.XLOOKUP(B26,'MIS 2026'!$AA$3:$AA$895,'MIS 2026'!$S$3:$S$895))</f>
        <v/>
      </c>
    </row>
    <row r="27" spans="1:12">
      <c r="A27" s="419" t="str">
        <f>IF(B27="","",_xlfn.XLOOKUP(B27,'MIS 2026'!$AA$3:$AA$895,'MIS 2026'!$A$3:$A$895))</f>
        <v>Sailed, OBL &amp; Certs Pending</v>
      </c>
      <c r="B27" t="str">
        <v>32014540-2</v>
      </c>
      <c r="C27" s="419" t="str">
        <f>IF(B27="","",_xlfn.XLOOKUP(B27,'MIS 2026'!$AA$3:$AA$895,'MIS 2026'!$AB$3:$AB$895))</f>
        <v xml:space="preserve">SHREE KRISHNAPRASAD CASHEWS </v>
      </c>
      <c r="D27" s="419" t="str">
        <f>IF(B27="","",_xlfn.XLOOKUP(B27,'MIS 2026'!$AA$3:$AA$895,'MIS 2026'!$T$3:$T$895))</f>
        <v>ETA 30/5 ; MEARSK CUANAZA</v>
      </c>
      <c r="E27" s="446">
        <f>IF(B27="","",_xlfn.XLOOKUP(B27,'MIS 2026'!$AA$3:$AA$895,'MIS 2026'!$AD$3:$AD$895))</f>
        <v>46142</v>
      </c>
      <c r="F27" s="419"/>
      <c r="G27" s="419">
        <f>IF(B27="","",_xlfn.XLOOKUP(B27,'MIS 2026'!$AA$3:$AA$895,'MIS 2026'!$BI$3:$BI$895))</f>
        <v>269636234</v>
      </c>
      <c r="H27" s="446" t="e">
        <f>IF(B27="","",_xlfn.XLOOKUP(B27,'MIS 2026'!$AA$3:$AA$895,'MIS 2026'!#REF!))</f>
        <v>#REF!</v>
      </c>
      <c r="I27" s="446">
        <f>IF(B27="","",_xlfn.XLOOKUP(B27,'MIS 2026'!$AA$3:$AA$895,'MIS 2026'!$BO$3:$BO$895))</f>
        <v>46202</v>
      </c>
      <c r="J27" s="419" t="str">
        <f>IF(B27="","",_xlfn.XLOOKUP(B27,'MIS 2026'!$AA$3:$AA$895,'MIS 2026'!$P$3:$P$895))</f>
        <v>No OBL Yet</v>
      </c>
      <c r="K27" s="419" t="str">
        <f>IF(B27="","",_xlfn.XLOOKUP(B27,'MIS 2026'!$AA$3:$AA$895,'MIS 2026'!$R$3:$R$895))</f>
        <v>No CERTS Yet</v>
      </c>
      <c r="L27" s="419" t="str">
        <f>IF(B27="","",_xlfn.XLOOKUP(B27,'MIS 2026'!$AA$3:$AA$895,'MIS 2026'!$S$3:$S$895))</f>
        <v/>
      </c>
    </row>
    <row r="28" spans="1:12">
      <c r="A28" s="419" t="str">
        <f>IF(B28="","",_xlfn.XLOOKUP(B28,'MIS 2026'!$AA$3:$AA$895,'MIS 2026'!$A$3:$A$895))</f>
        <v>SI Sent, Shipment Awaited</v>
      </c>
      <c r="B28">
        <v>32014577</v>
      </c>
      <c r="C28" s="419" t="str">
        <f>IF(B28="","",_xlfn.XLOOKUP(B28,'MIS 2026'!$AA$3:$AA$895,'MIS 2026'!$AB$3:$AB$895))</f>
        <v xml:space="preserve">VALENCY AGRO //HSS//Jaheer Cashew </v>
      </c>
      <c r="D28" s="419" t="str">
        <f>IF(B28="","",_xlfn.XLOOKUP(B28,'MIS 2026'!$AA$3:$AA$895,'MIS 2026'!$T$3:$T$895))</f>
        <v>CLARIFICATION ON LATEST SOB</v>
      </c>
      <c r="E28" s="446">
        <f>IF(B28="","",_xlfn.XLOOKUP(B28,'MIS 2026'!$AA$3:$AA$895,'MIS 2026'!$AD$3:$AD$895))</f>
        <v>46142</v>
      </c>
      <c r="F28" s="419"/>
      <c r="G28" s="419">
        <f>IF(B28="","",_xlfn.XLOOKUP(B28,'MIS 2026'!$AA$3:$AA$895,'MIS 2026'!$BI$3:$BI$895))</f>
        <v>0</v>
      </c>
      <c r="H28" s="446" t="e">
        <f>IF(B28="","",_xlfn.XLOOKUP(B28,'MIS 2026'!$AA$3:$AA$895,'MIS 2026'!#REF!))</f>
        <v>#REF!</v>
      </c>
      <c r="I28" s="446">
        <f>IF(B28="","",_xlfn.XLOOKUP(B28,'MIS 2026'!$AA$3:$AA$895,'MIS 2026'!$BO$3:$BO$895))</f>
        <v>0</v>
      </c>
      <c r="J28" s="419" t="str">
        <f>IF(B28="","",_xlfn.XLOOKUP(B28,'MIS 2026'!$AA$3:$AA$895,'MIS 2026'!$P$3:$P$895))</f>
        <v>No OBL Yet</v>
      </c>
      <c r="K28" s="419" t="str">
        <f>IF(B28="","",_xlfn.XLOOKUP(B28,'MIS 2026'!$AA$3:$AA$895,'MIS 2026'!$R$3:$R$895))</f>
        <v>No CERTS Yet</v>
      </c>
      <c r="L28" s="419" t="str">
        <f>IF(B28="","",_xlfn.XLOOKUP(B28,'MIS 2026'!$AA$3:$AA$895,'MIS 2026'!$S$3:$S$895))</f>
        <v/>
      </c>
    </row>
    <row r="29" spans="1:12">
      <c r="A29" s="419" t="str">
        <f>IF(B29="","",_xlfn.XLOOKUP(B29,'MIS 2026'!$AA$3:$AA$895,'MIS 2026'!$A$3:$A$895))</f>
        <v>SI Sent, Shipment Awaited</v>
      </c>
      <c r="B29">
        <v>32014576</v>
      </c>
      <c r="C29" s="419" t="str">
        <f>IF(B29="","",_xlfn.XLOOKUP(B29,'MIS 2026'!$AA$3:$AA$895,'MIS 2026'!$AB$3:$AB$895))</f>
        <v xml:space="preserve">VALENCY AGRO //HSS//Moonstar Cashew </v>
      </c>
      <c r="D29" s="419" t="str">
        <f>IF(B29="","",_xlfn.XLOOKUP(B29,'MIS 2026'!$AA$3:$AA$895,'MIS 2026'!$T$3:$T$895))</f>
        <v>CLARIFICATION ON LATEST SOB</v>
      </c>
      <c r="E29" s="446">
        <f>IF(B29="","",_xlfn.XLOOKUP(B29,'MIS 2026'!$AA$3:$AA$895,'MIS 2026'!$AD$3:$AD$895))</f>
        <v>46142</v>
      </c>
      <c r="F29" s="419"/>
      <c r="G29" s="419">
        <f>IF(B29="","",_xlfn.XLOOKUP(B29,'MIS 2026'!$AA$3:$AA$895,'MIS 2026'!$BI$3:$BI$895))</f>
        <v>0</v>
      </c>
      <c r="H29" s="446" t="e">
        <f>IF(B29="","",_xlfn.XLOOKUP(B29,'MIS 2026'!$AA$3:$AA$895,'MIS 2026'!#REF!))</f>
        <v>#REF!</v>
      </c>
      <c r="I29" s="446">
        <f>IF(B29="","",_xlfn.XLOOKUP(B29,'MIS 2026'!$AA$3:$AA$895,'MIS 2026'!$BO$3:$BO$895))</f>
        <v>0</v>
      </c>
      <c r="J29" s="419" t="str">
        <f>IF(B29="","",_xlfn.XLOOKUP(B29,'MIS 2026'!$AA$3:$AA$895,'MIS 2026'!$P$3:$P$895))</f>
        <v>No OBL Yet</v>
      </c>
      <c r="K29" s="419" t="str">
        <f>IF(B29="","",_xlfn.XLOOKUP(B29,'MIS 2026'!$AA$3:$AA$895,'MIS 2026'!$R$3:$R$895))</f>
        <v>No CERTS Yet</v>
      </c>
      <c r="L29" s="419" t="str">
        <f>IF(B29="","",_xlfn.XLOOKUP(B29,'MIS 2026'!$AA$3:$AA$895,'MIS 2026'!$S$3:$S$895))</f>
        <v/>
      </c>
    </row>
    <row r="30" spans="1:12">
      <c r="A30" s="419" t="str">
        <f>IF(B30="","",_xlfn.XLOOKUP(B30,'MIS 2026'!$AA$3:$AA$895,'MIS 2026'!$A$3:$A$895))</f>
        <v>SI Sent, Shipment Awaited</v>
      </c>
      <c r="B30">
        <v>32014574</v>
      </c>
      <c r="C30" s="419" t="str">
        <f>IF(B30="","",_xlfn.XLOOKUP(B30,'MIS 2026'!$AA$3:$AA$895,'MIS 2026'!$AB$3:$AB$895))</f>
        <v xml:space="preserve">VALENCY AGRO //HSS//Sahena Cashew </v>
      </c>
      <c r="D30" s="419" t="str">
        <f>IF(B30="","",_xlfn.XLOOKUP(B30,'MIS 2026'!$AA$3:$AA$895,'MIS 2026'!$T$3:$T$895))</f>
        <v>CLARIFICATION ON LATEST SOB</v>
      </c>
      <c r="E30" s="446">
        <f>IF(B30="","",_xlfn.XLOOKUP(B30,'MIS 2026'!$AA$3:$AA$895,'MIS 2026'!$AD$3:$AD$895))</f>
        <v>46142</v>
      </c>
      <c r="F30" s="419"/>
      <c r="G30" s="419">
        <f>IF(B30="","",_xlfn.XLOOKUP(B30,'MIS 2026'!$AA$3:$AA$895,'MIS 2026'!$BI$3:$BI$895))</f>
        <v>0</v>
      </c>
      <c r="H30" s="446" t="e">
        <f>IF(B30="","",_xlfn.XLOOKUP(B30,'MIS 2026'!$AA$3:$AA$895,'MIS 2026'!#REF!))</f>
        <v>#REF!</v>
      </c>
      <c r="I30" s="446">
        <f>IF(B30="","",_xlfn.XLOOKUP(B30,'MIS 2026'!$AA$3:$AA$895,'MIS 2026'!$BO$3:$BO$895))</f>
        <v>0</v>
      </c>
      <c r="J30" s="419" t="str">
        <f>IF(B30="","",_xlfn.XLOOKUP(B30,'MIS 2026'!$AA$3:$AA$895,'MIS 2026'!$P$3:$P$895))</f>
        <v>No OBL Yet</v>
      </c>
      <c r="K30" s="419" t="str">
        <f>IF(B30="","",_xlfn.XLOOKUP(B30,'MIS 2026'!$AA$3:$AA$895,'MIS 2026'!$R$3:$R$895))</f>
        <v>No CERTS Yet</v>
      </c>
      <c r="L30" s="419" t="str">
        <f>IF(B30="","",_xlfn.XLOOKUP(B30,'MIS 2026'!$AA$3:$AA$895,'MIS 2026'!$S$3:$S$895))</f>
        <v/>
      </c>
    </row>
    <row r="31" spans="1:12">
      <c r="A31" s="419" t="str">
        <f>IF(B31="","",_xlfn.XLOOKUP(B31,'MIS 2026'!$AA$3:$AA$895,'MIS 2026'!$A$3:$A$895))</f>
        <v>SI Sent, Shipment Awaited</v>
      </c>
      <c r="B31">
        <v>32014572</v>
      </c>
      <c r="C31" s="419" t="str">
        <f>IF(B31="","",_xlfn.XLOOKUP(B31,'MIS 2026'!$AA$3:$AA$895,'MIS 2026'!$AB$3:$AB$895))</f>
        <v xml:space="preserve">VALENCY AGRO //HSS//Samridhi Cashew </v>
      </c>
      <c r="D31" s="419" t="str">
        <f>IF(B31="","",_xlfn.XLOOKUP(B31,'MIS 2026'!$AA$3:$AA$895,'MIS 2026'!$T$3:$T$895))</f>
        <v>CLARIFICATION ON LATEST SOB</v>
      </c>
      <c r="E31" s="446">
        <f>IF(B31="","",_xlfn.XLOOKUP(B31,'MIS 2026'!$AA$3:$AA$895,'MIS 2026'!$AD$3:$AD$895))</f>
        <v>46142</v>
      </c>
      <c r="F31" s="419"/>
      <c r="G31" s="419">
        <f>IF(B31="","",_xlfn.XLOOKUP(B31,'MIS 2026'!$AA$3:$AA$895,'MIS 2026'!$BI$3:$BI$895))</f>
        <v>0</v>
      </c>
      <c r="H31" s="446" t="e">
        <f>IF(B31="","",_xlfn.XLOOKUP(B31,'MIS 2026'!$AA$3:$AA$895,'MIS 2026'!#REF!))</f>
        <v>#REF!</v>
      </c>
      <c r="I31" s="446">
        <f>IF(B31="","",_xlfn.XLOOKUP(B31,'MIS 2026'!$AA$3:$AA$895,'MIS 2026'!$BO$3:$BO$895))</f>
        <v>0</v>
      </c>
      <c r="J31" s="419" t="str">
        <f>IF(B31="","",_xlfn.XLOOKUP(B31,'MIS 2026'!$AA$3:$AA$895,'MIS 2026'!$P$3:$P$895))</f>
        <v>No OBL Yet</v>
      </c>
      <c r="K31" s="419" t="str">
        <f>IF(B31="","",_xlfn.XLOOKUP(B31,'MIS 2026'!$AA$3:$AA$895,'MIS 2026'!$R$3:$R$895))</f>
        <v>No CERTS Yet</v>
      </c>
      <c r="L31" s="419" t="str">
        <f>IF(B31="","",_xlfn.XLOOKUP(B31,'MIS 2026'!$AA$3:$AA$895,'MIS 2026'!$S$3:$S$895))</f>
        <v/>
      </c>
    </row>
    <row r="32" spans="1:12">
      <c r="A32" s="419" t="str">
        <f>IF(B32="","",_xlfn.XLOOKUP(B32,'MIS 2026'!$AA$3:$AA$895,'MIS 2026'!$A$3:$A$895))</f>
        <v>Stuffed, Yet to Sail</v>
      </c>
      <c r="B32" t="str">
        <v>32015968-8</v>
      </c>
      <c r="C32" s="419" t="str">
        <f>IF(B32="","",_xlfn.XLOOKUP(B32,'MIS 2026'!$AA$3:$AA$895,'MIS 2026'!$AB$3:$AB$895))</f>
        <v>Valency Agro (Processing)</v>
      </c>
      <c r="D32" s="419" t="str">
        <f>IF(B32="","",_xlfn.XLOOKUP(B32,'MIS 2026'!$AA$3:$AA$895,'MIS 2026'!$T$3:$T$895))</f>
        <v>SOB UPDATE DUE</v>
      </c>
      <c r="E32" s="446">
        <f>IF(B32="","",_xlfn.XLOOKUP(B32,'MIS 2026'!$AA$3:$AA$895,'MIS 2026'!$AD$3:$AD$895))</f>
        <v>46142</v>
      </c>
      <c r="F32" s="419"/>
      <c r="G32" s="419">
        <f>IF(B32="","",_xlfn.XLOOKUP(B32,'MIS 2026'!$AA$3:$AA$895,'MIS 2026'!$BI$3:$BI$895))</f>
        <v>267778372</v>
      </c>
      <c r="H32" s="446" t="e">
        <f>IF(B32="","",_xlfn.XLOOKUP(B32,'MIS 2026'!$AA$3:$AA$895,'MIS 2026'!#REF!))</f>
        <v>#REF!</v>
      </c>
      <c r="I32" s="446">
        <f>IF(B32="","",_xlfn.XLOOKUP(B32,'MIS 2026'!$AA$3:$AA$895,'MIS 2026'!$BO$3:$BO$895))</f>
        <v>0</v>
      </c>
      <c r="J32" s="419" t="str">
        <f>IF(B32="","",_xlfn.XLOOKUP(B32,'MIS 2026'!$AA$3:$AA$895,'MIS 2026'!$P$3:$P$895))</f>
        <v>No OBL Yet</v>
      </c>
      <c r="K32" s="419" t="str">
        <f>IF(B32="","",_xlfn.XLOOKUP(B32,'MIS 2026'!$AA$3:$AA$895,'MIS 2026'!$R$3:$R$895))</f>
        <v>No CERTS Yet</v>
      </c>
      <c r="L32" s="419" t="str">
        <f>IF(B32="","",_xlfn.XLOOKUP(B32,'MIS 2026'!$AA$3:$AA$895,'MIS 2026'!$S$3:$S$895))</f>
        <v/>
      </c>
    </row>
    <row r="33" spans="1:12">
      <c r="A33" s="419" t="str">
        <f>IF(B33="","",_xlfn.XLOOKUP(B33,'MIS 2026'!$AA$3:$AA$895,'MIS 2026'!$A$3:$A$895))</f>
        <v>SI Sent, Shipment Awaited</v>
      </c>
      <c r="B33" t="str">
        <v>32015968-10</v>
      </c>
      <c r="C33" s="419" t="str">
        <f>IF(B33="","",_xlfn.XLOOKUP(B33,'MIS 2026'!$AA$3:$AA$895,'MIS 2026'!$AB$3:$AB$895))</f>
        <v>Valency Agro (Processing)</v>
      </c>
      <c r="D33" s="419" t="str">
        <f>IF(B33="","",_xlfn.XLOOKUP(B33,'MIS 2026'!$AA$3:$AA$895,'MIS 2026'!$T$3:$T$895))</f>
        <v>SOB UPDATE DUE</v>
      </c>
      <c r="E33" s="446">
        <f>IF(B33="","",_xlfn.XLOOKUP(B33,'MIS 2026'!$AA$3:$AA$895,'MIS 2026'!$AD$3:$AD$895))</f>
        <v>46142</v>
      </c>
      <c r="F33" s="419"/>
      <c r="G33" s="419">
        <f>IF(B33="","",_xlfn.XLOOKUP(B33,'MIS 2026'!$AA$3:$AA$895,'MIS 2026'!$BI$3:$BI$895))</f>
        <v>0</v>
      </c>
      <c r="H33" s="446" t="e">
        <f>IF(B33="","",_xlfn.XLOOKUP(B33,'MIS 2026'!$AA$3:$AA$895,'MIS 2026'!#REF!))</f>
        <v>#REF!</v>
      </c>
      <c r="I33" s="446">
        <f>IF(B33="","",_xlfn.XLOOKUP(B33,'MIS 2026'!$AA$3:$AA$895,'MIS 2026'!$BO$3:$BO$895))</f>
        <v>0</v>
      </c>
      <c r="J33" s="419" t="str">
        <f>IF(B33="","",_xlfn.XLOOKUP(B33,'MIS 2026'!$AA$3:$AA$895,'MIS 2026'!$P$3:$P$895))</f>
        <v>No OBL Yet</v>
      </c>
      <c r="K33" s="419" t="str">
        <f>IF(B33="","",_xlfn.XLOOKUP(B33,'MIS 2026'!$AA$3:$AA$895,'MIS 2026'!$R$3:$R$895))</f>
        <v>No CERTS Yet</v>
      </c>
      <c r="L33" s="419" t="str">
        <f>IF(B33="","",_xlfn.XLOOKUP(B33,'MIS 2026'!$AA$3:$AA$895,'MIS 2026'!$S$3:$S$895))</f>
        <v/>
      </c>
    </row>
    <row r="34" spans="1:12">
      <c r="A34" s="419" t="str">
        <f>IF(B34="","",_xlfn.XLOOKUP(B34,'MIS 2026'!$AA$3:$AA$895,'MIS 2026'!$A$3:$A$895))</f>
        <v>Stuffed, Yet to Sail</v>
      </c>
      <c r="B34">
        <v>32015796</v>
      </c>
      <c r="C34" s="419" t="str">
        <f>IF(B34="","",_xlfn.XLOOKUP(B34,'MIS 2026'!$AA$3:$AA$895,'MIS 2026'!$AB$3:$AB$895))</f>
        <v xml:space="preserve">KIEU LOAN CO., LTD  </v>
      </c>
      <c r="D34" s="419" t="str">
        <f>IF(B34="","",_xlfn.XLOOKUP(B34,'MIS 2026'!$AA$3:$AA$895,'MIS 2026'!$T$3:$T$895))</f>
        <v>DRAFT BL RCVD 20/5</v>
      </c>
      <c r="E34" s="446">
        <f>IF(B34="","",_xlfn.XLOOKUP(B34,'MIS 2026'!$AA$3:$AA$895,'MIS 2026'!$AD$3:$AD$895))</f>
        <v>46173</v>
      </c>
      <c r="F34" s="419"/>
      <c r="G34" s="419" t="str">
        <f>IF(B34="","",_xlfn.XLOOKUP(B34,'MIS 2026'!$AA$3:$AA$895,'MIS 2026'!$BI$3:$BI$895))</f>
        <v>HLCUAB1260400785</v>
      </c>
      <c r="H34" s="446" t="e">
        <f>IF(B34="","",_xlfn.XLOOKUP(B34,'MIS 2026'!$AA$3:$AA$895,'MIS 2026'!#REF!))</f>
        <v>#REF!</v>
      </c>
      <c r="I34" s="446">
        <f>IF(B34="","",_xlfn.XLOOKUP(B34,'MIS 2026'!$AA$3:$AA$895,'MIS 2026'!$BO$3:$BO$895))</f>
        <v>46215</v>
      </c>
      <c r="J34" s="419" t="str">
        <f>IF(B34="","",_xlfn.XLOOKUP(B34,'MIS 2026'!$AA$3:$AA$895,'MIS 2026'!$P$3:$P$895))</f>
        <v>Draft Rcvd</v>
      </c>
      <c r="K34" s="419" t="str">
        <f>IF(B34="","",_xlfn.XLOOKUP(B34,'MIS 2026'!$AA$3:$AA$895,'MIS 2026'!$R$3:$R$895))</f>
        <v>No CERTS Yet</v>
      </c>
      <c r="L34" s="419" t="str">
        <f>IF(B34="","",_xlfn.XLOOKUP(B34,'MIS 2026'!$AA$3:$AA$895,'MIS 2026'!$S$3:$S$895))</f>
        <v/>
      </c>
    </row>
    <row r="35" spans="1:12">
      <c r="A35" s="419" t="str">
        <f>IF(B35="","",_xlfn.XLOOKUP(B35,'MIS 2026'!$AA$3:$AA$895,'MIS 2026'!$A$3:$A$895))</f>
        <v>Sailed, OBL &amp; Certs Pending</v>
      </c>
      <c r="B35">
        <v>32014492</v>
      </c>
      <c r="C35" s="419" t="str">
        <f>IF(B35="","",_xlfn.XLOOKUP(B35,'MIS 2026'!$AA$3:$AA$895,'MIS 2026'!$AB$3:$AB$895))</f>
        <v>ST. GREGORIOUS CASHEW</v>
      </c>
      <c r="D35" s="419" t="str">
        <f>IF(B35="","",_xlfn.XLOOKUP(B35,'MIS 2026'!$AA$3:$AA$895,'MIS 2026'!$T$3:$T$895))</f>
        <v>ETA 30/5 ; MEARSK CUANAZA</v>
      </c>
      <c r="E35" s="446">
        <f>IF(B35="","",_xlfn.XLOOKUP(B35,'MIS 2026'!$AA$3:$AA$895,'MIS 2026'!$AD$3:$AD$895))</f>
        <v>46142</v>
      </c>
      <c r="F35" s="419"/>
      <c r="G35" s="419">
        <f>IF(B35="","",_xlfn.XLOOKUP(B35,'MIS 2026'!$AA$3:$AA$895,'MIS 2026'!$BI$3:$BI$895))</f>
        <v>270261409</v>
      </c>
      <c r="H35" s="446" t="e">
        <f>IF(B35="","",_xlfn.XLOOKUP(B35,'MIS 2026'!$AA$3:$AA$895,'MIS 2026'!#REF!))</f>
        <v>#REF!</v>
      </c>
      <c r="I35" s="446">
        <f>IF(B35="","",_xlfn.XLOOKUP(B35,'MIS 2026'!$AA$3:$AA$895,'MIS 2026'!$BO$3:$BO$895))</f>
        <v>46192</v>
      </c>
      <c r="J35" s="419" t="str">
        <f>IF(B35="","",_xlfn.XLOOKUP(B35,'MIS 2026'!$AA$3:$AA$895,'MIS 2026'!$P$3:$P$895))</f>
        <v>Draft Rcvd</v>
      </c>
      <c r="K35" s="419" t="str">
        <f>IF(B35="","",_xlfn.XLOOKUP(B35,'MIS 2026'!$AA$3:$AA$895,'MIS 2026'!$R$3:$R$895))</f>
        <v>No CERTS Yet</v>
      </c>
      <c r="L35" s="419" t="str">
        <f>IF(B35="","",_xlfn.XLOOKUP(B35,'MIS 2026'!$AA$3:$AA$895,'MIS 2026'!$S$3:$S$895))</f>
        <v/>
      </c>
    </row>
    <row r="36" spans="1:12">
      <c r="A36" s="419" t="str">
        <f>IF(B36="","",_xlfn.XLOOKUP(B36,'MIS 2026'!$AA$3:$AA$895,'MIS 2026'!$A$3:$A$895))</f>
        <v>SI Sent, Shipment Awaited</v>
      </c>
      <c r="B36">
        <v>32016278</v>
      </c>
      <c r="C36" s="419" t="str">
        <f>IF(B36="","",_xlfn.XLOOKUP(B36,'MIS 2026'!$AA$3:$AA$895,'MIS 2026'!$AB$3:$AB$895))</f>
        <v>RED RIVER FOODS</v>
      </c>
      <c r="D36" s="419" t="str">
        <f>IF(B36="","",_xlfn.XLOOKUP(B36,'MIS 2026'!$AA$3:$AA$895,'MIS 2026'!$T$3:$T$895))</f>
        <v>ETD: 08/06 - Vessel-Northen Mejestic</v>
      </c>
      <c r="E36" s="446">
        <f>IF(B36="","",_xlfn.XLOOKUP(B36,'MIS 2026'!$AA$3:$AA$895,'MIS 2026'!$AD$3:$AD$895))</f>
        <v>46173</v>
      </c>
      <c r="F36" s="419"/>
      <c r="G36" s="419">
        <f>IF(B36="","",_xlfn.XLOOKUP(B36,'MIS 2026'!$AA$3:$AA$895,'MIS 2026'!$BI$3:$BI$895))</f>
        <v>0</v>
      </c>
      <c r="H36" s="446" t="e">
        <f>IF(B36="","",_xlfn.XLOOKUP(B36,'MIS 2026'!$AA$3:$AA$895,'MIS 2026'!#REF!))</f>
        <v>#REF!</v>
      </c>
      <c r="I36" s="446">
        <f>IF(B36="","",_xlfn.XLOOKUP(B36,'MIS 2026'!$AA$3:$AA$895,'MIS 2026'!$BO$3:$BO$895))</f>
        <v>0</v>
      </c>
      <c r="J36" s="419" t="str">
        <f>IF(B36="","",_xlfn.XLOOKUP(B36,'MIS 2026'!$AA$3:$AA$895,'MIS 2026'!$P$3:$P$895))</f>
        <v>No OBL Yet</v>
      </c>
      <c r="K36" s="419" t="str">
        <f>IF(B36="","",_xlfn.XLOOKUP(B36,'MIS 2026'!$AA$3:$AA$895,'MIS 2026'!$R$3:$R$895))</f>
        <v>No CERTS Yet</v>
      </c>
      <c r="L36" s="419" t="str">
        <f>IF(B36="","",_xlfn.XLOOKUP(B36,'MIS 2026'!$AA$3:$AA$895,'MIS 2026'!$S$3:$S$895))</f>
        <v/>
      </c>
    </row>
    <row r="37" spans="1:12">
      <c r="A37" s="419" t="str">
        <f>IF(B37="","",_xlfn.XLOOKUP(B37,'MIS 2026'!$AA$3:$AA$895,'MIS 2026'!$A$3:$A$895))</f>
        <v>SI Sent, Shipment Awaited</v>
      </c>
      <c r="B37">
        <v>32016316</v>
      </c>
      <c r="C37" s="419" t="str">
        <f>IF(B37="","",_xlfn.XLOOKUP(B37,'MIS 2026'!$AA$3:$AA$895,'MIS 2026'!$AB$3:$AB$895))</f>
        <v xml:space="preserve">VIET PHI AGRICULTURE JOINT 
STOCK COMPANY </v>
      </c>
      <c r="D37" s="419" t="str">
        <f>IF(B37="","",_xlfn.XLOOKUP(B37,'MIS 2026'!$AA$3:$AA$895,'MIS 2026'!$T$3:$T$895))</f>
        <v>ETD: 08/06 - Vessel-Northen Mejestic</v>
      </c>
      <c r="E37" s="446">
        <f>IF(B37="","",_xlfn.XLOOKUP(B37,'MIS 2026'!$AA$3:$AA$895,'MIS 2026'!$AD$3:$AD$895))</f>
        <v>46188</v>
      </c>
      <c r="F37" s="419"/>
      <c r="G37" s="419">
        <f>IF(B37="","",_xlfn.XLOOKUP(B37,'MIS 2026'!$AA$3:$AA$895,'MIS 2026'!$BI$3:$BI$895))</f>
        <v>0</v>
      </c>
      <c r="H37" s="446" t="e">
        <f>IF(B37="","",_xlfn.XLOOKUP(B37,'MIS 2026'!$AA$3:$AA$895,'MIS 2026'!#REF!))</f>
        <v>#REF!</v>
      </c>
      <c r="I37" s="446">
        <f>IF(B37="","",_xlfn.XLOOKUP(B37,'MIS 2026'!$AA$3:$AA$895,'MIS 2026'!$BO$3:$BO$895))</f>
        <v>0</v>
      </c>
      <c r="J37" s="419" t="str">
        <f>IF(B37="","",_xlfn.XLOOKUP(B37,'MIS 2026'!$AA$3:$AA$895,'MIS 2026'!$P$3:$P$895))</f>
        <v>No OBL Yet</v>
      </c>
      <c r="K37" s="419" t="str">
        <f>IF(B37="","",_xlfn.XLOOKUP(B37,'MIS 2026'!$AA$3:$AA$895,'MIS 2026'!$R$3:$R$895))</f>
        <v>No CERTS Yet</v>
      </c>
      <c r="L37" s="419" t="str">
        <f>IF(B37="","",_xlfn.XLOOKUP(B37,'MIS 2026'!$AA$3:$AA$895,'MIS 2026'!$S$3:$S$895))</f>
        <v/>
      </c>
    </row>
    <row r="38" spans="1:12">
      <c r="A38" s="419" t="str">
        <f>IF(B38="","",_xlfn.XLOOKUP(B38,'MIS 2026'!$AA$3:$AA$895,'MIS 2026'!$A$3:$A$895))</f>
        <v>SI Sent, Shipment Awaited</v>
      </c>
      <c r="B38">
        <v>32016315</v>
      </c>
      <c r="C38" s="419" t="str">
        <f>IF(B38="","",_xlfn.XLOOKUP(B38,'MIS 2026'!$AA$3:$AA$895,'MIS 2026'!$AB$3:$AB$895))</f>
        <v xml:space="preserve">VIET PHI AGRICULTURE JOINT 
STOCK COMPANY </v>
      </c>
      <c r="D38" s="419" t="str">
        <f>IF(B38="","",_xlfn.XLOOKUP(B38,'MIS 2026'!$AA$3:$AA$895,'MIS 2026'!$T$3:$T$895))</f>
        <v>ETD: 08/06 - Vessel-Northen Mejestic</v>
      </c>
      <c r="E38" s="446">
        <f>IF(B38="","",_xlfn.XLOOKUP(B38,'MIS 2026'!$AA$3:$AA$895,'MIS 2026'!$AD$3:$AD$895))</f>
        <v>46188</v>
      </c>
      <c r="F38" s="419"/>
      <c r="G38" s="419">
        <f>IF(B38="","",_xlfn.XLOOKUP(B38,'MIS 2026'!$AA$3:$AA$895,'MIS 2026'!$BI$3:$BI$895))</f>
        <v>0</v>
      </c>
      <c r="H38" s="446" t="e">
        <f>IF(B38="","",_xlfn.XLOOKUP(B38,'MIS 2026'!$AA$3:$AA$895,'MIS 2026'!#REF!))</f>
        <v>#REF!</v>
      </c>
      <c r="I38" s="446">
        <f>IF(B38="","",_xlfn.XLOOKUP(B38,'MIS 2026'!$AA$3:$AA$895,'MIS 2026'!$BO$3:$BO$895))</f>
        <v>0</v>
      </c>
      <c r="J38" s="419" t="str">
        <f>IF(B38="","",_xlfn.XLOOKUP(B38,'MIS 2026'!$AA$3:$AA$895,'MIS 2026'!$P$3:$P$895))</f>
        <v>No OBL Yet</v>
      </c>
      <c r="K38" s="419" t="str">
        <f>IF(B38="","",_xlfn.XLOOKUP(B38,'MIS 2026'!$AA$3:$AA$895,'MIS 2026'!$R$3:$R$895))</f>
        <v>No CERTS Yet</v>
      </c>
      <c r="L38" s="419" t="str">
        <f>IF(B38="","",_xlfn.XLOOKUP(B38,'MIS 2026'!$AA$3:$AA$895,'MIS 2026'!$S$3:$S$895))</f>
        <v/>
      </c>
    </row>
    <row r="39" spans="1:12">
      <c r="A39" s="419" t="str">
        <f>IF(B39="","",_xlfn.XLOOKUP(B39,'MIS 2026'!$AA$3:$AA$895,'MIS 2026'!$A$3:$A$895))</f>
        <v>SI Sent, Shipment Awaited</v>
      </c>
      <c r="B39">
        <v>32016425</v>
      </c>
      <c r="C39" s="419" t="str">
        <f>IF(B39="","",_xlfn.XLOOKUP(B39,'MIS 2026'!$AA$3:$AA$895,'MIS 2026'!$AB$3:$AB$895))</f>
        <v>TERRA NUTS GROUP JOINT STOCK COMPANY</v>
      </c>
      <c r="D39" s="419" t="str">
        <f>IF(B39="","",_xlfn.XLOOKUP(B39,'MIS 2026'!$AA$3:$AA$895,'MIS 2026'!$T$3:$T$895))</f>
        <v>Update Awaited from Origin</v>
      </c>
      <c r="E39" s="446">
        <f>IF(B39="","",_xlfn.XLOOKUP(B39,'MIS 2026'!$AA$3:$AA$895,'MIS 2026'!$AD$3:$AD$895))</f>
        <v>46188</v>
      </c>
      <c r="F39" s="419"/>
      <c r="G39" s="419">
        <f>IF(B39="","",_xlfn.XLOOKUP(B39,'MIS 2026'!$AA$3:$AA$895,'MIS 2026'!$BI$3:$BI$895))</f>
        <v>0</v>
      </c>
      <c r="H39" s="446" t="e">
        <f>IF(B39="","",_xlfn.XLOOKUP(B39,'MIS 2026'!$AA$3:$AA$895,'MIS 2026'!#REF!))</f>
        <v>#REF!</v>
      </c>
      <c r="I39" s="446">
        <f>IF(B39="","",_xlfn.XLOOKUP(B39,'MIS 2026'!$AA$3:$AA$895,'MIS 2026'!$BO$3:$BO$895))</f>
        <v>0</v>
      </c>
      <c r="J39" s="419" t="str">
        <f>IF(B39="","",_xlfn.XLOOKUP(B39,'MIS 2026'!$AA$3:$AA$895,'MIS 2026'!$P$3:$P$895))</f>
        <v>No OBL Yet</v>
      </c>
      <c r="K39" s="419" t="str">
        <f>IF(B39="","",_xlfn.XLOOKUP(B39,'MIS 2026'!$AA$3:$AA$895,'MIS 2026'!$R$3:$R$895))</f>
        <v>No CERTS Yet</v>
      </c>
      <c r="L39" s="419" t="str">
        <f>IF(B39="","",_xlfn.XLOOKUP(B39,'MIS 2026'!$AA$3:$AA$895,'MIS 2026'!$S$3:$S$895))</f>
        <v/>
      </c>
    </row>
    <row r="40" spans="1:12">
      <c r="B40">
        <v>32016355</v>
      </c>
    </row>
    <row r="41" spans="1:12">
      <c r="B41">
        <v>32016364</v>
      </c>
    </row>
    <row r="42" spans="1:12">
      <c r="B42">
        <v>32016412</v>
      </c>
    </row>
    <row r="43" spans="1:12">
      <c r="B43" t="str">
        <v>RCN/2026/1001</v>
      </c>
    </row>
    <row r="44" spans="1:12">
      <c r="B44" t="str">
        <v>32015969-4</v>
      </c>
    </row>
    <row r="45" spans="1:12">
      <c r="B45" t="str">
        <v>32015969-1</v>
      </c>
    </row>
    <row r="46" spans="1:12">
      <c r="B46" t="str">
        <v>32015969-2</v>
      </c>
    </row>
    <row r="47" spans="1:12">
      <c r="B47" t="str">
        <v>32015969-3</v>
      </c>
    </row>
    <row r="48" spans="1:12">
      <c r="B48" t="str">
        <v>32015969-5</v>
      </c>
    </row>
    <row r="49" spans="2:2">
      <c r="B49" t="str">
        <v>32015969-6</v>
      </c>
    </row>
    <row r="50" spans="2:2">
      <c r="B50" t="str">
        <v>32015968-5</v>
      </c>
    </row>
    <row r="51" spans="2:2">
      <c r="B51" t="str">
        <v>32015968-6</v>
      </c>
    </row>
    <row r="52" spans="2:2">
      <c r="B52" t="str">
        <v>32015968-7</v>
      </c>
    </row>
    <row r="53" spans="2:2">
      <c r="B53" t="str">
        <v>32015968-9</v>
      </c>
    </row>
    <row r="54" spans="2:2">
      <c r="B54">
        <v>32014493</v>
      </c>
    </row>
    <row r="55" spans="2:2">
      <c r="B55">
        <v>32014459</v>
      </c>
    </row>
    <row r="56" spans="2:2">
      <c r="B56">
        <v>0</v>
      </c>
    </row>
    <row r="57" spans="2:2">
      <c r="B57" t="str">
        <v>32014540-1</v>
      </c>
    </row>
    <row r="58" spans="2:2">
      <c r="B58">
        <v>32014591</v>
      </c>
    </row>
  </sheetData>
  <autoFilter ref="A2:L39" xr:uid="{CD0469FA-7D16-4CDA-ADFD-CFDB2EA9A3AB}">
    <filterColumn colId="0">
      <filters>
        <filter val="Sailed, OBL &amp; Certs Pending"/>
      </filters>
    </filterColumn>
  </autoFilter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B91B-45DA-4458-96F5-1B38912FF76C}">
  <dimension ref="A1:L39"/>
  <sheetViews>
    <sheetView topLeftCell="C1" workbookViewId="0">
      <selection activeCell="B3" sqref="B3"/>
    </sheetView>
  </sheetViews>
  <sheetFormatPr defaultRowHeight="14.45"/>
  <cols>
    <col min="1" max="1" width="34.42578125" customWidth="1"/>
    <col min="2" max="2" width="11.42578125" bestFit="1" customWidth="1"/>
    <col min="3" max="3" width="45" customWidth="1"/>
    <col min="4" max="4" width="41.85546875" customWidth="1"/>
    <col min="5" max="5" width="11.28515625" customWidth="1"/>
    <col min="6" max="6" width="28.85546875" customWidth="1"/>
    <col min="7" max="7" width="29.85546875" customWidth="1"/>
    <col min="10" max="10" width="29.7109375" bestFit="1" customWidth="1"/>
    <col min="11" max="11" width="27.85546875" bestFit="1" customWidth="1"/>
    <col min="12" max="12" width="22.140625" bestFit="1" customWidth="1"/>
  </cols>
  <sheetData>
    <row r="1" spans="1:12">
      <c r="A1" s="703" t="s">
        <v>1061</v>
      </c>
      <c r="B1" s="703"/>
      <c r="C1" s="703"/>
      <c r="D1" s="703"/>
    </row>
    <row r="2" spans="1:12">
      <c r="A2" s="443" t="s">
        <v>1055</v>
      </c>
      <c r="B2" s="443" t="s">
        <v>1056</v>
      </c>
      <c r="C2" s="443" t="s">
        <v>915</v>
      </c>
      <c r="D2" s="444" t="s">
        <v>1057</v>
      </c>
      <c r="E2" s="443" t="s">
        <v>48</v>
      </c>
      <c r="F2" s="445" t="s">
        <v>1058</v>
      </c>
      <c r="G2" s="443" t="s">
        <v>916</v>
      </c>
      <c r="H2" s="443" t="s">
        <v>917</v>
      </c>
      <c r="I2" s="443" t="s">
        <v>34</v>
      </c>
      <c r="J2" s="443" t="s">
        <v>919</v>
      </c>
      <c r="K2" s="443" t="s">
        <v>920</v>
      </c>
      <c r="L2" s="443" t="s">
        <v>921</v>
      </c>
    </row>
    <row r="3" spans="1:12">
      <c r="A3" s="419" t="str">
        <f>IF(B3="","",_xlfn.XLOOKUP(B3,'MIS 2026'!$AA$3:$AA$895,'MIS 2026'!$A$3:$A$895))</f>
        <v>Exp Dox Presented to Bank, Pmt Pending</v>
      </c>
      <c r="B3" s="419" cm="1">
        <f t="array" ref="B3">_xlfn.UNIQUE(_xlfn._xlws.FILTER('MIS 2026'!$F$3:$F$895,('MIS 2026'!$T$3:$T$895&lt;&gt;"")*ISNUMBER(SEARCH("GHANA",'MIS 2026'!$I$3:$I$895))))</f>
        <v>32016323</v>
      </c>
      <c r="C3" s="419" t="str">
        <f>IF(B3="","",_xlfn.XLOOKUP(B3,'MIS 2026'!$AA$3:$AA$895,'MIS 2026'!$AB$3:$AB$895))</f>
        <v>TERRA NUTS GROUP JOINT STOCK COMPANY</v>
      </c>
      <c r="D3" s="419" t="str">
        <f>IF(B3="","",_xlfn.XLOOKUP(B3,'MIS 2026'!$AA$3:$AA$895,'MIS 2026'!$T$3:$T$895))</f>
        <v>PENDING ORIGINAL CERTS</v>
      </c>
      <c r="E3" s="446">
        <f>IF(B3="","",_xlfn.XLOOKUP(B3,'MIS 2026'!$AA$3:$AA$895,'MIS 2026'!$AD$3:$AD$895))</f>
        <v>46173</v>
      </c>
      <c r="F3" s="419" t="s">
        <v>1062</v>
      </c>
      <c r="G3" s="419" t="str">
        <f>IF(B3="","",_xlfn.XLOOKUP(B3,'MIS 2026'!$AA$3:$AA$895,'MIS 2026'!$BI$3:$BI$895))</f>
        <v>ONEYTEMG00400600</v>
      </c>
      <c r="H3" s="446" t="e">
        <f>IF(B3="","",_xlfn.XLOOKUP(B3,'MIS 2026'!$AA$3:$AA$895,'MIS 2026'!#REF!))</f>
        <v>#REF!</v>
      </c>
      <c r="I3" s="446">
        <f>IF(B3="","",_xlfn.XLOOKUP(B3,'MIS 2026'!$AA$3:$AA$895,'MIS 2026'!$BO$3:$BO$895))</f>
        <v>46178</v>
      </c>
      <c r="J3" s="419" t="str">
        <f>IF(B3="","",_xlfn.XLOOKUP(B3,'MIS 2026'!$AA$3:$AA$895,'MIS 2026'!$P$3:$P$895))</f>
        <v>OBL In Destination - VIETNAM</v>
      </c>
      <c r="K3" s="419" t="str">
        <f>IF(B3="","",_xlfn.XLOOKUP(B3,'MIS 2026'!$AA$3:$AA$895,'MIS 2026'!$R$3:$R$895))</f>
        <v>CERT in Origin - GHANA</v>
      </c>
      <c r="L3" s="419" t="str">
        <f>IF(B3="","",_xlfn.XLOOKUP(B3,'MIS 2026'!$AA$3:$AA$895,'MIS 2026'!$S$3:$S$895))</f>
        <v>Docs in Buyer's Nego Bank</v>
      </c>
    </row>
    <row r="4" spans="1:12">
      <c r="A4" s="419" t="str">
        <f>IF(B4="","",_xlfn.XLOOKUP(B4,'MIS 2026'!$AA$3:$AA$895,'MIS 2026'!$A$3:$A$895))</f>
        <v/>
      </c>
      <c r="B4" s="419"/>
      <c r="C4" s="419" t="str">
        <f>IF(B4="","",_xlfn.XLOOKUP(B4,'MIS 2026'!$AA$3:$AA$895,'MIS 2026'!$AB$3:$AB$895))</f>
        <v/>
      </c>
      <c r="D4" s="419" t="str">
        <f>IF(B4="","",_xlfn.XLOOKUP(B4,'MIS 2026'!$AA$3:$AA$895,'MIS 2026'!$T$3:$T$895))</f>
        <v/>
      </c>
      <c r="E4" s="446" t="str">
        <f>IF(B4="","",_xlfn.XLOOKUP(B4,'MIS 2026'!$AA$3:$AA$895,'MIS 2026'!$AD$3:$AD$895))</f>
        <v/>
      </c>
      <c r="F4" s="419" t="s">
        <v>1063</v>
      </c>
      <c r="G4" s="419" t="str">
        <f>IF(B4="","",_xlfn.XLOOKUP(B4,'MIS 2026'!$AA$3:$AA$895,'MIS 2026'!$BI$3:$BI$895))</f>
        <v/>
      </c>
      <c r="H4" s="446" t="str">
        <f>IF(B4="","",_xlfn.XLOOKUP(B4,'MIS 2026'!$AA$3:$AA$895,'MIS 2026'!#REF!))</f>
        <v/>
      </c>
      <c r="I4" s="446" t="str">
        <f>IF(B4="","",_xlfn.XLOOKUP(B4,'MIS 2026'!$AA$3:$AA$895,'MIS 2026'!$BO$3:$BO$895))</f>
        <v/>
      </c>
      <c r="J4" s="419" t="str">
        <f>IF(B4="","",_xlfn.XLOOKUP(B4,'MIS 2026'!$AA$3:$AA$895,'MIS 2026'!$P$3:$P$895))</f>
        <v/>
      </c>
      <c r="K4" s="419" t="str">
        <f>IF(B4="","",_xlfn.XLOOKUP(B4,'MIS 2026'!$AA$3:$AA$895,'MIS 2026'!$R$3:$R$895))</f>
        <v/>
      </c>
      <c r="L4" s="419" t="str">
        <f>IF(B4="","",_xlfn.XLOOKUP(B4,'MIS 2026'!$AA$3:$AA$895,'MIS 2026'!$S$3:$S$895))</f>
        <v/>
      </c>
    </row>
    <row r="5" spans="1:12">
      <c r="A5" s="419" t="str">
        <f>IF(B5="","",_xlfn.XLOOKUP(B5,'MIS 2026'!$AA$3:$AA$895,'MIS 2026'!$A$3:$A$895))</f>
        <v/>
      </c>
      <c r="B5" s="419"/>
      <c r="C5" s="419" t="str">
        <f>IF(B5="","",_xlfn.XLOOKUP(B5,'MIS 2026'!$AA$3:$AA$895,'MIS 2026'!$AB$3:$AB$895))</f>
        <v/>
      </c>
      <c r="D5" s="419" t="str">
        <f>IF(B5="","",_xlfn.XLOOKUP(B5,'MIS 2026'!$AA$3:$AA$895,'MIS 2026'!$T$3:$T$895))</f>
        <v/>
      </c>
      <c r="E5" s="446" t="str">
        <f>IF(B5="","",_xlfn.XLOOKUP(B5,'MIS 2026'!$AA$3:$AA$895,'MIS 2026'!$AD$3:$AD$895))</f>
        <v/>
      </c>
      <c r="F5" s="419"/>
      <c r="G5" s="419" t="str">
        <f>IF(B5="","",_xlfn.XLOOKUP(B5,'MIS 2026'!$AA$3:$AA$895,'MIS 2026'!$BI$3:$BI$895))</f>
        <v/>
      </c>
      <c r="H5" s="446" t="str">
        <f>IF(B5="","",_xlfn.XLOOKUP(B5,'MIS 2026'!$AA$3:$AA$895,'MIS 2026'!#REF!))</f>
        <v/>
      </c>
      <c r="I5" s="446" t="str">
        <f>IF(B5="","",_xlfn.XLOOKUP(B5,'MIS 2026'!$AA$3:$AA$895,'MIS 2026'!$BO$3:$BO$895))</f>
        <v/>
      </c>
      <c r="J5" s="419" t="str">
        <f>IF(B5="","",_xlfn.XLOOKUP(B5,'MIS 2026'!$AA$3:$AA$895,'MIS 2026'!$P$3:$P$895))</f>
        <v/>
      </c>
      <c r="K5" s="419" t="str">
        <f>IF(B5="","",_xlfn.XLOOKUP(B5,'MIS 2026'!$AA$3:$AA$895,'MIS 2026'!$R$3:$R$895))</f>
        <v/>
      </c>
      <c r="L5" s="419" t="str">
        <f>IF(B5="","",_xlfn.XLOOKUP(B5,'MIS 2026'!$AA$3:$AA$895,'MIS 2026'!$S$3:$S$895))</f>
        <v/>
      </c>
    </row>
    <row r="6" spans="1:12">
      <c r="A6" s="419" t="str">
        <f>IF(B6="","",_xlfn.XLOOKUP(B6,'MIS 2026'!$AA$3:$AA$895,'MIS 2026'!$A$3:$A$895))</f>
        <v/>
      </c>
      <c r="B6" s="419"/>
      <c r="C6" s="419" t="str">
        <f>IF(B6="","",_xlfn.XLOOKUP(B6,'MIS 2026'!$AA$3:$AA$895,'MIS 2026'!$AB$3:$AB$895))</f>
        <v/>
      </c>
      <c r="D6" s="419" t="str">
        <f>IF(B6="","",_xlfn.XLOOKUP(B6,'MIS 2026'!$AA$3:$AA$895,'MIS 2026'!$T$3:$T$895))</f>
        <v/>
      </c>
      <c r="E6" s="446" t="str">
        <f>IF(B6="","",_xlfn.XLOOKUP(B6,'MIS 2026'!$AA$3:$AA$895,'MIS 2026'!$AD$3:$AD$895))</f>
        <v/>
      </c>
      <c r="F6" s="419"/>
      <c r="G6" s="419" t="str">
        <f>IF(B6="","",_xlfn.XLOOKUP(B6,'MIS 2026'!$AA$3:$AA$895,'MIS 2026'!$BI$3:$BI$895))</f>
        <v/>
      </c>
      <c r="H6" s="446" t="str">
        <f>IF(B6="","",_xlfn.XLOOKUP(B6,'MIS 2026'!$AA$3:$AA$895,'MIS 2026'!#REF!))</f>
        <v/>
      </c>
      <c r="I6" s="446" t="str">
        <f>IF(B6="","",_xlfn.XLOOKUP(B6,'MIS 2026'!$AA$3:$AA$895,'MIS 2026'!$BO$3:$BO$895))</f>
        <v/>
      </c>
      <c r="J6" s="419" t="str">
        <f>IF(B6="","",_xlfn.XLOOKUP(B6,'MIS 2026'!$AA$3:$AA$895,'MIS 2026'!$P$3:$P$895))</f>
        <v/>
      </c>
      <c r="K6" s="419" t="str">
        <f>IF(B6="","",_xlfn.XLOOKUP(B6,'MIS 2026'!$AA$3:$AA$895,'MIS 2026'!$R$3:$R$895))</f>
        <v/>
      </c>
      <c r="L6" s="419" t="str">
        <f>IF(B6="","",_xlfn.XLOOKUP(B6,'MIS 2026'!$AA$3:$AA$895,'MIS 2026'!$S$3:$S$895))</f>
        <v/>
      </c>
    </row>
    <row r="7" spans="1:12">
      <c r="A7" s="419" t="str">
        <f>IF(B7="","",_xlfn.XLOOKUP(B7,'MIS 2026'!$AA$3:$AA$895,'MIS 2026'!$A$3:$A$895))</f>
        <v/>
      </c>
      <c r="B7" s="419"/>
      <c r="C7" s="419" t="str">
        <f>IF(B7="","",_xlfn.XLOOKUP(B7,'MIS 2026'!$AA$3:$AA$895,'MIS 2026'!$AB$3:$AB$895))</f>
        <v/>
      </c>
      <c r="D7" s="419" t="str">
        <f>IF(B7="","",_xlfn.XLOOKUP(B7,'MIS 2026'!$AA$3:$AA$895,'MIS 2026'!$T$3:$T$895))</f>
        <v/>
      </c>
      <c r="E7" s="446" t="str">
        <f>IF(B7="","",_xlfn.XLOOKUP(B7,'MIS 2026'!$AA$3:$AA$895,'MIS 2026'!$AD$3:$AD$895))</f>
        <v/>
      </c>
      <c r="F7" s="419"/>
      <c r="G7" s="419" t="str">
        <f>IF(B7="","",_xlfn.XLOOKUP(B7,'MIS 2026'!$AA$3:$AA$895,'MIS 2026'!$BI$3:$BI$895))</f>
        <v/>
      </c>
      <c r="H7" s="446" t="str">
        <f>IF(B7="","",_xlfn.XLOOKUP(B7,'MIS 2026'!$AA$3:$AA$895,'MIS 2026'!#REF!))</f>
        <v/>
      </c>
      <c r="I7" s="446" t="str">
        <f>IF(B7="","",_xlfn.XLOOKUP(B7,'MIS 2026'!$AA$3:$AA$895,'MIS 2026'!$BO$3:$BO$895))</f>
        <v/>
      </c>
      <c r="J7" s="419" t="str">
        <f>IF(B7="","",_xlfn.XLOOKUP(B7,'MIS 2026'!$AA$3:$AA$895,'MIS 2026'!$P$3:$P$895))</f>
        <v/>
      </c>
      <c r="K7" s="419" t="str">
        <f>IF(B7="","",_xlfn.XLOOKUP(B7,'MIS 2026'!$AA$3:$AA$895,'MIS 2026'!$R$3:$R$895))</f>
        <v/>
      </c>
      <c r="L7" s="419" t="str">
        <f>IF(B7="","",_xlfn.XLOOKUP(B7,'MIS 2026'!$AA$3:$AA$895,'MIS 2026'!$S$3:$S$895))</f>
        <v/>
      </c>
    </row>
    <row r="8" spans="1:12">
      <c r="A8" s="419" t="str">
        <f>IF(B8="","",_xlfn.XLOOKUP(B8,'MIS 2026'!$AA$3:$AA$895,'MIS 2026'!$A$3:$A$895))</f>
        <v/>
      </c>
      <c r="B8" s="419"/>
      <c r="C8" s="419" t="str">
        <f>IF(B8="","",_xlfn.XLOOKUP(B8,'MIS 2026'!$AA$3:$AA$895,'MIS 2026'!$AB$3:$AB$895))</f>
        <v/>
      </c>
      <c r="D8" s="419" t="str">
        <f>IF(B8="","",_xlfn.XLOOKUP(B8,'MIS 2026'!$AA$3:$AA$895,'MIS 2026'!$T$3:$T$895))</f>
        <v/>
      </c>
      <c r="E8" s="446" t="str">
        <f>IF(B8="","",_xlfn.XLOOKUP(B8,'MIS 2026'!$AA$3:$AA$895,'MIS 2026'!$AD$3:$AD$895))</f>
        <v/>
      </c>
      <c r="F8" s="419"/>
      <c r="G8" s="419" t="str">
        <f>IF(B8="","",_xlfn.XLOOKUP(B8,'MIS 2026'!$AA$3:$AA$895,'MIS 2026'!$BI$3:$BI$895))</f>
        <v/>
      </c>
      <c r="H8" s="446" t="str">
        <f>IF(B8="","",_xlfn.XLOOKUP(B8,'MIS 2026'!$AA$3:$AA$895,'MIS 2026'!#REF!))</f>
        <v/>
      </c>
      <c r="I8" s="446" t="str">
        <f>IF(B8="","",_xlfn.XLOOKUP(B8,'MIS 2026'!$AA$3:$AA$895,'MIS 2026'!$BO$3:$BO$895))</f>
        <v/>
      </c>
      <c r="J8" s="419" t="str">
        <f>IF(B8="","",_xlfn.XLOOKUP(B8,'MIS 2026'!$AA$3:$AA$895,'MIS 2026'!$P$3:$P$895))</f>
        <v/>
      </c>
      <c r="K8" s="419" t="str">
        <f>IF(B8="","",_xlfn.XLOOKUP(B8,'MIS 2026'!$AA$3:$AA$895,'MIS 2026'!$R$3:$R$895))</f>
        <v/>
      </c>
      <c r="L8" s="419" t="str">
        <f>IF(B8="","",_xlfn.XLOOKUP(B8,'MIS 2026'!$AA$3:$AA$895,'MIS 2026'!$S$3:$S$895))</f>
        <v/>
      </c>
    </row>
    <row r="9" spans="1:12">
      <c r="A9" s="419" t="str">
        <f>IF(B9="","",_xlfn.XLOOKUP(B9,'MIS 2026'!$AA$3:$AA$895,'MIS 2026'!$A$3:$A$895))</f>
        <v/>
      </c>
      <c r="B9" s="419"/>
      <c r="C9" s="419" t="str">
        <f>IF(B9="","",_xlfn.XLOOKUP(B9,'MIS 2026'!$AA$3:$AA$895,'MIS 2026'!$AB$3:$AB$895))</f>
        <v/>
      </c>
      <c r="D9" s="419" t="str">
        <f>IF(B9="","",_xlfn.XLOOKUP(B9,'MIS 2026'!$AA$3:$AA$895,'MIS 2026'!$T$3:$T$895))</f>
        <v/>
      </c>
      <c r="E9" s="446" t="str">
        <f>IF(B9="","",_xlfn.XLOOKUP(B9,'MIS 2026'!$AA$3:$AA$895,'MIS 2026'!$AD$3:$AD$895))</f>
        <v/>
      </c>
      <c r="F9" s="419"/>
      <c r="G9" s="419" t="str">
        <f>IF(B9="","",_xlfn.XLOOKUP(B9,'MIS 2026'!$AA$3:$AA$895,'MIS 2026'!$BI$3:$BI$895))</f>
        <v/>
      </c>
      <c r="H9" s="446" t="str">
        <f>IF(B9="","",_xlfn.XLOOKUP(B9,'MIS 2026'!$AA$3:$AA$895,'MIS 2026'!#REF!))</f>
        <v/>
      </c>
      <c r="I9" s="446" t="str">
        <f>IF(B9="","",_xlfn.XLOOKUP(B9,'MIS 2026'!$AA$3:$AA$895,'MIS 2026'!$BO$3:$BO$895))</f>
        <v/>
      </c>
      <c r="J9" s="419" t="str">
        <f>IF(B9="","",_xlfn.XLOOKUP(B9,'MIS 2026'!$AA$3:$AA$895,'MIS 2026'!$P$3:$P$895))</f>
        <v/>
      </c>
      <c r="K9" s="419" t="str">
        <f>IF(B9="","",_xlfn.XLOOKUP(B9,'MIS 2026'!$AA$3:$AA$895,'MIS 2026'!$R$3:$R$895))</f>
        <v/>
      </c>
      <c r="L9" s="419" t="str">
        <f>IF(B9="","",_xlfn.XLOOKUP(B9,'MIS 2026'!$AA$3:$AA$895,'MIS 2026'!$S$3:$S$895))</f>
        <v/>
      </c>
    </row>
    <row r="10" spans="1:12">
      <c r="A10" s="419" t="str">
        <f>IF(B10="","",_xlfn.XLOOKUP(B10,'MIS 2026'!$AA$3:$AA$895,'MIS 2026'!$A$3:$A$895))</f>
        <v/>
      </c>
      <c r="B10" s="419"/>
      <c r="C10" s="419" t="str">
        <f>IF(B10="","",_xlfn.XLOOKUP(B10,'MIS 2026'!$AA$3:$AA$895,'MIS 2026'!$AB$3:$AB$895))</f>
        <v/>
      </c>
      <c r="D10" s="419" t="str">
        <f>IF(B10="","",_xlfn.XLOOKUP(B10,'MIS 2026'!$AA$3:$AA$895,'MIS 2026'!$T$3:$T$895))</f>
        <v/>
      </c>
      <c r="E10" s="446" t="str">
        <f>IF(B10="","",_xlfn.XLOOKUP(B10,'MIS 2026'!$AA$3:$AA$895,'MIS 2026'!$AD$3:$AD$895))</f>
        <v/>
      </c>
      <c r="F10" s="419"/>
      <c r="G10" s="419" t="str">
        <f>IF(B10="","",_xlfn.XLOOKUP(B10,'MIS 2026'!$AA$3:$AA$895,'MIS 2026'!$BI$3:$BI$895))</f>
        <v/>
      </c>
      <c r="H10" s="446" t="str">
        <f>IF(B10="","",_xlfn.XLOOKUP(B10,'MIS 2026'!$AA$3:$AA$895,'MIS 2026'!#REF!))</f>
        <v/>
      </c>
      <c r="I10" s="446" t="str">
        <f>IF(B10="","",_xlfn.XLOOKUP(B10,'MIS 2026'!$AA$3:$AA$895,'MIS 2026'!$BO$3:$BO$895))</f>
        <v/>
      </c>
      <c r="J10" s="419" t="str">
        <f>IF(B10="","",_xlfn.XLOOKUP(B10,'MIS 2026'!$AA$3:$AA$895,'MIS 2026'!$P$3:$P$895))</f>
        <v/>
      </c>
      <c r="K10" s="419" t="str">
        <f>IF(B10="","",_xlfn.XLOOKUP(B10,'MIS 2026'!$AA$3:$AA$895,'MIS 2026'!$R$3:$R$895))</f>
        <v/>
      </c>
      <c r="L10" s="419" t="str">
        <f>IF(B10="","",_xlfn.XLOOKUP(B10,'MIS 2026'!$AA$3:$AA$895,'MIS 2026'!$S$3:$S$895))</f>
        <v/>
      </c>
    </row>
    <row r="11" spans="1:12">
      <c r="A11" s="419" t="str">
        <f>IF(B11="","",_xlfn.XLOOKUP(B11,'MIS 2026'!$AA$3:$AA$895,'MIS 2026'!$A$3:$A$895))</f>
        <v/>
      </c>
      <c r="B11" s="419"/>
      <c r="C11" s="419" t="str">
        <f>IF(B11="","",_xlfn.XLOOKUP(B11,'MIS 2026'!$AA$3:$AA$895,'MIS 2026'!$AB$3:$AB$895))</f>
        <v/>
      </c>
      <c r="D11" s="419" t="str">
        <f>IF(B11="","",_xlfn.XLOOKUP(B11,'MIS 2026'!$AA$3:$AA$895,'MIS 2026'!$T$3:$T$895))</f>
        <v/>
      </c>
      <c r="E11" s="446" t="str">
        <f>IF(B11="","",_xlfn.XLOOKUP(B11,'MIS 2026'!$AA$3:$AA$895,'MIS 2026'!$AD$3:$AD$895))</f>
        <v/>
      </c>
      <c r="F11" s="419"/>
      <c r="G11" s="419" t="str">
        <f>IF(B11="","",_xlfn.XLOOKUP(B11,'MIS 2026'!$AA$3:$AA$895,'MIS 2026'!$BI$3:$BI$895))</f>
        <v/>
      </c>
      <c r="H11" s="446" t="str">
        <f>IF(B11="","",_xlfn.XLOOKUP(B11,'MIS 2026'!$AA$3:$AA$895,'MIS 2026'!#REF!))</f>
        <v/>
      </c>
      <c r="I11" s="446" t="str">
        <f>IF(B11="","",_xlfn.XLOOKUP(B11,'MIS 2026'!$AA$3:$AA$895,'MIS 2026'!$BO$3:$BO$895))</f>
        <v/>
      </c>
      <c r="J11" s="419" t="str">
        <f>IF(B11="","",_xlfn.XLOOKUP(B11,'MIS 2026'!$AA$3:$AA$895,'MIS 2026'!$P$3:$P$895))</f>
        <v/>
      </c>
      <c r="K11" s="419" t="str">
        <f>IF(B11="","",_xlfn.XLOOKUP(B11,'MIS 2026'!$AA$3:$AA$895,'MIS 2026'!$R$3:$R$895))</f>
        <v/>
      </c>
      <c r="L11" s="419" t="str">
        <f>IF(B11="","",_xlfn.XLOOKUP(B11,'MIS 2026'!$AA$3:$AA$895,'MIS 2026'!$S$3:$S$895))</f>
        <v/>
      </c>
    </row>
    <row r="12" spans="1:12">
      <c r="A12" s="419" t="str">
        <f>IF(B12="","",_xlfn.XLOOKUP(B12,'MIS 2026'!$AA$3:$AA$895,'MIS 2026'!$A$3:$A$895))</f>
        <v/>
      </c>
      <c r="B12" s="419"/>
      <c r="C12" s="419" t="str">
        <f>IF(B12="","",_xlfn.XLOOKUP(B12,'MIS 2026'!$AA$3:$AA$895,'MIS 2026'!$AB$3:$AB$895))</f>
        <v/>
      </c>
      <c r="D12" s="419" t="str">
        <f>IF(B12="","",_xlfn.XLOOKUP(B12,'MIS 2026'!$AA$3:$AA$895,'MIS 2026'!$T$3:$T$895))</f>
        <v/>
      </c>
      <c r="E12" s="446" t="str">
        <f>IF(B12="","",_xlfn.XLOOKUP(B12,'MIS 2026'!$AA$3:$AA$895,'MIS 2026'!$AD$3:$AD$895))</f>
        <v/>
      </c>
      <c r="F12" s="419"/>
      <c r="G12" s="419" t="str">
        <f>IF(B12="","",_xlfn.XLOOKUP(B12,'MIS 2026'!$AA$3:$AA$895,'MIS 2026'!$BI$3:$BI$895))</f>
        <v/>
      </c>
      <c r="H12" s="446" t="str">
        <f>IF(B12="","",_xlfn.XLOOKUP(B12,'MIS 2026'!$AA$3:$AA$895,'MIS 2026'!#REF!))</f>
        <v/>
      </c>
      <c r="I12" s="446" t="str">
        <f>IF(B12="","",_xlfn.XLOOKUP(B12,'MIS 2026'!$AA$3:$AA$895,'MIS 2026'!$BO$3:$BO$895))</f>
        <v/>
      </c>
      <c r="J12" s="419" t="str">
        <f>IF(B12="","",_xlfn.XLOOKUP(B12,'MIS 2026'!$AA$3:$AA$895,'MIS 2026'!$P$3:$P$895))</f>
        <v/>
      </c>
      <c r="K12" s="419" t="str">
        <f>IF(B12="","",_xlfn.XLOOKUP(B12,'MIS 2026'!$AA$3:$AA$895,'MIS 2026'!$R$3:$R$895))</f>
        <v/>
      </c>
      <c r="L12" s="419" t="str">
        <f>IF(B12="","",_xlfn.XLOOKUP(B12,'MIS 2026'!$AA$3:$AA$895,'MIS 2026'!$S$3:$S$895))</f>
        <v/>
      </c>
    </row>
    <row r="13" spans="1:12">
      <c r="A13" s="419" t="str">
        <f>IF(B13="","",_xlfn.XLOOKUP(B13,'MIS 2026'!$AA$3:$AA$895,'MIS 2026'!$A$3:$A$895))</f>
        <v/>
      </c>
      <c r="B13" s="419"/>
      <c r="C13" s="419" t="str">
        <f>IF(B13="","",_xlfn.XLOOKUP(B13,'MIS 2026'!$AA$3:$AA$895,'MIS 2026'!$AB$3:$AB$895))</f>
        <v/>
      </c>
      <c r="D13" s="419" t="str">
        <f>IF(B13="","",_xlfn.XLOOKUP(B13,'MIS 2026'!$AA$3:$AA$895,'MIS 2026'!$T$3:$T$895))</f>
        <v/>
      </c>
      <c r="E13" s="446" t="str">
        <f>IF(B13="","",_xlfn.XLOOKUP(B13,'MIS 2026'!$AA$3:$AA$895,'MIS 2026'!$AD$3:$AD$895))</f>
        <v/>
      </c>
      <c r="F13" s="419"/>
      <c r="G13" s="419" t="str">
        <f>IF(B13="","",_xlfn.XLOOKUP(B13,'MIS 2026'!$AA$3:$AA$895,'MIS 2026'!$BI$3:$BI$895))</f>
        <v/>
      </c>
      <c r="H13" s="446" t="str">
        <f>IF(B13="","",_xlfn.XLOOKUP(B13,'MIS 2026'!$AA$3:$AA$895,'MIS 2026'!#REF!))</f>
        <v/>
      </c>
      <c r="I13" s="446" t="str">
        <f>IF(B13="","",_xlfn.XLOOKUP(B13,'MIS 2026'!$AA$3:$AA$895,'MIS 2026'!$BO$3:$BO$895))</f>
        <v/>
      </c>
      <c r="J13" s="419" t="str">
        <f>IF(B13="","",_xlfn.XLOOKUP(B13,'MIS 2026'!$AA$3:$AA$895,'MIS 2026'!$P$3:$P$895))</f>
        <v/>
      </c>
      <c r="K13" s="419" t="str">
        <f>IF(B13="","",_xlfn.XLOOKUP(B13,'MIS 2026'!$AA$3:$AA$895,'MIS 2026'!$R$3:$R$895))</f>
        <v/>
      </c>
      <c r="L13" s="419" t="str">
        <f>IF(B13="","",_xlfn.XLOOKUP(B13,'MIS 2026'!$AA$3:$AA$895,'MIS 2026'!$S$3:$S$895))</f>
        <v/>
      </c>
    </row>
    <row r="14" spans="1:12">
      <c r="A14" s="419" t="str">
        <f>IF(B14="","",_xlfn.XLOOKUP(B14,'MIS 2026'!$AA$3:$AA$895,'MIS 2026'!$A$3:$A$895))</f>
        <v/>
      </c>
      <c r="B14" s="419"/>
      <c r="C14" s="419" t="str">
        <f>IF(B14="","",_xlfn.XLOOKUP(B14,'MIS 2026'!$AA$3:$AA$895,'MIS 2026'!$AB$3:$AB$895))</f>
        <v/>
      </c>
      <c r="D14" s="419" t="str">
        <f>IF(B14="","",_xlfn.XLOOKUP(B14,'MIS 2026'!$AA$3:$AA$895,'MIS 2026'!$T$3:$T$895))</f>
        <v/>
      </c>
      <c r="E14" s="446" t="str">
        <f>IF(B14="","",_xlfn.XLOOKUP(B14,'MIS 2026'!$AA$3:$AA$895,'MIS 2026'!$AD$3:$AD$895))</f>
        <v/>
      </c>
      <c r="F14" s="419"/>
      <c r="G14" s="419" t="str">
        <f>IF(B14="","",_xlfn.XLOOKUP(B14,'MIS 2026'!$AA$3:$AA$895,'MIS 2026'!$BI$3:$BI$895))</f>
        <v/>
      </c>
      <c r="H14" s="446" t="str">
        <f>IF(B14="","",_xlfn.XLOOKUP(B14,'MIS 2026'!$AA$3:$AA$895,'MIS 2026'!#REF!))</f>
        <v/>
      </c>
      <c r="I14" s="446" t="str">
        <f>IF(B14="","",_xlfn.XLOOKUP(B14,'MIS 2026'!$AA$3:$AA$895,'MIS 2026'!$BO$3:$BO$895))</f>
        <v/>
      </c>
      <c r="J14" s="419" t="str">
        <f>IF(B14="","",_xlfn.XLOOKUP(B14,'MIS 2026'!$AA$3:$AA$895,'MIS 2026'!$P$3:$P$895))</f>
        <v/>
      </c>
      <c r="K14" s="419" t="str">
        <f>IF(B14="","",_xlfn.XLOOKUP(B14,'MIS 2026'!$AA$3:$AA$895,'MIS 2026'!$R$3:$R$895))</f>
        <v/>
      </c>
      <c r="L14" s="419" t="str">
        <f>IF(B14="","",_xlfn.XLOOKUP(B14,'MIS 2026'!$AA$3:$AA$895,'MIS 2026'!$S$3:$S$895))</f>
        <v/>
      </c>
    </row>
    <row r="15" spans="1:12">
      <c r="A15" s="419" t="str">
        <f>IF(B15="","",_xlfn.XLOOKUP(B15,'MIS 2026'!$AA$3:$AA$895,'MIS 2026'!$A$3:$A$895))</f>
        <v/>
      </c>
      <c r="B15" s="419"/>
      <c r="C15" s="419" t="str">
        <f>IF(B15="","",_xlfn.XLOOKUP(B15,'MIS 2026'!$AA$3:$AA$895,'MIS 2026'!$AB$3:$AB$895))</f>
        <v/>
      </c>
      <c r="D15" s="419" t="str">
        <f>IF(B15="","",_xlfn.XLOOKUP(B15,'MIS 2026'!$AA$3:$AA$895,'MIS 2026'!$T$3:$T$895))</f>
        <v/>
      </c>
      <c r="E15" s="446" t="str">
        <f>IF(B15="","",_xlfn.XLOOKUP(B15,'MIS 2026'!$AA$3:$AA$895,'MIS 2026'!$AD$3:$AD$895))</f>
        <v/>
      </c>
      <c r="F15" s="419"/>
      <c r="G15" s="419" t="str">
        <f>IF(B15="","",_xlfn.XLOOKUP(B15,'MIS 2026'!$AA$3:$AA$895,'MIS 2026'!$BI$3:$BI$895))</f>
        <v/>
      </c>
      <c r="H15" s="446" t="str">
        <f>IF(B15="","",_xlfn.XLOOKUP(B15,'MIS 2026'!$AA$3:$AA$895,'MIS 2026'!#REF!))</f>
        <v/>
      </c>
      <c r="I15" s="446" t="str">
        <f>IF(B15="","",_xlfn.XLOOKUP(B15,'MIS 2026'!$AA$3:$AA$895,'MIS 2026'!$BO$3:$BO$895))</f>
        <v/>
      </c>
      <c r="J15" s="419" t="str">
        <f>IF(B15="","",_xlfn.XLOOKUP(B15,'MIS 2026'!$AA$3:$AA$895,'MIS 2026'!$P$3:$P$895))</f>
        <v/>
      </c>
      <c r="K15" s="419" t="str">
        <f>IF(B15="","",_xlfn.XLOOKUP(B15,'MIS 2026'!$AA$3:$AA$895,'MIS 2026'!$R$3:$R$895))</f>
        <v/>
      </c>
      <c r="L15" s="419" t="str">
        <f>IF(B15="","",_xlfn.XLOOKUP(B15,'MIS 2026'!$AA$3:$AA$895,'MIS 2026'!$S$3:$S$895))</f>
        <v/>
      </c>
    </row>
    <row r="16" spans="1:12">
      <c r="A16" s="419" t="str">
        <f>IF(B16="","",_xlfn.XLOOKUP(B16,'MIS 2026'!$AA$3:$AA$895,'MIS 2026'!$A$3:$A$895))</f>
        <v/>
      </c>
      <c r="B16" s="419"/>
      <c r="C16" s="419" t="str">
        <f>IF(B16="","",_xlfn.XLOOKUP(B16,'MIS 2026'!$AA$3:$AA$895,'MIS 2026'!$AB$3:$AB$895))</f>
        <v/>
      </c>
      <c r="D16" s="419" t="str">
        <f>IF(B16="","",_xlfn.XLOOKUP(B16,'MIS 2026'!$AA$3:$AA$895,'MIS 2026'!$T$3:$T$895))</f>
        <v/>
      </c>
      <c r="E16" s="446" t="str">
        <f>IF(B16="","",_xlfn.XLOOKUP(B16,'MIS 2026'!$AA$3:$AA$895,'MIS 2026'!$AD$3:$AD$895))</f>
        <v/>
      </c>
      <c r="F16" s="419"/>
      <c r="G16" s="419" t="str">
        <f>IF(B16="","",_xlfn.XLOOKUP(B16,'MIS 2026'!$AA$3:$AA$895,'MIS 2026'!$BI$3:$BI$895))</f>
        <v/>
      </c>
      <c r="H16" s="446" t="str">
        <f>IF(B16="","",_xlfn.XLOOKUP(B16,'MIS 2026'!$AA$3:$AA$895,'MIS 2026'!#REF!))</f>
        <v/>
      </c>
      <c r="I16" s="446" t="str">
        <f>IF(B16="","",_xlfn.XLOOKUP(B16,'MIS 2026'!$AA$3:$AA$895,'MIS 2026'!$BO$3:$BO$895))</f>
        <v/>
      </c>
      <c r="J16" s="419" t="str">
        <f>IF(B16="","",_xlfn.XLOOKUP(B16,'MIS 2026'!$AA$3:$AA$895,'MIS 2026'!$P$3:$P$895))</f>
        <v/>
      </c>
      <c r="K16" s="419" t="str">
        <f>IF(B16="","",_xlfn.XLOOKUP(B16,'MIS 2026'!$AA$3:$AA$895,'MIS 2026'!$R$3:$R$895))</f>
        <v/>
      </c>
      <c r="L16" s="419" t="str">
        <f>IF(B16="","",_xlfn.XLOOKUP(B16,'MIS 2026'!$AA$3:$AA$895,'MIS 2026'!$S$3:$S$895))</f>
        <v/>
      </c>
    </row>
    <row r="17" spans="1:12">
      <c r="A17" s="419" t="str">
        <f>IF(B17="","",_xlfn.XLOOKUP(B17,'MIS 2026'!$AA$3:$AA$895,'MIS 2026'!$A$3:$A$895))</f>
        <v/>
      </c>
      <c r="C17" s="419" t="str">
        <f>IF(B17="","",_xlfn.XLOOKUP(B17,'MIS 2026'!$AA$3:$AA$895,'MIS 2026'!$AB$3:$AB$895))</f>
        <v/>
      </c>
      <c r="D17" s="419" t="str">
        <f>IF(B17="","",_xlfn.XLOOKUP(B17,'MIS 2026'!$AA$3:$AA$895,'MIS 2026'!$T$3:$T$895))</f>
        <v/>
      </c>
      <c r="E17" s="446" t="str">
        <f>IF(B17="","",_xlfn.XLOOKUP(B17,'MIS 2026'!$AA$3:$AA$895,'MIS 2026'!$AD$3:$AD$895))</f>
        <v/>
      </c>
      <c r="F17" s="419"/>
      <c r="G17" s="419" t="str">
        <f>IF(B17="","",_xlfn.XLOOKUP(B17,'MIS 2026'!$AA$3:$AA$895,'MIS 2026'!$BI$3:$BI$895))</f>
        <v/>
      </c>
      <c r="H17" s="446" t="str">
        <f>IF(B17="","",_xlfn.XLOOKUP(B17,'MIS 2026'!$AA$3:$AA$895,'MIS 2026'!#REF!))</f>
        <v/>
      </c>
      <c r="I17" s="446" t="str">
        <f>IF(B17="","",_xlfn.XLOOKUP(B17,'MIS 2026'!$AA$3:$AA$895,'MIS 2026'!$BO$3:$BO$895))</f>
        <v/>
      </c>
      <c r="J17" s="419" t="str">
        <f>IF(B17="","",_xlfn.XLOOKUP(B17,'MIS 2026'!$AA$3:$AA$895,'MIS 2026'!$P$3:$P$895))</f>
        <v/>
      </c>
      <c r="K17" s="419" t="str">
        <f>IF(B17="","",_xlfn.XLOOKUP(B17,'MIS 2026'!$AA$3:$AA$895,'MIS 2026'!$R$3:$R$895))</f>
        <v/>
      </c>
      <c r="L17" s="419" t="str">
        <f>IF(B17="","",_xlfn.XLOOKUP(B17,'MIS 2026'!$AA$3:$AA$895,'MIS 2026'!$S$3:$S$895))</f>
        <v/>
      </c>
    </row>
    <row r="18" spans="1:12">
      <c r="A18" s="419" t="str">
        <f>IF(B18="","",_xlfn.XLOOKUP(B18,'MIS 2026'!$AA$3:$AA$895,'MIS 2026'!$A$3:$A$895))</f>
        <v/>
      </c>
      <c r="C18" s="419" t="str">
        <f>IF(B18="","",_xlfn.XLOOKUP(B18,'MIS 2026'!$AA$3:$AA$895,'MIS 2026'!$AB$3:$AB$895))</f>
        <v/>
      </c>
      <c r="D18" s="419" t="str">
        <f>IF(B18="","",_xlfn.XLOOKUP(B18,'MIS 2026'!$AA$3:$AA$895,'MIS 2026'!$T$3:$T$895))</f>
        <v/>
      </c>
      <c r="E18" s="446" t="str">
        <f>IF(B18="","",_xlfn.XLOOKUP(B18,'MIS 2026'!$AA$3:$AA$895,'MIS 2026'!$AD$3:$AD$895))</f>
        <v/>
      </c>
      <c r="F18" s="419"/>
      <c r="G18" s="419" t="str">
        <f>IF(B18="","",_xlfn.XLOOKUP(B18,'MIS 2026'!$AA$3:$AA$895,'MIS 2026'!$BI$3:$BI$895))</f>
        <v/>
      </c>
      <c r="H18" s="446" t="str">
        <f>IF(B18="","",_xlfn.XLOOKUP(B18,'MIS 2026'!$AA$3:$AA$895,'MIS 2026'!#REF!))</f>
        <v/>
      </c>
      <c r="I18" s="446" t="str">
        <f>IF(B18="","",_xlfn.XLOOKUP(B18,'MIS 2026'!$AA$3:$AA$895,'MIS 2026'!$BO$3:$BO$895))</f>
        <v/>
      </c>
      <c r="J18" s="419" t="str">
        <f>IF(B18="","",_xlfn.XLOOKUP(B18,'MIS 2026'!$AA$3:$AA$895,'MIS 2026'!$P$3:$P$895))</f>
        <v/>
      </c>
      <c r="K18" s="419" t="str">
        <f>IF(B18="","",_xlfn.XLOOKUP(B18,'MIS 2026'!$AA$3:$AA$895,'MIS 2026'!$R$3:$R$895))</f>
        <v/>
      </c>
      <c r="L18" s="419" t="str">
        <f>IF(B18="","",_xlfn.XLOOKUP(B18,'MIS 2026'!$AA$3:$AA$895,'MIS 2026'!$S$3:$S$895))</f>
        <v/>
      </c>
    </row>
    <row r="19" spans="1:12">
      <c r="A19" s="419" t="str">
        <f>IF(B19="","",_xlfn.XLOOKUP(B19,'MIS 2026'!$AA$3:$AA$895,'MIS 2026'!$A$3:$A$895))</f>
        <v/>
      </c>
      <c r="C19" s="419" t="str">
        <f>IF(B19="","",_xlfn.XLOOKUP(B19,'MIS 2026'!$AA$3:$AA$895,'MIS 2026'!$AB$3:$AB$895))</f>
        <v/>
      </c>
      <c r="D19" s="419" t="str">
        <f>IF(B19="","",_xlfn.XLOOKUP(B19,'MIS 2026'!$AA$3:$AA$895,'MIS 2026'!$T$3:$T$895))</f>
        <v/>
      </c>
      <c r="E19" s="446" t="str">
        <f>IF(B19="","",_xlfn.XLOOKUP(B19,'MIS 2026'!$AA$3:$AA$895,'MIS 2026'!$AD$3:$AD$895))</f>
        <v/>
      </c>
      <c r="F19" s="419"/>
      <c r="G19" s="419" t="str">
        <f>IF(B19="","",_xlfn.XLOOKUP(B19,'MIS 2026'!$AA$3:$AA$895,'MIS 2026'!$BI$3:$BI$895))</f>
        <v/>
      </c>
      <c r="H19" s="446" t="str">
        <f>IF(B19="","",_xlfn.XLOOKUP(B19,'MIS 2026'!$AA$3:$AA$895,'MIS 2026'!#REF!))</f>
        <v/>
      </c>
      <c r="I19" s="446" t="str">
        <f>IF(B19="","",_xlfn.XLOOKUP(B19,'MIS 2026'!$AA$3:$AA$895,'MIS 2026'!$BO$3:$BO$895))</f>
        <v/>
      </c>
      <c r="J19" s="419" t="str">
        <f>IF(B19="","",_xlfn.XLOOKUP(B19,'MIS 2026'!$AA$3:$AA$895,'MIS 2026'!$P$3:$P$895))</f>
        <v/>
      </c>
      <c r="K19" s="419" t="str">
        <f>IF(B19="","",_xlfn.XLOOKUP(B19,'MIS 2026'!$AA$3:$AA$895,'MIS 2026'!$R$3:$R$895))</f>
        <v/>
      </c>
      <c r="L19" s="419" t="str">
        <f>IF(B19="","",_xlfn.XLOOKUP(B19,'MIS 2026'!$AA$3:$AA$895,'MIS 2026'!$S$3:$S$895))</f>
        <v/>
      </c>
    </row>
    <row r="20" spans="1:12">
      <c r="A20" s="419" t="str">
        <f>IF(B20="","",_xlfn.XLOOKUP(B20,'MIS 2026'!$AA$3:$AA$895,'MIS 2026'!$A$3:$A$895))</f>
        <v/>
      </c>
      <c r="C20" s="419" t="str">
        <f>IF(B20="","",_xlfn.XLOOKUP(B20,'MIS 2026'!$AA$3:$AA$895,'MIS 2026'!$AB$3:$AB$895))</f>
        <v/>
      </c>
      <c r="D20" s="419" t="str">
        <f>IF(B20="","",_xlfn.XLOOKUP(B20,'MIS 2026'!$AA$3:$AA$895,'MIS 2026'!$T$3:$T$895))</f>
        <v/>
      </c>
      <c r="E20" s="446" t="str">
        <f>IF(B20="","",_xlfn.XLOOKUP(B20,'MIS 2026'!$AA$3:$AA$895,'MIS 2026'!$AD$3:$AD$895))</f>
        <v/>
      </c>
      <c r="F20" s="419"/>
      <c r="G20" s="419" t="str">
        <f>IF(B20="","",_xlfn.XLOOKUP(B20,'MIS 2026'!$AA$3:$AA$895,'MIS 2026'!$BI$3:$BI$895))</f>
        <v/>
      </c>
      <c r="H20" s="446" t="str">
        <f>IF(B20="","",_xlfn.XLOOKUP(B20,'MIS 2026'!$AA$3:$AA$895,'MIS 2026'!#REF!))</f>
        <v/>
      </c>
      <c r="I20" s="446" t="str">
        <f>IF(B20="","",_xlfn.XLOOKUP(B20,'MIS 2026'!$AA$3:$AA$895,'MIS 2026'!$BO$3:$BO$895))</f>
        <v/>
      </c>
      <c r="J20" s="419" t="str">
        <f>IF(B20="","",_xlfn.XLOOKUP(B20,'MIS 2026'!$AA$3:$AA$895,'MIS 2026'!$P$3:$P$895))</f>
        <v/>
      </c>
      <c r="K20" s="419" t="str">
        <f>IF(B20="","",_xlfn.XLOOKUP(B20,'MIS 2026'!$AA$3:$AA$895,'MIS 2026'!$R$3:$R$895))</f>
        <v/>
      </c>
      <c r="L20" s="419" t="str">
        <f>IF(B20="","",_xlfn.XLOOKUP(B20,'MIS 2026'!$AA$3:$AA$895,'MIS 2026'!$S$3:$S$895))</f>
        <v/>
      </c>
    </row>
    <row r="21" spans="1:12">
      <c r="A21" s="419" t="str">
        <f>IF(B21="","",_xlfn.XLOOKUP(B21,'MIS 2026'!$AA$3:$AA$895,'MIS 2026'!$A$3:$A$895))</f>
        <v/>
      </c>
      <c r="C21" s="419" t="str">
        <f>IF(B21="","",_xlfn.XLOOKUP(B21,'MIS 2026'!$AA$3:$AA$895,'MIS 2026'!$AB$3:$AB$895))</f>
        <v/>
      </c>
      <c r="D21" s="419" t="str">
        <f>IF(B21="","",_xlfn.XLOOKUP(B21,'MIS 2026'!$AA$3:$AA$895,'MIS 2026'!$T$3:$T$895))</f>
        <v/>
      </c>
      <c r="E21" s="446" t="str">
        <f>IF(B21="","",_xlfn.XLOOKUP(B21,'MIS 2026'!$AA$3:$AA$895,'MIS 2026'!$AD$3:$AD$895))</f>
        <v/>
      </c>
      <c r="F21" s="419"/>
      <c r="G21" s="419" t="str">
        <f>IF(B21="","",_xlfn.XLOOKUP(B21,'MIS 2026'!$AA$3:$AA$895,'MIS 2026'!$BI$3:$BI$895))</f>
        <v/>
      </c>
      <c r="H21" s="446" t="str">
        <f>IF(B21="","",_xlfn.XLOOKUP(B21,'MIS 2026'!$AA$3:$AA$895,'MIS 2026'!#REF!))</f>
        <v/>
      </c>
      <c r="I21" s="446" t="str">
        <f>IF(B21="","",_xlfn.XLOOKUP(B21,'MIS 2026'!$AA$3:$AA$895,'MIS 2026'!$BO$3:$BO$895))</f>
        <v/>
      </c>
      <c r="J21" s="419" t="str">
        <f>IF(B21="","",_xlfn.XLOOKUP(B21,'MIS 2026'!$AA$3:$AA$895,'MIS 2026'!$P$3:$P$895))</f>
        <v/>
      </c>
      <c r="K21" s="419" t="str">
        <f>IF(B21="","",_xlfn.XLOOKUP(B21,'MIS 2026'!$AA$3:$AA$895,'MIS 2026'!$R$3:$R$895))</f>
        <v/>
      </c>
      <c r="L21" s="419" t="str">
        <f>IF(B21="","",_xlfn.XLOOKUP(B21,'MIS 2026'!$AA$3:$AA$895,'MIS 2026'!$S$3:$S$895))</f>
        <v/>
      </c>
    </row>
    <row r="22" spans="1:12">
      <c r="A22" s="419" t="str">
        <f>IF(B22="","",_xlfn.XLOOKUP(B22,'MIS 2026'!$AA$3:$AA$895,'MIS 2026'!$A$3:$A$895))</f>
        <v/>
      </c>
      <c r="C22" s="419" t="str">
        <f>IF(B22="","",_xlfn.XLOOKUP(B22,'MIS 2026'!$AA$3:$AA$895,'MIS 2026'!$AB$3:$AB$895))</f>
        <v/>
      </c>
      <c r="D22" s="419" t="str">
        <f>IF(B22="","",_xlfn.XLOOKUP(B22,'MIS 2026'!$AA$3:$AA$895,'MIS 2026'!$T$3:$T$895))</f>
        <v/>
      </c>
      <c r="E22" s="446" t="str">
        <f>IF(B22="","",_xlfn.XLOOKUP(B22,'MIS 2026'!$AA$3:$AA$895,'MIS 2026'!$AD$3:$AD$895))</f>
        <v/>
      </c>
      <c r="F22" s="419"/>
      <c r="G22" s="419" t="str">
        <f>IF(B22="","",_xlfn.XLOOKUP(B22,'MIS 2026'!$AA$3:$AA$895,'MIS 2026'!$BI$3:$BI$895))</f>
        <v/>
      </c>
      <c r="H22" s="446" t="str">
        <f>IF(B22="","",_xlfn.XLOOKUP(B22,'MIS 2026'!$AA$3:$AA$895,'MIS 2026'!#REF!))</f>
        <v/>
      </c>
      <c r="I22" s="446" t="str">
        <f>IF(B22="","",_xlfn.XLOOKUP(B22,'MIS 2026'!$AA$3:$AA$895,'MIS 2026'!$BO$3:$BO$895))</f>
        <v/>
      </c>
      <c r="J22" s="419" t="str">
        <f>IF(B22="","",_xlfn.XLOOKUP(B22,'MIS 2026'!$AA$3:$AA$895,'MIS 2026'!$P$3:$P$895))</f>
        <v/>
      </c>
      <c r="K22" s="419" t="str">
        <f>IF(B22="","",_xlfn.XLOOKUP(B22,'MIS 2026'!$AA$3:$AA$895,'MIS 2026'!$R$3:$R$895))</f>
        <v/>
      </c>
      <c r="L22" s="419" t="str">
        <f>IF(B22="","",_xlfn.XLOOKUP(B22,'MIS 2026'!$AA$3:$AA$895,'MIS 2026'!$S$3:$S$895))</f>
        <v/>
      </c>
    </row>
    <row r="23" spans="1:12">
      <c r="A23" s="419" t="str">
        <f>IF(B23="","",_xlfn.XLOOKUP(B23,'MIS 2026'!$AA$3:$AA$895,'MIS 2026'!$A$3:$A$895))</f>
        <v/>
      </c>
      <c r="C23" s="419" t="str">
        <f>IF(B23="","",_xlfn.XLOOKUP(B23,'MIS 2026'!$AA$3:$AA$895,'MIS 2026'!$AB$3:$AB$895))</f>
        <v/>
      </c>
      <c r="D23" s="419" t="str">
        <f>IF(B23="","",_xlfn.XLOOKUP(B23,'MIS 2026'!$AA$3:$AA$895,'MIS 2026'!$T$3:$T$895))</f>
        <v/>
      </c>
      <c r="E23" s="446" t="str">
        <f>IF(B23="","",_xlfn.XLOOKUP(B23,'MIS 2026'!$AA$3:$AA$895,'MIS 2026'!$AD$3:$AD$895))</f>
        <v/>
      </c>
      <c r="F23" s="419"/>
      <c r="G23" s="419" t="str">
        <f>IF(B23="","",_xlfn.XLOOKUP(B23,'MIS 2026'!$AA$3:$AA$895,'MIS 2026'!$BI$3:$BI$895))</f>
        <v/>
      </c>
      <c r="H23" s="446" t="str">
        <f>IF(B23="","",_xlfn.XLOOKUP(B23,'MIS 2026'!$AA$3:$AA$895,'MIS 2026'!#REF!))</f>
        <v/>
      </c>
      <c r="I23" s="446" t="str">
        <f>IF(B23="","",_xlfn.XLOOKUP(B23,'MIS 2026'!$AA$3:$AA$895,'MIS 2026'!$BO$3:$BO$895))</f>
        <v/>
      </c>
      <c r="J23" s="419" t="str">
        <f>IF(B23="","",_xlfn.XLOOKUP(B23,'MIS 2026'!$AA$3:$AA$895,'MIS 2026'!$P$3:$P$895))</f>
        <v/>
      </c>
      <c r="K23" s="419" t="str">
        <f>IF(B23="","",_xlfn.XLOOKUP(B23,'MIS 2026'!$AA$3:$AA$895,'MIS 2026'!$R$3:$R$895))</f>
        <v/>
      </c>
      <c r="L23" s="419" t="str">
        <f>IF(B23="","",_xlfn.XLOOKUP(B23,'MIS 2026'!$AA$3:$AA$895,'MIS 2026'!$S$3:$S$895))</f>
        <v/>
      </c>
    </row>
    <row r="24" spans="1:12">
      <c r="A24" s="419" t="str">
        <f>IF(B24="","",_xlfn.XLOOKUP(B24,'MIS 2026'!$AA$3:$AA$895,'MIS 2026'!$A$3:$A$895))</f>
        <v/>
      </c>
      <c r="C24" s="419" t="str">
        <f>IF(B24="","",_xlfn.XLOOKUP(B24,'MIS 2026'!$AA$3:$AA$895,'MIS 2026'!$AB$3:$AB$895))</f>
        <v/>
      </c>
      <c r="D24" s="419" t="str">
        <f>IF(B24="","",_xlfn.XLOOKUP(B24,'MIS 2026'!$AA$3:$AA$895,'MIS 2026'!$T$3:$T$895))</f>
        <v/>
      </c>
      <c r="E24" s="446" t="str">
        <f>IF(B24="","",_xlfn.XLOOKUP(B24,'MIS 2026'!$AA$3:$AA$895,'MIS 2026'!$AD$3:$AD$895))</f>
        <v/>
      </c>
      <c r="F24" s="419"/>
      <c r="G24" s="419" t="str">
        <f>IF(B24="","",_xlfn.XLOOKUP(B24,'MIS 2026'!$AA$3:$AA$895,'MIS 2026'!$BI$3:$BI$895))</f>
        <v/>
      </c>
      <c r="H24" s="446" t="str">
        <f>IF(B24="","",_xlfn.XLOOKUP(B24,'MIS 2026'!$AA$3:$AA$895,'MIS 2026'!#REF!))</f>
        <v/>
      </c>
      <c r="I24" s="446" t="str">
        <f>IF(B24="","",_xlfn.XLOOKUP(B24,'MIS 2026'!$AA$3:$AA$895,'MIS 2026'!$BO$3:$BO$895))</f>
        <v/>
      </c>
      <c r="J24" s="419" t="str">
        <f>IF(B24="","",_xlfn.XLOOKUP(B24,'MIS 2026'!$AA$3:$AA$895,'MIS 2026'!$P$3:$P$895))</f>
        <v/>
      </c>
      <c r="K24" s="419" t="str">
        <f>IF(B24="","",_xlfn.XLOOKUP(B24,'MIS 2026'!$AA$3:$AA$895,'MIS 2026'!$R$3:$R$895))</f>
        <v/>
      </c>
      <c r="L24" s="419" t="str">
        <f>IF(B24="","",_xlfn.XLOOKUP(B24,'MIS 2026'!$AA$3:$AA$895,'MIS 2026'!$S$3:$S$895))</f>
        <v/>
      </c>
    </row>
    <row r="25" spans="1:12">
      <c r="A25" s="419" t="str">
        <f>IF(B25="","",_xlfn.XLOOKUP(B25,'MIS 2026'!$AA$3:$AA$895,'MIS 2026'!$A$3:$A$895))</f>
        <v/>
      </c>
      <c r="C25" s="419" t="str">
        <f>IF(B25="","",_xlfn.XLOOKUP(B25,'MIS 2026'!$AA$3:$AA$895,'MIS 2026'!$AB$3:$AB$895))</f>
        <v/>
      </c>
      <c r="D25" s="419" t="str">
        <f>IF(B25="","",_xlfn.XLOOKUP(B25,'MIS 2026'!$AA$3:$AA$895,'MIS 2026'!$T$3:$T$895))</f>
        <v/>
      </c>
      <c r="E25" s="446" t="str">
        <f>IF(B25="","",_xlfn.XLOOKUP(B25,'MIS 2026'!$AA$3:$AA$895,'MIS 2026'!$AD$3:$AD$895))</f>
        <v/>
      </c>
      <c r="F25" s="419"/>
      <c r="G25" s="419" t="str">
        <f>IF(B25="","",_xlfn.XLOOKUP(B25,'MIS 2026'!$AA$3:$AA$895,'MIS 2026'!$BI$3:$BI$895))</f>
        <v/>
      </c>
      <c r="H25" s="446" t="str">
        <f>IF(B25="","",_xlfn.XLOOKUP(B25,'MIS 2026'!$AA$3:$AA$895,'MIS 2026'!#REF!))</f>
        <v/>
      </c>
      <c r="I25" s="446" t="str">
        <f>IF(B25="","",_xlfn.XLOOKUP(B25,'MIS 2026'!$AA$3:$AA$895,'MIS 2026'!$BO$3:$BO$895))</f>
        <v/>
      </c>
      <c r="J25" s="419" t="str">
        <f>IF(B25="","",_xlfn.XLOOKUP(B25,'MIS 2026'!$AA$3:$AA$895,'MIS 2026'!$P$3:$P$895))</f>
        <v/>
      </c>
      <c r="K25" s="419" t="str">
        <f>IF(B25="","",_xlfn.XLOOKUP(B25,'MIS 2026'!$AA$3:$AA$895,'MIS 2026'!$R$3:$R$895))</f>
        <v/>
      </c>
      <c r="L25" s="419" t="str">
        <f>IF(B25="","",_xlfn.XLOOKUP(B25,'MIS 2026'!$AA$3:$AA$895,'MIS 2026'!$S$3:$S$895))</f>
        <v/>
      </c>
    </row>
    <row r="26" spans="1:12">
      <c r="A26" s="419" t="str">
        <f>IF(B26="","",_xlfn.XLOOKUP(B26,'MIS 2026'!$AA$3:$AA$895,'MIS 2026'!$A$3:$A$895))</f>
        <v/>
      </c>
      <c r="C26" s="419" t="str">
        <f>IF(B26="","",_xlfn.XLOOKUP(B26,'MIS 2026'!$AA$3:$AA$895,'MIS 2026'!$AB$3:$AB$895))</f>
        <v/>
      </c>
      <c r="D26" s="419" t="str">
        <f>IF(B26="","",_xlfn.XLOOKUP(B26,'MIS 2026'!$AA$3:$AA$895,'MIS 2026'!$T$3:$T$895))</f>
        <v/>
      </c>
      <c r="E26" s="446" t="str">
        <f>IF(B26="","",_xlfn.XLOOKUP(B26,'MIS 2026'!$AA$3:$AA$895,'MIS 2026'!$AD$3:$AD$895))</f>
        <v/>
      </c>
      <c r="F26" s="419"/>
      <c r="G26" s="419" t="str">
        <f>IF(B26="","",_xlfn.XLOOKUP(B26,'MIS 2026'!$AA$3:$AA$895,'MIS 2026'!$BI$3:$BI$895))</f>
        <v/>
      </c>
      <c r="H26" s="446" t="str">
        <f>IF(B26="","",_xlfn.XLOOKUP(B26,'MIS 2026'!$AA$3:$AA$895,'MIS 2026'!#REF!))</f>
        <v/>
      </c>
      <c r="I26" s="446" t="str">
        <f>IF(B26="","",_xlfn.XLOOKUP(B26,'MIS 2026'!$AA$3:$AA$895,'MIS 2026'!$BO$3:$BO$895))</f>
        <v/>
      </c>
      <c r="J26" s="419" t="str">
        <f>IF(B26="","",_xlfn.XLOOKUP(B26,'MIS 2026'!$AA$3:$AA$895,'MIS 2026'!$P$3:$P$895))</f>
        <v/>
      </c>
      <c r="K26" s="419" t="str">
        <f>IF(B26="","",_xlfn.XLOOKUP(B26,'MIS 2026'!$AA$3:$AA$895,'MIS 2026'!$R$3:$R$895))</f>
        <v/>
      </c>
      <c r="L26" s="419" t="str">
        <f>IF(B26="","",_xlfn.XLOOKUP(B26,'MIS 2026'!$AA$3:$AA$895,'MIS 2026'!$S$3:$S$895))</f>
        <v/>
      </c>
    </row>
    <row r="27" spans="1:12">
      <c r="A27" s="419" t="str">
        <f>IF(B27="","",_xlfn.XLOOKUP(B27,'MIS 2026'!$AA$3:$AA$895,'MIS 2026'!$A$3:$A$895))</f>
        <v/>
      </c>
      <c r="C27" s="419" t="str">
        <f>IF(B27="","",_xlfn.XLOOKUP(B27,'MIS 2026'!$AA$3:$AA$895,'MIS 2026'!$AB$3:$AB$895))</f>
        <v/>
      </c>
      <c r="D27" s="419" t="str">
        <f>IF(B27="","",_xlfn.XLOOKUP(B27,'MIS 2026'!$AA$3:$AA$895,'MIS 2026'!$T$3:$T$895))</f>
        <v/>
      </c>
      <c r="E27" s="446" t="str">
        <f>IF(B27="","",_xlfn.XLOOKUP(B27,'MIS 2026'!$AA$3:$AA$895,'MIS 2026'!$AD$3:$AD$895))</f>
        <v/>
      </c>
      <c r="F27" s="419"/>
      <c r="G27" s="419" t="str">
        <f>IF(B27="","",_xlfn.XLOOKUP(B27,'MIS 2026'!$AA$3:$AA$895,'MIS 2026'!$BI$3:$BI$895))</f>
        <v/>
      </c>
      <c r="H27" s="446" t="str">
        <f>IF(B27="","",_xlfn.XLOOKUP(B27,'MIS 2026'!$AA$3:$AA$895,'MIS 2026'!#REF!))</f>
        <v/>
      </c>
      <c r="I27" s="446" t="str">
        <f>IF(B27="","",_xlfn.XLOOKUP(B27,'MIS 2026'!$AA$3:$AA$895,'MIS 2026'!$BO$3:$BO$895))</f>
        <v/>
      </c>
      <c r="J27" s="419" t="str">
        <f>IF(B27="","",_xlfn.XLOOKUP(B27,'MIS 2026'!$AA$3:$AA$895,'MIS 2026'!$P$3:$P$895))</f>
        <v/>
      </c>
      <c r="K27" s="419" t="str">
        <f>IF(B27="","",_xlfn.XLOOKUP(B27,'MIS 2026'!$AA$3:$AA$895,'MIS 2026'!$R$3:$R$895))</f>
        <v/>
      </c>
      <c r="L27" s="419" t="str">
        <f>IF(B27="","",_xlfn.XLOOKUP(B27,'MIS 2026'!$AA$3:$AA$895,'MIS 2026'!$S$3:$S$895))</f>
        <v/>
      </c>
    </row>
    <row r="28" spans="1:12">
      <c r="A28" s="419" t="str">
        <f>IF(B28="","",_xlfn.XLOOKUP(B28,'MIS 2026'!$AA$3:$AA$895,'MIS 2026'!$A$3:$A$895))</f>
        <v/>
      </c>
      <c r="C28" s="419" t="str">
        <f>IF(B28="","",_xlfn.XLOOKUP(B28,'MIS 2026'!$AA$3:$AA$895,'MIS 2026'!$AB$3:$AB$895))</f>
        <v/>
      </c>
      <c r="D28" s="419" t="str">
        <f>IF(B28="","",_xlfn.XLOOKUP(B28,'MIS 2026'!$AA$3:$AA$895,'MIS 2026'!$T$3:$T$895))</f>
        <v/>
      </c>
      <c r="E28" s="446" t="str">
        <f>IF(B28="","",_xlfn.XLOOKUP(B28,'MIS 2026'!$AA$3:$AA$895,'MIS 2026'!$AD$3:$AD$895))</f>
        <v/>
      </c>
      <c r="F28" s="419"/>
      <c r="G28" s="419" t="str">
        <f>IF(B28="","",_xlfn.XLOOKUP(B28,'MIS 2026'!$AA$3:$AA$895,'MIS 2026'!$BI$3:$BI$895))</f>
        <v/>
      </c>
      <c r="H28" s="446" t="str">
        <f>IF(B28="","",_xlfn.XLOOKUP(B28,'MIS 2026'!$AA$3:$AA$895,'MIS 2026'!#REF!))</f>
        <v/>
      </c>
      <c r="I28" s="446" t="str">
        <f>IF(B28="","",_xlfn.XLOOKUP(B28,'MIS 2026'!$AA$3:$AA$895,'MIS 2026'!$BO$3:$BO$895))</f>
        <v/>
      </c>
      <c r="J28" s="419" t="str">
        <f>IF(B28="","",_xlfn.XLOOKUP(B28,'MIS 2026'!$AA$3:$AA$895,'MIS 2026'!$P$3:$P$895))</f>
        <v/>
      </c>
      <c r="K28" s="419" t="str">
        <f>IF(B28="","",_xlfn.XLOOKUP(B28,'MIS 2026'!$AA$3:$AA$895,'MIS 2026'!$R$3:$R$895))</f>
        <v/>
      </c>
      <c r="L28" s="419" t="str">
        <f>IF(B28="","",_xlfn.XLOOKUP(B28,'MIS 2026'!$AA$3:$AA$895,'MIS 2026'!$S$3:$S$895))</f>
        <v/>
      </c>
    </row>
    <row r="29" spans="1:12">
      <c r="A29" s="419" t="str">
        <f>IF(B29="","",_xlfn.XLOOKUP(B29,'MIS 2026'!$AA$3:$AA$895,'MIS 2026'!$A$3:$A$895))</f>
        <v/>
      </c>
      <c r="C29" s="419" t="str">
        <f>IF(B29="","",_xlfn.XLOOKUP(B29,'MIS 2026'!$AA$3:$AA$895,'MIS 2026'!$AB$3:$AB$895))</f>
        <v/>
      </c>
      <c r="D29" s="419" t="str">
        <f>IF(B29="","",_xlfn.XLOOKUP(B29,'MIS 2026'!$AA$3:$AA$895,'MIS 2026'!$T$3:$T$895))</f>
        <v/>
      </c>
      <c r="E29" s="446" t="str">
        <f>IF(B29="","",_xlfn.XLOOKUP(B29,'MIS 2026'!$AA$3:$AA$895,'MIS 2026'!$AD$3:$AD$895))</f>
        <v/>
      </c>
      <c r="F29" s="419"/>
      <c r="G29" s="419" t="str">
        <f>IF(B29="","",_xlfn.XLOOKUP(B29,'MIS 2026'!$AA$3:$AA$895,'MIS 2026'!$BI$3:$BI$895))</f>
        <v/>
      </c>
      <c r="H29" s="446" t="str">
        <f>IF(B29="","",_xlfn.XLOOKUP(B29,'MIS 2026'!$AA$3:$AA$895,'MIS 2026'!#REF!))</f>
        <v/>
      </c>
      <c r="I29" s="446" t="str">
        <f>IF(B29="","",_xlfn.XLOOKUP(B29,'MIS 2026'!$AA$3:$AA$895,'MIS 2026'!$BO$3:$BO$895))</f>
        <v/>
      </c>
      <c r="J29" s="419" t="str">
        <f>IF(B29="","",_xlfn.XLOOKUP(B29,'MIS 2026'!$AA$3:$AA$895,'MIS 2026'!$P$3:$P$895))</f>
        <v/>
      </c>
      <c r="K29" s="419" t="str">
        <f>IF(B29="","",_xlfn.XLOOKUP(B29,'MIS 2026'!$AA$3:$AA$895,'MIS 2026'!$R$3:$R$895))</f>
        <v/>
      </c>
      <c r="L29" s="419" t="str">
        <f>IF(B29="","",_xlfn.XLOOKUP(B29,'MIS 2026'!$AA$3:$AA$895,'MIS 2026'!$S$3:$S$895))</f>
        <v/>
      </c>
    </row>
    <row r="30" spans="1:12">
      <c r="A30" s="419" t="str">
        <f>IF(B30="","",_xlfn.XLOOKUP(B30,'MIS 2026'!$AA$3:$AA$895,'MIS 2026'!$A$3:$A$895))</f>
        <v/>
      </c>
      <c r="C30" s="419" t="str">
        <f>IF(B30="","",_xlfn.XLOOKUP(B30,'MIS 2026'!$AA$3:$AA$895,'MIS 2026'!$AB$3:$AB$895))</f>
        <v/>
      </c>
      <c r="D30" s="419" t="str">
        <f>IF(B30="","",_xlfn.XLOOKUP(B30,'MIS 2026'!$AA$3:$AA$895,'MIS 2026'!$T$3:$T$895))</f>
        <v/>
      </c>
      <c r="E30" s="446" t="str">
        <f>IF(B30="","",_xlfn.XLOOKUP(B30,'MIS 2026'!$AA$3:$AA$895,'MIS 2026'!$AD$3:$AD$895))</f>
        <v/>
      </c>
      <c r="F30" s="419"/>
      <c r="G30" s="419" t="str">
        <f>IF(B30="","",_xlfn.XLOOKUP(B30,'MIS 2026'!$AA$3:$AA$895,'MIS 2026'!$BI$3:$BI$895))</f>
        <v/>
      </c>
      <c r="H30" s="446" t="str">
        <f>IF(B30="","",_xlfn.XLOOKUP(B30,'MIS 2026'!$AA$3:$AA$895,'MIS 2026'!#REF!))</f>
        <v/>
      </c>
      <c r="I30" s="446" t="str">
        <f>IF(B30="","",_xlfn.XLOOKUP(B30,'MIS 2026'!$AA$3:$AA$895,'MIS 2026'!$BO$3:$BO$895))</f>
        <v/>
      </c>
      <c r="J30" s="419" t="str">
        <f>IF(B30="","",_xlfn.XLOOKUP(B30,'MIS 2026'!$AA$3:$AA$895,'MIS 2026'!$P$3:$P$895))</f>
        <v/>
      </c>
      <c r="K30" s="419" t="str">
        <f>IF(B30="","",_xlfn.XLOOKUP(B30,'MIS 2026'!$AA$3:$AA$895,'MIS 2026'!$R$3:$R$895))</f>
        <v/>
      </c>
      <c r="L30" s="419" t="str">
        <f>IF(B30="","",_xlfn.XLOOKUP(B30,'MIS 2026'!$AA$3:$AA$895,'MIS 2026'!$S$3:$S$895))</f>
        <v/>
      </c>
    </row>
    <row r="31" spans="1:12">
      <c r="A31" s="419" t="str">
        <f>IF(B31="","",_xlfn.XLOOKUP(B31,'MIS 2026'!$AA$3:$AA$895,'MIS 2026'!$A$3:$A$895))</f>
        <v/>
      </c>
      <c r="C31" s="419" t="str">
        <f>IF(B31="","",_xlfn.XLOOKUP(B31,'MIS 2026'!$AA$3:$AA$895,'MIS 2026'!$AB$3:$AB$895))</f>
        <v/>
      </c>
      <c r="D31" s="419" t="str">
        <f>IF(B31="","",_xlfn.XLOOKUP(B31,'MIS 2026'!$AA$3:$AA$895,'MIS 2026'!$T$3:$T$895))</f>
        <v/>
      </c>
      <c r="E31" s="446" t="str">
        <f>IF(B31="","",_xlfn.XLOOKUP(B31,'MIS 2026'!$AA$3:$AA$895,'MIS 2026'!$AD$3:$AD$895))</f>
        <v/>
      </c>
      <c r="F31" s="419"/>
      <c r="G31" s="419" t="str">
        <f>IF(B31="","",_xlfn.XLOOKUP(B31,'MIS 2026'!$AA$3:$AA$895,'MIS 2026'!$BI$3:$BI$895))</f>
        <v/>
      </c>
      <c r="H31" s="446" t="str">
        <f>IF(B31="","",_xlfn.XLOOKUP(B31,'MIS 2026'!$AA$3:$AA$895,'MIS 2026'!#REF!))</f>
        <v/>
      </c>
      <c r="I31" s="446" t="str">
        <f>IF(B31="","",_xlfn.XLOOKUP(B31,'MIS 2026'!$AA$3:$AA$895,'MIS 2026'!$BO$3:$BO$895))</f>
        <v/>
      </c>
      <c r="J31" s="419" t="str">
        <f>IF(B31="","",_xlfn.XLOOKUP(B31,'MIS 2026'!$AA$3:$AA$895,'MIS 2026'!$P$3:$P$895))</f>
        <v/>
      </c>
      <c r="K31" s="419" t="str">
        <f>IF(B31="","",_xlfn.XLOOKUP(B31,'MIS 2026'!$AA$3:$AA$895,'MIS 2026'!$R$3:$R$895))</f>
        <v/>
      </c>
      <c r="L31" s="419" t="str">
        <f>IF(B31="","",_xlfn.XLOOKUP(B31,'MIS 2026'!$AA$3:$AA$895,'MIS 2026'!$S$3:$S$895))</f>
        <v/>
      </c>
    </row>
    <row r="32" spans="1:12">
      <c r="A32" s="419" t="str">
        <f>IF(B32="","",_xlfn.XLOOKUP(B32,'MIS 2026'!$AA$3:$AA$895,'MIS 2026'!$A$3:$A$895))</f>
        <v/>
      </c>
      <c r="C32" s="419" t="str">
        <f>IF(B32="","",_xlfn.XLOOKUP(B32,'MIS 2026'!$AA$3:$AA$895,'MIS 2026'!$AB$3:$AB$895))</f>
        <v/>
      </c>
      <c r="D32" s="419" t="str">
        <f>IF(B32="","",_xlfn.XLOOKUP(B32,'MIS 2026'!$AA$3:$AA$895,'MIS 2026'!$T$3:$T$895))</f>
        <v/>
      </c>
      <c r="E32" s="446" t="str">
        <f>IF(B32="","",_xlfn.XLOOKUP(B32,'MIS 2026'!$AA$3:$AA$895,'MIS 2026'!$AD$3:$AD$895))</f>
        <v/>
      </c>
      <c r="F32" s="419"/>
      <c r="G32" s="419" t="str">
        <f>IF(B32="","",_xlfn.XLOOKUP(B32,'MIS 2026'!$AA$3:$AA$895,'MIS 2026'!$BI$3:$BI$895))</f>
        <v/>
      </c>
      <c r="H32" s="446" t="str">
        <f>IF(B32="","",_xlfn.XLOOKUP(B32,'MIS 2026'!$AA$3:$AA$895,'MIS 2026'!#REF!))</f>
        <v/>
      </c>
      <c r="I32" s="446" t="str">
        <f>IF(B32="","",_xlfn.XLOOKUP(B32,'MIS 2026'!$AA$3:$AA$895,'MIS 2026'!$BO$3:$BO$895))</f>
        <v/>
      </c>
      <c r="J32" s="419" t="str">
        <f>IF(B32="","",_xlfn.XLOOKUP(B32,'MIS 2026'!$AA$3:$AA$895,'MIS 2026'!$P$3:$P$895))</f>
        <v/>
      </c>
      <c r="K32" s="419" t="str">
        <f>IF(B32="","",_xlfn.XLOOKUP(B32,'MIS 2026'!$AA$3:$AA$895,'MIS 2026'!$R$3:$R$895))</f>
        <v/>
      </c>
      <c r="L32" s="419" t="str">
        <f>IF(B32="","",_xlfn.XLOOKUP(B32,'MIS 2026'!$AA$3:$AA$895,'MIS 2026'!$S$3:$S$895))</f>
        <v/>
      </c>
    </row>
    <row r="33" spans="1:12">
      <c r="A33" s="419" t="str">
        <f>IF(B33="","",_xlfn.XLOOKUP(B33,'MIS 2026'!$AA$3:$AA$895,'MIS 2026'!$A$3:$A$895))</f>
        <v/>
      </c>
      <c r="C33" s="419" t="str">
        <f>IF(B33="","",_xlfn.XLOOKUP(B33,'MIS 2026'!$AA$3:$AA$895,'MIS 2026'!$AB$3:$AB$895))</f>
        <v/>
      </c>
      <c r="D33" s="419" t="str">
        <f>IF(B33="","",_xlfn.XLOOKUP(B33,'MIS 2026'!$AA$3:$AA$895,'MIS 2026'!$T$3:$T$895))</f>
        <v/>
      </c>
      <c r="E33" s="446" t="str">
        <f>IF(B33="","",_xlfn.XLOOKUP(B33,'MIS 2026'!$AA$3:$AA$895,'MIS 2026'!$AD$3:$AD$895))</f>
        <v/>
      </c>
      <c r="F33" s="419"/>
      <c r="G33" s="419" t="str">
        <f>IF(B33="","",_xlfn.XLOOKUP(B33,'MIS 2026'!$AA$3:$AA$895,'MIS 2026'!$BI$3:$BI$895))</f>
        <v/>
      </c>
      <c r="H33" s="446" t="str">
        <f>IF(B33="","",_xlfn.XLOOKUP(B33,'MIS 2026'!$AA$3:$AA$895,'MIS 2026'!#REF!))</f>
        <v/>
      </c>
      <c r="I33" s="446" t="str">
        <f>IF(B33="","",_xlfn.XLOOKUP(B33,'MIS 2026'!$AA$3:$AA$895,'MIS 2026'!$BO$3:$BO$895))</f>
        <v/>
      </c>
      <c r="J33" s="419" t="str">
        <f>IF(B33="","",_xlfn.XLOOKUP(B33,'MIS 2026'!$AA$3:$AA$895,'MIS 2026'!$P$3:$P$895))</f>
        <v/>
      </c>
      <c r="K33" s="419" t="str">
        <f>IF(B33="","",_xlfn.XLOOKUP(B33,'MIS 2026'!$AA$3:$AA$895,'MIS 2026'!$R$3:$R$895))</f>
        <v/>
      </c>
      <c r="L33" s="419" t="str">
        <f>IF(B33="","",_xlfn.XLOOKUP(B33,'MIS 2026'!$AA$3:$AA$895,'MIS 2026'!$S$3:$S$895))</f>
        <v/>
      </c>
    </row>
    <row r="34" spans="1:12">
      <c r="A34" s="419" t="str">
        <f>IF(B34="","",_xlfn.XLOOKUP(B34,'MIS 2026'!$AA$3:$AA$895,'MIS 2026'!$A$3:$A$895))</f>
        <v/>
      </c>
      <c r="C34" s="419" t="str">
        <f>IF(B34="","",_xlfn.XLOOKUP(B34,'MIS 2026'!$AA$3:$AA$895,'MIS 2026'!$AB$3:$AB$895))</f>
        <v/>
      </c>
      <c r="D34" s="419" t="str">
        <f>IF(B34="","",_xlfn.XLOOKUP(B34,'MIS 2026'!$AA$3:$AA$895,'MIS 2026'!$T$3:$T$895))</f>
        <v/>
      </c>
      <c r="E34" s="446" t="str">
        <f>IF(B34="","",_xlfn.XLOOKUP(B34,'MIS 2026'!$AA$3:$AA$895,'MIS 2026'!$AD$3:$AD$895))</f>
        <v/>
      </c>
      <c r="F34" s="419"/>
      <c r="G34" s="419" t="str">
        <f>IF(B34="","",_xlfn.XLOOKUP(B34,'MIS 2026'!$AA$3:$AA$895,'MIS 2026'!$BI$3:$BI$895))</f>
        <v/>
      </c>
      <c r="H34" s="446" t="str">
        <f>IF(B34="","",_xlfn.XLOOKUP(B34,'MIS 2026'!$AA$3:$AA$895,'MIS 2026'!#REF!))</f>
        <v/>
      </c>
      <c r="I34" s="446" t="str">
        <f>IF(B34="","",_xlfn.XLOOKUP(B34,'MIS 2026'!$AA$3:$AA$895,'MIS 2026'!$BO$3:$BO$895))</f>
        <v/>
      </c>
      <c r="J34" s="419" t="str">
        <f>IF(B34="","",_xlfn.XLOOKUP(B34,'MIS 2026'!$AA$3:$AA$895,'MIS 2026'!$P$3:$P$895))</f>
        <v/>
      </c>
      <c r="K34" s="419" t="str">
        <f>IF(B34="","",_xlfn.XLOOKUP(B34,'MIS 2026'!$AA$3:$AA$895,'MIS 2026'!$R$3:$R$895))</f>
        <v/>
      </c>
      <c r="L34" s="419" t="str">
        <f>IF(B34="","",_xlfn.XLOOKUP(B34,'MIS 2026'!$AA$3:$AA$895,'MIS 2026'!$S$3:$S$895))</f>
        <v/>
      </c>
    </row>
    <row r="35" spans="1:12">
      <c r="A35" s="419" t="str">
        <f>IF(B35="","",_xlfn.XLOOKUP(B35,'MIS 2026'!$AA$3:$AA$895,'MIS 2026'!$A$3:$A$895))</f>
        <v/>
      </c>
      <c r="C35" s="419" t="str">
        <f>IF(B35="","",_xlfn.XLOOKUP(B35,'MIS 2026'!$AA$3:$AA$895,'MIS 2026'!$AB$3:$AB$895))</f>
        <v/>
      </c>
      <c r="D35" s="419" t="str">
        <f>IF(B35="","",_xlfn.XLOOKUP(B35,'MIS 2026'!$AA$3:$AA$895,'MIS 2026'!$T$3:$T$895))</f>
        <v/>
      </c>
      <c r="E35" s="446" t="str">
        <f>IF(B35="","",_xlfn.XLOOKUP(B35,'MIS 2026'!$AA$3:$AA$895,'MIS 2026'!$AD$3:$AD$895))</f>
        <v/>
      </c>
      <c r="F35" s="419"/>
      <c r="G35" s="419" t="str">
        <f>IF(B35="","",_xlfn.XLOOKUP(B35,'MIS 2026'!$AA$3:$AA$895,'MIS 2026'!$BI$3:$BI$895))</f>
        <v/>
      </c>
      <c r="H35" s="446" t="str">
        <f>IF(B35="","",_xlfn.XLOOKUP(B35,'MIS 2026'!$AA$3:$AA$895,'MIS 2026'!#REF!))</f>
        <v/>
      </c>
      <c r="I35" s="446" t="str">
        <f>IF(B35="","",_xlfn.XLOOKUP(B35,'MIS 2026'!$AA$3:$AA$895,'MIS 2026'!$BO$3:$BO$895))</f>
        <v/>
      </c>
      <c r="J35" s="419" t="str">
        <f>IF(B35="","",_xlfn.XLOOKUP(B35,'MIS 2026'!$AA$3:$AA$895,'MIS 2026'!$P$3:$P$895))</f>
        <v/>
      </c>
      <c r="K35" s="419" t="str">
        <f>IF(B35="","",_xlfn.XLOOKUP(B35,'MIS 2026'!$AA$3:$AA$895,'MIS 2026'!$R$3:$R$895))</f>
        <v/>
      </c>
      <c r="L35" s="419" t="str">
        <f>IF(B35="","",_xlfn.XLOOKUP(B35,'MIS 2026'!$AA$3:$AA$895,'MIS 2026'!$S$3:$S$895))</f>
        <v/>
      </c>
    </row>
    <row r="36" spans="1:12">
      <c r="A36" s="419" t="str">
        <f>IF(B36="","",_xlfn.XLOOKUP(B36,'MIS 2026'!$AA$3:$AA$895,'MIS 2026'!$A$3:$A$895))</f>
        <v/>
      </c>
      <c r="C36" s="419" t="str">
        <f>IF(B36="","",_xlfn.XLOOKUP(B36,'MIS 2026'!$AA$3:$AA$895,'MIS 2026'!$AB$3:$AB$895))</f>
        <v/>
      </c>
      <c r="D36" s="419" t="str">
        <f>IF(B36="","",_xlfn.XLOOKUP(B36,'MIS 2026'!$AA$3:$AA$895,'MIS 2026'!$T$3:$T$895))</f>
        <v/>
      </c>
      <c r="E36" s="446" t="str">
        <f>IF(B36="","",_xlfn.XLOOKUP(B36,'MIS 2026'!$AA$3:$AA$895,'MIS 2026'!$AD$3:$AD$895))</f>
        <v/>
      </c>
      <c r="F36" s="419"/>
      <c r="G36" s="419" t="str">
        <f>IF(B36="","",_xlfn.XLOOKUP(B36,'MIS 2026'!$AA$3:$AA$895,'MIS 2026'!$BI$3:$BI$895))</f>
        <v/>
      </c>
      <c r="H36" s="446" t="str">
        <f>IF(B36="","",_xlfn.XLOOKUP(B36,'MIS 2026'!$AA$3:$AA$895,'MIS 2026'!#REF!))</f>
        <v/>
      </c>
      <c r="I36" s="446" t="str">
        <f>IF(B36="","",_xlfn.XLOOKUP(B36,'MIS 2026'!$AA$3:$AA$895,'MIS 2026'!$BO$3:$BO$895))</f>
        <v/>
      </c>
      <c r="J36" s="419" t="str">
        <f>IF(B36="","",_xlfn.XLOOKUP(B36,'MIS 2026'!$AA$3:$AA$895,'MIS 2026'!$P$3:$P$895))</f>
        <v/>
      </c>
      <c r="K36" s="419" t="str">
        <f>IF(B36="","",_xlfn.XLOOKUP(B36,'MIS 2026'!$AA$3:$AA$895,'MIS 2026'!$R$3:$R$895))</f>
        <v/>
      </c>
      <c r="L36" s="419" t="str">
        <f>IF(B36="","",_xlfn.XLOOKUP(B36,'MIS 2026'!$AA$3:$AA$895,'MIS 2026'!$S$3:$S$895))</f>
        <v/>
      </c>
    </row>
    <row r="37" spans="1:12">
      <c r="A37" s="419" t="str">
        <f>IF(B37="","",_xlfn.XLOOKUP(B37,'MIS 2026'!$AA$3:$AA$895,'MIS 2026'!$A$3:$A$895))</f>
        <v/>
      </c>
      <c r="C37" s="419" t="str">
        <f>IF(B37="","",_xlfn.XLOOKUP(B37,'MIS 2026'!$AA$3:$AA$895,'MIS 2026'!$AB$3:$AB$895))</f>
        <v/>
      </c>
      <c r="D37" s="419" t="str">
        <f>IF(B37="","",_xlfn.XLOOKUP(B37,'MIS 2026'!$AA$3:$AA$895,'MIS 2026'!$T$3:$T$895))</f>
        <v/>
      </c>
      <c r="E37" s="446" t="str">
        <f>IF(B37="","",_xlfn.XLOOKUP(B37,'MIS 2026'!$AA$3:$AA$895,'MIS 2026'!$AD$3:$AD$895))</f>
        <v/>
      </c>
      <c r="F37" s="419"/>
      <c r="G37" s="419" t="str">
        <f>IF(B37="","",_xlfn.XLOOKUP(B37,'MIS 2026'!$AA$3:$AA$895,'MIS 2026'!$BI$3:$BI$895))</f>
        <v/>
      </c>
      <c r="H37" s="446" t="str">
        <f>IF(B37="","",_xlfn.XLOOKUP(B37,'MIS 2026'!$AA$3:$AA$895,'MIS 2026'!#REF!))</f>
        <v/>
      </c>
      <c r="I37" s="446" t="str">
        <f>IF(B37="","",_xlfn.XLOOKUP(B37,'MIS 2026'!$AA$3:$AA$895,'MIS 2026'!$BO$3:$BO$895))</f>
        <v/>
      </c>
      <c r="J37" s="419" t="str">
        <f>IF(B37="","",_xlfn.XLOOKUP(B37,'MIS 2026'!$AA$3:$AA$895,'MIS 2026'!$P$3:$P$895))</f>
        <v/>
      </c>
      <c r="K37" s="419" t="str">
        <f>IF(B37="","",_xlfn.XLOOKUP(B37,'MIS 2026'!$AA$3:$AA$895,'MIS 2026'!$R$3:$R$895))</f>
        <v/>
      </c>
      <c r="L37" s="419" t="str">
        <f>IF(B37="","",_xlfn.XLOOKUP(B37,'MIS 2026'!$AA$3:$AA$895,'MIS 2026'!$S$3:$S$895))</f>
        <v/>
      </c>
    </row>
    <row r="38" spans="1:12">
      <c r="A38" s="419" t="str">
        <f>IF(B38="","",_xlfn.XLOOKUP(B38,'MIS 2026'!$AA$3:$AA$895,'MIS 2026'!$A$3:$A$895))</f>
        <v/>
      </c>
      <c r="C38" s="419" t="str">
        <f>IF(B38="","",_xlfn.XLOOKUP(B38,'MIS 2026'!$AA$3:$AA$895,'MIS 2026'!$AB$3:$AB$895))</f>
        <v/>
      </c>
      <c r="D38" s="419" t="str">
        <f>IF(B38="","",_xlfn.XLOOKUP(B38,'MIS 2026'!$AA$3:$AA$895,'MIS 2026'!$T$3:$T$895))</f>
        <v/>
      </c>
      <c r="E38" s="446" t="str">
        <f>IF(B38="","",_xlfn.XLOOKUP(B38,'MIS 2026'!$AA$3:$AA$895,'MIS 2026'!$AD$3:$AD$895))</f>
        <v/>
      </c>
      <c r="F38" s="419"/>
      <c r="G38" s="419" t="str">
        <f>IF(B38="","",_xlfn.XLOOKUP(B38,'MIS 2026'!$AA$3:$AA$895,'MIS 2026'!$BI$3:$BI$895))</f>
        <v/>
      </c>
      <c r="H38" s="446" t="str">
        <f>IF(B38="","",_xlfn.XLOOKUP(B38,'MIS 2026'!$AA$3:$AA$895,'MIS 2026'!#REF!))</f>
        <v/>
      </c>
      <c r="I38" s="446" t="str">
        <f>IF(B38="","",_xlfn.XLOOKUP(B38,'MIS 2026'!$AA$3:$AA$895,'MIS 2026'!$BO$3:$BO$895))</f>
        <v/>
      </c>
      <c r="J38" s="419" t="str">
        <f>IF(B38="","",_xlfn.XLOOKUP(B38,'MIS 2026'!$AA$3:$AA$895,'MIS 2026'!$P$3:$P$895))</f>
        <v/>
      </c>
      <c r="K38" s="419" t="str">
        <f>IF(B38="","",_xlfn.XLOOKUP(B38,'MIS 2026'!$AA$3:$AA$895,'MIS 2026'!$R$3:$R$895))</f>
        <v/>
      </c>
      <c r="L38" s="419" t="str">
        <f>IF(B38="","",_xlfn.XLOOKUP(B38,'MIS 2026'!$AA$3:$AA$895,'MIS 2026'!$S$3:$S$895))</f>
        <v/>
      </c>
    </row>
    <row r="39" spans="1:12">
      <c r="A39" s="419" t="str">
        <f>IF(B39="","",_xlfn.XLOOKUP(B39,'MIS 2026'!$AA$3:$AA$895,'MIS 2026'!$A$3:$A$895))</f>
        <v/>
      </c>
      <c r="C39" s="419" t="str">
        <f>IF(B39="","",_xlfn.XLOOKUP(B39,'MIS 2026'!$AA$3:$AA$895,'MIS 2026'!$AB$3:$AB$895))</f>
        <v/>
      </c>
      <c r="D39" s="419" t="str">
        <f>IF(B39="","",_xlfn.XLOOKUP(B39,'MIS 2026'!$AA$3:$AA$895,'MIS 2026'!$T$3:$T$895))</f>
        <v/>
      </c>
      <c r="E39" s="446" t="str">
        <f>IF(B39="","",_xlfn.XLOOKUP(B39,'MIS 2026'!$AA$3:$AA$895,'MIS 2026'!$AD$3:$AD$895))</f>
        <v/>
      </c>
      <c r="F39" s="419"/>
      <c r="G39" s="419" t="str">
        <f>IF(B39="","",_xlfn.XLOOKUP(B39,'MIS 2026'!$AA$3:$AA$895,'MIS 2026'!$BI$3:$BI$895))</f>
        <v/>
      </c>
      <c r="H39" s="446" t="str">
        <f>IF(B39="","",_xlfn.XLOOKUP(B39,'MIS 2026'!$AA$3:$AA$895,'MIS 2026'!#REF!))</f>
        <v/>
      </c>
      <c r="I39" s="446" t="str">
        <f>IF(B39="","",_xlfn.XLOOKUP(B39,'MIS 2026'!$AA$3:$AA$895,'MIS 2026'!$BO$3:$BO$895))</f>
        <v/>
      </c>
      <c r="J39" s="419" t="str">
        <f>IF(B39="","",_xlfn.XLOOKUP(B39,'MIS 2026'!$AA$3:$AA$895,'MIS 2026'!$P$3:$P$895))</f>
        <v/>
      </c>
      <c r="K39" s="419" t="str">
        <f>IF(B39="","",_xlfn.XLOOKUP(B39,'MIS 2026'!$AA$3:$AA$895,'MIS 2026'!$R$3:$R$895))</f>
        <v/>
      </c>
      <c r="L39" s="419" t="str">
        <f>IF(B39="","",_xlfn.XLOOKUP(B39,'MIS 2026'!$AA$3:$AA$895,'MIS 2026'!$S$3:$S$895))</f>
        <v/>
      </c>
    </row>
  </sheetData>
  <autoFilter ref="A2:L16" xr:uid="{CD0469FA-7D16-4CDA-ADFD-CFDB2EA9A3AB}"/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E219-2DB0-4F50-92FC-DA522A9B727C}">
  <sheetPr filterMode="1"/>
  <dimension ref="A1:M39"/>
  <sheetViews>
    <sheetView topLeftCell="C1" workbookViewId="0">
      <selection activeCell="B3" sqref="B3"/>
    </sheetView>
  </sheetViews>
  <sheetFormatPr defaultRowHeight="14.45"/>
  <cols>
    <col min="1" max="1" width="27.5703125" bestFit="1" customWidth="1"/>
    <col min="2" max="2" width="11.42578125" bestFit="1" customWidth="1"/>
    <col min="3" max="3" width="45" customWidth="1"/>
    <col min="4" max="4" width="60.5703125" customWidth="1"/>
    <col min="5" max="5" width="41.85546875" customWidth="1"/>
    <col min="6" max="6" width="11.28515625" customWidth="1"/>
    <col min="7" max="7" width="46.85546875" bestFit="1" customWidth="1"/>
    <col min="8" max="8" width="18.28515625" bestFit="1" customWidth="1"/>
    <col min="11" max="11" width="29.7109375" bestFit="1" customWidth="1"/>
    <col min="12" max="12" width="27.85546875" bestFit="1" customWidth="1"/>
  </cols>
  <sheetData>
    <row r="1" spans="1:13">
      <c r="A1" s="703" t="s">
        <v>1061</v>
      </c>
      <c r="B1" s="703"/>
      <c r="C1" s="703"/>
      <c r="D1" s="703"/>
      <c r="E1" s="703"/>
    </row>
    <row r="2" spans="1:13">
      <c r="A2" s="443" t="s">
        <v>1055</v>
      </c>
      <c r="B2" s="443" t="s">
        <v>1056</v>
      </c>
      <c r="C2" s="443" t="s">
        <v>915</v>
      </c>
      <c r="D2" s="443"/>
      <c r="E2" s="444" t="s">
        <v>1057</v>
      </c>
      <c r="F2" s="443" t="s">
        <v>48</v>
      </c>
      <c r="G2" s="445" t="s">
        <v>1058</v>
      </c>
      <c r="H2" s="443" t="s">
        <v>916</v>
      </c>
      <c r="I2" s="443" t="s">
        <v>917</v>
      </c>
      <c r="J2" s="443" t="s">
        <v>34</v>
      </c>
      <c r="K2" s="443" t="s">
        <v>919</v>
      </c>
      <c r="L2" s="443" t="s">
        <v>920</v>
      </c>
      <c r="M2" s="443" t="s">
        <v>921</v>
      </c>
    </row>
    <row r="3" spans="1:13" hidden="1">
      <c r="A3" s="419" t="str">
        <f>IF(B3="","",_xlfn.XLOOKUP(B3,'MIS 2026'!$AA$3:$AA$895,'MIS 2026'!$A$3:$A$895))</f>
        <v>SI Sent, Shipment Awaited</v>
      </c>
      <c r="B3" s="419" cm="1">
        <f t="array" ref="B3:B10">_xlfn.UNIQUE(_xlfn._xlws.FILTER('MIS 2026'!$F$3:$F$895,('MIS 2026'!$T$3:$T$895&lt;&gt;"")*ISNUMBER(SEARCH("BURKINA",'MIS 2026'!$I$3:$I$895))))</f>
        <v>32016244</v>
      </c>
      <c r="C3" s="419" t="str">
        <f>IF(B3="","",_xlfn.XLOOKUP(B3,'MIS 2026'!$AA$3:$AA$895,'MIS 2026'!$AB$3:$AB$895))</f>
        <v>INDIA ENTERPRISES</v>
      </c>
      <c r="D3" s="419" t="str">
        <f>IF(B3="","",_xlfn.XLOOKUP(B3,'MIS 2026'!$AA$3:$AA$895,'MIS 2026'!$BP$3:$BP$895))</f>
        <v>LOME, TOGO</v>
      </c>
      <c r="E3" s="419" t="str">
        <f>IF(B3="","",_xlfn.XLOOKUP(B3,'MIS 2026'!$AA$3:$AA$895,'MIS 2026'!$T$3:$T$895))</f>
        <v xml:space="preserve">Gated IN, SOB Awaited( ETD 1 / 2 WEEK OF JUNE) - </v>
      </c>
      <c r="F3" s="446">
        <f>IF(B3="","",_xlfn.XLOOKUP(B3,'MIS 2026'!$AA$3:$AA$895,'MIS 2026'!$AD$3:$AD$895))</f>
        <v>46142</v>
      </c>
      <c r="G3" s="419"/>
      <c r="H3" s="419">
        <f>IF(B3="","",_xlfn.XLOOKUP(B3,'MIS 2026'!$AA$3:$AA$895,'MIS 2026'!$BI$3:$BI$895))</f>
        <v>0</v>
      </c>
      <c r="I3" s="446" t="e">
        <f>IF(B3="","",_xlfn.XLOOKUP(B3,'MIS 2026'!$AA$3:$AA$895,'MIS 2026'!#REF!))</f>
        <v>#REF!</v>
      </c>
      <c r="J3" s="446">
        <f>IF(B3="","",_xlfn.XLOOKUP(B3,'MIS 2026'!$AA$3:$AA$895,'MIS 2026'!$BO$3:$BO$895))</f>
        <v>0</v>
      </c>
      <c r="K3" s="419" t="str">
        <f>IF(B3="","",_xlfn.XLOOKUP(B3,'MIS 2026'!$AA$3:$AA$895,'MIS 2026'!$P$3:$P$895))</f>
        <v>No OBL Yet</v>
      </c>
      <c r="L3" s="419" t="str">
        <f>IF(B3="","",_xlfn.XLOOKUP(B3,'MIS 2026'!$AA$3:$AA$895,'MIS 2026'!$R$3:$R$895))</f>
        <v>No CERTS Yet</v>
      </c>
      <c r="M3" s="419" t="str">
        <f>IF(B3="","",_xlfn.XLOOKUP(B3,'MIS 2026'!$AA$3:$AA$895,'MIS 2026'!$S$3:$S$895))</f>
        <v/>
      </c>
    </row>
    <row r="4" spans="1:13">
      <c r="A4" s="419" t="str">
        <f>IF(B4="","",_xlfn.XLOOKUP(B4,'MIS 2026'!$AA$3:$AA$895,'MIS 2026'!$A$3:$A$895))</f>
        <v>SI Sent, Shipment Awaited</v>
      </c>
      <c r="B4" s="419">
        <v>32016284</v>
      </c>
      <c r="C4" s="419" t="str">
        <f>IF(B4="","",_xlfn.XLOOKUP(B4,'MIS 2026'!$AA$3:$AA$895,'MIS 2026'!$AB$3:$AB$895))</f>
        <v>VIET AGRO PTE LTD</v>
      </c>
      <c r="D4" s="419" t="str">
        <f>IF(B4="","",_xlfn.XLOOKUP(B4,'MIS 2026'!$AA$3:$AA$895,'MIS 2026'!$BP$3:$BP$895))</f>
        <v>LOME, TOGO</v>
      </c>
      <c r="E4" s="419" t="str">
        <f>IF(B4="","",_xlfn.XLOOKUP(B4,'MIS 2026'!$AA$3:$AA$895,'MIS 2026'!$T$3:$T$895))</f>
        <v xml:space="preserve">Gated IN, SOB Awaited( ETD 1/2 WEEK OF JUNE) </v>
      </c>
      <c r="F4" s="446">
        <f>IF(B4="","",_xlfn.XLOOKUP(B4,'MIS 2026'!$AA$3:$AA$895,'MIS 2026'!$AD$3:$AD$895))</f>
        <v>46142</v>
      </c>
      <c r="G4" s="419" t="s">
        <v>1064</v>
      </c>
      <c r="H4" s="419">
        <f>IF(B4="","",_xlfn.XLOOKUP(B4,'MIS 2026'!$AA$3:$AA$895,'MIS 2026'!$BI$3:$BI$895))</f>
        <v>0</v>
      </c>
      <c r="I4" s="446" t="e">
        <f>IF(B4="","",_xlfn.XLOOKUP(B4,'MIS 2026'!$AA$3:$AA$895,'MIS 2026'!#REF!))</f>
        <v>#REF!</v>
      </c>
      <c r="J4" s="446">
        <f>IF(B4="","",_xlfn.XLOOKUP(B4,'MIS 2026'!$AA$3:$AA$895,'MIS 2026'!$BO$3:$BO$895))</f>
        <v>0</v>
      </c>
      <c r="K4" s="419" t="str">
        <f>IF(B4="","",_xlfn.XLOOKUP(B4,'MIS 2026'!$AA$3:$AA$895,'MIS 2026'!$P$3:$P$895))</f>
        <v>No OBL Yet</v>
      </c>
      <c r="L4" s="419" t="str">
        <f>IF(B4="","",_xlfn.XLOOKUP(B4,'MIS 2026'!$AA$3:$AA$895,'MIS 2026'!$R$3:$R$895))</f>
        <v>No CERTS Yet</v>
      </c>
      <c r="M4" s="419" t="str">
        <f>IF(B4="","",_xlfn.XLOOKUP(B4,'MIS 2026'!$AA$3:$AA$895,'MIS 2026'!$S$3:$S$895))</f>
        <v/>
      </c>
    </row>
    <row r="5" spans="1:13">
      <c r="A5" s="419" t="str">
        <f>IF(B5="","",_xlfn.XLOOKUP(B5,'MIS 2026'!$AA$3:$AA$895,'MIS 2026'!$A$3:$A$895))</f>
        <v>Exp Dox Presented to Bank, Pmt Pending</v>
      </c>
      <c r="B5" s="419">
        <v>32015966</v>
      </c>
      <c r="C5" s="419" t="str">
        <f>IF(B5="","",_xlfn.XLOOKUP(B5,'MIS 2026'!$AA$3:$AA$895,'MIS 2026'!$AB$3:$AB$895))</f>
        <v xml:space="preserve">VALENCY AGRO //GST//Himani Cashew   </v>
      </c>
      <c r="D5" s="419" t="str">
        <f>IF(B5="","",_xlfn.XLOOKUP(B5,'MIS 2026'!$AA$3:$AA$895,'MIS 2026'!$BP$3:$BP$895))</f>
        <v>TEMA, GHANA</v>
      </c>
      <c r="E5" s="419" t="str">
        <f>IF(B5="","",_xlfn.XLOOKUP(B5,'MIS 2026'!$AA$3:$AA$895,'MIS 2026'!$T$3:$T$895))</f>
        <v>LDC&amp;PHYTO PENDING</v>
      </c>
      <c r="F5" s="446">
        <f>IF(B5="","",_xlfn.XLOOKUP(B5,'MIS 2026'!$AA$3:$AA$895,'MIS 2026'!$AD$3:$AD$895))</f>
        <v>46142</v>
      </c>
      <c r="G5" s="419" t="s">
        <v>1065</v>
      </c>
      <c r="H5" s="419" t="str">
        <f>IF(B5="","",_xlfn.XLOOKUP(B5,'MIS 2026'!$AA$3:$AA$895,'MIS 2026'!$BI$3:$BI$895))</f>
        <v>MEDUTM440722</v>
      </c>
      <c r="I5" s="446" t="e">
        <f>IF(B5="","",_xlfn.XLOOKUP(B5,'MIS 2026'!$AA$3:$AA$895,'MIS 2026'!#REF!))</f>
        <v>#REF!</v>
      </c>
      <c r="J5" s="446">
        <f>IF(B5="","",_xlfn.XLOOKUP(B5,'MIS 2026'!$AA$3:$AA$895,'MIS 2026'!$BO$3:$BO$895))</f>
        <v>46176</v>
      </c>
      <c r="K5" s="419" t="str">
        <f>IF(B5="","",_xlfn.XLOOKUP(B5,'MIS 2026'!$AA$3:$AA$895,'MIS 2026'!$P$3:$P$895))</f>
        <v>OBL in Transit with Nego Docs - INDIA</v>
      </c>
      <c r="L5" s="419" t="str">
        <f>IF(B5="","",_xlfn.XLOOKUP(B5,'MIS 2026'!$AA$3:$AA$895,'MIS 2026'!$R$3:$R$895))</f>
        <v>CERT in Origin - BURKINA FASO</v>
      </c>
      <c r="M5" s="419" t="str">
        <f>IF(B5="","",_xlfn.XLOOKUP(B5,'MIS 2026'!$AA$3:$AA$895,'MIS 2026'!$S$3:$S$895))</f>
        <v>Docs in Our Nego Bank</v>
      </c>
    </row>
    <row r="6" spans="1:13">
      <c r="A6" s="419" t="str">
        <f>IF(B6="","",_xlfn.XLOOKUP(B6,'MIS 2026'!$AA$3:$AA$895,'MIS 2026'!$A$3:$A$895))</f>
        <v>Exp Dox Presented to Bank, Pmt Pending</v>
      </c>
      <c r="B6" s="419">
        <v>32015794</v>
      </c>
      <c r="C6" s="419" t="str">
        <f>IF(B6="","",_xlfn.XLOOKUP(B6,'MIS 2026'!$AA$3:$AA$895,'MIS 2026'!$AB$3:$AB$895))</f>
        <v>NGOC KHANG</v>
      </c>
      <c r="D6" s="419" t="str">
        <f>IF(B6="","",_xlfn.XLOOKUP(B6,'MIS 2026'!$AA$3:$AA$895,'MIS 2026'!$BP$3:$BP$895))</f>
        <v>TEMA, GHANA</v>
      </c>
      <c r="E6" s="419" t="str">
        <f>IF(B6="","",_xlfn.XLOOKUP(B6,'MIS 2026'!$AA$3:$AA$895,'MIS 2026'!$T$3:$T$895))</f>
        <v>CERT PENDING</v>
      </c>
      <c r="F6" s="446">
        <f>IF(B6="","",_xlfn.XLOOKUP(B6,'MIS 2026'!$AA$3:$AA$895,'MIS 2026'!$AD$3:$AD$895))</f>
        <v>46142</v>
      </c>
      <c r="G6" s="419" t="s">
        <v>1065</v>
      </c>
      <c r="H6" s="419" t="str">
        <f>IF(B6="","",_xlfn.XLOOKUP(B6,'MIS 2026'!$AA$3:$AA$895,'MIS 2026'!$BI$3:$BI$895))</f>
        <v>TMA0159516</v>
      </c>
      <c r="I6" s="446" t="e">
        <f>IF(B6="","",_xlfn.XLOOKUP(B6,'MIS 2026'!$AA$3:$AA$895,'MIS 2026'!#REF!))</f>
        <v>#REF!</v>
      </c>
      <c r="J6" s="446">
        <f>IF(B6="","",_xlfn.XLOOKUP(B6,'MIS 2026'!$AA$3:$AA$895,'MIS 2026'!$BO$3:$BO$895))</f>
        <v>46181</v>
      </c>
      <c r="K6" s="419" t="str">
        <f>IF(B6="","",_xlfn.XLOOKUP(B6,'MIS 2026'!$AA$3:$AA$895,'MIS 2026'!$P$3:$P$895))</f>
        <v>OBL in SIG Office</v>
      </c>
      <c r="L6" s="419" t="str">
        <f>IF(B6="","",_xlfn.XLOOKUP(B6,'MIS 2026'!$AA$3:$AA$895,'MIS 2026'!$R$3:$R$895))</f>
        <v>CERT in Origin - BURKINA FASO</v>
      </c>
      <c r="M6" s="419" t="str">
        <f>IF(B6="","",_xlfn.XLOOKUP(B6,'MIS 2026'!$AA$3:$AA$895,'MIS 2026'!$S$3:$S$895))</f>
        <v>Docs in Transit to Buyer's Nego Bank</v>
      </c>
    </row>
    <row r="7" spans="1:13">
      <c r="A7" s="419" t="str">
        <f>IF(B7="","",_xlfn.XLOOKUP(B7,'MIS 2026'!$AA$3:$AA$895,'MIS 2026'!$A$3:$A$895))</f>
        <v>Sailed, OBL &amp; Certs Pending</v>
      </c>
      <c r="B7" s="419">
        <v>32016296</v>
      </c>
      <c r="C7" s="419" t="str">
        <f>IF(B7="","",_xlfn.XLOOKUP(B7,'MIS 2026'!$AA$3:$AA$895,'MIS 2026'!$AB$3:$AB$895))</f>
        <v>VALENCY AGRO/GST/REHAN CASHEW PROCESSING</v>
      </c>
      <c r="D7" s="419" t="str">
        <f>IF(B7="","",_xlfn.XLOOKUP(B7,'MIS 2026'!$AA$3:$AA$895,'MIS 2026'!$BP$3:$BP$895))</f>
        <v>LOME, TOGO</v>
      </c>
      <c r="E7" s="419" t="str">
        <f>IF(B7="","",_xlfn.XLOOKUP(B7,'MIS 2026'!$AA$3:$AA$895,'MIS 2026'!$T$3:$T$895))</f>
        <v>Gated IN, SOB Awaited( ETD 1 WEEK OF JUNE)</v>
      </c>
      <c r="F7" s="446">
        <f>IF(B7="","",_xlfn.XLOOKUP(B7,'MIS 2026'!$AA$3:$AA$895,'MIS 2026'!$AD$3:$AD$895))</f>
        <v>46142</v>
      </c>
      <c r="G7" s="419" t="s">
        <v>1066</v>
      </c>
      <c r="H7" s="419" t="str">
        <f>IF(B7="","",_xlfn.XLOOKUP(B7,'MIS 2026'!$AA$3:$AA$895,'MIS 2026'!$BI$3:$BI$895))</f>
        <v>MEDULO441793</v>
      </c>
      <c r="I7" s="446" t="e">
        <f>IF(B7="","",_xlfn.XLOOKUP(B7,'MIS 2026'!$AA$3:$AA$895,'MIS 2026'!#REF!))</f>
        <v>#REF!</v>
      </c>
      <c r="J7" s="446">
        <f>IF(B7="","",_xlfn.XLOOKUP(B7,'MIS 2026'!$AA$3:$AA$895,'MIS 2026'!$BO$3:$BO$895))</f>
        <v>46204</v>
      </c>
      <c r="K7" s="419" t="str">
        <f>IF(B7="","",_xlfn.XLOOKUP(B7,'MIS 2026'!$AA$3:$AA$895,'MIS 2026'!$P$3:$P$895))</f>
        <v>Draft Rcvd</v>
      </c>
      <c r="L7" s="419" t="str">
        <f>IF(B7="","",_xlfn.XLOOKUP(B7,'MIS 2026'!$AA$3:$AA$895,'MIS 2026'!$R$3:$R$895))</f>
        <v>No CERTS Yet</v>
      </c>
      <c r="M7" s="419" t="str">
        <f>IF(B7="","",_xlfn.XLOOKUP(B7,'MIS 2026'!$AA$3:$AA$895,'MIS 2026'!$S$3:$S$895))</f>
        <v/>
      </c>
    </row>
    <row r="8" spans="1:13" hidden="1">
      <c r="A8" s="419" t="str">
        <f>IF(B8="","",_xlfn.XLOOKUP(B8,'MIS 2026'!$AA$3:$AA$895,'MIS 2026'!$A$3:$A$895))</f>
        <v>SI Sent, Shipment Awaited</v>
      </c>
      <c r="B8" s="419" t="str">
        <v>TBA 08</v>
      </c>
      <c r="C8" s="419" t="str">
        <f>IF(B8="","",_xlfn.XLOOKUP(B8,'MIS 2026'!$AA$3:$AA$895,'MIS 2026'!$AB$3:$AB$895))</f>
        <v>VALENCY AGRO UNSOLD</v>
      </c>
      <c r="D8" s="419" t="str">
        <f>IF(B8="","",_xlfn.XLOOKUP(B8,'MIS 2026'!$AA$3:$AA$895,'MIS 2026'!$BP$3:$BP$895))</f>
        <v>LOME, TOGO</v>
      </c>
      <c r="E8" s="419" t="str">
        <f>IF(B8="","",_xlfn.XLOOKUP(B8,'MIS 2026'!$AA$3:$AA$895,'MIS 2026'!$T$3:$T$895))</f>
        <v>LATEST SOB UPDATE, 2ND WEEK OF JUNE</v>
      </c>
      <c r="F8" s="446">
        <f>IF(B8="","",_xlfn.XLOOKUP(B8,'MIS 2026'!$AA$3:$AA$895,'MIS 2026'!$AD$3:$AD$895))</f>
        <v>46173</v>
      </c>
      <c r="G8" s="419"/>
      <c r="H8" s="419">
        <f>IF(B8="","",_xlfn.XLOOKUP(B8,'MIS 2026'!$AA$3:$AA$895,'MIS 2026'!$BI$3:$BI$895))</f>
        <v>0</v>
      </c>
      <c r="I8" s="446" t="e">
        <f>IF(B8="","",_xlfn.XLOOKUP(B8,'MIS 2026'!$AA$3:$AA$895,'MIS 2026'!#REF!))</f>
        <v>#REF!</v>
      </c>
      <c r="J8" s="446">
        <f>IF(B8="","",_xlfn.XLOOKUP(B8,'MIS 2026'!$AA$3:$AA$895,'MIS 2026'!$BO$3:$BO$895))</f>
        <v>0</v>
      </c>
      <c r="K8" s="419" t="str">
        <f>IF(B8="","",_xlfn.XLOOKUP(B8,'MIS 2026'!$AA$3:$AA$895,'MIS 2026'!$P$3:$P$895))</f>
        <v>No OBL Yet</v>
      </c>
      <c r="L8" s="419" t="str">
        <f>IF(B8="","",_xlfn.XLOOKUP(B8,'MIS 2026'!$AA$3:$AA$895,'MIS 2026'!$R$3:$R$895))</f>
        <v>No CERTS Yet</v>
      </c>
      <c r="M8" s="419" t="str">
        <f>IF(B8="","",_xlfn.XLOOKUP(B8,'MIS 2026'!$AA$3:$AA$895,'MIS 2026'!$S$3:$S$895))</f>
        <v/>
      </c>
    </row>
    <row r="9" spans="1:13" hidden="1">
      <c r="A9" s="419" t="str">
        <f>IF(B9="","",_xlfn.XLOOKUP(B9,'MIS 2026'!$AA$3:$AA$895,'MIS 2026'!$A$3:$A$895))</f>
        <v>SI Sent, Shipment Awaited</v>
      </c>
      <c r="B9" s="419" t="str">
        <v>TBA 17</v>
      </c>
      <c r="C9" s="419" t="str">
        <f>IF(B9="","",_xlfn.XLOOKUP(B9,'MIS 2026'!$AA$3:$AA$895,'MIS 2026'!$AB$3:$AB$895))</f>
        <v>VALENCY VIETNAM UNSOLD</v>
      </c>
      <c r="D9" s="419" t="str">
        <f>IF(B9="","",_xlfn.XLOOKUP(B9,'MIS 2026'!$AA$3:$AA$895,'MIS 2026'!$BP$3:$BP$895))</f>
        <v>TEMA, GHANA</v>
      </c>
      <c r="E9" s="419" t="str">
        <f>IF(B9="","",_xlfn.XLOOKUP(B9,'MIS 2026'!$AA$3:$AA$895,'MIS 2026'!$T$3:$T$895))</f>
        <v>ETD: 29/5 ; ATHENS BRIDGE</v>
      </c>
      <c r="F9" s="446">
        <f>IF(B9="","",_xlfn.XLOOKUP(B9,'MIS 2026'!$AA$3:$AA$895,'MIS 2026'!$AD$3:$AD$895))</f>
        <v>46173</v>
      </c>
      <c r="G9" s="419"/>
      <c r="H9" s="419">
        <f>IF(B9="","",_xlfn.XLOOKUP(B9,'MIS 2026'!$AA$3:$AA$895,'MIS 2026'!$BI$3:$BI$895))</f>
        <v>0</v>
      </c>
      <c r="I9" s="446" t="e">
        <f>IF(B9="","",_xlfn.XLOOKUP(B9,'MIS 2026'!$AA$3:$AA$895,'MIS 2026'!#REF!))</f>
        <v>#REF!</v>
      </c>
      <c r="J9" s="446">
        <f>IF(B9="","",_xlfn.XLOOKUP(B9,'MIS 2026'!$AA$3:$AA$895,'MIS 2026'!$BO$3:$BO$895))</f>
        <v>0</v>
      </c>
      <c r="K9" s="419" t="str">
        <f>IF(B9="","",_xlfn.XLOOKUP(B9,'MIS 2026'!$AA$3:$AA$895,'MIS 2026'!$P$3:$P$895))</f>
        <v>No OBL Yet</v>
      </c>
      <c r="L9" s="419" t="str">
        <f>IF(B9="","",_xlfn.XLOOKUP(B9,'MIS 2026'!$AA$3:$AA$895,'MIS 2026'!$R$3:$R$895))</f>
        <v>No CERTS Yet</v>
      </c>
      <c r="M9" s="419" t="str">
        <f>IF(B9="","",_xlfn.XLOOKUP(B9,'MIS 2026'!$AA$3:$AA$895,'MIS 2026'!$S$3:$S$895))</f>
        <v/>
      </c>
    </row>
    <row r="10" spans="1:13" hidden="1">
      <c r="A10" s="419" t="str">
        <f>IF(B10="","",_xlfn.XLOOKUP(B10,'MIS 2026'!$AA$3:$AA$895,'MIS 2026'!$A$3:$A$895))</f>
        <v>Sailed, OBL &amp; Certs Pending</v>
      </c>
      <c r="B10" s="419" t="str">
        <v>TBA 16</v>
      </c>
      <c r="C10" s="419" t="str">
        <f>IF(B10="","",_xlfn.XLOOKUP(B10,'MIS 2026'!$AA$3:$AA$895,'MIS 2026'!$AB$3:$AB$895))</f>
        <v>VALENCY AGRO UNSOLD</v>
      </c>
      <c r="D10" s="419" t="str">
        <f>IF(B10="","",_xlfn.XLOOKUP(B10,'MIS 2026'!$AA$3:$AA$895,'MIS 2026'!$BP$3:$BP$895))</f>
        <v>TEMA, GHANA</v>
      </c>
      <c r="E10" s="419" t="str">
        <f>IF(B10="","",_xlfn.XLOOKUP(B10,'MIS 2026'!$AA$3:$AA$895,'MIS 2026'!$T$3:$T$895))</f>
        <v>ETD: 22/5 ; MEARSK CAIRO</v>
      </c>
      <c r="F10" s="446">
        <f>IF(B10="","",_xlfn.XLOOKUP(B10,'MIS 2026'!$AA$3:$AA$895,'MIS 2026'!$AD$3:$AD$895))</f>
        <v>46173</v>
      </c>
      <c r="G10" s="419"/>
      <c r="H10" s="419">
        <f>IF(B10="","",_xlfn.XLOOKUP(B10,'MIS 2026'!$AA$3:$AA$895,'MIS 2026'!$BI$3:$BI$895))</f>
        <v>270340532</v>
      </c>
      <c r="I10" s="446" t="e">
        <f>IF(B10="","",_xlfn.XLOOKUP(B10,'MIS 2026'!$AA$3:$AA$895,'MIS 2026'!#REF!))</f>
        <v>#REF!</v>
      </c>
      <c r="J10" s="446">
        <f>IF(B10="","",_xlfn.XLOOKUP(B10,'MIS 2026'!$AA$3:$AA$895,'MIS 2026'!$BO$3:$BO$895))</f>
        <v>46199</v>
      </c>
      <c r="K10" s="419" t="str">
        <f>IF(B10="","",_xlfn.XLOOKUP(B10,'MIS 2026'!$AA$3:$AA$895,'MIS 2026'!$P$3:$P$895))</f>
        <v>Draft Rcvd</v>
      </c>
      <c r="L10" s="419" t="str">
        <f>IF(B10="","",_xlfn.XLOOKUP(B10,'MIS 2026'!$AA$3:$AA$895,'MIS 2026'!$R$3:$R$895))</f>
        <v>No CERTS Yet</v>
      </c>
      <c r="M10" s="419" t="str">
        <f>IF(B10="","",_xlfn.XLOOKUP(B10,'MIS 2026'!$AA$3:$AA$895,'MIS 2026'!$S$3:$S$895))</f>
        <v/>
      </c>
    </row>
    <row r="11" spans="1:13">
      <c r="A11" s="419" t="str">
        <f>IF(B11="","",_xlfn.XLOOKUP(B11,'MIS 2026'!$AA$3:$AA$895,'MIS 2026'!$A$3:$A$895))</f>
        <v/>
      </c>
      <c r="B11" s="419"/>
      <c r="C11" s="419" t="str">
        <f>IF(B11="","",_xlfn.XLOOKUP(B11,'MIS 2026'!$AA$3:$AA$895,'MIS 2026'!$AB$3:$AB$895))</f>
        <v/>
      </c>
      <c r="D11" s="419" t="str">
        <f>IF(B11="","",_xlfn.XLOOKUP(B11,'MIS 2026'!$AA$3:$AA$895,'MIS 2026'!$BP$3:$BP$895))</f>
        <v/>
      </c>
      <c r="E11" s="419" t="str">
        <f>IF(B11="","",_xlfn.XLOOKUP(B11,'MIS 2026'!$AA$3:$AA$895,'MIS 2026'!$T$3:$T$895))</f>
        <v/>
      </c>
      <c r="F11" s="446" t="str">
        <f>IF(B11="","",_xlfn.XLOOKUP(B11,'MIS 2026'!$AA$3:$AA$895,'MIS 2026'!$AD$3:$AD$895))</f>
        <v/>
      </c>
      <c r="G11" s="419" t="s">
        <v>1067</v>
      </c>
      <c r="H11" s="419" t="str">
        <f>IF(B11="","",_xlfn.XLOOKUP(B11,'MIS 2026'!$AA$3:$AA$895,'MIS 2026'!$BI$3:$BI$895))</f>
        <v/>
      </c>
      <c r="I11" s="446" t="str">
        <f>IF(B11="","",_xlfn.XLOOKUP(B11,'MIS 2026'!$AA$3:$AA$895,'MIS 2026'!#REF!))</f>
        <v/>
      </c>
      <c r="J11" s="446" t="str">
        <f>IF(B11="","",_xlfn.XLOOKUP(B11,'MIS 2026'!$AA$3:$AA$895,'MIS 2026'!$BO$3:$BO$895))</f>
        <v/>
      </c>
      <c r="K11" s="419" t="str">
        <f>IF(B11="","",_xlfn.XLOOKUP(B11,'MIS 2026'!$AA$3:$AA$895,'MIS 2026'!$P$3:$P$895))</f>
        <v/>
      </c>
      <c r="L11" s="419" t="str">
        <f>IF(B11="","",_xlfn.XLOOKUP(B11,'MIS 2026'!$AA$3:$AA$895,'MIS 2026'!$R$3:$R$895))</f>
        <v/>
      </c>
      <c r="M11" s="419" t="str">
        <f>IF(B11="","",_xlfn.XLOOKUP(B11,'MIS 2026'!$AA$3:$AA$895,'MIS 2026'!$S$3:$S$895))</f>
        <v/>
      </c>
    </row>
    <row r="12" spans="1:13">
      <c r="A12" s="419" t="str">
        <f>IF(B12="","",_xlfn.XLOOKUP(B12,'MIS 2026'!$AA$3:$AA$895,'MIS 2026'!$A$3:$A$895))</f>
        <v/>
      </c>
      <c r="B12" s="419"/>
      <c r="C12" s="419" t="str">
        <f>IF(B12="","",_xlfn.XLOOKUP(B12,'MIS 2026'!$AA$3:$AA$895,'MIS 2026'!$AB$3:$AB$895))</f>
        <v/>
      </c>
      <c r="D12" s="419" t="str">
        <f>IF(B12="","",_xlfn.XLOOKUP(B12,'MIS 2026'!$AA$3:$AA$895,'MIS 2026'!$BP$3:$BP$895))</f>
        <v/>
      </c>
      <c r="E12" s="419" t="str">
        <f>IF(B12="","",_xlfn.XLOOKUP(B12,'MIS 2026'!$AA$3:$AA$895,'MIS 2026'!$T$3:$T$895))</f>
        <v/>
      </c>
      <c r="F12" s="446" t="str">
        <f>IF(B12="","",_xlfn.XLOOKUP(B12,'MIS 2026'!$AA$3:$AA$895,'MIS 2026'!$AD$3:$AD$895))</f>
        <v/>
      </c>
      <c r="G12" s="419" t="s">
        <v>1068</v>
      </c>
      <c r="H12" s="419" t="str">
        <f>IF(B12="","",_xlfn.XLOOKUP(B12,'MIS 2026'!$AA$3:$AA$895,'MIS 2026'!$BI$3:$BI$895))</f>
        <v/>
      </c>
      <c r="I12" s="446" t="str">
        <f>IF(B12="","",_xlfn.XLOOKUP(B12,'MIS 2026'!$AA$3:$AA$895,'MIS 2026'!#REF!))</f>
        <v/>
      </c>
      <c r="J12" s="446" t="str">
        <f>IF(B12="","",_xlfn.XLOOKUP(B12,'MIS 2026'!$AA$3:$AA$895,'MIS 2026'!$BO$3:$BO$895))</f>
        <v/>
      </c>
      <c r="K12" s="419" t="str">
        <f>IF(B12="","",_xlfn.XLOOKUP(B12,'MIS 2026'!$AA$3:$AA$895,'MIS 2026'!$P$3:$P$895))</f>
        <v/>
      </c>
      <c r="L12" s="419" t="str">
        <f>IF(B12="","",_xlfn.XLOOKUP(B12,'MIS 2026'!$AA$3:$AA$895,'MIS 2026'!$R$3:$R$895))</f>
        <v/>
      </c>
      <c r="M12" s="419" t="str">
        <f>IF(B12="","",_xlfn.XLOOKUP(B12,'MIS 2026'!$AA$3:$AA$895,'MIS 2026'!$S$3:$S$895))</f>
        <v/>
      </c>
    </row>
    <row r="13" spans="1:13" hidden="1">
      <c r="A13" s="419" t="str">
        <f>IF(B13="","",_xlfn.XLOOKUP(B13,'MIS 2026'!$AA$3:$AA$895,'MIS 2026'!$A$3:$A$895))</f>
        <v/>
      </c>
      <c r="B13" s="419"/>
      <c r="C13" s="419" t="str">
        <f>IF(B13="","",_xlfn.XLOOKUP(B13,'MIS 2026'!$AA$3:$AA$895,'MIS 2026'!$AB$3:$AB$895))</f>
        <v/>
      </c>
      <c r="D13" s="419" t="str">
        <f>IF(B13="","",_xlfn.XLOOKUP(B13,'MIS 2026'!$AA$3:$AA$895,'MIS 2026'!$BP$3:$BP$895))</f>
        <v/>
      </c>
      <c r="E13" s="419" t="str">
        <f>IF(B13="","",_xlfn.XLOOKUP(B13,'MIS 2026'!$AA$3:$AA$895,'MIS 2026'!$T$3:$T$895))</f>
        <v/>
      </c>
      <c r="F13" s="446" t="str">
        <f>IF(B13="","",_xlfn.XLOOKUP(B13,'MIS 2026'!$AA$3:$AA$895,'MIS 2026'!$AD$3:$AD$895))</f>
        <v/>
      </c>
      <c r="G13" s="419"/>
      <c r="H13" s="419" t="str">
        <f>IF(B13="","",_xlfn.XLOOKUP(B13,'MIS 2026'!$AA$3:$AA$895,'MIS 2026'!$BI$3:$BI$895))</f>
        <v/>
      </c>
      <c r="I13" s="446" t="str">
        <f>IF(B13="","",_xlfn.XLOOKUP(B13,'MIS 2026'!$AA$3:$AA$895,'MIS 2026'!#REF!))</f>
        <v/>
      </c>
      <c r="J13" s="446" t="str">
        <f>IF(B13="","",_xlfn.XLOOKUP(B13,'MIS 2026'!$AA$3:$AA$895,'MIS 2026'!$BO$3:$BO$895))</f>
        <v/>
      </c>
      <c r="K13" s="419" t="str">
        <f>IF(B13="","",_xlfn.XLOOKUP(B13,'MIS 2026'!$AA$3:$AA$895,'MIS 2026'!$P$3:$P$895))</f>
        <v/>
      </c>
      <c r="L13" s="419" t="str">
        <f>IF(B13="","",_xlfn.XLOOKUP(B13,'MIS 2026'!$AA$3:$AA$895,'MIS 2026'!$R$3:$R$895))</f>
        <v/>
      </c>
      <c r="M13" s="419" t="str">
        <f>IF(B13="","",_xlfn.XLOOKUP(B13,'MIS 2026'!$AA$3:$AA$895,'MIS 2026'!$S$3:$S$895))</f>
        <v/>
      </c>
    </row>
    <row r="14" spans="1:13" hidden="1">
      <c r="A14" s="419" t="str">
        <f>IF(B14="","",_xlfn.XLOOKUP(B14,'MIS 2026'!$AA$3:$AA$895,'MIS 2026'!$A$3:$A$895))</f>
        <v/>
      </c>
      <c r="B14" s="419"/>
      <c r="C14" s="419" t="str">
        <f>IF(B14="","",_xlfn.XLOOKUP(B14,'MIS 2026'!$AA$3:$AA$895,'MIS 2026'!$AB$3:$AB$895))</f>
        <v/>
      </c>
      <c r="D14" s="419" t="str">
        <f>IF(B14="","",_xlfn.XLOOKUP(B14,'MIS 2026'!$AA$3:$AA$895,'MIS 2026'!$BP$3:$BP$895))</f>
        <v/>
      </c>
      <c r="E14" s="419" t="str">
        <f>IF(B14="","",_xlfn.XLOOKUP(B14,'MIS 2026'!$AA$3:$AA$895,'MIS 2026'!$T$3:$T$895))</f>
        <v/>
      </c>
      <c r="F14" s="446" t="str">
        <f>IF(B14="","",_xlfn.XLOOKUP(B14,'MIS 2026'!$AA$3:$AA$895,'MIS 2026'!$AD$3:$AD$895))</f>
        <v/>
      </c>
      <c r="G14" s="419"/>
      <c r="H14" s="419" t="str">
        <f>IF(B14="","",_xlfn.XLOOKUP(B14,'MIS 2026'!$AA$3:$AA$895,'MIS 2026'!$BI$3:$BI$895))</f>
        <v/>
      </c>
      <c r="I14" s="446" t="str">
        <f>IF(B14="","",_xlfn.XLOOKUP(B14,'MIS 2026'!$AA$3:$AA$895,'MIS 2026'!#REF!))</f>
        <v/>
      </c>
      <c r="J14" s="446" t="str">
        <f>IF(B14="","",_xlfn.XLOOKUP(B14,'MIS 2026'!$AA$3:$AA$895,'MIS 2026'!$BO$3:$BO$895))</f>
        <v/>
      </c>
      <c r="K14" s="419" t="str">
        <f>IF(B14="","",_xlfn.XLOOKUP(B14,'MIS 2026'!$AA$3:$AA$895,'MIS 2026'!$P$3:$P$895))</f>
        <v/>
      </c>
      <c r="L14" s="419" t="str">
        <f>IF(B14="","",_xlfn.XLOOKUP(B14,'MIS 2026'!$AA$3:$AA$895,'MIS 2026'!$R$3:$R$895))</f>
        <v/>
      </c>
      <c r="M14" s="419" t="str">
        <f>IF(B14="","",_xlfn.XLOOKUP(B14,'MIS 2026'!$AA$3:$AA$895,'MIS 2026'!$S$3:$S$895))</f>
        <v/>
      </c>
    </row>
    <row r="15" spans="1:13" hidden="1">
      <c r="A15" s="419" t="str">
        <f>IF(B15="","",_xlfn.XLOOKUP(B15,'MIS 2026'!$AA$3:$AA$895,'MIS 2026'!$A$3:$A$895))</f>
        <v/>
      </c>
      <c r="B15" s="419"/>
      <c r="C15" s="419" t="str">
        <f>IF(B15="","",_xlfn.XLOOKUP(B15,'MIS 2026'!$AA$3:$AA$895,'MIS 2026'!$AB$3:$AB$895))</f>
        <v/>
      </c>
      <c r="D15" s="419" t="str">
        <f>IF(B15="","",_xlfn.XLOOKUP(B15,'MIS 2026'!$AA$3:$AA$895,'MIS 2026'!$BP$3:$BP$895))</f>
        <v/>
      </c>
      <c r="E15" s="419" t="str">
        <f>IF(B15="","",_xlfn.XLOOKUP(B15,'MIS 2026'!$AA$3:$AA$895,'MIS 2026'!$T$3:$T$895))</f>
        <v/>
      </c>
      <c r="F15" s="446" t="str">
        <f>IF(B15="","",_xlfn.XLOOKUP(B15,'MIS 2026'!$AA$3:$AA$895,'MIS 2026'!$AD$3:$AD$895))</f>
        <v/>
      </c>
      <c r="G15" s="419"/>
      <c r="H15" s="419" t="str">
        <f>IF(B15="","",_xlfn.XLOOKUP(B15,'MIS 2026'!$AA$3:$AA$895,'MIS 2026'!$BI$3:$BI$895))</f>
        <v/>
      </c>
      <c r="I15" s="446" t="str">
        <f>IF(B15="","",_xlfn.XLOOKUP(B15,'MIS 2026'!$AA$3:$AA$895,'MIS 2026'!#REF!))</f>
        <v/>
      </c>
      <c r="J15" s="446" t="str">
        <f>IF(B15="","",_xlfn.XLOOKUP(B15,'MIS 2026'!$AA$3:$AA$895,'MIS 2026'!$BO$3:$BO$895))</f>
        <v/>
      </c>
      <c r="K15" s="419" t="str">
        <f>IF(B15="","",_xlfn.XLOOKUP(B15,'MIS 2026'!$AA$3:$AA$895,'MIS 2026'!$P$3:$P$895))</f>
        <v/>
      </c>
      <c r="L15" s="419" t="str">
        <f>IF(B15="","",_xlfn.XLOOKUP(B15,'MIS 2026'!$AA$3:$AA$895,'MIS 2026'!$R$3:$R$895))</f>
        <v/>
      </c>
      <c r="M15" s="419" t="str">
        <f>IF(B15="","",_xlfn.XLOOKUP(B15,'MIS 2026'!$AA$3:$AA$895,'MIS 2026'!$S$3:$S$895))</f>
        <v/>
      </c>
    </row>
    <row r="16" spans="1:13" hidden="1">
      <c r="A16" s="419" t="str">
        <f>IF(B16="","",_xlfn.XLOOKUP(B16,'MIS 2026'!$AA$3:$AA$895,'MIS 2026'!$A$3:$A$895))</f>
        <v/>
      </c>
      <c r="B16" s="419"/>
      <c r="C16" s="419" t="str">
        <f>IF(B16="","",_xlfn.XLOOKUP(B16,'MIS 2026'!$AA$3:$AA$895,'MIS 2026'!$AB$3:$AB$895))</f>
        <v/>
      </c>
      <c r="D16" s="419" t="str">
        <f>IF(B16="","",_xlfn.XLOOKUP(B16,'MIS 2026'!$AA$3:$AA$895,'MIS 2026'!$BP$3:$BP$895))</f>
        <v/>
      </c>
      <c r="E16" s="419" t="str">
        <f>IF(B16="","",_xlfn.XLOOKUP(B16,'MIS 2026'!$AA$3:$AA$895,'MIS 2026'!$T$3:$T$895))</f>
        <v/>
      </c>
      <c r="F16" s="446" t="str">
        <f>IF(B16="","",_xlfn.XLOOKUP(B16,'MIS 2026'!$AA$3:$AA$895,'MIS 2026'!$AD$3:$AD$895))</f>
        <v/>
      </c>
      <c r="G16" s="419"/>
      <c r="H16" s="419" t="str">
        <f>IF(B16="","",_xlfn.XLOOKUP(B16,'MIS 2026'!$AA$3:$AA$895,'MIS 2026'!$BI$3:$BI$895))</f>
        <v/>
      </c>
      <c r="I16" s="446" t="str">
        <f>IF(B16="","",_xlfn.XLOOKUP(B16,'MIS 2026'!$AA$3:$AA$895,'MIS 2026'!#REF!))</f>
        <v/>
      </c>
      <c r="J16" s="446" t="str">
        <f>IF(B16="","",_xlfn.XLOOKUP(B16,'MIS 2026'!$AA$3:$AA$895,'MIS 2026'!$BO$3:$BO$895))</f>
        <v/>
      </c>
      <c r="K16" s="419" t="str">
        <f>IF(B16="","",_xlfn.XLOOKUP(B16,'MIS 2026'!$AA$3:$AA$895,'MIS 2026'!$P$3:$P$895))</f>
        <v/>
      </c>
      <c r="L16" s="419" t="str">
        <f>IF(B16="","",_xlfn.XLOOKUP(B16,'MIS 2026'!$AA$3:$AA$895,'MIS 2026'!$R$3:$R$895))</f>
        <v/>
      </c>
      <c r="M16" s="419" t="str">
        <f>IF(B16="","",_xlfn.XLOOKUP(B16,'MIS 2026'!$AA$3:$AA$895,'MIS 2026'!$S$3:$S$895))</f>
        <v/>
      </c>
    </row>
    <row r="17" spans="1:13" hidden="1">
      <c r="A17" s="419" t="str">
        <f>IF(B17="","",_xlfn.XLOOKUP(B17,'MIS 2026'!$AA$3:$AA$895,'MIS 2026'!$A$3:$A$895))</f>
        <v/>
      </c>
      <c r="C17" s="419" t="str">
        <f>IF(B17="","",_xlfn.XLOOKUP(B17,'MIS 2026'!$AA$3:$AA$895,'MIS 2026'!$AB$3:$AB$895))</f>
        <v/>
      </c>
      <c r="D17" s="419" t="str">
        <f>IF(B17="","",_xlfn.XLOOKUP(B17,'MIS 2026'!$AA$3:$AA$895,'MIS 2026'!$BP$3:$BP$895))</f>
        <v/>
      </c>
      <c r="E17" s="419" t="str">
        <f>IF(B17="","",_xlfn.XLOOKUP(B17,'MIS 2026'!$AA$3:$AA$895,'MIS 2026'!$T$3:$T$895))</f>
        <v/>
      </c>
      <c r="F17" s="446" t="str">
        <f>IF(B17="","",_xlfn.XLOOKUP(B17,'MIS 2026'!$AA$3:$AA$895,'MIS 2026'!$AD$3:$AD$895))</f>
        <v/>
      </c>
      <c r="G17" s="419"/>
      <c r="H17" s="419" t="str">
        <f>IF(B17="","",_xlfn.XLOOKUP(B17,'MIS 2026'!$AA$3:$AA$895,'MIS 2026'!$BI$3:$BI$895))</f>
        <v/>
      </c>
      <c r="I17" s="446" t="str">
        <f>IF(B17="","",_xlfn.XLOOKUP(B17,'MIS 2026'!$AA$3:$AA$895,'MIS 2026'!#REF!))</f>
        <v/>
      </c>
      <c r="J17" s="446" t="str">
        <f>IF(B17="","",_xlfn.XLOOKUP(B17,'MIS 2026'!$AA$3:$AA$895,'MIS 2026'!$BO$3:$BO$895))</f>
        <v/>
      </c>
      <c r="K17" s="419" t="str">
        <f>IF(B17="","",_xlfn.XLOOKUP(B17,'MIS 2026'!$AA$3:$AA$895,'MIS 2026'!$P$3:$P$895))</f>
        <v/>
      </c>
      <c r="L17" s="419" t="str">
        <f>IF(B17="","",_xlfn.XLOOKUP(B17,'MIS 2026'!$AA$3:$AA$895,'MIS 2026'!$R$3:$R$895))</f>
        <v/>
      </c>
      <c r="M17" s="419" t="str">
        <f>IF(B17="","",_xlfn.XLOOKUP(B17,'MIS 2026'!$AA$3:$AA$895,'MIS 2026'!$S$3:$S$895))</f>
        <v/>
      </c>
    </row>
    <row r="18" spans="1:13" hidden="1">
      <c r="A18" s="419" t="str">
        <f>IF(B18="","",_xlfn.XLOOKUP(B18,'MIS 2026'!$AA$3:$AA$895,'MIS 2026'!$A$3:$A$895))</f>
        <v/>
      </c>
      <c r="C18" s="419" t="str">
        <f>IF(B18="","",_xlfn.XLOOKUP(B18,'MIS 2026'!$AA$3:$AA$895,'MIS 2026'!$AB$3:$AB$895))</f>
        <v/>
      </c>
      <c r="D18" s="419" t="str">
        <f>IF(B18="","",_xlfn.XLOOKUP(B18,'MIS 2026'!$AA$3:$AA$895,'MIS 2026'!$BP$3:$BP$895))</f>
        <v/>
      </c>
      <c r="E18" s="419" t="str">
        <f>IF(B18="","",_xlfn.XLOOKUP(B18,'MIS 2026'!$AA$3:$AA$895,'MIS 2026'!$T$3:$T$895))</f>
        <v/>
      </c>
      <c r="F18" s="446" t="str">
        <f>IF(B18="","",_xlfn.XLOOKUP(B18,'MIS 2026'!$AA$3:$AA$895,'MIS 2026'!$AD$3:$AD$895))</f>
        <v/>
      </c>
      <c r="G18" s="419"/>
      <c r="H18" s="419" t="str">
        <f>IF(B18="","",_xlfn.XLOOKUP(B18,'MIS 2026'!$AA$3:$AA$895,'MIS 2026'!$BI$3:$BI$895))</f>
        <v/>
      </c>
      <c r="I18" s="446" t="str">
        <f>IF(B18="","",_xlfn.XLOOKUP(B18,'MIS 2026'!$AA$3:$AA$895,'MIS 2026'!#REF!))</f>
        <v/>
      </c>
      <c r="J18" s="446" t="str">
        <f>IF(B18="","",_xlfn.XLOOKUP(B18,'MIS 2026'!$AA$3:$AA$895,'MIS 2026'!$BO$3:$BO$895))</f>
        <v/>
      </c>
      <c r="K18" s="419" t="str">
        <f>IF(B18="","",_xlfn.XLOOKUP(B18,'MIS 2026'!$AA$3:$AA$895,'MIS 2026'!$P$3:$P$895))</f>
        <v/>
      </c>
      <c r="L18" s="419" t="str">
        <f>IF(B18="","",_xlfn.XLOOKUP(B18,'MIS 2026'!$AA$3:$AA$895,'MIS 2026'!$R$3:$R$895))</f>
        <v/>
      </c>
      <c r="M18" s="419" t="str">
        <f>IF(B18="","",_xlfn.XLOOKUP(B18,'MIS 2026'!$AA$3:$AA$895,'MIS 2026'!$S$3:$S$895))</f>
        <v/>
      </c>
    </row>
    <row r="19" spans="1:13" hidden="1">
      <c r="A19" s="419" t="str">
        <f>IF(B19="","",_xlfn.XLOOKUP(B19,'MIS 2026'!$AA$3:$AA$895,'MIS 2026'!$A$3:$A$895))</f>
        <v/>
      </c>
      <c r="C19" s="419" t="str">
        <f>IF(B19="","",_xlfn.XLOOKUP(B19,'MIS 2026'!$AA$3:$AA$895,'MIS 2026'!$AB$3:$AB$895))</f>
        <v/>
      </c>
      <c r="D19" s="419" t="str">
        <f>IF(B19="","",_xlfn.XLOOKUP(B19,'MIS 2026'!$AA$3:$AA$895,'MIS 2026'!$BP$3:$BP$895))</f>
        <v/>
      </c>
      <c r="E19" s="419" t="str">
        <f>IF(B19="","",_xlfn.XLOOKUP(B19,'MIS 2026'!$AA$3:$AA$895,'MIS 2026'!$T$3:$T$895))</f>
        <v/>
      </c>
      <c r="F19" s="446" t="str">
        <f>IF(B19="","",_xlfn.XLOOKUP(B19,'MIS 2026'!$AA$3:$AA$895,'MIS 2026'!$AD$3:$AD$895))</f>
        <v/>
      </c>
      <c r="G19" s="419"/>
      <c r="H19" s="419" t="str">
        <f>IF(B19="","",_xlfn.XLOOKUP(B19,'MIS 2026'!$AA$3:$AA$895,'MIS 2026'!$BI$3:$BI$895))</f>
        <v/>
      </c>
      <c r="I19" s="446" t="str">
        <f>IF(B19="","",_xlfn.XLOOKUP(B19,'MIS 2026'!$AA$3:$AA$895,'MIS 2026'!#REF!))</f>
        <v/>
      </c>
      <c r="J19" s="446" t="str">
        <f>IF(B19="","",_xlfn.XLOOKUP(B19,'MIS 2026'!$AA$3:$AA$895,'MIS 2026'!$BO$3:$BO$895))</f>
        <v/>
      </c>
      <c r="K19" s="419" t="str">
        <f>IF(B19="","",_xlfn.XLOOKUP(B19,'MIS 2026'!$AA$3:$AA$895,'MIS 2026'!$P$3:$P$895))</f>
        <v/>
      </c>
      <c r="L19" s="419" t="str">
        <f>IF(B19="","",_xlfn.XLOOKUP(B19,'MIS 2026'!$AA$3:$AA$895,'MIS 2026'!$R$3:$R$895))</f>
        <v/>
      </c>
      <c r="M19" s="419" t="str">
        <f>IF(B19="","",_xlfn.XLOOKUP(B19,'MIS 2026'!$AA$3:$AA$895,'MIS 2026'!$S$3:$S$895))</f>
        <v/>
      </c>
    </row>
    <row r="20" spans="1:13" hidden="1">
      <c r="A20" s="419" t="str">
        <f>IF(B20="","",_xlfn.XLOOKUP(B20,'MIS 2026'!$AA$3:$AA$895,'MIS 2026'!$A$3:$A$895))</f>
        <v/>
      </c>
      <c r="C20" s="419" t="str">
        <f>IF(B20="","",_xlfn.XLOOKUP(B20,'MIS 2026'!$AA$3:$AA$895,'MIS 2026'!$AB$3:$AB$895))</f>
        <v/>
      </c>
      <c r="D20" s="419" t="str">
        <f>IF(B20="","",_xlfn.XLOOKUP(B20,'MIS 2026'!$AA$3:$AA$895,'MIS 2026'!$BP$3:$BP$895))</f>
        <v/>
      </c>
      <c r="E20" s="419" t="str">
        <f>IF(B20="","",_xlfn.XLOOKUP(B20,'MIS 2026'!$AA$3:$AA$895,'MIS 2026'!$T$3:$T$895))</f>
        <v/>
      </c>
      <c r="F20" s="446" t="str">
        <f>IF(B20="","",_xlfn.XLOOKUP(B20,'MIS 2026'!$AA$3:$AA$895,'MIS 2026'!$AD$3:$AD$895))</f>
        <v/>
      </c>
      <c r="G20" s="419"/>
      <c r="H20" s="419" t="str">
        <f>IF(B20="","",_xlfn.XLOOKUP(B20,'MIS 2026'!$AA$3:$AA$895,'MIS 2026'!$BI$3:$BI$895))</f>
        <v/>
      </c>
      <c r="I20" s="446" t="str">
        <f>IF(B20="","",_xlfn.XLOOKUP(B20,'MIS 2026'!$AA$3:$AA$895,'MIS 2026'!#REF!))</f>
        <v/>
      </c>
      <c r="J20" s="446" t="str">
        <f>IF(B20="","",_xlfn.XLOOKUP(B20,'MIS 2026'!$AA$3:$AA$895,'MIS 2026'!$BO$3:$BO$895))</f>
        <v/>
      </c>
      <c r="K20" s="419" t="str">
        <f>IF(B20="","",_xlfn.XLOOKUP(B20,'MIS 2026'!$AA$3:$AA$895,'MIS 2026'!$P$3:$P$895))</f>
        <v/>
      </c>
      <c r="L20" s="419" t="str">
        <f>IF(B20="","",_xlfn.XLOOKUP(B20,'MIS 2026'!$AA$3:$AA$895,'MIS 2026'!$R$3:$R$895))</f>
        <v/>
      </c>
      <c r="M20" s="419" t="str">
        <f>IF(B20="","",_xlfn.XLOOKUP(B20,'MIS 2026'!$AA$3:$AA$895,'MIS 2026'!$S$3:$S$895))</f>
        <v/>
      </c>
    </row>
    <row r="21" spans="1:13" hidden="1">
      <c r="A21" s="419" t="str">
        <f>IF(B21="","",_xlfn.XLOOKUP(B21,'MIS 2026'!$AA$3:$AA$895,'MIS 2026'!$A$3:$A$895))</f>
        <v/>
      </c>
      <c r="C21" s="419" t="str">
        <f>IF(B21="","",_xlfn.XLOOKUP(B21,'MIS 2026'!$AA$3:$AA$895,'MIS 2026'!$AB$3:$AB$895))</f>
        <v/>
      </c>
      <c r="D21" s="419" t="str">
        <f>IF(B21="","",_xlfn.XLOOKUP(B21,'MIS 2026'!$AA$3:$AA$895,'MIS 2026'!$BP$3:$BP$895))</f>
        <v/>
      </c>
      <c r="E21" s="419" t="str">
        <f>IF(B21="","",_xlfn.XLOOKUP(B21,'MIS 2026'!$AA$3:$AA$895,'MIS 2026'!$T$3:$T$895))</f>
        <v/>
      </c>
      <c r="F21" s="446" t="str">
        <f>IF(B21="","",_xlfn.XLOOKUP(B21,'MIS 2026'!$AA$3:$AA$895,'MIS 2026'!$AD$3:$AD$895))</f>
        <v/>
      </c>
      <c r="G21" s="419"/>
      <c r="H21" s="419" t="str">
        <f>IF(B21="","",_xlfn.XLOOKUP(B21,'MIS 2026'!$AA$3:$AA$895,'MIS 2026'!$BI$3:$BI$895))</f>
        <v/>
      </c>
      <c r="I21" s="446" t="str">
        <f>IF(B21="","",_xlfn.XLOOKUP(B21,'MIS 2026'!$AA$3:$AA$895,'MIS 2026'!#REF!))</f>
        <v/>
      </c>
      <c r="J21" s="446" t="str">
        <f>IF(B21="","",_xlfn.XLOOKUP(B21,'MIS 2026'!$AA$3:$AA$895,'MIS 2026'!$BO$3:$BO$895))</f>
        <v/>
      </c>
      <c r="K21" s="419" t="str">
        <f>IF(B21="","",_xlfn.XLOOKUP(B21,'MIS 2026'!$AA$3:$AA$895,'MIS 2026'!$P$3:$P$895))</f>
        <v/>
      </c>
      <c r="L21" s="419" t="str">
        <f>IF(B21="","",_xlfn.XLOOKUP(B21,'MIS 2026'!$AA$3:$AA$895,'MIS 2026'!$R$3:$R$895))</f>
        <v/>
      </c>
      <c r="M21" s="419" t="str">
        <f>IF(B21="","",_xlfn.XLOOKUP(B21,'MIS 2026'!$AA$3:$AA$895,'MIS 2026'!$S$3:$S$895))</f>
        <v/>
      </c>
    </row>
    <row r="22" spans="1:13" hidden="1">
      <c r="A22" s="419" t="str">
        <f>IF(B22="","",_xlfn.XLOOKUP(B22,'MIS 2026'!$AA$3:$AA$895,'MIS 2026'!$A$3:$A$895))</f>
        <v/>
      </c>
      <c r="C22" s="419" t="str">
        <f>IF(B22="","",_xlfn.XLOOKUP(B22,'MIS 2026'!$AA$3:$AA$895,'MIS 2026'!$AB$3:$AB$895))</f>
        <v/>
      </c>
      <c r="D22" s="419" t="str">
        <f>IF(B22="","",_xlfn.XLOOKUP(B22,'MIS 2026'!$AA$3:$AA$895,'MIS 2026'!$BP$3:$BP$895))</f>
        <v/>
      </c>
      <c r="E22" s="419" t="str">
        <f>IF(B22="","",_xlfn.XLOOKUP(B22,'MIS 2026'!$AA$3:$AA$895,'MIS 2026'!$T$3:$T$895))</f>
        <v/>
      </c>
      <c r="F22" s="446" t="str">
        <f>IF(B22="","",_xlfn.XLOOKUP(B22,'MIS 2026'!$AA$3:$AA$895,'MIS 2026'!$AD$3:$AD$895))</f>
        <v/>
      </c>
      <c r="G22" s="419"/>
      <c r="H22" s="419" t="str">
        <f>IF(B22="","",_xlfn.XLOOKUP(B22,'MIS 2026'!$AA$3:$AA$895,'MIS 2026'!$BI$3:$BI$895))</f>
        <v/>
      </c>
      <c r="I22" s="446" t="str">
        <f>IF(B22="","",_xlfn.XLOOKUP(B22,'MIS 2026'!$AA$3:$AA$895,'MIS 2026'!#REF!))</f>
        <v/>
      </c>
      <c r="J22" s="446" t="str">
        <f>IF(B22="","",_xlfn.XLOOKUP(B22,'MIS 2026'!$AA$3:$AA$895,'MIS 2026'!$BO$3:$BO$895))</f>
        <v/>
      </c>
      <c r="K22" s="419" t="str">
        <f>IF(B22="","",_xlfn.XLOOKUP(B22,'MIS 2026'!$AA$3:$AA$895,'MIS 2026'!$P$3:$P$895))</f>
        <v/>
      </c>
      <c r="L22" s="419" t="str">
        <f>IF(B22="","",_xlfn.XLOOKUP(B22,'MIS 2026'!$AA$3:$AA$895,'MIS 2026'!$R$3:$R$895))</f>
        <v/>
      </c>
      <c r="M22" s="419" t="str">
        <f>IF(B22="","",_xlfn.XLOOKUP(B22,'MIS 2026'!$AA$3:$AA$895,'MIS 2026'!$S$3:$S$895))</f>
        <v/>
      </c>
    </row>
    <row r="23" spans="1:13" hidden="1">
      <c r="A23" s="419" t="str">
        <f>IF(B23="","",_xlfn.XLOOKUP(B23,'MIS 2026'!$AA$3:$AA$895,'MIS 2026'!$A$3:$A$895))</f>
        <v/>
      </c>
      <c r="C23" s="419" t="str">
        <f>IF(B23="","",_xlfn.XLOOKUP(B23,'MIS 2026'!$AA$3:$AA$895,'MIS 2026'!$AB$3:$AB$895))</f>
        <v/>
      </c>
      <c r="D23" s="419" t="str">
        <f>IF(B23="","",_xlfn.XLOOKUP(B23,'MIS 2026'!$AA$3:$AA$895,'MIS 2026'!$BP$3:$BP$895))</f>
        <v/>
      </c>
      <c r="E23" s="419" t="str">
        <f>IF(B23="","",_xlfn.XLOOKUP(B23,'MIS 2026'!$AA$3:$AA$895,'MIS 2026'!$T$3:$T$895))</f>
        <v/>
      </c>
      <c r="F23" s="446" t="str">
        <f>IF(B23="","",_xlfn.XLOOKUP(B23,'MIS 2026'!$AA$3:$AA$895,'MIS 2026'!$AD$3:$AD$895))</f>
        <v/>
      </c>
      <c r="G23" s="419"/>
      <c r="H23" s="419" t="str">
        <f>IF(B23="","",_xlfn.XLOOKUP(B23,'MIS 2026'!$AA$3:$AA$895,'MIS 2026'!$BI$3:$BI$895))</f>
        <v/>
      </c>
      <c r="I23" s="446" t="str">
        <f>IF(B23="","",_xlfn.XLOOKUP(B23,'MIS 2026'!$AA$3:$AA$895,'MIS 2026'!#REF!))</f>
        <v/>
      </c>
      <c r="J23" s="446" t="str">
        <f>IF(B23="","",_xlfn.XLOOKUP(B23,'MIS 2026'!$AA$3:$AA$895,'MIS 2026'!$BO$3:$BO$895))</f>
        <v/>
      </c>
      <c r="K23" s="419" t="str">
        <f>IF(B23="","",_xlfn.XLOOKUP(B23,'MIS 2026'!$AA$3:$AA$895,'MIS 2026'!$P$3:$P$895))</f>
        <v/>
      </c>
      <c r="L23" s="419" t="str">
        <f>IF(B23="","",_xlfn.XLOOKUP(B23,'MIS 2026'!$AA$3:$AA$895,'MIS 2026'!$R$3:$R$895))</f>
        <v/>
      </c>
      <c r="M23" s="419" t="str">
        <f>IF(B23="","",_xlfn.XLOOKUP(B23,'MIS 2026'!$AA$3:$AA$895,'MIS 2026'!$S$3:$S$895))</f>
        <v/>
      </c>
    </row>
    <row r="24" spans="1:13" hidden="1">
      <c r="A24" s="419" t="str">
        <f>IF(B24="","",_xlfn.XLOOKUP(B24,'MIS 2026'!$AA$3:$AA$895,'MIS 2026'!$A$3:$A$895))</f>
        <v/>
      </c>
      <c r="C24" s="419" t="str">
        <f>IF(B24="","",_xlfn.XLOOKUP(B24,'MIS 2026'!$AA$3:$AA$895,'MIS 2026'!$AB$3:$AB$895))</f>
        <v/>
      </c>
      <c r="D24" s="419" t="str">
        <f>IF(B24="","",_xlfn.XLOOKUP(B24,'MIS 2026'!$AA$3:$AA$895,'MIS 2026'!$BP$3:$BP$895))</f>
        <v/>
      </c>
      <c r="E24" s="419" t="str">
        <f>IF(B24="","",_xlfn.XLOOKUP(B24,'MIS 2026'!$AA$3:$AA$895,'MIS 2026'!$T$3:$T$895))</f>
        <v/>
      </c>
      <c r="F24" s="446" t="str">
        <f>IF(B24="","",_xlfn.XLOOKUP(B24,'MIS 2026'!$AA$3:$AA$895,'MIS 2026'!$AD$3:$AD$895))</f>
        <v/>
      </c>
      <c r="G24" s="419"/>
      <c r="H24" s="419" t="str">
        <f>IF(B24="","",_xlfn.XLOOKUP(B24,'MIS 2026'!$AA$3:$AA$895,'MIS 2026'!$BI$3:$BI$895))</f>
        <v/>
      </c>
      <c r="I24" s="446" t="str">
        <f>IF(B24="","",_xlfn.XLOOKUP(B24,'MIS 2026'!$AA$3:$AA$895,'MIS 2026'!#REF!))</f>
        <v/>
      </c>
      <c r="J24" s="446" t="str">
        <f>IF(B24="","",_xlfn.XLOOKUP(B24,'MIS 2026'!$AA$3:$AA$895,'MIS 2026'!$BO$3:$BO$895))</f>
        <v/>
      </c>
      <c r="K24" s="419" t="str">
        <f>IF(B24="","",_xlfn.XLOOKUP(B24,'MIS 2026'!$AA$3:$AA$895,'MIS 2026'!$P$3:$P$895))</f>
        <v/>
      </c>
      <c r="L24" s="419" t="str">
        <f>IF(B24="","",_xlfn.XLOOKUP(B24,'MIS 2026'!$AA$3:$AA$895,'MIS 2026'!$R$3:$R$895))</f>
        <v/>
      </c>
      <c r="M24" s="419" t="str">
        <f>IF(B24="","",_xlfn.XLOOKUP(B24,'MIS 2026'!$AA$3:$AA$895,'MIS 2026'!$S$3:$S$895))</f>
        <v/>
      </c>
    </row>
    <row r="25" spans="1:13" hidden="1">
      <c r="A25" s="419" t="str">
        <f>IF(B25="","",_xlfn.XLOOKUP(B25,'MIS 2026'!$AA$3:$AA$895,'MIS 2026'!$A$3:$A$895))</f>
        <v/>
      </c>
      <c r="C25" s="419" t="str">
        <f>IF(B25="","",_xlfn.XLOOKUP(B25,'MIS 2026'!$AA$3:$AA$895,'MIS 2026'!$AB$3:$AB$895))</f>
        <v/>
      </c>
      <c r="D25" s="419" t="str">
        <f>IF(B25="","",_xlfn.XLOOKUP(B25,'MIS 2026'!$AA$3:$AA$895,'MIS 2026'!$BP$3:$BP$895))</f>
        <v/>
      </c>
      <c r="E25" s="419" t="str">
        <f>IF(B25="","",_xlfn.XLOOKUP(B25,'MIS 2026'!$AA$3:$AA$895,'MIS 2026'!$T$3:$T$895))</f>
        <v/>
      </c>
      <c r="F25" s="446" t="str">
        <f>IF(B25="","",_xlfn.XLOOKUP(B25,'MIS 2026'!$AA$3:$AA$895,'MIS 2026'!$AD$3:$AD$895))</f>
        <v/>
      </c>
      <c r="G25" s="419"/>
      <c r="H25" s="419" t="str">
        <f>IF(B25="","",_xlfn.XLOOKUP(B25,'MIS 2026'!$AA$3:$AA$895,'MIS 2026'!$BI$3:$BI$895))</f>
        <v/>
      </c>
      <c r="I25" s="446" t="str">
        <f>IF(B25="","",_xlfn.XLOOKUP(B25,'MIS 2026'!$AA$3:$AA$895,'MIS 2026'!#REF!))</f>
        <v/>
      </c>
      <c r="J25" s="446" t="str">
        <f>IF(B25="","",_xlfn.XLOOKUP(B25,'MIS 2026'!$AA$3:$AA$895,'MIS 2026'!$BO$3:$BO$895))</f>
        <v/>
      </c>
      <c r="K25" s="419" t="str">
        <f>IF(B25="","",_xlfn.XLOOKUP(B25,'MIS 2026'!$AA$3:$AA$895,'MIS 2026'!$P$3:$P$895))</f>
        <v/>
      </c>
      <c r="L25" s="419" t="str">
        <f>IF(B25="","",_xlfn.XLOOKUP(B25,'MIS 2026'!$AA$3:$AA$895,'MIS 2026'!$R$3:$R$895))</f>
        <v/>
      </c>
      <c r="M25" s="419" t="str">
        <f>IF(B25="","",_xlfn.XLOOKUP(B25,'MIS 2026'!$AA$3:$AA$895,'MIS 2026'!$S$3:$S$895))</f>
        <v/>
      </c>
    </row>
    <row r="26" spans="1:13" hidden="1">
      <c r="A26" s="419" t="str">
        <f>IF(B26="","",_xlfn.XLOOKUP(B26,'MIS 2026'!$AA$3:$AA$895,'MIS 2026'!$A$3:$A$895))</f>
        <v/>
      </c>
      <c r="C26" s="419" t="str">
        <f>IF(B26="","",_xlfn.XLOOKUP(B26,'MIS 2026'!$AA$3:$AA$895,'MIS 2026'!$AB$3:$AB$895))</f>
        <v/>
      </c>
      <c r="D26" s="419" t="str">
        <f>IF(B26="","",_xlfn.XLOOKUP(B26,'MIS 2026'!$AA$3:$AA$895,'MIS 2026'!$BP$3:$BP$895))</f>
        <v/>
      </c>
      <c r="E26" s="419" t="str">
        <f>IF(B26="","",_xlfn.XLOOKUP(B26,'MIS 2026'!$AA$3:$AA$895,'MIS 2026'!$T$3:$T$895))</f>
        <v/>
      </c>
      <c r="F26" s="446" t="str">
        <f>IF(B26="","",_xlfn.XLOOKUP(B26,'MIS 2026'!$AA$3:$AA$895,'MIS 2026'!$AD$3:$AD$895))</f>
        <v/>
      </c>
      <c r="G26" s="419"/>
      <c r="H26" s="419" t="str">
        <f>IF(B26="","",_xlfn.XLOOKUP(B26,'MIS 2026'!$AA$3:$AA$895,'MIS 2026'!$BI$3:$BI$895))</f>
        <v/>
      </c>
      <c r="I26" s="446" t="str">
        <f>IF(B26="","",_xlfn.XLOOKUP(B26,'MIS 2026'!$AA$3:$AA$895,'MIS 2026'!#REF!))</f>
        <v/>
      </c>
      <c r="J26" s="446" t="str">
        <f>IF(B26="","",_xlfn.XLOOKUP(B26,'MIS 2026'!$AA$3:$AA$895,'MIS 2026'!$BO$3:$BO$895))</f>
        <v/>
      </c>
      <c r="K26" s="419" t="str">
        <f>IF(B26="","",_xlfn.XLOOKUP(B26,'MIS 2026'!$AA$3:$AA$895,'MIS 2026'!$P$3:$P$895))</f>
        <v/>
      </c>
      <c r="L26" s="419" t="str">
        <f>IF(B26="","",_xlfn.XLOOKUP(B26,'MIS 2026'!$AA$3:$AA$895,'MIS 2026'!$R$3:$R$895))</f>
        <v/>
      </c>
      <c r="M26" s="419" t="str">
        <f>IF(B26="","",_xlfn.XLOOKUP(B26,'MIS 2026'!$AA$3:$AA$895,'MIS 2026'!$S$3:$S$895))</f>
        <v/>
      </c>
    </row>
    <row r="27" spans="1:13" hidden="1">
      <c r="A27" s="419" t="str">
        <f>IF(B27="","",_xlfn.XLOOKUP(B27,'MIS 2026'!$AA$3:$AA$895,'MIS 2026'!$A$3:$A$895))</f>
        <v/>
      </c>
      <c r="C27" s="419" t="str">
        <f>IF(B27="","",_xlfn.XLOOKUP(B27,'MIS 2026'!$AA$3:$AA$895,'MIS 2026'!$AB$3:$AB$895))</f>
        <v/>
      </c>
      <c r="D27" s="419" t="str">
        <f>IF(B27="","",_xlfn.XLOOKUP(B27,'MIS 2026'!$AA$3:$AA$895,'MIS 2026'!$BP$3:$BP$895))</f>
        <v/>
      </c>
      <c r="E27" s="419" t="str">
        <f>IF(B27="","",_xlfn.XLOOKUP(B27,'MIS 2026'!$AA$3:$AA$895,'MIS 2026'!$T$3:$T$895))</f>
        <v/>
      </c>
      <c r="F27" s="446" t="str">
        <f>IF(B27="","",_xlfn.XLOOKUP(B27,'MIS 2026'!$AA$3:$AA$895,'MIS 2026'!$AD$3:$AD$895))</f>
        <v/>
      </c>
      <c r="G27" s="419"/>
      <c r="H27" s="419" t="str">
        <f>IF(B27="","",_xlfn.XLOOKUP(B27,'MIS 2026'!$AA$3:$AA$895,'MIS 2026'!$BI$3:$BI$895))</f>
        <v/>
      </c>
      <c r="I27" s="446" t="str">
        <f>IF(B27="","",_xlfn.XLOOKUP(B27,'MIS 2026'!$AA$3:$AA$895,'MIS 2026'!#REF!))</f>
        <v/>
      </c>
      <c r="J27" s="446" t="str">
        <f>IF(B27="","",_xlfn.XLOOKUP(B27,'MIS 2026'!$AA$3:$AA$895,'MIS 2026'!$BO$3:$BO$895))</f>
        <v/>
      </c>
      <c r="K27" s="419" t="str">
        <f>IF(B27="","",_xlfn.XLOOKUP(B27,'MIS 2026'!$AA$3:$AA$895,'MIS 2026'!$P$3:$P$895))</f>
        <v/>
      </c>
      <c r="L27" s="419" t="str">
        <f>IF(B27="","",_xlfn.XLOOKUP(B27,'MIS 2026'!$AA$3:$AA$895,'MIS 2026'!$R$3:$R$895))</f>
        <v/>
      </c>
      <c r="M27" s="419" t="str">
        <f>IF(B27="","",_xlfn.XLOOKUP(B27,'MIS 2026'!$AA$3:$AA$895,'MIS 2026'!$S$3:$S$895))</f>
        <v/>
      </c>
    </row>
    <row r="28" spans="1:13" hidden="1">
      <c r="A28" s="419" t="str">
        <f>IF(B28="","",_xlfn.XLOOKUP(B28,'MIS 2026'!$AA$3:$AA$895,'MIS 2026'!$A$3:$A$895))</f>
        <v/>
      </c>
      <c r="C28" s="419" t="str">
        <f>IF(B28="","",_xlfn.XLOOKUP(B28,'MIS 2026'!$AA$3:$AA$895,'MIS 2026'!$AB$3:$AB$895))</f>
        <v/>
      </c>
      <c r="D28" s="419" t="str">
        <f>IF(B28="","",_xlfn.XLOOKUP(B28,'MIS 2026'!$AA$3:$AA$895,'MIS 2026'!$BP$3:$BP$895))</f>
        <v/>
      </c>
      <c r="E28" s="419" t="str">
        <f>IF(B28="","",_xlfn.XLOOKUP(B28,'MIS 2026'!$AA$3:$AA$895,'MIS 2026'!$T$3:$T$895))</f>
        <v/>
      </c>
      <c r="F28" s="446" t="str">
        <f>IF(B28="","",_xlfn.XLOOKUP(B28,'MIS 2026'!$AA$3:$AA$895,'MIS 2026'!$AD$3:$AD$895))</f>
        <v/>
      </c>
      <c r="G28" s="419"/>
      <c r="H28" s="419" t="str">
        <f>IF(B28="","",_xlfn.XLOOKUP(B28,'MIS 2026'!$AA$3:$AA$895,'MIS 2026'!$BI$3:$BI$895))</f>
        <v/>
      </c>
      <c r="I28" s="446" t="str">
        <f>IF(B28="","",_xlfn.XLOOKUP(B28,'MIS 2026'!$AA$3:$AA$895,'MIS 2026'!#REF!))</f>
        <v/>
      </c>
      <c r="J28" s="446" t="str">
        <f>IF(B28="","",_xlfn.XLOOKUP(B28,'MIS 2026'!$AA$3:$AA$895,'MIS 2026'!$BO$3:$BO$895))</f>
        <v/>
      </c>
      <c r="K28" s="419" t="str">
        <f>IF(B28="","",_xlfn.XLOOKUP(B28,'MIS 2026'!$AA$3:$AA$895,'MIS 2026'!$P$3:$P$895))</f>
        <v/>
      </c>
      <c r="L28" s="419" t="str">
        <f>IF(B28="","",_xlfn.XLOOKUP(B28,'MIS 2026'!$AA$3:$AA$895,'MIS 2026'!$R$3:$R$895))</f>
        <v/>
      </c>
      <c r="M28" s="419" t="str">
        <f>IF(B28="","",_xlfn.XLOOKUP(B28,'MIS 2026'!$AA$3:$AA$895,'MIS 2026'!$S$3:$S$895))</f>
        <v/>
      </c>
    </row>
    <row r="29" spans="1:13" hidden="1">
      <c r="A29" s="419" t="str">
        <f>IF(B29="","",_xlfn.XLOOKUP(B29,'MIS 2026'!$AA$3:$AA$895,'MIS 2026'!$A$3:$A$895))</f>
        <v/>
      </c>
      <c r="C29" s="419" t="str">
        <f>IF(B29="","",_xlfn.XLOOKUP(B29,'MIS 2026'!$AA$3:$AA$895,'MIS 2026'!$AB$3:$AB$895))</f>
        <v/>
      </c>
      <c r="D29" s="419" t="str">
        <f>IF(B29="","",_xlfn.XLOOKUP(B29,'MIS 2026'!$AA$3:$AA$895,'MIS 2026'!$BP$3:$BP$895))</f>
        <v/>
      </c>
      <c r="E29" s="419" t="str">
        <f>IF(B29="","",_xlfn.XLOOKUP(B29,'MIS 2026'!$AA$3:$AA$895,'MIS 2026'!$T$3:$T$895))</f>
        <v/>
      </c>
      <c r="F29" s="446" t="str">
        <f>IF(B29="","",_xlfn.XLOOKUP(B29,'MIS 2026'!$AA$3:$AA$895,'MIS 2026'!$AD$3:$AD$895))</f>
        <v/>
      </c>
      <c r="G29" s="419"/>
      <c r="H29" s="419" t="str">
        <f>IF(B29="","",_xlfn.XLOOKUP(B29,'MIS 2026'!$AA$3:$AA$895,'MIS 2026'!$BI$3:$BI$895))</f>
        <v/>
      </c>
      <c r="I29" s="446" t="str">
        <f>IF(B29="","",_xlfn.XLOOKUP(B29,'MIS 2026'!$AA$3:$AA$895,'MIS 2026'!#REF!))</f>
        <v/>
      </c>
      <c r="J29" s="446" t="str">
        <f>IF(B29="","",_xlfn.XLOOKUP(B29,'MIS 2026'!$AA$3:$AA$895,'MIS 2026'!$BO$3:$BO$895))</f>
        <v/>
      </c>
      <c r="K29" s="419" t="str">
        <f>IF(B29="","",_xlfn.XLOOKUP(B29,'MIS 2026'!$AA$3:$AA$895,'MIS 2026'!$P$3:$P$895))</f>
        <v/>
      </c>
      <c r="L29" s="419" t="str">
        <f>IF(B29="","",_xlfn.XLOOKUP(B29,'MIS 2026'!$AA$3:$AA$895,'MIS 2026'!$R$3:$R$895))</f>
        <v/>
      </c>
      <c r="M29" s="419" t="str">
        <f>IF(B29="","",_xlfn.XLOOKUP(B29,'MIS 2026'!$AA$3:$AA$895,'MIS 2026'!$S$3:$S$895))</f>
        <v/>
      </c>
    </row>
    <row r="30" spans="1:13" hidden="1">
      <c r="A30" s="419" t="str">
        <f>IF(B30="","",_xlfn.XLOOKUP(B30,'MIS 2026'!$AA$3:$AA$895,'MIS 2026'!$A$3:$A$895))</f>
        <v/>
      </c>
      <c r="C30" s="419" t="str">
        <f>IF(B30="","",_xlfn.XLOOKUP(B30,'MIS 2026'!$AA$3:$AA$895,'MIS 2026'!$AB$3:$AB$895))</f>
        <v/>
      </c>
      <c r="D30" s="419" t="str">
        <f>IF(B30="","",_xlfn.XLOOKUP(B30,'MIS 2026'!$AA$3:$AA$895,'MIS 2026'!$BP$3:$BP$895))</f>
        <v/>
      </c>
      <c r="E30" s="419" t="str">
        <f>IF(B30="","",_xlfn.XLOOKUP(B30,'MIS 2026'!$AA$3:$AA$895,'MIS 2026'!$T$3:$T$895))</f>
        <v/>
      </c>
      <c r="F30" s="446" t="str">
        <f>IF(B30="","",_xlfn.XLOOKUP(B30,'MIS 2026'!$AA$3:$AA$895,'MIS 2026'!$AD$3:$AD$895))</f>
        <v/>
      </c>
      <c r="G30" s="419"/>
      <c r="H30" s="419" t="str">
        <f>IF(B30="","",_xlfn.XLOOKUP(B30,'MIS 2026'!$AA$3:$AA$895,'MIS 2026'!$BI$3:$BI$895))</f>
        <v/>
      </c>
      <c r="I30" s="446" t="str">
        <f>IF(B30="","",_xlfn.XLOOKUP(B30,'MIS 2026'!$AA$3:$AA$895,'MIS 2026'!#REF!))</f>
        <v/>
      </c>
      <c r="J30" s="446" t="str">
        <f>IF(B30="","",_xlfn.XLOOKUP(B30,'MIS 2026'!$AA$3:$AA$895,'MIS 2026'!$BO$3:$BO$895))</f>
        <v/>
      </c>
      <c r="K30" s="419" t="str">
        <f>IF(B30="","",_xlfn.XLOOKUP(B30,'MIS 2026'!$AA$3:$AA$895,'MIS 2026'!$P$3:$P$895))</f>
        <v/>
      </c>
      <c r="L30" s="419" t="str">
        <f>IF(B30="","",_xlfn.XLOOKUP(B30,'MIS 2026'!$AA$3:$AA$895,'MIS 2026'!$R$3:$R$895))</f>
        <v/>
      </c>
      <c r="M30" s="419" t="str">
        <f>IF(B30="","",_xlfn.XLOOKUP(B30,'MIS 2026'!$AA$3:$AA$895,'MIS 2026'!$S$3:$S$895))</f>
        <v/>
      </c>
    </row>
    <row r="31" spans="1:13" hidden="1">
      <c r="A31" s="419" t="str">
        <f>IF(B31="","",_xlfn.XLOOKUP(B31,'MIS 2026'!$AA$3:$AA$895,'MIS 2026'!$A$3:$A$895))</f>
        <v/>
      </c>
      <c r="C31" s="419" t="str">
        <f>IF(B31="","",_xlfn.XLOOKUP(B31,'MIS 2026'!$AA$3:$AA$895,'MIS 2026'!$AB$3:$AB$895))</f>
        <v/>
      </c>
      <c r="D31" s="419" t="str">
        <f>IF(B31="","",_xlfn.XLOOKUP(B31,'MIS 2026'!$AA$3:$AA$895,'MIS 2026'!$BP$3:$BP$895))</f>
        <v/>
      </c>
      <c r="E31" s="419" t="str">
        <f>IF(B31="","",_xlfn.XLOOKUP(B31,'MIS 2026'!$AA$3:$AA$895,'MIS 2026'!$T$3:$T$895))</f>
        <v/>
      </c>
      <c r="F31" s="446" t="str">
        <f>IF(B31="","",_xlfn.XLOOKUP(B31,'MIS 2026'!$AA$3:$AA$895,'MIS 2026'!$AD$3:$AD$895))</f>
        <v/>
      </c>
      <c r="G31" s="419"/>
      <c r="H31" s="419" t="str">
        <f>IF(B31="","",_xlfn.XLOOKUP(B31,'MIS 2026'!$AA$3:$AA$895,'MIS 2026'!$BI$3:$BI$895))</f>
        <v/>
      </c>
      <c r="I31" s="446" t="str">
        <f>IF(B31="","",_xlfn.XLOOKUP(B31,'MIS 2026'!$AA$3:$AA$895,'MIS 2026'!#REF!))</f>
        <v/>
      </c>
      <c r="J31" s="446" t="str">
        <f>IF(B31="","",_xlfn.XLOOKUP(B31,'MIS 2026'!$AA$3:$AA$895,'MIS 2026'!$BO$3:$BO$895))</f>
        <v/>
      </c>
      <c r="K31" s="419" t="str">
        <f>IF(B31="","",_xlfn.XLOOKUP(B31,'MIS 2026'!$AA$3:$AA$895,'MIS 2026'!$P$3:$P$895))</f>
        <v/>
      </c>
      <c r="L31" s="419" t="str">
        <f>IF(B31="","",_xlfn.XLOOKUP(B31,'MIS 2026'!$AA$3:$AA$895,'MIS 2026'!$R$3:$R$895))</f>
        <v/>
      </c>
      <c r="M31" s="419" t="str">
        <f>IF(B31="","",_xlfn.XLOOKUP(B31,'MIS 2026'!$AA$3:$AA$895,'MIS 2026'!$S$3:$S$895))</f>
        <v/>
      </c>
    </row>
    <row r="32" spans="1:13" hidden="1">
      <c r="A32" s="419" t="str">
        <f>IF(B32="","",_xlfn.XLOOKUP(B32,'MIS 2026'!$AA$3:$AA$895,'MIS 2026'!$A$3:$A$895))</f>
        <v/>
      </c>
      <c r="C32" s="419" t="str">
        <f>IF(B32="","",_xlfn.XLOOKUP(B32,'MIS 2026'!$AA$3:$AA$895,'MIS 2026'!$AB$3:$AB$895))</f>
        <v/>
      </c>
      <c r="D32" s="419" t="str">
        <f>IF(B32="","",_xlfn.XLOOKUP(B32,'MIS 2026'!$AA$3:$AA$895,'MIS 2026'!$BP$3:$BP$895))</f>
        <v/>
      </c>
      <c r="E32" s="419" t="str">
        <f>IF(B32="","",_xlfn.XLOOKUP(B32,'MIS 2026'!$AA$3:$AA$895,'MIS 2026'!$T$3:$T$895))</f>
        <v/>
      </c>
      <c r="F32" s="446" t="str">
        <f>IF(B32="","",_xlfn.XLOOKUP(B32,'MIS 2026'!$AA$3:$AA$895,'MIS 2026'!$AD$3:$AD$895))</f>
        <v/>
      </c>
      <c r="G32" s="419"/>
      <c r="H32" s="419" t="str">
        <f>IF(B32="","",_xlfn.XLOOKUP(B32,'MIS 2026'!$AA$3:$AA$895,'MIS 2026'!$BI$3:$BI$895))</f>
        <v/>
      </c>
      <c r="I32" s="446" t="str">
        <f>IF(B32="","",_xlfn.XLOOKUP(B32,'MIS 2026'!$AA$3:$AA$895,'MIS 2026'!#REF!))</f>
        <v/>
      </c>
      <c r="J32" s="446" t="str">
        <f>IF(B32="","",_xlfn.XLOOKUP(B32,'MIS 2026'!$AA$3:$AA$895,'MIS 2026'!$BO$3:$BO$895))</f>
        <v/>
      </c>
      <c r="K32" s="419" t="str">
        <f>IF(B32="","",_xlfn.XLOOKUP(B32,'MIS 2026'!$AA$3:$AA$895,'MIS 2026'!$P$3:$P$895))</f>
        <v/>
      </c>
      <c r="L32" s="419" t="str">
        <f>IF(B32="","",_xlfn.XLOOKUP(B32,'MIS 2026'!$AA$3:$AA$895,'MIS 2026'!$R$3:$R$895))</f>
        <v/>
      </c>
      <c r="M32" s="419" t="str">
        <f>IF(B32="","",_xlfn.XLOOKUP(B32,'MIS 2026'!$AA$3:$AA$895,'MIS 2026'!$S$3:$S$895))</f>
        <v/>
      </c>
    </row>
    <row r="33" spans="1:13" hidden="1">
      <c r="A33" s="419" t="str">
        <f>IF(B33="","",_xlfn.XLOOKUP(B33,'MIS 2026'!$AA$3:$AA$895,'MIS 2026'!$A$3:$A$895))</f>
        <v/>
      </c>
      <c r="C33" s="419" t="str">
        <f>IF(B33="","",_xlfn.XLOOKUP(B33,'MIS 2026'!$AA$3:$AA$895,'MIS 2026'!$AB$3:$AB$895))</f>
        <v/>
      </c>
      <c r="D33" s="419" t="str">
        <f>IF(B33="","",_xlfn.XLOOKUP(B33,'MIS 2026'!$AA$3:$AA$895,'MIS 2026'!$BP$3:$BP$895))</f>
        <v/>
      </c>
      <c r="E33" s="419" t="str">
        <f>IF(B33="","",_xlfn.XLOOKUP(B33,'MIS 2026'!$AA$3:$AA$895,'MIS 2026'!$T$3:$T$895))</f>
        <v/>
      </c>
      <c r="F33" s="446" t="str">
        <f>IF(B33="","",_xlfn.XLOOKUP(B33,'MIS 2026'!$AA$3:$AA$895,'MIS 2026'!$AD$3:$AD$895))</f>
        <v/>
      </c>
      <c r="G33" s="419"/>
      <c r="H33" s="419" t="str">
        <f>IF(B33="","",_xlfn.XLOOKUP(B33,'MIS 2026'!$AA$3:$AA$895,'MIS 2026'!$BI$3:$BI$895))</f>
        <v/>
      </c>
      <c r="I33" s="446" t="str">
        <f>IF(B33="","",_xlfn.XLOOKUP(B33,'MIS 2026'!$AA$3:$AA$895,'MIS 2026'!#REF!))</f>
        <v/>
      </c>
      <c r="J33" s="446" t="str">
        <f>IF(B33="","",_xlfn.XLOOKUP(B33,'MIS 2026'!$AA$3:$AA$895,'MIS 2026'!$BO$3:$BO$895))</f>
        <v/>
      </c>
      <c r="K33" s="419" t="str">
        <f>IF(B33="","",_xlfn.XLOOKUP(B33,'MIS 2026'!$AA$3:$AA$895,'MIS 2026'!$P$3:$P$895))</f>
        <v/>
      </c>
      <c r="L33" s="419" t="str">
        <f>IF(B33="","",_xlfn.XLOOKUP(B33,'MIS 2026'!$AA$3:$AA$895,'MIS 2026'!$R$3:$R$895))</f>
        <v/>
      </c>
      <c r="M33" s="419" t="str">
        <f>IF(B33="","",_xlfn.XLOOKUP(B33,'MIS 2026'!$AA$3:$AA$895,'MIS 2026'!$S$3:$S$895))</f>
        <v/>
      </c>
    </row>
    <row r="34" spans="1:13" hidden="1">
      <c r="A34" s="419" t="str">
        <f>IF(B34="","",_xlfn.XLOOKUP(B34,'MIS 2026'!$AA$3:$AA$895,'MIS 2026'!$A$3:$A$895))</f>
        <v/>
      </c>
      <c r="C34" s="419" t="str">
        <f>IF(B34="","",_xlfn.XLOOKUP(B34,'MIS 2026'!$AA$3:$AA$895,'MIS 2026'!$AB$3:$AB$895))</f>
        <v/>
      </c>
      <c r="D34" s="419" t="str">
        <f>IF(B34="","",_xlfn.XLOOKUP(B34,'MIS 2026'!$AA$3:$AA$895,'MIS 2026'!$BP$3:$BP$895))</f>
        <v/>
      </c>
      <c r="E34" s="419" t="str">
        <f>IF(B34="","",_xlfn.XLOOKUP(B34,'MIS 2026'!$AA$3:$AA$895,'MIS 2026'!$T$3:$T$895))</f>
        <v/>
      </c>
      <c r="F34" s="446" t="str">
        <f>IF(B34="","",_xlfn.XLOOKUP(B34,'MIS 2026'!$AA$3:$AA$895,'MIS 2026'!$AD$3:$AD$895))</f>
        <v/>
      </c>
      <c r="G34" s="419"/>
      <c r="H34" s="419" t="str">
        <f>IF(B34="","",_xlfn.XLOOKUP(B34,'MIS 2026'!$AA$3:$AA$895,'MIS 2026'!$BI$3:$BI$895))</f>
        <v/>
      </c>
      <c r="I34" s="446" t="str">
        <f>IF(B34="","",_xlfn.XLOOKUP(B34,'MIS 2026'!$AA$3:$AA$895,'MIS 2026'!#REF!))</f>
        <v/>
      </c>
      <c r="J34" s="446" t="str">
        <f>IF(B34="","",_xlfn.XLOOKUP(B34,'MIS 2026'!$AA$3:$AA$895,'MIS 2026'!$BO$3:$BO$895))</f>
        <v/>
      </c>
      <c r="K34" s="419" t="str">
        <f>IF(B34="","",_xlfn.XLOOKUP(B34,'MIS 2026'!$AA$3:$AA$895,'MIS 2026'!$P$3:$P$895))</f>
        <v/>
      </c>
      <c r="L34" s="419" t="str">
        <f>IF(B34="","",_xlfn.XLOOKUP(B34,'MIS 2026'!$AA$3:$AA$895,'MIS 2026'!$R$3:$R$895))</f>
        <v/>
      </c>
      <c r="M34" s="419" t="str">
        <f>IF(B34="","",_xlfn.XLOOKUP(B34,'MIS 2026'!$AA$3:$AA$895,'MIS 2026'!$S$3:$S$895))</f>
        <v/>
      </c>
    </row>
    <row r="35" spans="1:13" hidden="1">
      <c r="A35" s="419" t="str">
        <f>IF(B35="","",_xlfn.XLOOKUP(B35,'MIS 2026'!$AA$3:$AA$895,'MIS 2026'!$A$3:$A$895))</f>
        <v/>
      </c>
      <c r="C35" s="419" t="str">
        <f>IF(B35="","",_xlfn.XLOOKUP(B35,'MIS 2026'!$AA$3:$AA$895,'MIS 2026'!$AB$3:$AB$895))</f>
        <v/>
      </c>
      <c r="D35" s="419" t="str">
        <f>IF(B35="","",_xlfn.XLOOKUP(B35,'MIS 2026'!$AA$3:$AA$895,'MIS 2026'!$BP$3:$BP$895))</f>
        <v/>
      </c>
      <c r="E35" s="419" t="str">
        <f>IF(B35="","",_xlfn.XLOOKUP(B35,'MIS 2026'!$AA$3:$AA$895,'MIS 2026'!$T$3:$T$895))</f>
        <v/>
      </c>
      <c r="F35" s="446" t="str">
        <f>IF(B35="","",_xlfn.XLOOKUP(B35,'MIS 2026'!$AA$3:$AA$895,'MIS 2026'!$AD$3:$AD$895))</f>
        <v/>
      </c>
      <c r="G35" s="419"/>
      <c r="H35" s="419" t="str">
        <f>IF(B35="","",_xlfn.XLOOKUP(B35,'MIS 2026'!$AA$3:$AA$895,'MIS 2026'!$BI$3:$BI$895))</f>
        <v/>
      </c>
      <c r="I35" s="446" t="str">
        <f>IF(B35="","",_xlfn.XLOOKUP(B35,'MIS 2026'!$AA$3:$AA$895,'MIS 2026'!#REF!))</f>
        <v/>
      </c>
      <c r="J35" s="446" t="str">
        <f>IF(B35="","",_xlfn.XLOOKUP(B35,'MIS 2026'!$AA$3:$AA$895,'MIS 2026'!$BO$3:$BO$895))</f>
        <v/>
      </c>
      <c r="K35" s="419" t="str">
        <f>IF(B35="","",_xlfn.XLOOKUP(B35,'MIS 2026'!$AA$3:$AA$895,'MIS 2026'!$P$3:$P$895))</f>
        <v/>
      </c>
      <c r="L35" s="419" t="str">
        <f>IF(B35="","",_xlfn.XLOOKUP(B35,'MIS 2026'!$AA$3:$AA$895,'MIS 2026'!$R$3:$R$895))</f>
        <v/>
      </c>
      <c r="M35" s="419" t="str">
        <f>IF(B35="","",_xlfn.XLOOKUP(B35,'MIS 2026'!$AA$3:$AA$895,'MIS 2026'!$S$3:$S$895))</f>
        <v/>
      </c>
    </row>
    <row r="36" spans="1:13" hidden="1">
      <c r="A36" s="419" t="str">
        <f>IF(B36="","",_xlfn.XLOOKUP(B36,'MIS 2026'!$AA$3:$AA$895,'MIS 2026'!$A$3:$A$895))</f>
        <v/>
      </c>
      <c r="C36" s="419" t="str">
        <f>IF(B36="","",_xlfn.XLOOKUP(B36,'MIS 2026'!$AA$3:$AA$895,'MIS 2026'!$AB$3:$AB$895))</f>
        <v/>
      </c>
      <c r="D36" s="419" t="str">
        <f>IF(B36="","",_xlfn.XLOOKUP(B36,'MIS 2026'!$AA$3:$AA$895,'MIS 2026'!$BP$3:$BP$895))</f>
        <v/>
      </c>
      <c r="E36" s="419" t="str">
        <f>IF(B36="","",_xlfn.XLOOKUP(B36,'MIS 2026'!$AA$3:$AA$895,'MIS 2026'!$T$3:$T$895))</f>
        <v/>
      </c>
      <c r="F36" s="446" t="str">
        <f>IF(B36="","",_xlfn.XLOOKUP(B36,'MIS 2026'!$AA$3:$AA$895,'MIS 2026'!$AD$3:$AD$895))</f>
        <v/>
      </c>
      <c r="G36" s="419"/>
      <c r="H36" s="419" t="str">
        <f>IF(B36="","",_xlfn.XLOOKUP(B36,'MIS 2026'!$AA$3:$AA$895,'MIS 2026'!$BI$3:$BI$895))</f>
        <v/>
      </c>
      <c r="I36" s="446" t="str">
        <f>IF(B36="","",_xlfn.XLOOKUP(B36,'MIS 2026'!$AA$3:$AA$895,'MIS 2026'!#REF!))</f>
        <v/>
      </c>
      <c r="J36" s="446" t="str">
        <f>IF(B36="","",_xlfn.XLOOKUP(B36,'MIS 2026'!$AA$3:$AA$895,'MIS 2026'!$BO$3:$BO$895))</f>
        <v/>
      </c>
      <c r="K36" s="419" t="str">
        <f>IF(B36="","",_xlfn.XLOOKUP(B36,'MIS 2026'!$AA$3:$AA$895,'MIS 2026'!$P$3:$P$895))</f>
        <v/>
      </c>
      <c r="L36" s="419" t="str">
        <f>IF(B36="","",_xlfn.XLOOKUP(B36,'MIS 2026'!$AA$3:$AA$895,'MIS 2026'!$R$3:$R$895))</f>
        <v/>
      </c>
      <c r="M36" s="419" t="str">
        <f>IF(B36="","",_xlfn.XLOOKUP(B36,'MIS 2026'!$AA$3:$AA$895,'MIS 2026'!$S$3:$S$895))</f>
        <v/>
      </c>
    </row>
    <row r="37" spans="1:13" hidden="1">
      <c r="A37" s="419" t="str">
        <f>IF(B37="","",_xlfn.XLOOKUP(B37,'MIS 2026'!$AA$3:$AA$895,'MIS 2026'!$A$3:$A$895))</f>
        <v/>
      </c>
      <c r="C37" s="419" t="str">
        <f>IF(B37="","",_xlfn.XLOOKUP(B37,'MIS 2026'!$AA$3:$AA$895,'MIS 2026'!$AB$3:$AB$895))</f>
        <v/>
      </c>
      <c r="D37" s="419" t="str">
        <f>IF(B37="","",_xlfn.XLOOKUP(B37,'MIS 2026'!$AA$3:$AA$895,'MIS 2026'!$BP$3:$BP$895))</f>
        <v/>
      </c>
      <c r="E37" s="419" t="str">
        <f>IF(B37="","",_xlfn.XLOOKUP(B37,'MIS 2026'!$AA$3:$AA$895,'MIS 2026'!$T$3:$T$895))</f>
        <v/>
      </c>
      <c r="F37" s="446" t="str">
        <f>IF(B37="","",_xlfn.XLOOKUP(B37,'MIS 2026'!$AA$3:$AA$895,'MIS 2026'!$AD$3:$AD$895))</f>
        <v/>
      </c>
      <c r="G37" s="419"/>
      <c r="H37" s="419" t="str">
        <f>IF(B37="","",_xlfn.XLOOKUP(B37,'MIS 2026'!$AA$3:$AA$895,'MIS 2026'!$BI$3:$BI$895))</f>
        <v/>
      </c>
      <c r="I37" s="446" t="str">
        <f>IF(B37="","",_xlfn.XLOOKUP(B37,'MIS 2026'!$AA$3:$AA$895,'MIS 2026'!#REF!))</f>
        <v/>
      </c>
      <c r="J37" s="446" t="str">
        <f>IF(B37="","",_xlfn.XLOOKUP(B37,'MIS 2026'!$AA$3:$AA$895,'MIS 2026'!$BO$3:$BO$895))</f>
        <v/>
      </c>
      <c r="K37" s="419" t="str">
        <f>IF(B37="","",_xlfn.XLOOKUP(B37,'MIS 2026'!$AA$3:$AA$895,'MIS 2026'!$P$3:$P$895))</f>
        <v/>
      </c>
      <c r="L37" s="419" t="str">
        <f>IF(B37="","",_xlfn.XLOOKUP(B37,'MIS 2026'!$AA$3:$AA$895,'MIS 2026'!$R$3:$R$895))</f>
        <v/>
      </c>
      <c r="M37" s="419" t="str">
        <f>IF(B37="","",_xlfn.XLOOKUP(B37,'MIS 2026'!$AA$3:$AA$895,'MIS 2026'!$S$3:$S$895))</f>
        <v/>
      </c>
    </row>
    <row r="38" spans="1:13" hidden="1">
      <c r="A38" s="419" t="str">
        <f>IF(B38="","",_xlfn.XLOOKUP(B38,'MIS 2026'!$AA$3:$AA$895,'MIS 2026'!$A$3:$A$895))</f>
        <v/>
      </c>
      <c r="C38" s="419" t="str">
        <f>IF(B38="","",_xlfn.XLOOKUP(B38,'MIS 2026'!$AA$3:$AA$895,'MIS 2026'!$AB$3:$AB$895))</f>
        <v/>
      </c>
      <c r="D38" s="419" t="str">
        <f>IF(B38="","",_xlfn.XLOOKUP(B38,'MIS 2026'!$AA$3:$AA$895,'MIS 2026'!$BP$3:$BP$895))</f>
        <v/>
      </c>
      <c r="E38" s="419" t="str">
        <f>IF(B38="","",_xlfn.XLOOKUP(B38,'MIS 2026'!$AA$3:$AA$895,'MIS 2026'!$T$3:$T$895))</f>
        <v/>
      </c>
      <c r="F38" s="446" t="str">
        <f>IF(B38="","",_xlfn.XLOOKUP(B38,'MIS 2026'!$AA$3:$AA$895,'MIS 2026'!$AD$3:$AD$895))</f>
        <v/>
      </c>
      <c r="G38" s="419"/>
      <c r="H38" s="419" t="str">
        <f>IF(B38="","",_xlfn.XLOOKUP(B38,'MIS 2026'!$AA$3:$AA$895,'MIS 2026'!$BI$3:$BI$895))</f>
        <v/>
      </c>
      <c r="I38" s="446" t="str">
        <f>IF(B38="","",_xlfn.XLOOKUP(B38,'MIS 2026'!$AA$3:$AA$895,'MIS 2026'!#REF!))</f>
        <v/>
      </c>
      <c r="J38" s="446" t="str">
        <f>IF(B38="","",_xlfn.XLOOKUP(B38,'MIS 2026'!$AA$3:$AA$895,'MIS 2026'!$BO$3:$BO$895))</f>
        <v/>
      </c>
      <c r="K38" s="419" t="str">
        <f>IF(B38="","",_xlfn.XLOOKUP(B38,'MIS 2026'!$AA$3:$AA$895,'MIS 2026'!$P$3:$P$895))</f>
        <v/>
      </c>
      <c r="L38" s="419" t="str">
        <f>IF(B38="","",_xlfn.XLOOKUP(B38,'MIS 2026'!$AA$3:$AA$895,'MIS 2026'!$R$3:$R$895))</f>
        <v/>
      </c>
      <c r="M38" s="419" t="str">
        <f>IF(B38="","",_xlfn.XLOOKUP(B38,'MIS 2026'!$AA$3:$AA$895,'MIS 2026'!$S$3:$S$895))</f>
        <v/>
      </c>
    </row>
    <row r="39" spans="1:13" hidden="1">
      <c r="A39" s="419" t="str">
        <f>IF(B39="","",_xlfn.XLOOKUP(B39,'MIS 2026'!$AA$3:$AA$895,'MIS 2026'!$A$3:$A$895))</f>
        <v/>
      </c>
      <c r="C39" s="419" t="str">
        <f>IF(B39="","",_xlfn.XLOOKUP(B39,'MIS 2026'!$AA$3:$AA$895,'MIS 2026'!$AB$3:$AB$895))</f>
        <v/>
      </c>
      <c r="D39" s="419" t="str">
        <f>IF(B39="","",_xlfn.XLOOKUP(B39,'MIS 2026'!$AA$3:$AA$895,'MIS 2026'!$BP$3:$BP$895))</f>
        <v/>
      </c>
      <c r="E39" s="419" t="str">
        <f>IF(B39="","",_xlfn.XLOOKUP(B39,'MIS 2026'!$AA$3:$AA$895,'MIS 2026'!$T$3:$T$895))</f>
        <v/>
      </c>
      <c r="F39" s="446" t="str">
        <f>IF(B39="","",_xlfn.XLOOKUP(B39,'MIS 2026'!$AA$3:$AA$895,'MIS 2026'!$AD$3:$AD$895))</f>
        <v/>
      </c>
      <c r="G39" s="419"/>
      <c r="H39" s="419" t="str">
        <f>IF(B39="","",_xlfn.XLOOKUP(B39,'MIS 2026'!$AA$3:$AA$895,'MIS 2026'!$BI$3:$BI$895))</f>
        <v/>
      </c>
      <c r="I39" s="446" t="str">
        <f>IF(B39="","",_xlfn.XLOOKUP(B39,'MIS 2026'!$AA$3:$AA$895,'MIS 2026'!#REF!))</f>
        <v/>
      </c>
      <c r="J39" s="446" t="str">
        <f>IF(B39="","",_xlfn.XLOOKUP(B39,'MIS 2026'!$AA$3:$AA$895,'MIS 2026'!$BO$3:$BO$895))</f>
        <v/>
      </c>
      <c r="K39" s="419" t="str">
        <f>IF(B39="","",_xlfn.XLOOKUP(B39,'MIS 2026'!$AA$3:$AA$895,'MIS 2026'!$P$3:$P$895))</f>
        <v/>
      </c>
      <c r="L39" s="419" t="str">
        <f>IF(B39="","",_xlfn.XLOOKUP(B39,'MIS 2026'!$AA$3:$AA$895,'MIS 2026'!$R$3:$R$895))</f>
        <v/>
      </c>
      <c r="M39" s="419" t="str">
        <f>IF(B39="","",_xlfn.XLOOKUP(B39,'MIS 2026'!$AA$3:$AA$895,'MIS 2026'!$S$3:$S$895))</f>
        <v/>
      </c>
    </row>
  </sheetData>
  <autoFilter ref="A2:M39" xr:uid="{CD0469FA-7D16-4CDA-ADFD-CFDB2EA9A3AB}">
    <filterColumn colId="3">
      <filters>
        <filter val="TEMA, GHANA"/>
      </filters>
    </filterColumn>
  </autoFilter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1FD1-AEC2-4E56-A480-BE9F31C832F6}">
  <dimension ref="A1:GN10"/>
  <sheetViews>
    <sheetView topLeftCell="B8" zoomScale="73" workbookViewId="0">
      <selection activeCell="F4" sqref="F4"/>
    </sheetView>
  </sheetViews>
  <sheetFormatPr defaultColWidth="90" defaultRowHeight="12.95"/>
  <cols>
    <col min="1" max="1" width="28.7109375" style="69" bestFit="1" customWidth="1"/>
    <col min="2" max="2" width="7.5703125" style="69" bestFit="1" customWidth="1"/>
    <col min="3" max="3" width="14.140625" style="69" bestFit="1" customWidth="1"/>
    <col min="4" max="4" width="14.85546875" style="69" bestFit="1" customWidth="1"/>
    <col min="5" max="5" width="39.42578125" style="69" bestFit="1" customWidth="1"/>
    <col min="6" max="6" width="20.140625" style="69" bestFit="1" customWidth="1"/>
    <col min="7" max="7" width="42.85546875" style="69" bestFit="1" customWidth="1"/>
    <col min="8" max="8" width="15" style="69" bestFit="1" customWidth="1"/>
    <col min="9" max="9" width="12.5703125" style="69" bestFit="1" customWidth="1"/>
    <col min="10" max="10" width="92" style="69" bestFit="1" customWidth="1"/>
    <col min="11" max="11" width="25.42578125" style="69" bestFit="1" customWidth="1"/>
    <col min="12" max="12" width="16.42578125" style="69" bestFit="1" customWidth="1"/>
    <col min="13" max="13" width="27.5703125" style="69" bestFit="1" customWidth="1"/>
    <col min="14" max="14" width="24" style="69" bestFit="1" customWidth="1"/>
    <col min="15" max="15" width="15.5703125" style="69" bestFit="1" customWidth="1"/>
    <col min="16" max="16" width="19.5703125" style="69" bestFit="1" customWidth="1"/>
    <col min="17" max="17" width="15.5703125" style="69" bestFit="1" customWidth="1"/>
    <col min="18" max="18" width="23.140625" style="69" bestFit="1" customWidth="1"/>
    <col min="19" max="19" width="20.42578125" style="69" bestFit="1" customWidth="1"/>
    <col min="20" max="20" width="18.42578125" style="69" bestFit="1" customWidth="1"/>
    <col min="21" max="21" width="16.5703125" style="69" bestFit="1" customWidth="1"/>
    <col min="22" max="22" width="23.7109375" style="69" bestFit="1" customWidth="1"/>
    <col min="23" max="23" width="24.7109375" style="69" bestFit="1" customWidth="1"/>
    <col min="24" max="24" width="16.85546875" style="69" bestFit="1" customWidth="1"/>
    <col min="25" max="25" width="16.42578125" style="69" bestFit="1" customWidth="1"/>
    <col min="26" max="26" width="22.140625" style="71" bestFit="1" customWidth="1"/>
    <col min="27" max="27" width="19.42578125" style="69" bestFit="1" customWidth="1"/>
    <col min="28" max="28" width="20.85546875" style="69" bestFit="1" customWidth="1"/>
    <col min="29" max="29" width="34.85546875" style="69" bestFit="1" customWidth="1"/>
    <col min="30" max="30" width="15.28515625" style="69" bestFit="1" customWidth="1"/>
    <col min="31" max="31" width="11.140625" style="69" bestFit="1" customWidth="1"/>
    <col min="32" max="32" width="13.42578125" style="69" bestFit="1" customWidth="1"/>
    <col min="33" max="33" width="12" style="69" bestFit="1" customWidth="1"/>
    <col min="34" max="34" width="9.42578125" style="69" bestFit="1" customWidth="1"/>
    <col min="35" max="35" width="12.42578125" style="69" bestFit="1" customWidth="1"/>
    <col min="36" max="36" width="19.140625" style="69" bestFit="1" customWidth="1"/>
    <col min="37" max="37" width="21.28515625" style="69" bestFit="1" customWidth="1"/>
    <col min="38" max="38" width="13.5703125" style="69" bestFit="1" customWidth="1"/>
    <col min="39" max="39" width="18.28515625" style="69" bestFit="1" customWidth="1"/>
    <col min="40" max="40" width="22" style="69" bestFit="1" customWidth="1"/>
    <col min="41" max="41" width="11.7109375" style="69" bestFit="1" customWidth="1"/>
    <col min="42" max="42" width="9.28515625" style="69" bestFit="1" customWidth="1"/>
    <col min="43" max="43" width="28.42578125" style="69" bestFit="1" customWidth="1"/>
    <col min="44" max="44" width="10.140625" style="69" bestFit="1" customWidth="1"/>
    <col min="45" max="45" width="15.28515625" style="69" bestFit="1" customWidth="1"/>
    <col min="46" max="46" width="14.140625" style="69" bestFit="1" customWidth="1"/>
    <col min="47" max="47" width="15.42578125" style="69" bestFit="1" customWidth="1"/>
    <col min="48" max="48" width="9.140625" style="69" bestFit="1" customWidth="1"/>
    <col min="49" max="50" width="12.42578125" style="69" bestFit="1" customWidth="1"/>
    <col min="51" max="51" width="14.42578125" style="69" bestFit="1" customWidth="1"/>
    <col min="52" max="52" width="15.28515625" style="69" bestFit="1" customWidth="1"/>
    <col min="53" max="53" width="14.85546875" style="69" bestFit="1" customWidth="1"/>
    <col min="54" max="54" width="13.85546875" style="69" bestFit="1" customWidth="1"/>
    <col min="55" max="55" width="14.28515625" style="69" bestFit="1" customWidth="1"/>
    <col min="56" max="56" width="12.28515625" style="69" bestFit="1" customWidth="1"/>
    <col min="57" max="57" width="13.42578125" style="69" bestFit="1" customWidth="1"/>
    <col min="58" max="58" width="12.140625" style="69" bestFit="1" customWidth="1"/>
    <col min="59" max="59" width="16.28515625" style="69" bestFit="1" customWidth="1"/>
    <col min="60" max="60" width="23.5703125" style="69" bestFit="1" customWidth="1"/>
    <col min="61" max="61" width="18.85546875" style="69" bestFit="1" customWidth="1"/>
    <col min="62" max="62" width="11.85546875" style="69" bestFit="1" customWidth="1"/>
    <col min="63" max="63" width="20.42578125" style="69" bestFit="1" customWidth="1"/>
    <col min="64" max="64" width="15.140625" style="69" bestFit="1" customWidth="1"/>
    <col min="65" max="65" width="19.42578125" style="69" bestFit="1" customWidth="1"/>
    <col min="66" max="66" width="24.28515625" style="69" bestFit="1" customWidth="1"/>
    <col min="67" max="67" width="21.140625" style="69" bestFit="1" customWidth="1"/>
    <col min="68" max="68" width="27.28515625" style="69" bestFit="1" customWidth="1"/>
    <col min="69" max="69" width="25.140625" style="69" bestFit="1" customWidth="1"/>
    <col min="70" max="70" width="31.28515625" style="69" bestFit="1" customWidth="1"/>
    <col min="71" max="71" width="20.5703125" style="69" bestFit="1" customWidth="1"/>
    <col min="72" max="72" width="30.42578125" style="69" bestFit="1" customWidth="1"/>
    <col min="73" max="73" width="36.42578125" style="69" bestFit="1" customWidth="1"/>
    <col min="74" max="74" width="18.42578125" style="69" bestFit="1" customWidth="1"/>
    <col min="75" max="75" width="13.42578125" style="69" bestFit="1" customWidth="1"/>
    <col min="76" max="76" width="25.42578125" style="69" bestFit="1" customWidth="1"/>
    <col min="77" max="77" width="19.42578125" style="69" bestFit="1" customWidth="1"/>
    <col min="78" max="78" width="21.140625" style="69" bestFit="1" customWidth="1"/>
    <col min="79" max="79" width="16.140625" style="69" bestFit="1" customWidth="1"/>
    <col min="80" max="80" width="18" style="69" bestFit="1" customWidth="1"/>
    <col min="81" max="81" width="20.28515625" style="69" bestFit="1" customWidth="1"/>
    <col min="82" max="82" width="23.7109375" style="69" bestFit="1" customWidth="1"/>
    <col min="83" max="83" width="17.5703125" style="69" bestFit="1" customWidth="1"/>
    <col min="84" max="84" width="14.28515625" style="69" bestFit="1" customWidth="1"/>
    <col min="85" max="85" width="9.140625" style="69" bestFit="1" customWidth="1"/>
    <col min="86" max="86" width="19.28515625" style="69" bestFit="1" customWidth="1"/>
    <col min="87" max="87" width="18.140625" style="69" bestFit="1" customWidth="1"/>
    <col min="88" max="88" width="15.5703125" style="69" bestFit="1" customWidth="1"/>
    <col min="89" max="89" width="15" style="69" bestFit="1" customWidth="1"/>
    <col min="90" max="90" width="11.5703125" style="69" bestFit="1" customWidth="1"/>
    <col min="91" max="91" width="24.42578125" style="69" bestFit="1" customWidth="1"/>
    <col min="92" max="93" width="24.28515625" style="69" bestFit="1" customWidth="1"/>
    <col min="94" max="94" width="27.140625" style="69" bestFit="1" customWidth="1"/>
    <col min="95" max="95" width="10.140625" style="69" bestFit="1" customWidth="1"/>
    <col min="96" max="98" width="26.140625" style="69" bestFit="1" customWidth="1"/>
    <col min="99" max="99" width="25.7109375" style="69" bestFit="1" customWidth="1"/>
    <col min="100" max="100" width="21.7109375" style="69" bestFit="1" customWidth="1"/>
    <col min="101" max="101" width="13.85546875" style="69" bestFit="1" customWidth="1"/>
    <col min="102" max="102" width="18.7109375" style="69" bestFit="1" customWidth="1"/>
    <col min="103" max="103" width="20.85546875" style="69" bestFit="1" customWidth="1"/>
    <col min="104" max="104" width="10.85546875" style="69" bestFit="1" customWidth="1"/>
    <col min="105" max="105" width="13.42578125" style="69" bestFit="1" customWidth="1"/>
    <col min="106" max="106" width="16.5703125" style="69" bestFit="1" customWidth="1"/>
    <col min="107" max="108" width="15.85546875" style="69" bestFit="1" customWidth="1"/>
    <col min="109" max="109" width="16" style="69" bestFit="1" customWidth="1"/>
    <col min="110" max="110" width="10.85546875" style="69" bestFit="1" customWidth="1"/>
    <col min="111" max="111" width="7.85546875" style="69" bestFit="1" customWidth="1"/>
    <col min="112" max="113" width="19.140625" style="69" bestFit="1" customWidth="1"/>
    <col min="114" max="114" width="10.140625" style="69" bestFit="1" customWidth="1"/>
    <col min="115" max="115" width="11.85546875" style="69" bestFit="1" customWidth="1"/>
    <col min="116" max="116" width="13.42578125" style="69" bestFit="1" customWidth="1"/>
    <col min="117" max="118" width="14.140625" style="69" bestFit="1" customWidth="1"/>
    <col min="119" max="119" width="22.85546875" style="69" bestFit="1" customWidth="1"/>
    <col min="120" max="120" width="21.42578125" style="69" bestFit="1" customWidth="1"/>
    <col min="121" max="121" width="22.42578125" style="69" bestFit="1" customWidth="1"/>
    <col min="122" max="122" width="16.28515625" style="69" bestFit="1" customWidth="1"/>
    <col min="123" max="123" width="14.42578125" style="69" bestFit="1" customWidth="1"/>
    <col min="124" max="124" width="15.28515625" style="69" bestFit="1" customWidth="1"/>
    <col min="125" max="125" width="11.42578125" style="69" bestFit="1" customWidth="1"/>
    <col min="126" max="16384" width="90" style="69"/>
  </cols>
  <sheetData>
    <row r="1" spans="1:196" ht="47.1">
      <c r="A1" s="365" t="s">
        <v>1069</v>
      </c>
      <c r="B1" s="441" t="s">
        <v>0</v>
      </c>
      <c r="C1" s="441"/>
      <c r="D1" s="367"/>
      <c r="E1" s="63" t="s">
        <v>1</v>
      </c>
      <c r="F1" s="368"/>
      <c r="G1" s="368" t="s">
        <v>2</v>
      </c>
      <c r="H1" s="63"/>
      <c r="I1" s="63"/>
      <c r="J1" s="368"/>
      <c r="K1" s="368"/>
      <c r="L1" s="368"/>
      <c r="M1" s="368"/>
      <c r="N1" s="63"/>
      <c r="O1" s="63"/>
      <c r="P1" s="63"/>
      <c r="Q1" s="63"/>
      <c r="R1" s="369"/>
      <c r="S1" s="370"/>
      <c r="T1" s="371" t="s">
        <v>3</v>
      </c>
      <c r="U1" s="372" t="s">
        <v>4</v>
      </c>
      <c r="V1" s="372"/>
      <c r="W1" s="372"/>
      <c r="X1" s="372"/>
      <c r="Y1" s="372"/>
      <c r="Z1" s="373"/>
      <c r="AA1" s="373"/>
      <c r="AB1" s="440"/>
      <c r="AC1" s="372"/>
      <c r="AD1" s="372"/>
      <c r="AE1" s="372"/>
      <c r="AF1" s="375"/>
      <c r="AG1" s="375"/>
      <c r="AH1" s="372"/>
      <c r="AI1" s="372"/>
      <c r="AJ1" s="372"/>
      <c r="AK1" s="372"/>
      <c r="AL1" s="372"/>
      <c r="AM1" s="372"/>
      <c r="AN1" s="372"/>
      <c r="AO1" s="372"/>
      <c r="AP1" s="375"/>
      <c r="AQ1" s="59" t="s">
        <v>5</v>
      </c>
      <c r="AR1" s="59"/>
      <c r="AS1" s="59"/>
      <c r="AT1" s="59"/>
      <c r="AU1" s="59"/>
      <c r="AV1" s="59"/>
      <c r="AW1" s="59"/>
      <c r="AX1" s="59"/>
      <c r="AY1" s="376" t="s">
        <v>6</v>
      </c>
      <c r="AZ1" s="376"/>
      <c r="BA1" s="376"/>
      <c r="BB1" s="376"/>
      <c r="BC1" s="61" t="s">
        <v>7</v>
      </c>
      <c r="BD1" s="61"/>
      <c r="BE1" s="61"/>
      <c r="BF1" s="61"/>
      <c r="BG1" s="61"/>
      <c r="BH1" s="61"/>
      <c r="BI1" s="61"/>
      <c r="BJ1" s="61"/>
      <c r="BK1" s="61"/>
      <c r="BL1" s="62"/>
      <c r="BM1" s="61"/>
      <c r="BN1" s="61"/>
      <c r="BO1" s="377"/>
      <c r="BP1" s="61"/>
      <c r="BQ1" s="61"/>
      <c r="BR1" s="61"/>
      <c r="BS1" s="61"/>
      <c r="BT1" s="61"/>
      <c r="BU1" s="61"/>
      <c r="BV1" s="378" t="s">
        <v>8</v>
      </c>
      <c r="BW1" s="378"/>
      <c r="BX1" s="378"/>
      <c r="BY1" s="379" t="s">
        <v>9</v>
      </c>
      <c r="BZ1" s="379"/>
      <c r="CA1" s="379"/>
      <c r="CB1" s="379"/>
      <c r="CC1" s="379"/>
      <c r="CD1" s="379"/>
      <c r="CE1" s="379"/>
      <c r="CF1" s="379"/>
      <c r="CG1" s="379"/>
      <c r="CH1" s="380" t="s">
        <v>10</v>
      </c>
      <c r="CI1" s="380"/>
      <c r="CJ1" s="380"/>
      <c r="CK1" s="380"/>
      <c r="CL1" s="381" t="s">
        <v>11</v>
      </c>
      <c r="CM1" s="381"/>
      <c r="CN1" s="381"/>
      <c r="CO1" s="381"/>
      <c r="CP1" s="381"/>
      <c r="CQ1" s="372" t="s">
        <v>12</v>
      </c>
      <c r="CR1" s="372"/>
      <c r="CS1" s="59" t="s">
        <v>13</v>
      </c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178">
        <f>SUBTOTAL(9,DL3:DL3)</f>
        <v>0</v>
      </c>
      <c r="DM1" s="59"/>
      <c r="DN1" s="59"/>
      <c r="DO1" s="59"/>
      <c r="DP1" s="59"/>
      <c r="DQ1" s="60">
        <f>SUBTOTAL(9,DQ3:DQ3)</f>
        <v>0</v>
      </c>
      <c r="DR1" s="60">
        <f>SUBTOTAL(9,DR3:DR3)</f>
        <v>0</v>
      </c>
      <c r="DS1" s="59"/>
      <c r="DT1" s="59"/>
      <c r="DU1" s="59"/>
      <c r="DV1" s="59"/>
      <c r="DW1" s="59"/>
      <c r="DX1" s="59"/>
      <c r="DY1" s="59"/>
      <c r="DZ1" s="179" t="s">
        <v>14</v>
      </c>
      <c r="EA1" s="58">
        <f>SUBTOTAL(9,EA3:EA3)</f>
        <v>0</v>
      </c>
      <c r="EB1" s="382" t="s">
        <v>1070</v>
      </c>
      <c r="EC1" s="382"/>
      <c r="ED1" s="382"/>
      <c r="EE1" s="382"/>
      <c r="EF1" s="382"/>
      <c r="EG1" s="383" t="s">
        <v>16</v>
      </c>
      <c r="EH1" s="383"/>
      <c r="EI1" s="383"/>
      <c r="EJ1" s="383"/>
      <c r="EK1" s="383"/>
      <c r="EL1" s="383"/>
      <c r="EM1" s="383"/>
      <c r="EN1" s="383"/>
      <c r="EO1" s="383"/>
      <c r="EP1" s="383"/>
      <c r="EQ1" s="383"/>
      <c r="ER1" s="383"/>
      <c r="ES1" s="383"/>
      <c r="ET1" s="383"/>
      <c r="EU1" s="383"/>
      <c r="EV1" s="383"/>
      <c r="EW1" s="383"/>
      <c r="EX1" s="384" t="s">
        <v>17</v>
      </c>
      <c r="EY1" s="384"/>
      <c r="EZ1" s="384"/>
      <c r="FA1" s="384"/>
      <c r="FB1" s="384"/>
      <c r="FC1" s="384"/>
      <c r="FD1" s="384"/>
      <c r="FE1" s="384"/>
      <c r="FF1" s="384"/>
      <c r="FG1" s="384"/>
      <c r="FH1" s="384"/>
      <c r="FI1" s="385" t="s">
        <v>18</v>
      </c>
      <c r="FJ1" s="385"/>
      <c r="FK1" s="385"/>
      <c r="FL1" s="385"/>
      <c r="FM1" s="385"/>
      <c r="FN1" s="385"/>
      <c r="FO1" s="385"/>
      <c r="FP1" s="57" t="s">
        <v>19</v>
      </c>
      <c r="FQ1" s="57"/>
      <c r="FR1" s="57"/>
      <c r="FS1" s="386"/>
      <c r="FT1" s="386"/>
      <c r="FU1" s="386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spans="1:196" s="146" customFormat="1" ht="84.95">
      <c r="A2" s="387" t="s">
        <v>1071</v>
      </c>
      <c r="B2" s="388" t="s">
        <v>1072</v>
      </c>
      <c r="C2" s="388" t="s">
        <v>22</v>
      </c>
      <c r="D2" s="389" t="s">
        <v>23</v>
      </c>
      <c r="E2" s="390" t="s">
        <v>24</v>
      </c>
      <c r="F2" s="391" t="s">
        <v>25</v>
      </c>
      <c r="G2" s="389" t="s">
        <v>27</v>
      </c>
      <c r="H2" s="389" t="s">
        <v>28</v>
      </c>
      <c r="I2" s="389" t="s">
        <v>29</v>
      </c>
      <c r="J2" s="391" t="s">
        <v>31</v>
      </c>
      <c r="K2" s="391" t="s">
        <v>917</v>
      </c>
      <c r="L2" s="391" t="s">
        <v>34</v>
      </c>
      <c r="M2" s="391" t="s">
        <v>35</v>
      </c>
      <c r="N2" s="390" t="s">
        <v>36</v>
      </c>
      <c r="O2" s="390" t="s">
        <v>37</v>
      </c>
      <c r="P2" s="390" t="s">
        <v>38</v>
      </c>
      <c r="Q2" s="389" t="s">
        <v>1073</v>
      </c>
      <c r="R2" s="389" t="s">
        <v>40</v>
      </c>
      <c r="S2" s="389" t="s">
        <v>41</v>
      </c>
      <c r="T2" s="392">
        <f ca="1">TODAY()</f>
        <v>46172</v>
      </c>
      <c r="U2" s="389" t="s">
        <v>42</v>
      </c>
      <c r="V2" s="389" t="s">
        <v>43</v>
      </c>
      <c r="W2" s="393" t="s">
        <v>44</v>
      </c>
      <c r="X2" s="389" t="s">
        <v>45</v>
      </c>
      <c r="Y2" s="389" t="s">
        <v>46</v>
      </c>
      <c r="Z2" s="393" t="s">
        <v>47</v>
      </c>
      <c r="AA2" s="393" t="s">
        <v>48</v>
      </c>
      <c r="AB2" s="394" t="s">
        <v>49</v>
      </c>
      <c r="AC2" s="395" t="s">
        <v>50</v>
      </c>
      <c r="AD2" s="395" t="s">
        <v>51</v>
      </c>
      <c r="AE2" s="389" t="s">
        <v>52</v>
      </c>
      <c r="AF2" s="396" t="s">
        <v>53</v>
      </c>
      <c r="AG2" s="396" t="s">
        <v>54</v>
      </c>
      <c r="AH2" s="389" t="s">
        <v>55</v>
      </c>
      <c r="AI2" s="389" t="s">
        <v>56</v>
      </c>
      <c r="AJ2" s="389" t="s">
        <v>57</v>
      </c>
      <c r="AK2" s="389" t="s">
        <v>58</v>
      </c>
      <c r="AL2" s="389" t="s">
        <v>59</v>
      </c>
      <c r="AM2" s="397" t="s">
        <v>60</v>
      </c>
      <c r="AN2" s="389" t="s">
        <v>61</v>
      </c>
      <c r="AO2" s="389" t="s">
        <v>62</v>
      </c>
      <c r="AP2" s="398" t="s">
        <v>63</v>
      </c>
      <c r="AQ2" s="389" t="s">
        <v>64</v>
      </c>
      <c r="AR2" s="389" t="s">
        <v>65</v>
      </c>
      <c r="AS2" s="389" t="s">
        <v>66</v>
      </c>
      <c r="AT2" s="393" t="s">
        <v>67</v>
      </c>
      <c r="AU2" s="389" t="s">
        <v>68</v>
      </c>
      <c r="AV2" s="389" t="s">
        <v>69</v>
      </c>
      <c r="AW2" s="395" t="s">
        <v>70</v>
      </c>
      <c r="AX2" s="391" t="s">
        <v>71</v>
      </c>
      <c r="AY2" s="391" t="s">
        <v>72</v>
      </c>
      <c r="AZ2" s="391" t="s">
        <v>73</v>
      </c>
      <c r="BA2" s="391" t="s">
        <v>74</v>
      </c>
      <c r="BB2" s="391" t="s">
        <v>75</v>
      </c>
      <c r="BC2" s="391" t="s">
        <v>72</v>
      </c>
      <c r="BD2" s="391" t="s">
        <v>74</v>
      </c>
      <c r="BE2" s="391" t="s">
        <v>75</v>
      </c>
      <c r="BF2" s="391" t="s">
        <v>76</v>
      </c>
      <c r="BG2" s="399" t="s">
        <v>1074</v>
      </c>
      <c r="BH2" s="399" t="s">
        <v>1075</v>
      </c>
      <c r="BI2" s="400" t="s">
        <v>1076</v>
      </c>
      <c r="BJ2" s="400" t="s">
        <v>78</v>
      </c>
      <c r="BK2" s="401" t="s">
        <v>1077</v>
      </c>
      <c r="BL2" s="402" t="s">
        <v>79</v>
      </c>
      <c r="BM2" s="399" t="s">
        <v>917</v>
      </c>
      <c r="BN2" s="395" t="s">
        <v>81</v>
      </c>
      <c r="BO2" s="403" t="s">
        <v>82</v>
      </c>
      <c r="BP2" s="404" t="s">
        <v>83</v>
      </c>
      <c r="BQ2" s="405" t="s">
        <v>30</v>
      </c>
      <c r="BR2" s="405" t="s">
        <v>84</v>
      </c>
      <c r="BS2" s="391" t="s">
        <v>85</v>
      </c>
      <c r="BT2" s="391" t="s">
        <v>86</v>
      </c>
      <c r="BU2" s="391" t="s">
        <v>87</v>
      </c>
      <c r="BV2" s="399" t="s">
        <v>88</v>
      </c>
      <c r="BW2" s="399" t="s">
        <v>89</v>
      </c>
      <c r="BX2" s="400" t="s">
        <v>90</v>
      </c>
      <c r="BY2" s="395" t="s">
        <v>91</v>
      </c>
      <c r="BZ2" s="389" t="s">
        <v>92</v>
      </c>
      <c r="CA2" s="391" t="s">
        <v>93</v>
      </c>
      <c r="CB2" s="391" t="s">
        <v>94</v>
      </c>
      <c r="CC2" s="391" t="s">
        <v>95</v>
      </c>
      <c r="CD2" s="391" t="s">
        <v>96</v>
      </c>
      <c r="CE2" s="391" t="s">
        <v>97</v>
      </c>
      <c r="CF2" s="406" t="s">
        <v>98</v>
      </c>
      <c r="CG2" s="406" t="s">
        <v>99</v>
      </c>
      <c r="CH2" s="389" t="s">
        <v>100</v>
      </c>
      <c r="CI2" s="404" t="s">
        <v>101</v>
      </c>
      <c r="CJ2" s="404" t="s">
        <v>102</v>
      </c>
      <c r="CK2" s="404" t="s">
        <v>103</v>
      </c>
      <c r="CL2" s="399" t="s">
        <v>104</v>
      </c>
      <c r="CM2" s="391" t="s">
        <v>105</v>
      </c>
      <c r="CN2" s="407" t="s">
        <v>106</v>
      </c>
      <c r="CO2" s="407" t="s">
        <v>107</v>
      </c>
      <c r="CP2" s="407" t="s">
        <v>108</v>
      </c>
      <c r="CQ2" s="407" t="s">
        <v>109</v>
      </c>
      <c r="CR2" s="408" t="s">
        <v>110</v>
      </c>
      <c r="CS2" s="409" t="s">
        <v>111</v>
      </c>
      <c r="CT2" s="409" t="s">
        <v>112</v>
      </c>
      <c r="CU2" s="409" t="s">
        <v>113</v>
      </c>
      <c r="CV2" s="409" t="s">
        <v>114</v>
      </c>
      <c r="CW2" s="409" t="s">
        <v>115</v>
      </c>
      <c r="CX2" s="409" t="s">
        <v>116</v>
      </c>
      <c r="CY2" s="410" t="s">
        <v>117</v>
      </c>
      <c r="CZ2" s="410" t="s">
        <v>118</v>
      </c>
      <c r="DA2" s="410" t="s">
        <v>119</v>
      </c>
      <c r="DB2" s="409" t="s">
        <v>120</v>
      </c>
      <c r="DC2" s="409" t="s">
        <v>121</v>
      </c>
      <c r="DD2" s="411" t="s">
        <v>122</v>
      </c>
      <c r="DE2" s="409" t="s">
        <v>123</v>
      </c>
      <c r="DF2" s="409" t="s">
        <v>124</v>
      </c>
      <c r="DG2" s="409" t="s">
        <v>125</v>
      </c>
      <c r="DH2" s="409" t="s">
        <v>126</v>
      </c>
      <c r="DI2" s="409" t="s">
        <v>127</v>
      </c>
      <c r="DJ2" s="409" t="s">
        <v>128</v>
      </c>
      <c r="DK2" s="409" t="s">
        <v>129</v>
      </c>
      <c r="DL2" s="389" t="s">
        <v>130</v>
      </c>
      <c r="DM2" s="389" t="s">
        <v>131</v>
      </c>
      <c r="DN2" s="409" t="s">
        <v>132</v>
      </c>
      <c r="DO2" s="409" t="s">
        <v>133</v>
      </c>
      <c r="DP2" s="409" t="s">
        <v>134</v>
      </c>
      <c r="DQ2" s="410" t="s">
        <v>135</v>
      </c>
      <c r="DR2" s="410" t="s">
        <v>136</v>
      </c>
      <c r="DS2" s="409" t="s">
        <v>137</v>
      </c>
      <c r="DT2" s="412" t="s">
        <v>138</v>
      </c>
      <c r="DU2" s="409" t="s">
        <v>139</v>
      </c>
      <c r="DV2" s="409" t="s">
        <v>140</v>
      </c>
      <c r="DW2" s="409" t="s">
        <v>141</v>
      </c>
      <c r="DX2" s="409" t="s">
        <v>142</v>
      </c>
      <c r="DY2" s="409" t="s">
        <v>143</v>
      </c>
      <c r="DZ2" s="409" t="s">
        <v>144</v>
      </c>
      <c r="EA2" s="409" t="s">
        <v>145</v>
      </c>
      <c r="EB2" s="389" t="s">
        <v>1078</v>
      </c>
      <c r="EC2" s="389" t="s">
        <v>1079</v>
      </c>
      <c r="ED2" s="389" t="s">
        <v>1072</v>
      </c>
      <c r="EE2" s="389" t="s">
        <v>22</v>
      </c>
      <c r="EF2" s="389" t="s">
        <v>1080</v>
      </c>
      <c r="EG2" s="389" t="s">
        <v>149</v>
      </c>
      <c r="EH2" s="389" t="s">
        <v>150</v>
      </c>
      <c r="EI2" s="389" t="s">
        <v>151</v>
      </c>
      <c r="EJ2" s="389" t="s">
        <v>152</v>
      </c>
      <c r="EK2" s="389" t="s">
        <v>153</v>
      </c>
      <c r="EL2" s="389" t="s">
        <v>154</v>
      </c>
      <c r="EM2" s="389" t="s">
        <v>155</v>
      </c>
      <c r="EN2" s="413" t="s">
        <v>156</v>
      </c>
      <c r="EO2" s="413" t="s">
        <v>157</v>
      </c>
      <c r="EP2" s="389" t="s">
        <v>158</v>
      </c>
      <c r="EQ2" s="389" t="s">
        <v>159</v>
      </c>
      <c r="ER2" s="389" t="s">
        <v>160</v>
      </c>
      <c r="ES2" s="389" t="s">
        <v>161</v>
      </c>
      <c r="ET2" s="389" t="s">
        <v>163</v>
      </c>
      <c r="EU2" s="389" t="s">
        <v>164</v>
      </c>
      <c r="EV2" s="389" t="s">
        <v>165</v>
      </c>
      <c r="EW2" s="389" t="s">
        <v>166</v>
      </c>
      <c r="EX2" s="391" t="s">
        <v>167</v>
      </c>
      <c r="EY2" s="391" t="s">
        <v>168</v>
      </c>
      <c r="EZ2" s="391" t="s">
        <v>169</v>
      </c>
      <c r="FA2" s="391" t="s">
        <v>170</v>
      </c>
      <c r="FB2" s="389" t="s">
        <v>171</v>
      </c>
      <c r="FC2" s="393" t="s">
        <v>172</v>
      </c>
      <c r="FD2" s="414" t="s">
        <v>173</v>
      </c>
      <c r="FE2" s="391" t="s">
        <v>174</v>
      </c>
      <c r="FF2" s="391" t="s">
        <v>175</v>
      </c>
      <c r="FG2" s="391" t="s">
        <v>176</v>
      </c>
      <c r="FH2" s="391" t="s">
        <v>177</v>
      </c>
      <c r="FI2" s="415" t="s">
        <v>180</v>
      </c>
      <c r="FJ2" s="415" t="s">
        <v>181</v>
      </c>
      <c r="FK2" s="415" t="s">
        <v>182</v>
      </c>
      <c r="FL2" s="415" t="s">
        <v>183</v>
      </c>
      <c r="FM2" s="415" t="s">
        <v>184</v>
      </c>
      <c r="FN2" s="415" t="s">
        <v>185</v>
      </c>
      <c r="FO2" s="415" t="s">
        <v>186</v>
      </c>
      <c r="FP2" s="416" t="s">
        <v>187</v>
      </c>
      <c r="FQ2" s="416" t="s">
        <v>188</v>
      </c>
      <c r="FR2" s="416" t="s">
        <v>189</v>
      </c>
      <c r="FS2" s="416" t="s">
        <v>190</v>
      </c>
      <c r="FT2" s="416" t="s">
        <v>191</v>
      </c>
      <c r="FU2" s="416" t="s">
        <v>192</v>
      </c>
      <c r="FV2" s="416" t="s">
        <v>193</v>
      </c>
      <c r="FW2" s="416" t="s">
        <v>193</v>
      </c>
      <c r="FX2" s="416" t="s">
        <v>194</v>
      </c>
      <c r="FY2" s="416" t="s">
        <v>195</v>
      </c>
      <c r="FZ2" s="416" t="s">
        <v>196</v>
      </c>
      <c r="GA2" s="416" t="s">
        <v>197</v>
      </c>
      <c r="GB2" s="416" t="s">
        <v>198</v>
      </c>
      <c r="GC2" s="416" t="s">
        <v>199</v>
      </c>
      <c r="GD2" s="416" t="s">
        <v>200</v>
      </c>
      <c r="GE2" s="389" t="s">
        <v>201</v>
      </c>
      <c r="GF2" s="389" t="s">
        <v>202</v>
      </c>
      <c r="GG2" s="389" t="s">
        <v>203</v>
      </c>
      <c r="GH2" s="389" t="s">
        <v>204</v>
      </c>
      <c r="GI2" s="389" t="s">
        <v>205</v>
      </c>
      <c r="GJ2" s="389" t="s">
        <v>206</v>
      </c>
      <c r="GK2" s="417" t="s">
        <v>207</v>
      </c>
    </row>
    <row r="3" spans="1:196" s="105" customFormat="1" ht="35.1" customHeight="1">
      <c r="A3" s="38" t="str">
        <f>IF(DI3="CLOSE","Trade closed",IF(CB3&lt;&gt;0,"FNF Stage",IF(CA3&lt;&gt;0,"Offloaded, Quality Report Pending",IF(BV3&lt;&gt;0,"Final Pmt Recd",IF(BQ3&lt;&gt;0,"Exp Dox Presented Bnk, Pmt Pending",IF(BP3&lt;&gt;0,"Originals Recd",IF(BK3&lt;&gt;0,"Certf Scan Recd",IF(BJ3&lt;&gt;0,"OBL Scan Recd, Nego Pending",IF(AS3&lt;&gt;0,"Sailed",IF(AT3&lt;&gt;0,"Stuffed, Yet to Sail",IF(AO3&lt;&gt;0,"SI Sent",IF(AN3&lt;&gt;0,"Advance Rcvd, SI Pending",IF(AN3&lt;&gt;0,"Advance Rcvd, SI Pending",IF(P3&lt;&gt;0,"SC Raised, Advance Pending",IF(N3&lt;&gt;0,"Deal Ticket Rcvd SC Pending",IF(N3&lt;&gt;0,"Cargo Allocation Pending","ENTRY PENDING FROM CENTRAL DESK"))))))))))))))))</f>
        <v>Deal Ticket Rcvd SC Pending</v>
      </c>
      <c r="B3" s="45">
        <v>51</v>
      </c>
      <c r="C3" s="45">
        <v>190</v>
      </c>
      <c r="D3" s="32" t="s">
        <v>208</v>
      </c>
      <c r="E3" s="38" t="str">
        <f>IF(AND(OR(F3="",ISNUMBER(SEARCH("TBA",F3))),AR3=""),
   "ENTRY PENDING FROM CENTRAL DESK",
   IF(AND(NOT(ISNUMBER(SEARCH("TBA",F3))),F3&lt;&gt;"",AR3&lt;&gt;""),
      "CLOSE POSITION",
      IF(AND(NOT(ISNUMBER(SEARCH("TBA",F3))),F3&lt;&gt;""),
         "SHORT",
         "LONG"
      )
   )
)</f>
        <v>ENTRY PENDING FROM CENTRAL DESK</v>
      </c>
      <c r="F3" s="142" t="str">
        <f>Q3</f>
        <v>TBA 08</v>
      </c>
      <c r="G3" s="141" t="s">
        <v>1081</v>
      </c>
      <c r="H3" s="32" t="str">
        <f>IF(AR3&lt;&gt;0,AR3,"")</f>
        <v/>
      </c>
      <c r="I3" s="32"/>
      <c r="J3" s="32"/>
      <c r="K3" s="51" t="s">
        <v>1082</v>
      </c>
      <c r="L3" s="140" t="s">
        <v>1083</v>
      </c>
      <c r="M3" s="51"/>
      <c r="N3" s="13">
        <v>1</v>
      </c>
      <c r="O3" s="107"/>
      <c r="P3" s="110"/>
      <c r="Q3" s="139" t="s">
        <v>764</v>
      </c>
      <c r="R3" s="32" t="str">
        <f>G3</f>
        <v>VALENCY AGRO // HSS  // BISMILLAH AGRI</v>
      </c>
      <c r="S3" s="13" t="s">
        <v>1084</v>
      </c>
      <c r="T3" s="138">
        <v>0.1</v>
      </c>
      <c r="U3" s="137">
        <v>100</v>
      </c>
      <c r="V3" s="106">
        <f>U3*(1-T3)</f>
        <v>90</v>
      </c>
      <c r="W3" s="32" t="s">
        <v>215</v>
      </c>
      <c r="X3" s="112">
        <v>1695</v>
      </c>
      <c r="Y3" s="106">
        <f>U3*X3</f>
        <v>169500</v>
      </c>
      <c r="Z3" s="32" t="s">
        <v>216</v>
      </c>
      <c r="AA3" s="32" t="s">
        <v>238</v>
      </c>
      <c r="AB3" s="32" t="s">
        <v>238</v>
      </c>
      <c r="AC3" s="136" t="s">
        <v>218</v>
      </c>
      <c r="AD3" s="32"/>
      <c r="AE3" s="126" t="s">
        <v>239</v>
      </c>
      <c r="AF3" s="126"/>
      <c r="AG3" s="51" t="s">
        <v>220</v>
      </c>
      <c r="AH3" s="51" t="s">
        <v>220</v>
      </c>
      <c r="AI3" s="51" t="s">
        <v>220</v>
      </c>
      <c r="AJ3" s="135"/>
      <c r="AK3" s="32"/>
      <c r="AL3" s="32"/>
      <c r="AM3" s="112">
        <f>Y3*10%</f>
        <v>16950</v>
      </c>
      <c r="AN3" s="126"/>
      <c r="AO3" s="122"/>
      <c r="AP3" s="126"/>
      <c r="AQ3" s="126"/>
      <c r="AR3" s="51"/>
      <c r="AS3" s="126"/>
      <c r="AT3" s="134"/>
      <c r="AU3" s="134"/>
      <c r="AV3" s="133"/>
      <c r="AW3" s="132"/>
      <c r="AX3" s="112"/>
      <c r="AY3" s="112"/>
      <c r="AZ3" s="112"/>
      <c r="BA3" s="131"/>
      <c r="BB3" s="122"/>
      <c r="BC3" s="32" t="s">
        <v>1082</v>
      </c>
      <c r="BD3" s="130" t="s">
        <v>225</v>
      </c>
      <c r="BE3" s="38"/>
      <c r="BF3" s="129"/>
      <c r="BG3" s="128"/>
      <c r="BH3" s="112">
        <f>AU3*X3</f>
        <v>0</v>
      </c>
      <c r="BI3" s="126"/>
      <c r="BJ3" s="122"/>
      <c r="BK3" s="126"/>
      <c r="BL3" s="32"/>
      <c r="BM3" s="32"/>
      <c r="BN3" s="32"/>
      <c r="BO3" s="32"/>
      <c r="BP3" s="126"/>
      <c r="BQ3" s="126"/>
      <c r="BR3" s="127"/>
      <c r="BS3" s="126"/>
      <c r="BT3" s="125"/>
      <c r="BU3" s="124">
        <f>BH3*98%-AM3</f>
        <v>-16950</v>
      </c>
      <c r="BV3" s="123"/>
      <c r="BW3" s="122"/>
      <c r="BX3" s="38"/>
      <c r="BY3" s="38"/>
      <c r="BZ3" s="38"/>
      <c r="CA3" s="38"/>
      <c r="CB3" s="38"/>
      <c r="CC3" s="38">
        <v>260</v>
      </c>
      <c r="CD3" s="115">
        <f>AU3-CC3</f>
        <v>-260</v>
      </c>
      <c r="CE3" s="121" t="e">
        <f>CD3/AU3</f>
        <v>#DIV/0!</v>
      </c>
      <c r="CF3" s="115">
        <f>AM3+BU3</f>
        <v>0</v>
      </c>
      <c r="CG3" s="115">
        <f>BH3*2%</f>
        <v>0</v>
      </c>
      <c r="CH3" s="116">
        <f>X3/B3</f>
        <v>33.235294117647058</v>
      </c>
      <c r="CI3" s="13">
        <v>48.5</v>
      </c>
      <c r="CJ3" s="120">
        <f>B3-CI3</f>
        <v>2.5</v>
      </c>
      <c r="CK3" s="38">
        <v>190</v>
      </c>
      <c r="CL3" s="117">
        <f>CK3-C3</f>
        <v>0</v>
      </c>
      <c r="CM3" s="119">
        <v>0.09</v>
      </c>
      <c r="CN3" s="118">
        <f>10%-CM3</f>
        <v>1.0000000000000009E-2</v>
      </c>
      <c r="CO3" s="38">
        <f>CD3*X3</f>
        <v>-440700</v>
      </c>
      <c r="CP3" s="115">
        <f>IF(CJ3&gt;2,2*CJ3*CC3*CH3,CJ3*CC3*CH3)</f>
        <v>43205.882352941175</v>
      </c>
      <c r="CQ3" s="38">
        <f>IF(CJ3&gt;2,2*(CJ3-2*CC3*CH3),0)</f>
        <v>-34559.705882352937</v>
      </c>
      <c r="CR3" s="117">
        <f>IF(CL3&gt;0,CL3*0.5*CC3,0)</f>
        <v>0</v>
      </c>
      <c r="CS3" s="38">
        <f>IF(CN3&lt;0,CN3*CC3*X3*10%,0)</f>
        <v>0</v>
      </c>
      <c r="CT3" s="116">
        <f>SUM(CO3:CS3)</f>
        <v>-432053.82352941175</v>
      </c>
      <c r="CU3" s="38"/>
      <c r="CV3" s="38"/>
      <c r="CW3" s="38"/>
      <c r="CX3" s="38"/>
      <c r="CY3" s="116">
        <f>SUM(CT3:CX3)</f>
        <v>-432053.82352941175</v>
      </c>
      <c r="CZ3" s="115">
        <f>AU3*X3-CY3</f>
        <v>432053.82352941175</v>
      </c>
      <c r="DA3" s="115">
        <f>AM3+BU3</f>
        <v>0</v>
      </c>
      <c r="DB3" s="115" t="str">
        <f>IF((DA3-CZ3)&gt;0,DA3-CZ3,"")</f>
        <v/>
      </c>
      <c r="DC3" s="115">
        <f>IF((CZ3-DA3)&gt;0,(CZ3-DA3),"")</f>
        <v>432053.82352941175</v>
      </c>
      <c r="DD3" s="38" t="str">
        <f>IF(DB3="",G3,"VALENCY")</f>
        <v>VALENCY AGRO // HSS  // BISMILLAH AGRI</v>
      </c>
      <c r="DE3" s="38"/>
      <c r="DF3" s="38"/>
      <c r="DG3" s="38"/>
      <c r="DH3" s="38"/>
      <c r="DI3" s="38"/>
      <c r="DJ3" s="114"/>
      <c r="DM3" s="51"/>
      <c r="DN3" s="113"/>
      <c r="DO3" s="32"/>
      <c r="DP3" s="51"/>
      <c r="DQ3" s="32"/>
      <c r="DR3" s="112"/>
      <c r="DS3" s="112"/>
      <c r="DT3" s="45" t="s">
        <v>220</v>
      </c>
      <c r="DU3" s="108"/>
      <c r="DV3" s="106">
        <f>DS3*DR3</f>
        <v>0</v>
      </c>
      <c r="DW3" s="32" t="s">
        <v>232</v>
      </c>
      <c r="DX3" s="32"/>
      <c r="DY3" s="32"/>
      <c r="DZ3" s="108"/>
      <c r="EA3" s="32"/>
      <c r="EB3" s="32"/>
      <c r="EC3" s="38" t="str">
        <f>IF('CANCEL SALES CONTRACT'!EM3&lt;&gt;0,"Sales Comm Settled",IF('CANCEL SALES CONTRACT'!BV3&lt;&gt;0,"Final Pmt Recd",IF('CANCEL SALES CONTRACT'!BS3&lt;&gt;0,"Export Loan",IF('CANCEL SALES CONTRACT'!BP3&lt;&gt;0,"Nego Pending",IF('CANCEL SALES CONTRACT'!BJ3&lt;&gt;0,"Nego Pending",IF('CANCEL SALES CONTRACT'!AS3&lt;&gt;0,"Nego Pending",IF('CANCEL SALES CONTRACT'!AT3&lt;&gt;0,"Yet to load",IF('CANCEL SALES CONTRACT'!O3&lt;0,"Yet to load","Yet to load"))))))))</f>
        <v>Yet to load</v>
      </c>
      <c r="ED3" s="111"/>
      <c r="EE3" s="106" t="e">
        <f>ED3/AU3</f>
        <v>#DIV/0!</v>
      </c>
      <c r="EF3" s="110"/>
      <c r="EG3" s="110"/>
      <c r="EH3" s="32"/>
      <c r="EI3" s="110"/>
      <c r="EJ3" s="109"/>
      <c r="EK3" s="106">
        <f>EJ3*AU3</f>
        <v>0</v>
      </c>
      <c r="EL3" s="108"/>
      <c r="EM3" s="108"/>
      <c r="EN3" s="107"/>
      <c r="EO3" s="107" t="str">
        <f>IF(EG3&gt;0,EG3-EF3,IF(AS3="","Yet to Sail",IF(EF3="","To be recd",0)))</f>
        <v>Yet to Sail</v>
      </c>
      <c r="EP3" s="107">
        <f>IF(EI3="NA","NA",EI3-$AS3)</f>
        <v>0</v>
      </c>
      <c r="EQ3" s="107" t="str">
        <f ca="1">IF(BJ3&lt;&gt;0,BJ3-AS3,IF(AS3="","Yet to Sail",IF(BJ3="",TODAY()-AS3)))</f>
        <v>Yet to Sail</v>
      </c>
      <c r="ER3" s="107" t="str">
        <f ca="1">IF(BS3&lt;&gt;0,BS3-AS3,IF(AS3="","Yet to Sail",TODAY()-AS3))</f>
        <v>Yet to Sail</v>
      </c>
      <c r="ES3" s="107" t="str">
        <f ca="1">IF(BK3&lt;&gt;0,BK3-AS3,IF(AS3="","Yet to Sail",TODAY()-AS3))</f>
        <v>Yet to Sail</v>
      </c>
      <c r="ET3" s="107">
        <f>O3</f>
        <v>0</v>
      </c>
      <c r="EU3" s="32" t="str">
        <f>Q3</f>
        <v>TBA 08</v>
      </c>
      <c r="EV3" s="32">
        <f>DM3</f>
        <v>0</v>
      </c>
      <c r="EW3" s="32"/>
      <c r="EX3" s="32"/>
      <c r="EY3" s="51"/>
      <c r="EZ3" s="32"/>
      <c r="FA3" s="32"/>
      <c r="FB3" s="51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106"/>
      <c r="FP3" s="32"/>
    </row>
    <row r="4" spans="1:196" ht="119.45">
      <c r="A4" s="2" t="str">
        <f>IF(DV4="CLOSE","Trade closed",IF(DV4="PMT Pending","FNF Settlement is Due",IF(CO4&lt;&gt;0,"FNF Reconcillation Onging",IF(CN4&lt;&gt;0,"9] Final Pmt Recd , FNF Pending",IF(CI4&lt;&gt;0,"Exp Dox Presented to Bank, Pmt Pending",IF(BV4&lt;&gt;0,"OBL Scan Recd, Nego Pending",IF(BC4&lt;&gt;0,"Sailed, OBL &amp; Certs Pending",IF(BD4&lt;&gt;0,"Stuffed, Yet to Sail",IF(AU4&lt;&gt;0,"SI Sent, Shipment Awaited",IF(AT4&lt;&gt;0,"Advance Rcvd, SI Pending",IF(T4&lt;&gt;0,"SC Raised, Advance Pending",IF(R4&lt;&gt;0,"Deal Ticket Rcvd SC Pending", "Entry Pending"))))))))))))</f>
        <v>SC Raised, Advance Pending</v>
      </c>
      <c r="B4" s="187">
        <v>49</v>
      </c>
      <c r="C4" s="187">
        <v>185</v>
      </c>
      <c r="D4" s="143" t="s">
        <v>208</v>
      </c>
      <c r="E4" s="2" t="str">
        <f>IF(AND(T4&lt;&gt;"",BB4&lt;&gt;""),"CLOSE POSITION",
IF(T4&lt;&gt;"","SHORT POSITION",
IF(BB4&lt;&gt;"","LONG POSITION","ENTRY PENDING")))</f>
        <v>SHORT POSITION</v>
      </c>
      <c r="F4" s="31">
        <f>U4</f>
        <v>32015248</v>
      </c>
      <c r="G4" s="2" t="str">
        <f>V4</f>
        <v>STALLION COMMODITIES (INDIA ENTERPRISES)</v>
      </c>
      <c r="H4" s="5" t="s">
        <v>269</v>
      </c>
      <c r="I4" s="17" t="s">
        <v>210</v>
      </c>
      <c r="J4" s="2" t="s">
        <v>1085</v>
      </c>
      <c r="K4" s="22" t="str">
        <f>CA4</f>
        <v>No OBL Yet</v>
      </c>
      <c r="L4" s="2"/>
      <c r="M4" s="2" t="str">
        <f>CG4</f>
        <v>No CERTS Yet</v>
      </c>
      <c r="N4" s="2" t="str">
        <f>CL4</f>
        <v/>
      </c>
      <c r="O4" s="5" t="s">
        <v>1086</v>
      </c>
      <c r="P4" s="185"/>
      <c r="Q4" s="5" t="s">
        <v>1086</v>
      </c>
      <c r="R4" s="24">
        <v>46090</v>
      </c>
      <c r="S4" s="186">
        <v>20009698</v>
      </c>
      <c r="T4" s="24">
        <v>46090</v>
      </c>
      <c r="U4" s="184">
        <v>32015248</v>
      </c>
      <c r="V4" s="184" t="s">
        <v>1087</v>
      </c>
      <c r="W4" s="182" t="s">
        <v>263</v>
      </c>
      <c r="X4" s="30">
        <v>0.1</v>
      </c>
      <c r="Y4" s="29">
        <v>200</v>
      </c>
      <c r="Z4" s="4">
        <v>180</v>
      </c>
      <c r="AA4" s="3" t="s">
        <v>215</v>
      </c>
      <c r="AB4" s="12">
        <v>1575</v>
      </c>
      <c r="AC4" s="4">
        <v>315000</v>
      </c>
      <c r="AD4" s="3" t="s">
        <v>249</v>
      </c>
      <c r="AE4" s="3" t="s">
        <v>238</v>
      </c>
      <c r="AF4" s="183">
        <v>0.1</v>
      </c>
      <c r="AG4" s="183">
        <v>0.9</v>
      </c>
      <c r="AH4" s="183">
        <v>0</v>
      </c>
      <c r="AI4" s="28" t="s">
        <v>218</v>
      </c>
      <c r="AJ4" s="18" t="s">
        <v>239</v>
      </c>
      <c r="AK4" s="18"/>
      <c r="AL4" s="27"/>
      <c r="AM4" s="5" t="s">
        <v>220</v>
      </c>
      <c r="AN4" s="5" t="s">
        <v>220</v>
      </c>
      <c r="AO4" s="5" t="s">
        <v>220</v>
      </c>
      <c r="AP4" s="26"/>
      <c r="AQ4" s="3"/>
      <c r="AR4" s="47">
        <v>46094</v>
      </c>
      <c r="AS4" s="188">
        <f>Y4*AB4*AF4</f>
        <v>31500</v>
      </c>
      <c r="AT4" s="18"/>
      <c r="AU4" s="22"/>
      <c r="AV4" s="22"/>
      <c r="AW4" s="22"/>
      <c r="AX4" s="22"/>
      <c r="AY4" s="22"/>
      <c r="AZ4" s="18"/>
      <c r="BA4" s="18"/>
      <c r="BB4" s="5"/>
      <c r="BC4" s="18"/>
      <c r="BD4" s="25"/>
      <c r="BE4" s="25"/>
      <c r="BF4" s="189" t="s">
        <v>222</v>
      </c>
      <c r="BG4" s="24"/>
      <c r="BH4" s="12"/>
      <c r="BI4" s="23"/>
      <c r="BJ4" s="12"/>
      <c r="BK4" s="22"/>
      <c r="BL4" s="3" t="s">
        <v>278</v>
      </c>
      <c r="BM4" s="21" t="s">
        <v>265</v>
      </c>
      <c r="BN4" s="2"/>
      <c r="BO4" s="2"/>
      <c r="BP4" s="2"/>
      <c r="BQ4" s="2"/>
      <c r="BR4" s="20"/>
      <c r="BS4" s="19"/>
      <c r="BT4" s="189">
        <f>BE4*AB4</f>
        <v>0</v>
      </c>
      <c r="BU4" s="22"/>
      <c r="BV4" s="22"/>
      <c r="BW4" s="22"/>
      <c r="BX4" s="22"/>
      <c r="BY4" s="22"/>
      <c r="BZ4" s="22"/>
      <c r="CA4" s="22" t="str">
        <f>IF(I4="VIETNAM",
IF(CC4&lt;&gt;"","OBL in Vietnam Office",
IF(CB4&lt;&gt;"","OBL in Transit from Vietnam Office",
IF(BZ4&lt;&gt;0,"OBL In Destination - "&amp;I4,
IF(BY4&lt;&gt;0,"OBL in Transit to Destination - "&amp;I4,
IF(BX4&lt;&gt;0,"OBL in SIG Office",
IF(BW4&lt;&gt;0,"OBL in Transit from Origin to SIG",
IF(BV4&lt;&gt;0,"OBL in Origin - "&amp;H4,
IF(BU4&lt;&gt;0,"Draft Rcvd","No OBL Yet")))))))),
IF(BZ4&lt;&gt;0,"OBL In Destination - "&amp;I4,
IF(BY4&lt;&gt;0,"OBL in Transit to Destination - "&amp;I4,
IF(BX4&lt;&gt;0,"OBL in SIG Office",
IF(BW4&lt;&gt;0,"OBL in Transit from Origin to SIG",
IF(BV4&lt;&gt;0,"OBL in Origin - "&amp;H4,
IF(BU4&lt;&gt;0,"Draft Rcvd","No OBL Yet")))))))</f>
        <v>No OBL Yet</v>
      </c>
      <c r="CB4" s="22"/>
      <c r="CC4" s="22"/>
      <c r="CD4" s="182"/>
      <c r="CE4" s="182"/>
      <c r="CF4" s="182"/>
      <c r="CG4" s="2" t="str">
        <f>IF(CF4&lt;&gt;0,"CERTS in Destination - "&amp;I4,IF(CE4&lt;&gt;0,"CERT in Transit to -"&amp;I4,IF(CD4&lt;&gt;0,"CERT in Origin - "&amp;H4,IF(CD4="","No CERTS Yet"))))</f>
        <v>No CERTS Yet</v>
      </c>
      <c r="CH4" s="48"/>
      <c r="CI4" s="22"/>
      <c r="CJ4" s="55"/>
      <c r="CK4" s="55"/>
      <c r="CL4" s="55" t="str">
        <f>IF(CK4&lt;&gt;0,"Docs in Buyer's Bank",IF(CJ4&lt;&gt;0,"Docs in Transit to Buyer's Bank",IF(CI4&lt;&gt;0,"Docs in Our Bank",IF(CH4="TT PAYMENT","Not Applicable",""))))</f>
        <v/>
      </c>
      <c r="CM4" s="190">
        <f>(AG4*AB4*BE4)-AS4</f>
        <v>-31500</v>
      </c>
      <c r="CN4" s="54"/>
      <c r="CO4" s="2"/>
      <c r="CP4" s="2"/>
      <c r="CQ4" s="14" t="str">
        <f>IF(CO4="","",BE4-CP4)</f>
        <v/>
      </c>
      <c r="CR4" s="191" t="str">
        <f>IF(CO4="","",CQ4/BE4)</f>
        <v/>
      </c>
      <c r="CS4" s="14" t="str">
        <f>IF(CO4="","",AS4+CM4)</f>
        <v/>
      </c>
      <c r="CT4" s="14" t="str">
        <f>IF(CO4="","",BT4*2%)</f>
        <v/>
      </c>
      <c r="CU4" s="15" t="str">
        <f>IF(CO4="","",AB4/B4)</f>
        <v/>
      </c>
      <c r="CV4" s="17"/>
      <c r="CW4" s="41" t="str">
        <f>IF(CO4="","",B4-CV4)</f>
        <v/>
      </c>
      <c r="CX4" s="2"/>
      <c r="CY4" s="192" t="str">
        <f>IF(CO4="","",IF(CO4="","",CX4-C4))</f>
        <v/>
      </c>
      <c r="CZ4" s="40"/>
      <c r="DA4" s="16" t="str">
        <f>IF(CO4="","",10%-CZ4)</f>
        <v/>
      </c>
      <c r="DB4" s="2" t="str">
        <f>IF(CO4="","",CQ4*AB4)</f>
        <v/>
      </c>
      <c r="DC4" s="14" t="str">
        <f>IF(CO4="","",IF(CW4&gt;2,2*CW4*CP4*CU4,CW4*CP4*CU4))</f>
        <v/>
      </c>
      <c r="DD4" s="2" t="str">
        <f>IF(CO4="","",IF(CW4&gt;2,2*(CW4-2*CP4*CU4),0))</f>
        <v/>
      </c>
      <c r="DE4" s="192" t="str">
        <f>IF(CO4="","",IF(CY4&gt;0,CY4*0.5*CP4,0))</f>
        <v/>
      </c>
      <c r="DF4" s="2" t="str">
        <f>IF(CO4="","",IF(DA4&lt;0,DA4*CP4*AB4*10%,0))</f>
        <v/>
      </c>
      <c r="DG4" s="15" t="str">
        <f>IF(CO4="","",SUM(DB4:DF4))</f>
        <v/>
      </c>
      <c r="DH4" s="2"/>
      <c r="DI4" s="2"/>
      <c r="DJ4" s="15" t="str">
        <f>IF(CO4="","",SUM(DG4:DH4))</f>
        <v/>
      </c>
      <c r="DK4" s="14" t="str">
        <f>IF(CO4="","",BE4*AB4-DJ4)</f>
        <v/>
      </c>
      <c r="DL4" s="14" t="str">
        <f>IF(CO4="","",AS4+CM4)</f>
        <v/>
      </c>
      <c r="DM4" s="15" t="str">
        <f>IF(CO4="","",IF((DL4-DK4)&gt;0,DL4-DK4,""))</f>
        <v/>
      </c>
      <c r="DN4" s="15" t="str">
        <f>IF(CO4="","",IF((DK4-DL4)&gt;0,(DK4-DL4),""))</f>
        <v/>
      </c>
      <c r="DO4" s="2" t="str">
        <f>IF(CO4="","",IF(DM4="",G4,"VALENCY"))</f>
        <v/>
      </c>
      <c r="DP4" s="2" t="str">
        <f>IF(DJ4="","",IF(DJ4&gt;0,"CN", "DN"))</f>
        <v/>
      </c>
      <c r="DQ4" s="38"/>
      <c r="DR4" s="38"/>
      <c r="DS4" s="38"/>
      <c r="DT4" s="2"/>
      <c r="DU4" s="2" t="s">
        <v>230</v>
      </c>
      <c r="DV4" s="2"/>
      <c r="DW4" s="2" t="str">
        <f>IF(CO4="","",
   MIN(0,(IF(CW4&gt;2,2,1)*CW4*CP4*CU4))
)</f>
        <v/>
      </c>
      <c r="DX4" s="2"/>
      <c r="DY4" s="2"/>
      <c r="DZ4" s="2"/>
      <c r="EA4" s="2"/>
      <c r="EB4" s="3"/>
      <c r="EC4" s="7"/>
      <c r="ED4" s="3"/>
      <c r="EE4" s="5" t="s">
        <v>231</v>
      </c>
      <c r="EF4" s="3"/>
      <c r="EG4" s="10"/>
      <c r="EH4" s="4"/>
      <c r="EI4" s="9"/>
      <c r="EJ4" s="9"/>
      <c r="EK4" s="189">
        <f>EH4*EG4</f>
        <v>0</v>
      </c>
      <c r="EL4" s="9"/>
      <c r="EM4" s="8"/>
      <c r="EN4" s="4"/>
      <c r="EO4" s="7"/>
      <c r="EP4" s="7"/>
      <c r="EQ4" s="6"/>
      <c r="ER4" s="2" t="str">
        <f>IF(CN4&lt;&gt;0,"Final Pmt Recd",IF(CI4&lt;&gt;0,"Export Loan",IF(BV4&lt;&gt;0,"Nego Pending",IF(T4&lt;&gt;0,"Yet to load","Yet to load"))))</f>
        <v>Yet to load</v>
      </c>
      <c r="ES4" s="189"/>
      <c r="ET4" s="189" t="e">
        <f>ES4/BE4</f>
        <v>#DIV/0!</v>
      </c>
      <c r="EU4" s="189" t="s">
        <v>233</v>
      </c>
      <c r="EV4" s="24"/>
      <c r="EW4" s="2"/>
      <c r="EX4" s="24"/>
      <c r="EY4" s="193"/>
      <c r="EZ4" s="189">
        <f>EY4*BE4</f>
        <v>0</v>
      </c>
      <c r="FA4" s="52"/>
      <c r="FB4" s="52"/>
      <c r="FC4" s="49"/>
      <c r="FD4" s="49">
        <f>IFERROR(EV4-BU4,"")</f>
        <v>0</v>
      </c>
      <c r="FE4" s="180">
        <f>IFERROR(BC4-EX4,"")</f>
        <v>0</v>
      </c>
      <c r="FF4" s="49"/>
      <c r="FG4" s="49"/>
      <c r="FH4" s="49"/>
      <c r="FI4" s="49"/>
      <c r="FJ4" s="49"/>
      <c r="FK4" s="34">
        <f>S4</f>
        <v>20009698</v>
      </c>
      <c r="FL4" s="34">
        <f>U4</f>
        <v>32015248</v>
      </c>
      <c r="FM4" s="3"/>
      <c r="FN4" s="3"/>
      <c r="FO4" s="3"/>
      <c r="FP4" s="3"/>
      <c r="FQ4" s="3"/>
      <c r="FR4" s="3"/>
      <c r="FS4" s="3"/>
      <c r="FT4" s="4"/>
      <c r="FU4" s="3"/>
      <c r="FV4" s="184"/>
      <c r="FW4" s="3"/>
      <c r="FX4" s="3"/>
      <c r="FY4" s="3"/>
      <c r="FZ4" s="3"/>
      <c r="GA4" s="3"/>
      <c r="GB4" s="3"/>
      <c r="GC4" s="3"/>
      <c r="GD4" s="3"/>
      <c r="GE4" s="3"/>
      <c r="GF4" s="3"/>
    </row>
    <row r="5" spans="1:196" ht="85.5">
      <c r="A5" s="2" t="str">
        <f>IF(DV5="CLOSE","Trade closed",IF(DV5="PMT Pending","FNF Settlement is Due",IF(CO5&lt;&gt;0,"FNF Reconcillation Onging",IF(CN5&lt;&gt;0,"9] Final Pmt Recd , FNF Pending",IF(CI5&lt;&gt;0,"Exp Dox Presented to Bank, Pmt Pending",IF(BV5&lt;&gt;0,"OBL Scan Recd, Nego Pending",IF(BC5&lt;&gt;0,"Sailed, OBL &amp; Certs Pending",IF(BD5&lt;&gt;0,"Stuffed, Yet to Sail",IF(AU5&lt;&gt;0,"SI Sent, Shipment Awaited",IF(AT5&lt;&gt;0,"Advance Rcvd, SI Pending",IF(T5&lt;&gt;0,"SC Raised, Advance Pending",IF(R5&lt;&gt;0,"Deal Ticket Rcvd SC Pending", "Entry Pending"))))))))))))</f>
        <v>Stuffed, Yet to Sail</v>
      </c>
      <c r="B5" s="187">
        <v>47</v>
      </c>
      <c r="C5" s="187">
        <v>205</v>
      </c>
      <c r="D5" s="143" t="s">
        <v>208</v>
      </c>
      <c r="E5" s="2" t="str">
        <f>IF(AND(T5&lt;&gt;"",BB5&lt;&gt;""),"CLOSE POSITION",
IF(T5&lt;&gt;"","SHORT POSITION",
IF(BB5&lt;&gt;"","LONG POSITION","ENTRY PENDING")))</f>
        <v>CLOSE POSITION</v>
      </c>
      <c r="F5" s="31">
        <f>U5</f>
        <v>32015798</v>
      </c>
      <c r="G5" s="2" t="str">
        <f>V5</f>
        <v>AFRI VENTURES (INDIA)PVT LTD</v>
      </c>
      <c r="H5" s="5" t="s">
        <v>291</v>
      </c>
      <c r="I5" s="17" t="s">
        <v>210</v>
      </c>
      <c r="J5" s="2">
        <f>IF(BB5&lt;&gt;0,BB5,"")</f>
        <v>267576176</v>
      </c>
      <c r="K5" s="22" t="str">
        <f>CA5</f>
        <v>No OBL Yet</v>
      </c>
      <c r="L5" s="2"/>
      <c r="M5" s="2" t="str">
        <f>CG5</f>
        <v>No CERTS Yet</v>
      </c>
      <c r="N5" s="2" t="str">
        <f>CL5</f>
        <v/>
      </c>
      <c r="O5" s="5" t="s">
        <v>1088</v>
      </c>
      <c r="P5" s="185"/>
      <c r="Q5" s="5" t="s">
        <v>1088</v>
      </c>
      <c r="R5" s="24">
        <v>46097</v>
      </c>
      <c r="S5" s="186">
        <v>20009813</v>
      </c>
      <c r="T5" s="24">
        <v>46097</v>
      </c>
      <c r="U5" s="184">
        <v>32015798</v>
      </c>
      <c r="V5" s="212" t="s">
        <v>1089</v>
      </c>
      <c r="W5" s="182" t="s">
        <v>385</v>
      </c>
      <c r="X5" s="30">
        <v>0.1</v>
      </c>
      <c r="Y5" s="29">
        <v>100</v>
      </c>
      <c r="Z5" s="4">
        <f>Y5*(1-X5)</f>
        <v>90</v>
      </c>
      <c r="AA5" s="3" t="s">
        <v>215</v>
      </c>
      <c r="AB5" s="12">
        <v>1485</v>
      </c>
      <c r="AC5" s="4">
        <f>AB5*Y5</f>
        <v>148500</v>
      </c>
      <c r="AD5" s="3" t="s">
        <v>249</v>
      </c>
      <c r="AE5" s="3" t="s">
        <v>238</v>
      </c>
      <c r="AF5" s="30">
        <v>0.1</v>
      </c>
      <c r="AG5" s="183">
        <v>1</v>
      </c>
      <c r="AH5" s="183">
        <v>0</v>
      </c>
      <c r="AI5" s="28" t="s">
        <v>218</v>
      </c>
      <c r="AJ5" s="18" t="s">
        <v>239</v>
      </c>
      <c r="AK5" s="18" t="s">
        <v>251</v>
      </c>
      <c r="AL5" s="27"/>
      <c r="AM5" s="5" t="s">
        <v>220</v>
      </c>
      <c r="AN5" s="5" t="s">
        <v>220</v>
      </c>
      <c r="AO5" s="5" t="s">
        <v>220</v>
      </c>
      <c r="AP5" s="26"/>
      <c r="AQ5" s="3"/>
      <c r="AR5" s="47">
        <v>46107</v>
      </c>
      <c r="AS5" s="188">
        <f>Y5*AB5*AF5</f>
        <v>14850</v>
      </c>
      <c r="AT5" s="18"/>
      <c r="AU5" s="22">
        <v>46099</v>
      </c>
      <c r="AV5" s="22"/>
      <c r="AW5" s="22"/>
      <c r="AX5" s="22"/>
      <c r="AY5" s="22"/>
      <c r="AZ5" s="18"/>
      <c r="BA5" s="18"/>
      <c r="BB5" s="5">
        <v>267576176</v>
      </c>
      <c r="BC5" s="18"/>
      <c r="BD5" s="25">
        <v>90.302000000000007</v>
      </c>
      <c r="BE5" s="25">
        <v>90.302000000000007</v>
      </c>
      <c r="BF5" s="189" t="s">
        <v>222</v>
      </c>
      <c r="BG5" s="24"/>
      <c r="BH5" s="12">
        <v>4</v>
      </c>
      <c r="BI5" s="23">
        <v>46162</v>
      </c>
      <c r="BJ5" s="12"/>
      <c r="BK5" s="22">
        <v>46162</v>
      </c>
      <c r="BL5" s="3" t="s">
        <v>298</v>
      </c>
      <c r="BM5" s="21" t="s">
        <v>539</v>
      </c>
      <c r="BN5" s="2" t="s">
        <v>1090</v>
      </c>
      <c r="BO5" s="2"/>
      <c r="BP5" s="2"/>
      <c r="BQ5" s="2"/>
      <c r="BR5" s="20"/>
      <c r="BS5" s="19"/>
      <c r="BT5" s="189">
        <f>BE5*AB5</f>
        <v>134098.47</v>
      </c>
      <c r="BU5" s="22"/>
      <c r="BV5" s="22"/>
      <c r="BW5" s="22"/>
      <c r="BX5" s="22"/>
      <c r="BY5" s="22"/>
      <c r="BZ5" s="22"/>
      <c r="CA5" s="22" t="str">
        <f>IF(I5="VIETNAM",
IF(CC5&lt;&gt;"","OBL in Vietnam Office",
IF(CB5&lt;&gt;"","OBL in Transit from Vietnam Office",
IF(BZ5&lt;&gt;0,"OBL In Destination - "&amp;I5,
IF(BY5&lt;&gt;0,"OBL in Transit to Destination - "&amp;I5,
IF(BX5&lt;&gt;0,"OBL in SIG Office",
IF(BW5&lt;&gt;0,"OBL in Transit from Origin to SIG",
IF(BV5&lt;&gt;0,"OBL in Origin - "&amp;H5,
IF(BU5&lt;&gt;0,"Draft Rcvd","No OBL Yet")))))))),
IF(BZ5&lt;&gt;0,"OBL In Destination - "&amp;I5,
IF(BY5&lt;&gt;0,"OBL in Transit to Destination - "&amp;I5,
IF(BX5&lt;&gt;0,"OBL in SIG Office",
IF(BW5&lt;&gt;0,"OBL in Transit from Origin to SIG",
IF(BV5&lt;&gt;0,"OBL in Origin - "&amp;H5,
IF(BU5&lt;&gt;0,"Draft Rcvd","No OBL Yet")))))))</f>
        <v>No OBL Yet</v>
      </c>
      <c r="CB5" s="22"/>
      <c r="CC5" s="22"/>
      <c r="CD5" s="182"/>
      <c r="CE5" s="182"/>
      <c r="CF5" s="182"/>
      <c r="CG5" s="2" t="str">
        <f>IF(CF5&lt;&gt;0,"CERTS in Destination - "&amp;I5,IF(CE5&lt;&gt;0,"CERT in Transit to -"&amp;I5,IF(CD5&lt;&gt;0,"CERT in Origin - "&amp;H5,IF(CD5="","No CERTS Yet"))))</f>
        <v>No CERTS Yet</v>
      </c>
      <c r="CH5" s="48"/>
      <c r="CI5" s="22"/>
      <c r="CJ5" s="55"/>
      <c r="CK5" s="55"/>
      <c r="CL5" s="55" t="str">
        <f>IF(CK5&lt;&gt;0,"Docs in Buyer's Bank",IF(CJ5&lt;&gt;0,"Docs in Transit to Buyer's Bank",IF(CI5&lt;&gt;0,"Docs in Our Bank",IF(CH5="TT PAYMENT","Not Applicable",""))))</f>
        <v/>
      </c>
      <c r="CM5" s="190">
        <f>(AG5*AB5*BE5)-AS5</f>
        <v>119248.47</v>
      </c>
      <c r="CN5" s="54"/>
      <c r="CO5" s="2"/>
      <c r="CP5" s="2"/>
      <c r="CQ5" s="14" t="str">
        <f>IF(CO5="","",BE5-CP5)</f>
        <v/>
      </c>
      <c r="CR5" s="191" t="str">
        <f>IF(CO5="","",CQ5/BE5)</f>
        <v/>
      </c>
      <c r="CS5" s="14" t="str">
        <f>IF(CO5="","",AS5+CM5)</f>
        <v/>
      </c>
      <c r="CT5" s="14" t="str">
        <f>IF(CO5="","",BT5*2%)</f>
        <v/>
      </c>
      <c r="CU5" s="15" t="str">
        <f>IF(CO5="","",AB5/B5)</f>
        <v/>
      </c>
      <c r="CV5" s="17"/>
      <c r="CW5" s="41" t="str">
        <f>IF(CO5="","",B5-CV5)</f>
        <v/>
      </c>
      <c r="CX5" s="2"/>
      <c r="CY5" s="192" t="str">
        <f>IF(CO5="","",IF(CO5="","",CX5-C5))</f>
        <v/>
      </c>
      <c r="CZ5" s="40"/>
      <c r="DA5" s="16" t="str">
        <f>IF(CO5="","",10%-CZ5)</f>
        <v/>
      </c>
      <c r="DB5" s="2" t="str">
        <f>IF(CO5="","",CQ5*AB5)</f>
        <v/>
      </c>
      <c r="DC5" s="14" t="str">
        <f>IF(CO5="","",IF(CW5&gt;2,2*CW5*CP5*CU5,CW5*CP5*CU5))</f>
        <v/>
      </c>
      <c r="DD5" s="2" t="str">
        <f>IF(CO5="","",IF(CW5&gt;2,2*(CW5-2*CP5*CU5),0))</f>
        <v/>
      </c>
      <c r="DE5" s="192" t="str">
        <f>IF(CO5="","",IF(CY5&gt;0,CY5*0.5*CP5,0))</f>
        <v/>
      </c>
      <c r="DF5" s="2" t="str">
        <f>IF(CO5="","",IF(DA5&lt;0,DA5*CP5*AB5*10%,0))</f>
        <v/>
      </c>
      <c r="DG5" s="15" t="str">
        <f>IF(CO5="","",SUM(DB5:DF5))</f>
        <v/>
      </c>
      <c r="DH5" s="2"/>
      <c r="DI5" s="2"/>
      <c r="DJ5" s="15" t="str">
        <f>IF(CO5="","",SUM(DG5:DH5))</f>
        <v/>
      </c>
      <c r="DK5" s="14" t="str">
        <f>IF(CO5="","",BE5*AB5-DJ5)</f>
        <v/>
      </c>
      <c r="DL5" s="14" t="str">
        <f>IF(CO5="","",AS5+CM5)</f>
        <v/>
      </c>
      <c r="DM5" s="15" t="str">
        <f>IF(CO5="","",IF((DL5-DK5)&gt;0,DL5-DK5,""))</f>
        <v/>
      </c>
      <c r="DN5" s="15" t="str">
        <f>IF(CO5="","",IF((DK5-DL5)&gt;0,(DK5-DL5),""))</f>
        <v/>
      </c>
      <c r="DO5" s="2" t="str">
        <f>IF(CO5="","",IF(DM5="",G5,"VALENCY"))</f>
        <v/>
      </c>
      <c r="DP5" s="2" t="str">
        <f>IF(DJ5="","",IF(DJ5&gt;0,"CN", "DN"))</f>
        <v/>
      </c>
      <c r="DQ5" s="38"/>
      <c r="DR5" s="38"/>
      <c r="DS5" s="38"/>
      <c r="DT5" s="2"/>
      <c r="DU5" s="2" t="s">
        <v>230</v>
      </c>
      <c r="DV5" s="2"/>
      <c r="DW5" s="2" t="str">
        <f>IF(CO5="","",
   MIN(0,(IF(CW5&gt;2,2,1)*CW5*CP5*CU5))
)</f>
        <v/>
      </c>
      <c r="DX5" s="2"/>
      <c r="DY5" s="2"/>
      <c r="DZ5" s="2"/>
      <c r="EA5" s="2"/>
      <c r="EB5" s="3"/>
      <c r="EC5" s="7"/>
      <c r="ED5" s="3"/>
      <c r="EE5" s="5" t="s">
        <v>266</v>
      </c>
      <c r="EF5" s="3"/>
      <c r="EG5" s="10"/>
      <c r="EH5" s="4"/>
      <c r="EI5" s="9"/>
      <c r="EJ5" s="9"/>
      <c r="EK5" s="189">
        <f>EH5*EG5</f>
        <v>0</v>
      </c>
      <c r="EL5" s="9"/>
      <c r="EM5" s="8"/>
      <c r="EN5" s="4"/>
      <c r="EO5" s="7"/>
      <c r="EP5" s="7"/>
      <c r="EQ5" s="6"/>
      <c r="ER5" s="2" t="str">
        <f>IF(CN5&lt;&gt;0,"Final Pmt Recd",IF(CI5&lt;&gt;0,"Export Loan",IF(BV5&lt;&gt;0,"Nego Pending",IF(T5&lt;&gt;0,"Yet to load","Yet to load"))))</f>
        <v>Yet to load</v>
      </c>
      <c r="ES5" s="189"/>
      <c r="ET5" s="189">
        <f>ES5/BE5</f>
        <v>0</v>
      </c>
      <c r="EU5" s="189" t="s">
        <v>233</v>
      </c>
      <c r="EV5" s="24"/>
      <c r="EW5" s="2"/>
      <c r="EX5" s="24"/>
      <c r="EY5" s="193"/>
      <c r="EZ5" s="189">
        <f>EY5*BE5</f>
        <v>0</v>
      </c>
      <c r="FA5" s="52"/>
      <c r="FB5" s="52"/>
      <c r="FC5" s="49"/>
      <c r="FD5" s="49">
        <f>IFERROR(EV5-BU5,"")</f>
        <v>0</v>
      </c>
      <c r="FE5" s="180">
        <f>IFERROR(BC5-EX5,"")</f>
        <v>0</v>
      </c>
      <c r="FF5" s="49"/>
      <c r="FG5" s="49"/>
      <c r="FH5" s="49"/>
      <c r="FI5" s="49"/>
      <c r="FJ5" s="49"/>
      <c r="FK5" s="34">
        <f>S5</f>
        <v>20009813</v>
      </c>
      <c r="FL5" s="34">
        <f>U5</f>
        <v>32015798</v>
      </c>
      <c r="FM5" s="3"/>
      <c r="FN5" s="3"/>
      <c r="FO5" s="3"/>
      <c r="FP5" s="3"/>
      <c r="FQ5" s="3"/>
      <c r="FR5" s="3"/>
      <c r="FS5" s="3"/>
      <c r="FT5" s="4"/>
      <c r="FU5" s="3"/>
      <c r="FV5" s="184"/>
      <c r="FW5" s="3"/>
      <c r="FX5" s="3"/>
      <c r="FY5" s="3"/>
      <c r="FZ5" s="3"/>
      <c r="GA5" s="3"/>
      <c r="GB5" s="3"/>
      <c r="GC5" s="3"/>
      <c r="GD5" s="3"/>
      <c r="GE5" s="3"/>
      <c r="GF5" s="3"/>
    </row>
    <row r="6" spans="1:196" ht="84.95">
      <c r="A6" s="2" t="str">
        <f>IF(DW6="CLOSE","Trade closed",IF(DW6="PMT Pending","FNF Settlement is Due",IF(CP6&lt;&gt;0,"FNF Reconcillation Onging",IF(CO6&lt;&gt;0," Final Pmt Recd , FNF Pending",IF(CJ6&lt;&gt;0,"Exp Dox Presented to Bank, Pmt Pending",IF(BW6&lt;&gt;0,"OBL Scan Recd, Nego Pending",IF(BD6&lt;&gt;0,"Sailed, OBL &amp; Certs Pending",IF(BE6&lt;&gt;0,"Stuffed, Yet to Sail",IF(AV6&lt;&gt;0,"SI Sent, Shipment Awaited",IF(AU6&lt;&gt;0,"Advance Rcvd, SI Pending",IF(U6&lt;&gt;0,"SC Raised, Advance Pending",IF(S6&lt;&gt;0,"Deal Ticket Rcvd SC Pending", "Entry Pending"))))))))))))</f>
        <v>SC Raised, Advance Pending</v>
      </c>
      <c r="B6" s="282">
        <v>46</v>
      </c>
      <c r="C6" s="282">
        <v>200</v>
      </c>
      <c r="D6" s="182" t="s">
        <v>208</v>
      </c>
      <c r="E6" s="2" t="str">
        <f>IF(AND(U6&lt;&gt;"",BC6&lt;&gt;""),"CLOSE POSITION",
IF(U6&lt;&gt;"","SHORT POSITION",
IF(BC6&lt;&gt;"","LONG POSITION","ENTRY PENDING")))</f>
        <v>SHORT POSITION</v>
      </c>
      <c r="F6" s="271">
        <f>V6</f>
        <v>32016144</v>
      </c>
      <c r="G6" s="2" t="str">
        <f>W6</f>
        <v xml:space="preserve">KIEU LOAN CO., LTD  </v>
      </c>
      <c r="H6" s="3" t="s">
        <v>259</v>
      </c>
      <c r="I6" s="2" t="s">
        <v>347</v>
      </c>
      <c r="J6" s="2" t="s">
        <v>1091</v>
      </c>
      <c r="K6" s="22" t="str">
        <f>CB6</f>
        <v>No OBL Yet</v>
      </c>
      <c r="L6" s="2"/>
      <c r="M6" s="2" t="str">
        <f>CH6</f>
        <v>No CERTS Yet</v>
      </c>
      <c r="N6" s="2" t="str">
        <f>CM6</f>
        <v/>
      </c>
      <c r="O6" s="2" t="str">
        <f>IFERROR(_xlfn.XLOOKUP(F6,
'[2]Data 2026'!$H$12:$H$111,
'[2]Data 2026'!$CL$12:$CL$111),"")</f>
        <v/>
      </c>
      <c r="P6" s="285" t="s">
        <v>1092</v>
      </c>
      <c r="Q6" s="272"/>
      <c r="R6" s="3"/>
      <c r="S6" s="24"/>
      <c r="T6" s="273">
        <v>20009959</v>
      </c>
      <c r="U6" s="24">
        <v>46112</v>
      </c>
      <c r="V6" s="182">
        <v>32016144</v>
      </c>
      <c r="W6" s="182" t="s">
        <v>741</v>
      </c>
      <c r="X6" s="182" t="s">
        <v>353</v>
      </c>
      <c r="Y6" s="30">
        <v>0.1</v>
      </c>
      <c r="Z6" s="277"/>
      <c r="AA6" s="4">
        <f>Z6*(1-Y6)</f>
        <v>0</v>
      </c>
      <c r="AB6" s="3" t="s">
        <v>215</v>
      </c>
      <c r="AC6" s="4">
        <v>1525</v>
      </c>
      <c r="AD6" s="4">
        <f>AC6*Z6</f>
        <v>0</v>
      </c>
      <c r="AE6" s="3" t="s">
        <v>249</v>
      </c>
      <c r="AF6" s="3" t="s">
        <v>404</v>
      </c>
      <c r="AG6" s="183">
        <v>0.1</v>
      </c>
      <c r="AH6" s="183">
        <v>0.88</v>
      </c>
      <c r="AI6" s="183">
        <v>0.02</v>
      </c>
      <c r="AJ6" s="28" t="s">
        <v>218</v>
      </c>
      <c r="AK6" s="3"/>
      <c r="AL6" s="18" t="s">
        <v>1093</v>
      </c>
      <c r="AM6" s="27"/>
      <c r="AN6" s="3" t="s">
        <v>220</v>
      </c>
      <c r="AO6" s="3" t="s">
        <v>220</v>
      </c>
      <c r="AP6" s="3" t="s">
        <v>220</v>
      </c>
      <c r="AQ6" s="9"/>
      <c r="AR6" s="3"/>
      <c r="AS6" s="47">
        <v>46114</v>
      </c>
      <c r="AT6" s="278">
        <f>Z6*AC6*AG6</f>
        <v>0</v>
      </c>
      <c r="AU6" s="18"/>
      <c r="AV6" s="22"/>
      <c r="AW6" s="22"/>
      <c r="AX6" s="22"/>
      <c r="AY6" s="22"/>
      <c r="AZ6" s="22"/>
      <c r="BA6" s="18"/>
      <c r="BB6" s="18"/>
      <c r="BC6" s="3"/>
      <c r="BD6" s="18"/>
      <c r="BE6" s="25"/>
      <c r="BF6" s="25"/>
      <c r="BG6" s="189" t="s">
        <v>222</v>
      </c>
      <c r="BH6" s="24"/>
      <c r="BI6" s="4"/>
      <c r="BJ6" s="18"/>
      <c r="BK6" s="4"/>
      <c r="BL6" s="22"/>
      <c r="BM6" s="3" t="s">
        <v>259</v>
      </c>
      <c r="BN6" s="21" t="s">
        <v>409</v>
      </c>
      <c r="BO6" s="2"/>
      <c r="BP6" s="2"/>
      <c r="BQ6" s="2"/>
      <c r="BR6" s="2"/>
      <c r="BS6" s="20"/>
      <c r="BT6" s="19"/>
      <c r="BU6" s="189">
        <f>BF6*AC6</f>
        <v>0</v>
      </c>
      <c r="BV6" s="22"/>
      <c r="BW6" s="22"/>
      <c r="BX6" s="22"/>
      <c r="BY6" s="22"/>
      <c r="BZ6" s="22"/>
      <c r="CA6" s="22"/>
      <c r="CB6" s="22" t="str">
        <f>IF(I6="VIETNAM",
IF(CD6&lt;&gt;"","OBL in Vietnam Office",
IF(CC6&lt;&gt;"","OBL in Transit from Vietnam Office",
IF(CA6&lt;&gt;0,"OBL In Destination - "&amp;I6,
IF(BZ6&lt;&gt;0,"OBL in Transit to Destination - "&amp;I6,
IF(BY6&lt;&gt;0,"OBL in SIG Office",
IF(BX6&lt;&gt;0,"OBL in Transit from Origin to SIG",
IF(BW6&lt;&gt;0,"OBL in Origin - "&amp;H6,
IF(BV6&lt;&gt;0,"Draft Rcvd","No OBL Yet")))))))),
IF(CL6&lt;&gt;0,"OBL In Destination - "&amp;I6,
IF(CJ6&lt;&gt;0,"OBL in Transit with Nego Docs - "&amp;I6,
IF(BY6&lt;&gt;0,"OBL in SIG Office",
IF(BX6&lt;&gt;0,"OBL in Transit from Origin to SIG",
IF(BW6&lt;&gt;0,"OBL in Origin - "&amp;H6,
IF(BV6&lt;&gt;0,"Draft Rcvd","No OBL Yet")))))))</f>
        <v>No OBL Yet</v>
      </c>
      <c r="CC6" s="22"/>
      <c r="CD6" s="22"/>
      <c r="CE6" s="182"/>
      <c r="CF6" s="182"/>
      <c r="CG6" s="182"/>
      <c r="CH6" s="2" t="str">
        <f>IF(CG6&lt;&gt;0,"CERTS in Destination - "&amp;I6,IF(CF6&lt;&gt;0,"CERT in Transit to -"&amp;I6,IF(CE6&lt;&gt;0,"CERT in Origin - "&amp;H6,IF(CE6="","No CERTS Yet"))))</f>
        <v>No CERTS Yet</v>
      </c>
      <c r="CI6" s="48"/>
      <c r="CJ6" s="22"/>
      <c r="CK6" s="55"/>
      <c r="CL6" s="55"/>
      <c r="CM6" s="55" t="str">
        <f>IF(CL6&lt;&gt;0,"Docs in Buyer's Bank",IF(CK6&lt;&gt;0,"Docs in Transit to Buyer's Bank",IF(CJ6&lt;&gt;0,"Docs in Our Bank",IF(CI6="TT PAYMENT","Not Applicable",""))))</f>
        <v/>
      </c>
      <c r="CN6" s="190">
        <f>(AH6*AC6*BF6)-AT6</f>
        <v>0</v>
      </c>
      <c r="CO6" s="54"/>
      <c r="CP6" s="2"/>
      <c r="CQ6" s="2"/>
      <c r="CR6" s="14" t="str">
        <f>IF(CP6="","",BF6-CQ6)</f>
        <v/>
      </c>
      <c r="CS6" s="191" t="str">
        <f>IF(CP6="","",CR6/BF6)</f>
        <v/>
      </c>
      <c r="CT6" s="14" t="str">
        <f>IF(CP6="","",AT6+CN6)</f>
        <v/>
      </c>
      <c r="CU6" s="14" t="str">
        <f>IF(CP6="","",BU6*2%)</f>
        <v/>
      </c>
      <c r="CV6" s="15" t="str">
        <f>IF(CP6="","",AC6/B6)</f>
        <v/>
      </c>
      <c r="CW6" s="2"/>
      <c r="CX6" s="41" t="str">
        <f>IF(CP6="","",B6-CW6)</f>
        <v/>
      </c>
      <c r="CY6" s="2"/>
      <c r="CZ6" s="192" t="str">
        <f>IF(CP6="","",IF(CP6="","",CY6-C6))</f>
        <v/>
      </c>
      <c r="DA6" s="40"/>
      <c r="DB6" s="16" t="str">
        <f>IF(CP6="","",10%-DA6)</f>
        <v/>
      </c>
      <c r="DC6" s="2" t="str">
        <f>IF(CP6="","",CR6*AC6)</f>
        <v/>
      </c>
      <c r="DD6" s="14" t="str">
        <f>IF(CP6="","",IF(CX6&gt;2,2*CX6*CQ6*CV6,CX6*CQ6*CV6))</f>
        <v/>
      </c>
      <c r="DE6" s="2" t="str">
        <f>IF(CP6="","",IF(CX6&gt;2,2*(CX6-2*CQ6*CV6),0))</f>
        <v/>
      </c>
      <c r="DF6" s="192" t="str">
        <f>IF(CP6="","",IF(CZ6&gt;0,CZ6*0.5*CQ6,0))</f>
        <v/>
      </c>
      <c r="DG6" s="2" t="str">
        <f>IF(CP6="","",IF(DB6&lt;0,DB6*CQ6*AC6*10%,0))</f>
        <v/>
      </c>
      <c r="DH6" s="15" t="str">
        <f>IF(CP6="","",SUM(DC6:DG6))</f>
        <v/>
      </c>
      <c r="DI6" s="2"/>
      <c r="DJ6" s="2"/>
      <c r="DK6" s="15" t="str">
        <f>IF(CP6="","",SUM(DH6:DI6))</f>
        <v/>
      </c>
      <c r="DL6" s="14" t="str">
        <f>IF(CP6="","",BF6*AC6-DK6)</f>
        <v/>
      </c>
      <c r="DM6" s="14" t="str">
        <f>IF(CP6="","",AT6+CN6)</f>
        <v/>
      </c>
      <c r="DN6" s="15" t="str">
        <f>IF(CP6="","",IF((DM6-DL6)&gt;0,DM6-DL6,""))</f>
        <v/>
      </c>
      <c r="DO6" s="15" t="str">
        <f>IF(CP6="","",IF((DL6-DM6)&gt;0,(DL6-DM6),""))</f>
        <v/>
      </c>
      <c r="DP6" s="2" t="str">
        <f>IF(CP6="","",IF(DN6="",G6,"VALENCY"))</f>
        <v/>
      </c>
      <c r="DQ6" s="2" t="str">
        <f>IF(DK6="","",IF(DK6&gt;0,"CN", "DN"))</f>
        <v/>
      </c>
      <c r="DR6" s="2"/>
      <c r="DS6" s="2"/>
      <c r="DT6" s="2"/>
      <c r="DU6" s="2"/>
      <c r="DV6" s="2" t="s">
        <v>230</v>
      </c>
      <c r="DW6" s="2"/>
      <c r="DX6" s="2" t="str">
        <f>IF(CP6="","",
   MIN(0,(IF(CX6&gt;2,2,1)*CX6*CQ6*CV6))
)</f>
        <v/>
      </c>
      <c r="DY6" s="2"/>
      <c r="DZ6" s="2"/>
      <c r="EA6" s="2"/>
      <c r="EB6" s="2"/>
      <c r="EC6" s="2"/>
      <c r="ED6" s="3"/>
      <c r="EE6" s="7"/>
      <c r="EF6" s="3"/>
      <c r="EG6" s="3" t="s">
        <v>266</v>
      </c>
      <c r="EH6" s="3"/>
      <c r="EI6" s="189"/>
      <c r="EJ6" s="4"/>
      <c r="EK6" s="9"/>
      <c r="EL6" s="9"/>
      <c r="EM6" s="189">
        <f>EJ6*EI6</f>
        <v>0</v>
      </c>
      <c r="EN6" s="9"/>
      <c r="EO6" s="8"/>
      <c r="EP6" s="4"/>
      <c r="EQ6" s="7"/>
      <c r="ER6" s="7"/>
      <c r="ES6" s="6"/>
      <c r="ET6" s="2" t="str">
        <f>IF(CO6&lt;&gt;0,"Final Pmt Recd",IF(CJ6&lt;&gt;0,"Export Loan",IF(BW6&lt;&gt;0,"Nego Pending",IF(U6&lt;&gt;0,"Yet to load","Yet to load"))))</f>
        <v>Yet to load</v>
      </c>
      <c r="EU6" s="189"/>
      <c r="EV6" s="189" t="e">
        <f>EU6/BF6</f>
        <v>#DIV/0!</v>
      </c>
      <c r="EW6" s="189" t="s">
        <v>233</v>
      </c>
      <c r="EX6" s="24"/>
      <c r="EY6" s="2"/>
      <c r="EZ6" s="24"/>
      <c r="FA6" s="193"/>
      <c r="FB6" s="189">
        <f>FA6*BF6</f>
        <v>0</v>
      </c>
      <c r="FC6" s="52"/>
      <c r="FD6" s="52"/>
      <c r="FE6" s="49"/>
      <c r="FF6" s="49">
        <f>IFERROR(EX6-BV6,"")</f>
        <v>0</v>
      </c>
      <c r="FG6" s="180">
        <f>IFERROR(BD6-EZ6,"")</f>
        <v>0</v>
      </c>
      <c r="FH6" s="49"/>
      <c r="FI6" s="49"/>
      <c r="FJ6" s="49"/>
      <c r="FK6" s="49"/>
      <c r="FL6" s="49"/>
      <c r="FM6" s="34">
        <f>T6</f>
        <v>20009959</v>
      </c>
      <c r="FN6" s="34">
        <f>V6</f>
        <v>32016144</v>
      </c>
      <c r="FO6" s="3"/>
      <c r="FP6" s="3"/>
      <c r="FQ6" s="3"/>
      <c r="FR6" s="3"/>
      <c r="FS6" s="3"/>
      <c r="FT6" s="3"/>
      <c r="FU6" s="3"/>
      <c r="FV6" s="4"/>
      <c r="FW6" s="3"/>
      <c r="FX6" s="182"/>
      <c r="FY6" s="3"/>
      <c r="FZ6" s="3"/>
      <c r="GA6" s="3"/>
      <c r="GB6" s="3"/>
      <c r="GC6" s="3"/>
      <c r="GD6" s="3"/>
      <c r="GE6" s="3"/>
      <c r="GF6" s="3"/>
      <c r="GG6" s="3"/>
      <c r="GH6" s="3"/>
    </row>
    <row r="7" spans="1:196" ht="84.95">
      <c r="A7" s="2" t="str">
        <f>IF(DW7="CLOSE","Trade closed",IF(DW7="PMT Pending","FNF Settlement is Due",IF(CP7&lt;&gt;0,"FNF Reconcillation Onging",IF(CO7&lt;&gt;0," Final Pmt Recd , FNF Pending",IF(CJ7&lt;&gt;0,"Exp Dox Presented to Bank, Pmt Pending",IF(BW7&lt;&gt;0,"OBL Scan Recd, Nego Pending",IF(BD7&lt;&gt;0,"Sailed, OBL &amp; Certs Pending",IF(BE7&lt;&gt;0,"Stuffed, Yet to Sail",IF(AV7&lt;&gt;0,"SI Sent, Shipment Awaited",IF(AU7&lt;&gt;0,"Advance Rcvd, SI Pending",IF(U7&lt;&gt;0,"SC Raised, Advance Pending",IF(S7&lt;&gt;0,"Deal Ticket Rcvd SC Pending", "Entry Pending"))))))))))))</f>
        <v>SC Raised, Advance Pending</v>
      </c>
      <c r="B7" s="282">
        <v>45</v>
      </c>
      <c r="C7" s="282">
        <v>200</v>
      </c>
      <c r="D7" s="182" t="s">
        <v>208</v>
      </c>
      <c r="E7" s="2" t="str">
        <f>IF(AND(U7&lt;&gt;"",BC7&lt;&gt;""),"CLOSE POSITION",
IF(U7&lt;&gt;"","SHORT POSITION",
IF(BC7&lt;&gt;"","LONG POSITION","ENTRY PENDING")))</f>
        <v>SHORT POSITION</v>
      </c>
      <c r="F7" s="271">
        <f>V7</f>
        <v>32016145</v>
      </c>
      <c r="G7" s="2" t="str">
        <f>W7</f>
        <v xml:space="preserve">KIEU LOAN CO., LTD  </v>
      </c>
      <c r="H7" s="3" t="s">
        <v>259</v>
      </c>
      <c r="I7" s="2" t="s">
        <v>347</v>
      </c>
      <c r="J7" s="2" t="s">
        <v>1091</v>
      </c>
      <c r="K7" s="22" t="str">
        <f>CB7</f>
        <v>No OBL Yet</v>
      </c>
      <c r="L7" s="2"/>
      <c r="M7" s="2" t="str">
        <f>CH7</f>
        <v>No CERTS Yet</v>
      </c>
      <c r="N7" s="2" t="str">
        <f>CM7</f>
        <v/>
      </c>
      <c r="O7" s="2" t="str">
        <f>IFERROR(_xlfn.XLOOKUP(F7,
'[2]Data 2026'!$H$12:$H$111,
'[2]Data 2026'!$CL$12:$CL$111),"")</f>
        <v/>
      </c>
      <c r="P7" s="285" t="s">
        <v>1092</v>
      </c>
      <c r="Q7" s="272"/>
      <c r="R7" s="3"/>
      <c r="S7" s="24"/>
      <c r="T7" s="273">
        <v>20009962</v>
      </c>
      <c r="U7" s="24">
        <v>46112</v>
      </c>
      <c r="V7" s="182">
        <v>32016145</v>
      </c>
      <c r="W7" s="182" t="s">
        <v>741</v>
      </c>
      <c r="X7" s="182" t="s">
        <v>353</v>
      </c>
      <c r="Y7" s="30">
        <v>0.1</v>
      </c>
      <c r="Z7" s="277"/>
      <c r="AA7" s="4">
        <f>Z7*(1-Y7)</f>
        <v>0</v>
      </c>
      <c r="AB7" s="3" t="s">
        <v>215</v>
      </c>
      <c r="AC7" s="4">
        <v>1490</v>
      </c>
      <c r="AD7" s="4">
        <f>AC7*Z7</f>
        <v>0</v>
      </c>
      <c r="AE7" s="3" t="s">
        <v>249</v>
      </c>
      <c r="AF7" s="3" t="s">
        <v>404</v>
      </c>
      <c r="AG7" s="183">
        <v>0.1</v>
      </c>
      <c r="AH7" s="183">
        <v>0.88</v>
      </c>
      <c r="AI7" s="183">
        <v>0.02</v>
      </c>
      <c r="AJ7" s="28" t="s">
        <v>218</v>
      </c>
      <c r="AK7" s="3"/>
      <c r="AL7" s="18" t="s">
        <v>1093</v>
      </c>
      <c r="AM7" s="27"/>
      <c r="AN7" s="3" t="s">
        <v>220</v>
      </c>
      <c r="AO7" s="3" t="s">
        <v>220</v>
      </c>
      <c r="AP7" s="3" t="s">
        <v>220</v>
      </c>
      <c r="AQ7" s="9"/>
      <c r="AR7" s="3"/>
      <c r="AS7" s="47">
        <v>46114</v>
      </c>
      <c r="AT7" s="278">
        <f>Z7*AC7*AG7</f>
        <v>0</v>
      </c>
      <c r="AU7" s="18"/>
      <c r="AV7" s="22"/>
      <c r="AW7" s="22"/>
      <c r="AX7" s="22"/>
      <c r="AY7" s="22"/>
      <c r="AZ7" s="22"/>
      <c r="BA7" s="18"/>
      <c r="BB7" s="18"/>
      <c r="BC7" s="3"/>
      <c r="BD7" s="18"/>
      <c r="BE7" s="25"/>
      <c r="BF7" s="25"/>
      <c r="BG7" s="189" t="s">
        <v>222</v>
      </c>
      <c r="BH7" s="24"/>
      <c r="BI7" s="4"/>
      <c r="BJ7" s="18"/>
      <c r="BK7" s="4"/>
      <c r="BL7" s="22"/>
      <c r="BM7" s="3" t="s">
        <v>259</v>
      </c>
      <c r="BN7" s="21" t="s">
        <v>409</v>
      </c>
      <c r="BO7" s="2"/>
      <c r="BP7" s="2"/>
      <c r="BQ7" s="2"/>
      <c r="BR7" s="2"/>
      <c r="BS7" s="20"/>
      <c r="BT7" s="19"/>
      <c r="BU7" s="189">
        <f>BF7*AC7</f>
        <v>0</v>
      </c>
      <c r="BV7" s="22"/>
      <c r="BW7" s="22"/>
      <c r="BX7" s="22"/>
      <c r="BY7" s="22"/>
      <c r="BZ7" s="22"/>
      <c r="CA7" s="22"/>
      <c r="CB7" s="22" t="str">
        <f>IF(I7="VIETNAM",
IF(CD7&lt;&gt;"","OBL in Vietnam Office",
IF(CC7&lt;&gt;"","OBL in Transit from Vietnam Office",
IF(CA7&lt;&gt;0,"OBL In Destination - "&amp;I7,
IF(BZ7&lt;&gt;0,"OBL in Transit to Destination - "&amp;I7,
IF(BY7&lt;&gt;0,"OBL in SIG Office",
IF(BX7&lt;&gt;0,"OBL in Transit from Origin to SIG",
IF(BW7&lt;&gt;0,"OBL in Origin - "&amp;H7,
IF(BV7&lt;&gt;0,"Draft Rcvd","No OBL Yet")))))))),
IF(CL7&lt;&gt;0,"OBL In Destination - "&amp;I7,
IF(CJ7&lt;&gt;0,"OBL in Transit with Nego Docs - "&amp;I7,
IF(BY7&lt;&gt;0,"OBL in SIG Office",
IF(BX7&lt;&gt;0,"OBL in Transit from Origin to SIG",
IF(BW7&lt;&gt;0,"OBL in Origin - "&amp;H7,
IF(BV7&lt;&gt;0,"Draft Rcvd","No OBL Yet")))))))</f>
        <v>No OBL Yet</v>
      </c>
      <c r="CC7" s="22"/>
      <c r="CD7" s="22"/>
      <c r="CE7" s="182"/>
      <c r="CF7" s="182"/>
      <c r="CG7" s="182"/>
      <c r="CH7" s="2" t="str">
        <f>IF(CG7&lt;&gt;0,"CERTS in Destination - "&amp;I7,IF(CF7&lt;&gt;0,"CERT in Transit to -"&amp;I7,IF(CE7&lt;&gt;0,"CERT in Origin - "&amp;H7,IF(CE7="","No CERTS Yet"))))</f>
        <v>No CERTS Yet</v>
      </c>
      <c r="CI7" s="48"/>
      <c r="CJ7" s="22"/>
      <c r="CK7" s="55"/>
      <c r="CL7" s="55"/>
      <c r="CM7" s="55" t="str">
        <f>IF(CL7&lt;&gt;0,"Docs in Buyer's Bank",IF(CK7&lt;&gt;0,"Docs in Transit to Buyer's Bank",IF(CJ7&lt;&gt;0,"Docs in Our Bank",IF(CI7="TT PAYMENT","Not Applicable",""))))</f>
        <v/>
      </c>
      <c r="CN7" s="190">
        <f>(AH7*AC7*BF7)-AT7</f>
        <v>0</v>
      </c>
      <c r="CO7" s="54"/>
      <c r="CP7" s="2"/>
      <c r="CQ7" s="2"/>
      <c r="CR7" s="14" t="str">
        <f>IF(CP7="","",BF7-CQ7)</f>
        <v/>
      </c>
      <c r="CS7" s="191" t="str">
        <f>IF(CP7="","",CR7/BF7)</f>
        <v/>
      </c>
      <c r="CT7" s="14" t="str">
        <f>IF(CP7="","",AT7+CN7)</f>
        <v/>
      </c>
      <c r="CU7" s="14" t="str">
        <f>IF(CP7="","",BU7*2%)</f>
        <v/>
      </c>
      <c r="CV7" s="15" t="str">
        <f>IF(CP7="","",AC7/B7)</f>
        <v/>
      </c>
      <c r="CW7" s="2"/>
      <c r="CX7" s="41" t="str">
        <f>IF(CP7="","",B7-CW7)</f>
        <v/>
      </c>
      <c r="CY7" s="2"/>
      <c r="CZ7" s="192" t="str">
        <f>IF(CP7="","",IF(CP7="","",CY7-C7))</f>
        <v/>
      </c>
      <c r="DA7" s="40"/>
      <c r="DB7" s="16" t="str">
        <f>IF(CP7="","",10%-DA7)</f>
        <v/>
      </c>
      <c r="DC7" s="2" t="str">
        <f>IF(CP7="","",CR7*AC7)</f>
        <v/>
      </c>
      <c r="DD7" s="14" t="str">
        <f>IF(CP7="","",IF(CX7&gt;2,2*CX7*CQ7*CV7,CX7*CQ7*CV7))</f>
        <v/>
      </c>
      <c r="DE7" s="2" t="str">
        <f>IF(CP7="","",IF(CX7&gt;2,2*(CX7-2*CQ7*CV7),0))</f>
        <v/>
      </c>
      <c r="DF7" s="192" t="str">
        <f>IF(CP7="","",IF(CZ7&gt;0,CZ7*0.5*CQ7,0))</f>
        <v/>
      </c>
      <c r="DG7" s="2" t="str">
        <f>IF(CP7="","",IF(DB7&lt;0,DB7*CQ7*AC7*10%,0))</f>
        <v/>
      </c>
      <c r="DH7" s="15" t="str">
        <f>IF(CP7="","",SUM(DC7:DG7))</f>
        <v/>
      </c>
      <c r="DI7" s="2"/>
      <c r="DJ7" s="2"/>
      <c r="DK7" s="15" t="str">
        <f>IF(CP7="","",SUM(DH7:DI7))</f>
        <v/>
      </c>
      <c r="DL7" s="14" t="str">
        <f>IF(CP7="","",BF7*AC7-DK7)</f>
        <v/>
      </c>
      <c r="DM7" s="14" t="str">
        <f>IF(CP7="","",AT7+CN7)</f>
        <v/>
      </c>
      <c r="DN7" s="15" t="str">
        <f>IF(CP7="","",IF((DM7-DL7)&gt;0,DM7-DL7,""))</f>
        <v/>
      </c>
      <c r="DO7" s="15" t="str">
        <f>IF(CP7="","",IF((DL7-DM7)&gt;0,(DL7-DM7),""))</f>
        <v/>
      </c>
      <c r="DP7" s="2" t="str">
        <f>IF(CP7="","",IF(DN7="",G7,"VALENCY"))</f>
        <v/>
      </c>
      <c r="DQ7" s="2" t="str">
        <f>IF(DK7="","",IF(DK7&gt;0,"CN", "DN"))</f>
        <v/>
      </c>
      <c r="DR7" s="2"/>
      <c r="DS7" s="2"/>
      <c r="DT7" s="2"/>
      <c r="DU7" s="2"/>
      <c r="DV7" s="2" t="s">
        <v>230</v>
      </c>
      <c r="DW7" s="2"/>
      <c r="DX7" s="2" t="str">
        <f>IF(CP7="","",
   MIN(0,(IF(CX7&gt;2,2,1)*CX7*CQ7*CV7))
)</f>
        <v/>
      </c>
      <c r="DY7" s="2"/>
      <c r="DZ7" s="2"/>
      <c r="EA7" s="2"/>
      <c r="EB7" s="2"/>
      <c r="EC7" s="2"/>
      <c r="ED7" s="3"/>
      <c r="EE7" s="7"/>
      <c r="EF7" s="3"/>
      <c r="EG7" s="3" t="s">
        <v>266</v>
      </c>
      <c r="EH7" s="3"/>
      <c r="EI7" s="189"/>
      <c r="EJ7" s="4"/>
      <c r="EK7" s="9"/>
      <c r="EL7" s="9"/>
      <c r="EM7" s="189">
        <f>EJ7*EI7</f>
        <v>0</v>
      </c>
      <c r="EN7" s="9"/>
      <c r="EO7" s="8"/>
      <c r="EP7" s="4"/>
      <c r="EQ7" s="7"/>
      <c r="ER7" s="7"/>
      <c r="ES7" s="6"/>
      <c r="ET7" s="2" t="str">
        <f>IF(CO7&lt;&gt;0,"Final Pmt Recd",IF(CJ7&lt;&gt;0,"Export Loan",IF(BW7&lt;&gt;0,"Nego Pending",IF(U7&lt;&gt;0,"Yet to load","Yet to load"))))</f>
        <v>Yet to load</v>
      </c>
      <c r="EU7" s="189"/>
      <c r="EV7" s="189" t="e">
        <f>EU7/BF7</f>
        <v>#DIV/0!</v>
      </c>
      <c r="EW7" s="189" t="s">
        <v>233</v>
      </c>
      <c r="EX7" s="24"/>
      <c r="EY7" s="2"/>
      <c r="EZ7" s="24"/>
      <c r="FA7" s="193"/>
      <c r="FB7" s="189">
        <f>FA7*BF7</f>
        <v>0</v>
      </c>
      <c r="FC7" s="52"/>
      <c r="FD7" s="52"/>
      <c r="FE7" s="49"/>
      <c r="FF7" s="49">
        <f>IFERROR(EX7-BV7,"")</f>
        <v>0</v>
      </c>
      <c r="FG7" s="180">
        <f>IFERROR(BD7-EZ7,"")</f>
        <v>0</v>
      </c>
      <c r="FH7" s="49"/>
      <c r="FI7" s="49"/>
      <c r="FJ7" s="49"/>
      <c r="FK7" s="49"/>
      <c r="FL7" s="49"/>
      <c r="FM7" s="34">
        <f>T7</f>
        <v>20009962</v>
      </c>
      <c r="FN7" s="34">
        <f>V7</f>
        <v>32016145</v>
      </c>
      <c r="FO7" s="3"/>
      <c r="FP7" s="3"/>
      <c r="FQ7" s="3"/>
      <c r="FR7" s="3"/>
      <c r="FS7" s="3"/>
      <c r="FT7" s="3"/>
      <c r="FU7" s="3"/>
      <c r="FV7" s="4"/>
      <c r="FW7" s="3"/>
      <c r="FX7" s="182"/>
      <c r="FY7" s="3"/>
      <c r="FZ7" s="3"/>
      <c r="GA7" s="3"/>
      <c r="GB7" s="3"/>
      <c r="GC7" s="3"/>
      <c r="GD7" s="3"/>
      <c r="GE7" s="3"/>
      <c r="GF7" s="3"/>
      <c r="GG7" s="3"/>
      <c r="GH7" s="3"/>
    </row>
    <row r="8" spans="1:196" ht="51">
      <c r="A8" s="2" t="str">
        <f>IF(DZ8="CLOSE","Trade closed",IF(DZ8="PMT Pending","FNF Settlement is Due",IF(CS8&lt;&gt;0,"FNF Reconcillation Onging",IF(CR8&lt;&gt;0," Final Pmt Recd , FNF Pending",IF(CM8&lt;&gt;0,"Exp Dox Presented to Bank, Pmt Pending",IF(BZ8&lt;&gt;0,"OBL Scan Recd, Nego Pending",IF(BG8&lt;&gt;0,"Sailed, OBL &amp; Certs Pending",IF(BH8&lt;&gt;0,"Stuffed, Yet to Sail",IF(AY8&lt;&gt;0,"SI Sent, Shipment Awaited",IF(AX8&lt;&gt;0,"Advance Rcvd, SI Pending",IF(W8&lt;&gt;0,"SC Raised, Advance Pending",IF(U8&lt;&gt;0,"Deal Ticket Rcvd SC Pending", "Entry Pending"))))))))))))</f>
        <v>Entry Pending</v>
      </c>
      <c r="B8" s="282">
        <v>46</v>
      </c>
      <c r="C8" s="282">
        <v>200</v>
      </c>
      <c r="D8" s="182" t="s">
        <v>208</v>
      </c>
      <c r="E8" s="2" t="str">
        <f>IF(AND(LEFT(TRIM(X8&amp;""),1)="3",BF8&lt;&gt;""),"CLOSE POSITION",
IF(AND(LEFT(TRIM(X8&amp;""),1)="3",BF8=""),"SHORT POSITION",
IF(AND(LEFT(TRIM(X8&amp;""),1)&lt;&gt;"3",BF8&lt;&gt;""),"LONG POSITION","ENTRY PENDING")))</f>
        <v>ENTRY PENDING</v>
      </c>
      <c r="F8" s="271" t="str">
        <f>X8</f>
        <v>TBA 07</v>
      </c>
      <c r="G8" s="2" t="str">
        <f>Y8</f>
        <v>VALENCY VIETNAM UNSOLD</v>
      </c>
      <c r="H8" s="3" t="s">
        <v>245</v>
      </c>
      <c r="I8" s="2" t="s">
        <v>347</v>
      </c>
      <c r="J8" s="2" t="str">
        <f>IF(BF8&lt;&gt;0,BF8,"")</f>
        <v/>
      </c>
      <c r="K8" s="22">
        <f>BM8</f>
        <v>0</v>
      </c>
      <c r="L8" s="22">
        <f>BO8</f>
        <v>0</v>
      </c>
      <c r="M8" s="22" t="str">
        <f>CE8</f>
        <v>No OBL Yet</v>
      </c>
      <c r="N8" s="2"/>
      <c r="O8" s="2" t="str">
        <f>CK8</f>
        <v>No CERTS Yet</v>
      </c>
      <c r="P8" s="2" t="str">
        <f>CP8</f>
        <v/>
      </c>
      <c r="Q8" s="2" t="str">
        <f>IFERROR(_xlfn.XLOOKUP(F8,
'[2]Data 2026'!$H$12:$H$111,
'[2]Data 2026'!$CL$12:$CL$111),"")</f>
        <v/>
      </c>
      <c r="R8" s="294" t="s">
        <v>1094</v>
      </c>
      <c r="S8" s="272"/>
      <c r="T8" s="294" t="s">
        <v>1095</v>
      </c>
      <c r="U8" s="24"/>
      <c r="V8" s="273"/>
      <c r="W8" s="24"/>
      <c r="X8" s="182" t="s">
        <v>733</v>
      </c>
      <c r="Y8" s="182" t="s">
        <v>501</v>
      </c>
      <c r="Z8" s="182" t="s">
        <v>263</v>
      </c>
      <c r="AA8" s="181">
        <v>46142</v>
      </c>
      <c r="AB8" s="30">
        <v>0.1</v>
      </c>
      <c r="AC8" s="277">
        <v>150</v>
      </c>
      <c r="AD8" s="4">
        <f>AC8*(1-AB8)</f>
        <v>135</v>
      </c>
      <c r="AE8" s="3" t="s">
        <v>215</v>
      </c>
      <c r="AF8" s="4"/>
      <c r="AG8" s="4">
        <f>AF8*AC8</f>
        <v>0</v>
      </c>
      <c r="AH8" s="3" t="s">
        <v>249</v>
      </c>
      <c r="AI8" s="3" t="s">
        <v>238</v>
      </c>
      <c r="AJ8" s="30">
        <v>0</v>
      </c>
      <c r="AK8" s="183">
        <v>1</v>
      </c>
      <c r="AL8" s="183">
        <v>0</v>
      </c>
      <c r="AM8" s="28" t="s">
        <v>218</v>
      </c>
      <c r="AN8" s="3"/>
      <c r="AO8" s="18"/>
      <c r="AP8" s="27"/>
      <c r="AQ8" s="3" t="s">
        <v>220</v>
      </c>
      <c r="AR8" s="3" t="s">
        <v>220</v>
      </c>
      <c r="AS8" s="3" t="s">
        <v>220</v>
      </c>
      <c r="AT8" s="9"/>
      <c r="AU8" s="3"/>
      <c r="AV8" s="47"/>
      <c r="AW8" s="278"/>
      <c r="AX8" s="18"/>
      <c r="AY8" s="22"/>
      <c r="AZ8" s="22"/>
      <c r="BA8" s="22"/>
      <c r="BB8" s="22"/>
      <c r="BC8" s="22"/>
      <c r="BD8" s="18"/>
      <c r="BE8" s="18"/>
      <c r="BF8" s="3"/>
      <c r="BG8" s="18"/>
      <c r="BH8" s="25"/>
      <c r="BI8" s="25"/>
      <c r="BJ8" s="189"/>
      <c r="BK8" s="18"/>
      <c r="BL8" s="4"/>
      <c r="BM8" s="18"/>
      <c r="BN8" s="4"/>
      <c r="BO8" s="22"/>
      <c r="BP8" s="3" t="s">
        <v>245</v>
      </c>
      <c r="BQ8" s="21" t="s">
        <v>409</v>
      </c>
      <c r="BR8" s="2"/>
      <c r="BS8" s="2"/>
      <c r="BT8" s="2"/>
      <c r="BU8" s="2"/>
      <c r="BV8" s="20"/>
      <c r="BW8" s="19"/>
      <c r="BX8" s="189"/>
      <c r="BY8" s="22"/>
      <c r="BZ8" s="22"/>
      <c r="CA8" s="22"/>
      <c r="CB8" s="22"/>
      <c r="CC8" s="22"/>
      <c r="CD8" s="22"/>
      <c r="CE8" s="22" t="str">
        <f>IF(I8="VIETNAM",
IF(CG8&lt;&gt;"","OBL in Vietnam Office",
IF(CF8&lt;&gt;"","OBL in Transit from Vietnam Office",
IF(CD8&lt;&gt;0,"OBL In Destination - "&amp;I8,
IF(CC8&lt;&gt;0,"OBL in Transit to Destination - "&amp;I8,
IF(CB8&lt;&gt;0,"OBL in SIG Office",
IF(CA8&lt;&gt;0,"OBL in Transit from Origin to SIG",
IF(BZ8&lt;&gt;0,"OBL in Origin - "&amp;H8,
IF(BY8&lt;&gt;0,"Draft Rcvd","No OBL Yet")))))))),
IF(CO8&lt;&gt;0,"OBL In Destination - "&amp;I8,
IF(CM8&lt;&gt;0,"OBL in Transit with Nego Docs - "&amp;I8,
IF(CB8&lt;&gt;0,"OBL in SIG Office",
IF(CA8&lt;&gt;0,"OBL in Transit from Origin to SIG",
IF(BZ8&lt;&gt;0,"OBL in Origin - "&amp;H8,
IF(BY8&lt;&gt;0,"Draft Rcvd","No OBL Yet")))))))</f>
        <v>No OBL Yet</v>
      </c>
      <c r="CF8" s="22"/>
      <c r="CG8" s="22"/>
      <c r="CH8" s="182"/>
      <c r="CI8" s="182"/>
      <c r="CJ8" s="182"/>
      <c r="CK8" s="2" t="str">
        <f>IF(CJ8&lt;&gt;0,"CERTS in Destination - "&amp;I8,IF(CI8&lt;&gt;0,"CERT in Transit to -"&amp;I8,IF(CH8&lt;&gt;0,"CERT in Origin - "&amp;H8,IF(CH8="","No CERTS Yet"))))</f>
        <v>No CERTS Yet</v>
      </c>
      <c r="CL8" s="48"/>
      <c r="CM8" s="22"/>
      <c r="CN8" s="55"/>
      <c r="CO8" s="55"/>
      <c r="CP8" s="55" t="str">
        <f>IF(CO8&lt;&gt;0,"Docs in Buyer's Bank",IF(CN8&lt;&gt;0,"Docs in Transit to Buyer's Bank",IF(CM8&lt;&gt;0,"Docs in Our Bank",IF(CL8="TT PAYMENT","Not Applicable",""))))</f>
        <v/>
      </c>
      <c r="CQ8" s="190">
        <f>(AK8*AF8*BI8)-AW8</f>
        <v>0</v>
      </c>
      <c r="CR8" s="54"/>
      <c r="CS8" s="2"/>
      <c r="CT8" s="2"/>
      <c r="CU8" s="14" t="str">
        <f>IF(CS8="","",BI8-CT8)</f>
        <v/>
      </c>
      <c r="CV8" s="191" t="str">
        <f>IF(CS8="","",CU8/BI8)</f>
        <v/>
      </c>
      <c r="CW8" s="14" t="str">
        <f>IF(CS8="","",AW8+CQ8)</f>
        <v/>
      </c>
      <c r="CX8" s="14" t="str">
        <f>IF(CS8="","",BX8*2%)</f>
        <v/>
      </c>
      <c r="CY8" s="15" t="str">
        <f>IF(CS8="","",AF8/B8)</f>
        <v/>
      </c>
      <c r="CZ8" s="2"/>
      <c r="DA8" s="41" t="str">
        <f>IF(CS8="","",B8-CZ8)</f>
        <v/>
      </c>
      <c r="DB8" s="2"/>
      <c r="DC8" s="192" t="str">
        <f>IF(CS8="","",IF(CS8="","",DB8-C8))</f>
        <v/>
      </c>
      <c r="DD8" s="40"/>
      <c r="DE8" s="16" t="str">
        <f>IF(CS8="","",10%-DD8)</f>
        <v/>
      </c>
      <c r="DF8" s="2" t="str">
        <f>IF(CS8="","",CU8*AF8)</f>
        <v/>
      </c>
      <c r="DG8" s="14" t="str">
        <f>IF(CS8="","",IF(DA8&gt;2,2*DA8*CT8*CY8,DA8*CT8*CY8))</f>
        <v/>
      </c>
      <c r="DH8" s="2" t="str">
        <f>IF(CS8="","",IF(DA8&gt;2,2*(DA8-2*CT8*CY8),0))</f>
        <v/>
      </c>
      <c r="DI8" s="192" t="str">
        <f>IF(CS8="","",IF(DC8&gt;0,DC8*0.5*CT8,0))</f>
        <v/>
      </c>
      <c r="DJ8" s="2" t="str">
        <f>IF(CS8="","",IF(DE8&lt;0,DE8*CT8*AF8*10%,0))</f>
        <v/>
      </c>
      <c r="DK8" s="15" t="str">
        <f>IF(CS8="","",SUM(DF8:DJ8))</f>
        <v/>
      </c>
      <c r="DL8" s="2"/>
      <c r="DM8" s="2"/>
      <c r="DN8" s="15" t="str">
        <f>IF(CS8="","",SUM(DK8:DL8))</f>
        <v/>
      </c>
      <c r="DO8" s="14" t="str">
        <f>IF(CS8="","",BI8*AF8-DN8)</f>
        <v/>
      </c>
      <c r="DP8" s="14" t="str">
        <f>IF(CS8="","",AW8+CQ8)</f>
        <v/>
      </c>
      <c r="DQ8" s="15" t="str">
        <f>IF(CS8="","",IF((DP8-DO8)&gt;0,DP8-DO8,""))</f>
        <v/>
      </c>
      <c r="DR8" s="15" t="str">
        <f>IF(CS8="","",IF((DO8-DP8)&gt;0,(DO8-DP8),""))</f>
        <v/>
      </c>
      <c r="DS8" s="2" t="str">
        <f>IF(CS8="","",IF(DQ8="",G8,"VALENCY"))</f>
        <v/>
      </c>
      <c r="DT8" s="2" t="str">
        <f>IF(DN8="","",IF(DN8&gt;0,"CN", "DN"))</f>
        <v/>
      </c>
      <c r="DU8" s="2"/>
      <c r="DV8" s="2"/>
      <c r="DW8" s="2"/>
      <c r="DX8" s="2"/>
      <c r="DY8" s="2" t="s">
        <v>230</v>
      </c>
      <c r="DZ8" s="2"/>
      <c r="EA8" s="2" t="str">
        <f>IF(CS8="","",
   MIN(0,(IF(DA8&gt;2,2,1)*DA8*CT8*CY8))
)</f>
        <v/>
      </c>
      <c r="EB8" s="2"/>
      <c r="EC8" s="2"/>
      <c r="ED8" s="2"/>
      <c r="EE8" s="2"/>
      <c r="EF8" s="2"/>
      <c r="EG8" s="3"/>
      <c r="EH8" s="7"/>
      <c r="EI8" s="3"/>
      <c r="EJ8" s="3" t="s">
        <v>257</v>
      </c>
      <c r="EK8" s="3" t="s">
        <v>258</v>
      </c>
      <c r="EL8" s="189"/>
      <c r="EM8" s="4"/>
      <c r="EN8" s="9"/>
      <c r="EO8" s="9"/>
      <c r="EP8" s="189">
        <f>EM8*EL8</f>
        <v>0</v>
      </c>
      <c r="EQ8" s="9"/>
      <c r="ER8" s="8"/>
      <c r="ES8" s="4"/>
      <c r="ET8" s="7"/>
      <c r="EU8" s="7"/>
      <c r="EV8" s="6"/>
      <c r="EW8" s="2" t="str">
        <f>IF(CR8&lt;&gt;0,"Final Pmt Recd",IF(CM8&lt;&gt;0,"Export Loan",IF(BZ8&lt;&gt;0,"Nego Pending",IF(W8&lt;&gt;0,"Yet to load","Yet to load"))))</f>
        <v>Yet to load</v>
      </c>
      <c r="EX8" s="189"/>
      <c r="EY8" s="189" t="e">
        <f>EX8/BI8</f>
        <v>#DIV/0!</v>
      </c>
      <c r="EZ8" s="189" t="s">
        <v>233</v>
      </c>
      <c r="FA8" s="24"/>
      <c r="FB8" s="2"/>
      <c r="FC8" s="24"/>
      <c r="FD8" s="193"/>
      <c r="FE8" s="189">
        <f>FD8*BI8</f>
        <v>0</v>
      </c>
      <c r="FF8" s="52"/>
      <c r="FG8" s="52"/>
      <c r="FH8" s="49"/>
      <c r="FI8" s="49">
        <f>IFERROR(FA8-BY8,"")</f>
        <v>0</v>
      </c>
      <c r="FJ8" s="180">
        <f>IFERROR(BG8-FC8,"")</f>
        <v>0</v>
      </c>
      <c r="FK8" s="49"/>
      <c r="FL8" s="49"/>
      <c r="FM8" s="49"/>
      <c r="FN8" s="49"/>
      <c r="FO8" s="49"/>
      <c r="FP8" s="34">
        <f>V8</f>
        <v>0</v>
      </c>
      <c r="FQ8" s="34" t="str">
        <f>X8</f>
        <v>TBA 07</v>
      </c>
      <c r="FR8" s="3"/>
      <c r="FS8" s="3"/>
      <c r="FT8" s="3"/>
      <c r="FU8" s="3"/>
      <c r="FV8" s="3"/>
      <c r="FW8" s="3"/>
      <c r="FX8" s="3"/>
      <c r="FY8" s="4"/>
      <c r="FZ8" s="3"/>
      <c r="GA8" s="182">
        <v>90082920</v>
      </c>
      <c r="GB8" s="2"/>
      <c r="GC8" s="2" t="s">
        <v>235</v>
      </c>
      <c r="GD8" s="2"/>
      <c r="GE8" s="2"/>
      <c r="GF8" s="2"/>
      <c r="GG8" s="2"/>
      <c r="GH8" s="2"/>
      <c r="GI8" s="2"/>
      <c r="GJ8" s="2"/>
      <c r="GK8" s="2"/>
    </row>
    <row r="9" spans="1:196" ht="102">
      <c r="A9" s="2" t="str">
        <f>IF(DY9="CLOSE","Trade closed",IF(DY9="PMT Pending","FNF Settlement is Due",IF(CR9&lt;&gt;0,"FNF Reconcillation Onging",IF(CQ9&lt;&gt;0," Final Pmt Recd , FNF Pending",IF(CL9&lt;&gt;0,"Exp Dox Presented to Bank, Pmt Pending",IF(BY9&lt;&gt;0,"OBL Scan Recd, Nego Pending",IF(BG9&lt;&gt;0,"Sailed, OBL &amp; Certs Pending",IF(BH9&lt;&gt;0,"Stuffed, Yet to Sail",IF(AY9&lt;&gt;0,"SI Sent, Shipment Awaited",IF(AX9&lt;&gt;0,"Advance Rcvd, SI Pending",IF(W9&lt;&gt;0,"SC Raised, Advance Pending",IF(U9&lt;&gt;0,"Deal Ticket Rcvd SC Pending", "Entry Pending"))))))))))))</f>
        <v>Entry Pending</v>
      </c>
      <c r="B9" s="282">
        <v>50</v>
      </c>
      <c r="C9" s="282">
        <v>185</v>
      </c>
      <c r="D9" s="182" t="s">
        <v>208</v>
      </c>
      <c r="E9" s="2" t="str">
        <f>IF(AND(LEFT(TRIM(X9&amp;""),1)="3",BF9&lt;&gt;""),"CLOSE POSITION",
IF(AND(LEFT(TRIM(X9&amp;""),1)="3",BF9=""),"SHORT POSITION",
IF(AND(LEFT(TRIM(X9&amp;""),1)&lt;&gt;"3",BF9&lt;&gt;""),"LONG POSITION","ENTRY PENDING")))</f>
        <v>ENTRY PENDING</v>
      </c>
      <c r="F9" s="271">
        <f>X9</f>
        <v>0</v>
      </c>
      <c r="G9" s="2" t="str">
        <f>Y9</f>
        <v>HOANG CUONG BP TRADING COMPANY LIMITED</v>
      </c>
      <c r="H9" s="3" t="s">
        <v>209</v>
      </c>
      <c r="I9" s="2" t="s">
        <v>347</v>
      </c>
      <c r="J9" s="2" t="str">
        <f>IF(BF9&lt;&gt;0,BF9,"")</f>
        <v/>
      </c>
      <c r="K9" s="22">
        <f>BL9</f>
        <v>0</v>
      </c>
      <c r="L9" s="22">
        <f>BN9</f>
        <v>0</v>
      </c>
      <c r="M9" s="22" t="str">
        <f>CD9</f>
        <v>No OBL Yet</v>
      </c>
      <c r="N9" s="2"/>
      <c r="O9" s="2" t="str">
        <f>CJ9</f>
        <v>No CERTS Yet</v>
      </c>
      <c r="P9" s="2">
        <f>CO9</f>
        <v>0</v>
      </c>
      <c r="Q9" s="2"/>
      <c r="R9" s="3" t="s">
        <v>1096</v>
      </c>
      <c r="S9" s="272"/>
      <c r="T9" s="3" t="s">
        <v>1097</v>
      </c>
      <c r="U9" s="24"/>
      <c r="V9" s="273"/>
      <c r="W9" s="24"/>
      <c r="X9" s="182"/>
      <c r="Y9" s="182" t="s">
        <v>1098</v>
      </c>
      <c r="Z9" s="182" t="s">
        <v>502</v>
      </c>
      <c r="AA9" s="181">
        <v>46173</v>
      </c>
      <c r="AB9" s="30">
        <v>0.1</v>
      </c>
      <c r="AC9" s="277">
        <v>250</v>
      </c>
      <c r="AD9" s="4">
        <f>AC9*(1-AB9)</f>
        <v>225</v>
      </c>
      <c r="AE9" s="3" t="s">
        <v>215</v>
      </c>
      <c r="AF9" s="4">
        <v>1590</v>
      </c>
      <c r="AG9" s="4">
        <f>AF9*AC9</f>
        <v>397500</v>
      </c>
      <c r="AH9" s="3" t="s">
        <v>249</v>
      </c>
      <c r="AI9" s="3" t="s">
        <v>780</v>
      </c>
      <c r="AJ9" s="30">
        <v>0.1</v>
      </c>
      <c r="AK9" s="183">
        <v>0.88</v>
      </c>
      <c r="AL9" s="183">
        <v>0.02</v>
      </c>
      <c r="AM9" s="28" t="s">
        <v>218</v>
      </c>
      <c r="AN9" s="18" t="s">
        <v>354</v>
      </c>
      <c r="AO9" s="18" t="s">
        <v>781</v>
      </c>
      <c r="AP9" s="359">
        <v>5</v>
      </c>
      <c r="AQ9" s="3" t="s">
        <v>220</v>
      </c>
      <c r="AR9" s="3" t="s">
        <v>220</v>
      </c>
      <c r="AS9" s="3" t="s">
        <v>220</v>
      </c>
      <c r="AT9" s="9"/>
      <c r="AU9" s="3"/>
      <c r="AV9" s="47">
        <v>46167</v>
      </c>
      <c r="AW9" s="278">
        <f>AC9*AF9*AJ9</f>
        <v>39750</v>
      </c>
      <c r="AX9" s="18"/>
      <c r="AY9" s="22"/>
      <c r="AZ9" s="22"/>
      <c r="BA9" s="22"/>
      <c r="BB9" s="22"/>
      <c r="BC9" s="22"/>
      <c r="BD9" s="18"/>
      <c r="BE9" s="18"/>
      <c r="BF9" s="3"/>
      <c r="BG9" s="18"/>
      <c r="BH9" s="25"/>
      <c r="BI9" s="25"/>
      <c r="BJ9" s="18"/>
      <c r="BK9" s="2"/>
      <c r="BL9" s="2"/>
      <c r="BM9" s="2"/>
      <c r="BN9" s="2"/>
      <c r="BO9" s="20" t="s">
        <v>278</v>
      </c>
      <c r="BP9" s="21" t="s">
        <v>409</v>
      </c>
      <c r="BQ9" s="189"/>
      <c r="BR9" s="22"/>
      <c r="BS9" s="22"/>
      <c r="BT9" s="189">
        <f>BF9*AC9</f>
        <v>0</v>
      </c>
      <c r="BU9" s="22"/>
      <c r="BV9" s="22"/>
      <c r="BW9" s="22"/>
      <c r="BX9" s="22"/>
      <c r="BY9" s="22"/>
      <c r="BZ9" s="22"/>
      <c r="CA9" s="22"/>
      <c r="CB9" s="182"/>
      <c r="CC9" s="182"/>
      <c r="CD9" s="22" t="str">
        <f>IF(I9="VIETNAM",
IF(CF9&lt;&gt;"","OBL in Vietnam Office",
IF(CE9&lt;&gt;"","OBL in Transit from Vietnam Office",
IF(CC9&lt;&gt;0,"OBL In Destination - "&amp;I9,
IF(CB9&lt;&gt;0,"OBL in Transit to Destination - "&amp;I9,
IF(CA9&lt;&gt;0,"OBL in SIG Office",
IF(BZ9&lt;&gt;0,"OBL in Transit from Origin to SIG",
IF(BY9&lt;&gt;0,"OBL in Origin - "&amp;H9,
IF(BX9&lt;&gt;0,"Draft Rcvd","No OBL Yet")))))))),
IF(CN9&lt;&gt;0,"OBL In Destination - "&amp;I9,
IF(CL9&lt;&gt;0,"OBL in Transit with Nego Docs - "&amp;I9,
IF(CA9&lt;&gt;0,"OBL in SIG Office",
IF(BZ9&lt;&gt;0,"OBL in Transit from Origin to SIG",
IF(BY9&lt;&gt;0,"OBL in Origin - "&amp;H9,
IF(BX9&lt;&gt;0,"Draft Rcvd","No OBL Yet")))))))</f>
        <v>No OBL Yet</v>
      </c>
      <c r="CE9" s="48"/>
      <c r="CF9" s="22"/>
      <c r="CG9" s="2"/>
      <c r="CH9" s="55"/>
      <c r="CI9" s="55"/>
      <c r="CJ9" s="2" t="str">
        <f>IF(CI9&lt;&gt;0,"CERTS in Destination - "&amp;I9,IF(CH9&lt;&gt;0,"CERT in Transit to -"&amp;I9,IF(CG9&lt;&gt;0,"CERT in Origin - "&amp;H9,IF(CG9="","No CERTS Yet"))))</f>
        <v>No CERTS Yet</v>
      </c>
      <c r="CK9" s="54"/>
      <c r="CL9" s="2"/>
      <c r="CM9" s="1"/>
      <c r="CN9" s="14"/>
      <c r="CO9" s="191"/>
      <c r="CP9" s="190">
        <f>(AK9*AF9*BI9)-AW9</f>
        <v>-39750</v>
      </c>
      <c r="CQ9" s="14"/>
      <c r="CR9" s="15"/>
      <c r="CS9" s="2"/>
      <c r="CT9" s="41"/>
      <c r="CU9" s="2"/>
      <c r="CV9" s="192"/>
      <c r="CW9" s="40"/>
      <c r="CX9" s="16"/>
      <c r="CY9" s="2"/>
      <c r="CZ9" s="14"/>
      <c r="DA9" s="2"/>
      <c r="DB9" s="192"/>
      <c r="DC9" s="2"/>
      <c r="DD9" s="15"/>
      <c r="DE9" s="2"/>
      <c r="DF9" s="2"/>
      <c r="DG9" s="15"/>
      <c r="DH9" s="14"/>
      <c r="DI9" s="14"/>
      <c r="DJ9" s="15"/>
      <c r="DK9" s="15"/>
      <c r="DL9" s="2"/>
      <c r="DM9" s="2"/>
      <c r="DN9" s="2"/>
      <c r="DO9" s="2"/>
      <c r="DP9" s="2"/>
      <c r="DQ9" s="2"/>
      <c r="DR9" s="2"/>
      <c r="DS9" s="2"/>
      <c r="DT9" s="2"/>
      <c r="DU9" s="1"/>
      <c r="DV9" s="2"/>
      <c r="DW9" s="2"/>
      <c r="DX9" s="2" t="s">
        <v>230</v>
      </c>
      <c r="DY9" s="2"/>
      <c r="DZ9" s="3"/>
      <c r="EA9" s="7"/>
      <c r="EB9" s="3"/>
      <c r="EC9" s="3"/>
      <c r="ED9" s="3"/>
      <c r="EE9" s="189"/>
      <c r="EF9" s="4"/>
      <c r="EG9" s="9"/>
      <c r="EH9" s="9"/>
      <c r="EI9" s="189"/>
      <c r="EJ9" s="9"/>
      <c r="EK9" s="8"/>
      <c r="EL9" s="189">
        <f>EI9*EH9</f>
        <v>0</v>
      </c>
      <c r="EM9" s="7"/>
      <c r="EN9" s="7"/>
      <c r="EO9" s="6"/>
      <c r="EP9" s="2"/>
      <c r="EQ9" s="189"/>
      <c r="ER9" s="189"/>
      <c r="ES9" s="2"/>
      <c r="ET9" s="24"/>
      <c r="EU9" s="2"/>
      <c r="EV9" s="2" t="str">
        <f>IF(CQ9&lt;&gt;0,"Final Pmt Recd",IF(CL9&lt;&gt;0,"Export Loan",IF(BY9&lt;&gt;0,"Nego Pending",IF(W9&lt;&gt;0,"Yet to load","Yet to load"))))</f>
        <v>Yet to load</v>
      </c>
      <c r="EW9" s="193"/>
      <c r="EX9" s="189"/>
      <c r="EY9" s="24"/>
      <c r="EZ9" s="52"/>
      <c r="FA9" s="49"/>
      <c r="FB9" s="49"/>
      <c r="FC9" s="180"/>
      <c r="FD9" s="49"/>
      <c r="FE9" s="49"/>
      <c r="FF9" s="49"/>
      <c r="FG9" s="49"/>
      <c r="FH9" s="49"/>
      <c r="FI9" s="34"/>
      <c r="FJ9" s="34"/>
      <c r="FK9" s="3"/>
      <c r="FL9" s="3"/>
      <c r="FM9" s="3"/>
      <c r="FN9" s="3"/>
      <c r="FO9" s="34">
        <f>V9</f>
        <v>0</v>
      </c>
      <c r="FP9" s="34">
        <f>X9</f>
        <v>0</v>
      </c>
      <c r="FQ9" s="3"/>
      <c r="FR9" s="4"/>
      <c r="FS9" s="3"/>
      <c r="FT9" s="182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</row>
    <row r="10" spans="1:196" s="1" customFormat="1" ht="84.95">
      <c r="A10" s="2" t="str">
        <f>IF(DY10="CLOSE","Trade closed",IF(DY10="PMT Pending","FNF Settlement is Due",IF(CR10&lt;&gt;0,"FNF Reconcillation Onging",IF(CQ10&lt;&gt;0," Final Pmt Recd , FNF Pending",IF(CL10&lt;&gt;0,"Exp Dox Presented to Bank, Pmt Pending",IF(BY10&lt;&gt;0,"OBL Scan Recd, Nego Pending",IF(BL10&lt;&gt;0,"Sailed, OBL &amp; Certs Pending",IF(BI10&lt;&gt;0,"Stuffed, Yet to Sail",IF(BA10&lt;&gt;0,"SI Sent, Shipment Awaited",IF(AZ10&lt;&gt;0,"Advance Rcvd, SI Pending",IF(Y10&lt;&gt;0,"SC Raised, Advance Pending",IF(W10&lt;&gt;0,"Deal Ticket Rcvd SC Pending", "Entry Pending"))))))))))))</f>
        <v>Sailed, OBL &amp; Certs Pending</v>
      </c>
      <c r="B10" s="282">
        <v>49</v>
      </c>
      <c r="C10" s="282">
        <v>200</v>
      </c>
      <c r="D10" s="182" t="s">
        <v>208</v>
      </c>
      <c r="E10" s="2" t="str">
        <f>IF(AND(LEFT(TRIM(Z10&amp;""),1)="3",BH10&lt;&gt;""),"CLOSE POSITION",
IF(AND(LEFT(TRIM(Z10&amp;""),1)="3",BH10=""),"SHORT POSITION",
IF(AND(LEFT(TRIM(Z10&amp;""),1)&lt;&gt;"3",BH10&lt;&gt;""),"LONG POSITION","ENTRY PENDING")))</f>
        <v>CLOSE POSITION</v>
      </c>
      <c r="F10" s="271">
        <f>Z10</f>
        <v>32014454</v>
      </c>
      <c r="G10" s="2" t="str">
        <f>AA10</f>
        <v>NS CASHEW COMPANY</v>
      </c>
      <c r="H10" s="3" t="s">
        <v>259</v>
      </c>
      <c r="I10" s="2" t="s">
        <v>210</v>
      </c>
      <c r="J10" s="2" t="str">
        <f>IF(BP10&lt;&gt;0,BP10,"")</f>
        <v>TUTICORIN, INDIA</v>
      </c>
      <c r="K10" s="2">
        <f>IF(BH10&lt;&gt;0,BH10,"")</f>
        <v>268715092</v>
      </c>
      <c r="L10" s="2">
        <f>IF(BI10&lt;&gt;0,BI10,"")</f>
        <v>202.87</v>
      </c>
      <c r="M10" s="22">
        <f>IF(BL10&lt;&gt;0,BL10,"")</f>
        <v>46189</v>
      </c>
      <c r="N10" s="22">
        <f>IF(BN10&lt;&gt;0,BN10,"")</f>
        <v>46189</v>
      </c>
      <c r="O10" s="22" t="str">
        <f>CD10</f>
        <v>No OBL Yet</v>
      </c>
      <c r="P10" s="2"/>
      <c r="Q10" s="2" t="str">
        <f>CJ10</f>
        <v>No CERTS Yet</v>
      </c>
      <c r="R10" s="2" t="str">
        <f>CO10</f>
        <v/>
      </c>
      <c r="S10" s="2" t="s">
        <v>260</v>
      </c>
      <c r="T10" s="438" t="s">
        <v>890</v>
      </c>
      <c r="U10" s="272"/>
      <c r="V10" s="438" t="s">
        <v>891</v>
      </c>
      <c r="W10" s="24">
        <v>46069</v>
      </c>
      <c r="X10" s="273">
        <v>20009502</v>
      </c>
      <c r="Y10" s="24">
        <v>46069</v>
      </c>
      <c r="Z10" s="182">
        <v>32014454</v>
      </c>
      <c r="AA10" s="182" t="s">
        <v>1099</v>
      </c>
      <c r="AB10" s="182" t="s">
        <v>263</v>
      </c>
      <c r="AC10" s="181">
        <v>46142</v>
      </c>
      <c r="AD10" s="30">
        <v>0.1</v>
      </c>
      <c r="AE10" s="620">
        <v>200</v>
      </c>
      <c r="AF10" s="4">
        <f>AE10*(1-AD10)</f>
        <v>180</v>
      </c>
      <c r="AG10" s="3" t="s">
        <v>215</v>
      </c>
      <c r="AH10" s="4">
        <v>1565</v>
      </c>
      <c r="AI10" s="4">
        <f>AH10*AE10</f>
        <v>313000</v>
      </c>
      <c r="AJ10" s="3" t="s">
        <v>249</v>
      </c>
      <c r="AK10" s="3" t="s">
        <v>238</v>
      </c>
      <c r="AL10" s="183">
        <v>0.1</v>
      </c>
      <c r="AM10" s="183">
        <v>0.9</v>
      </c>
      <c r="AN10" s="183">
        <v>0</v>
      </c>
      <c r="AO10" s="28" t="s">
        <v>218</v>
      </c>
      <c r="AP10" s="18" t="s">
        <v>239</v>
      </c>
      <c r="AQ10" s="18" t="s">
        <v>892</v>
      </c>
      <c r="AR10" s="27">
        <v>5</v>
      </c>
      <c r="AS10" s="3" t="s">
        <v>220</v>
      </c>
      <c r="AT10" s="3" t="s">
        <v>220</v>
      </c>
      <c r="AU10" s="3" t="s">
        <v>220</v>
      </c>
      <c r="AV10" s="9"/>
      <c r="AW10" s="3"/>
      <c r="AX10" s="47">
        <v>46072</v>
      </c>
      <c r="AY10" s="278">
        <f>AE10*AH10*AL10</f>
        <v>31300</v>
      </c>
      <c r="AZ10" s="18">
        <v>46078</v>
      </c>
      <c r="BA10" s="22">
        <v>46083</v>
      </c>
      <c r="BB10" s="22"/>
      <c r="BC10" s="22"/>
      <c r="BD10" s="22"/>
      <c r="BE10" s="22">
        <v>46083</v>
      </c>
      <c r="BF10" s="18"/>
      <c r="BG10" s="18"/>
      <c r="BH10" s="3">
        <v>268715092</v>
      </c>
      <c r="BI10" s="25">
        <v>202.87</v>
      </c>
      <c r="BJ10" s="189" t="s">
        <v>222</v>
      </c>
      <c r="BK10" s="497">
        <v>8</v>
      </c>
      <c r="BL10" s="18">
        <v>46189</v>
      </c>
      <c r="BM10" s="4"/>
      <c r="BN10" s="18">
        <v>46189</v>
      </c>
      <c r="BO10" s="3" t="s">
        <v>259</v>
      </c>
      <c r="BP10" s="21" t="s">
        <v>346</v>
      </c>
      <c r="BQ10" s="2" t="s">
        <v>416</v>
      </c>
      <c r="BR10" s="2"/>
      <c r="BS10" s="2" t="s">
        <v>460</v>
      </c>
      <c r="BT10" s="2"/>
      <c r="BU10" s="20"/>
      <c r="BV10" s="19"/>
      <c r="BW10" s="189">
        <f>BI10*AH10</f>
        <v>317491.55</v>
      </c>
      <c r="BX10" s="22"/>
      <c r="BY10" s="22"/>
      <c r="BZ10" s="2"/>
      <c r="CA10" s="22"/>
      <c r="CB10" s="22"/>
      <c r="CC10" s="22"/>
      <c r="CD10" s="22" t="str">
        <f>IF(I10="VIETNAM",
IF(CF10&lt;&gt;"","OBL in Vietnam Office",
IF(CE10&lt;&gt;"","OBL in Transit from Vietnam Office",
IF(CC10&lt;&gt;0,"OBL In Destination - "&amp;I10,
IF(CB10&lt;&gt;0,"OBL in Transit to Destination - "&amp;I10,
IF(CA10&lt;&gt;0,"OBL in SIG Office",
IF(BZ10&lt;&gt;0,"OBL in Transit from Origin to SIG",
IF(BY10&lt;&gt;0,"OBL in Origin - "&amp;H10,
IF(BX10&lt;&gt;0,"Draft Rcvd","No OBL Yet")))))))),
IF(CN10&lt;&gt;0,"OBL In Destination - "&amp;I10,
IF(CL10&lt;&gt;0,"OBL in Transit with Nego Docs - "&amp;I10,
IF(CA10&lt;&gt;0,"OBL in SIG Office",
IF(BZ10&lt;&gt;0,"OBL in Transit from Origin to SIG",
IF(BY10&lt;&gt;0,"OBL in Origin - "&amp;H10,
IF(BX10&lt;&gt;0,"Draft Rcvd","No OBL Yet")))))))</f>
        <v>No OBL Yet</v>
      </c>
      <c r="CE10" s="22"/>
      <c r="CF10" s="22"/>
      <c r="CG10" s="22"/>
      <c r="CH10" s="2"/>
      <c r="CI10" s="2"/>
      <c r="CJ10" s="2" t="str">
        <f>IF(CI10&lt;&gt;0,"CERTS in Destination - "&amp;I10,IF(CH10&lt;&gt;0,"CERT in Transit to -"&amp;I10,IF(CG10&lt;&gt;0,"CERT in Origin - "&amp;H10,IF(CG10="","No CERTS Yet"))))</f>
        <v>No CERTS Yet</v>
      </c>
      <c r="CK10" s="48"/>
      <c r="CL10" s="22"/>
      <c r="CM10" s="55"/>
      <c r="CN10" s="55"/>
      <c r="CO10" s="55" t="str">
        <f>IF(CN10&lt;&gt;0,"Docs in Buyer's Nego Bank",IF(CM10&lt;&gt;0,"Docs in Transit to Buyer's Nego Bank",IF(CL10&lt;&gt;0,"Docs in Our Nego Bank",IF(CK10="TT PAYMENT","Not Applicable",""))))</f>
        <v/>
      </c>
      <c r="CP10" s="190">
        <f>(AM10*AH10*BI10)-AY10</f>
        <v>254442.39500000002</v>
      </c>
      <c r="CQ10" s="54"/>
      <c r="CR10" s="2"/>
      <c r="CS10" s="2"/>
      <c r="CT10" s="14" t="str">
        <f>IF(CR10="","",BI10-CS10)</f>
        <v/>
      </c>
      <c r="CU10" s="191" t="str">
        <f>IF(CR10="","",CT10/BI10)</f>
        <v/>
      </c>
      <c r="CV10" s="14" t="str">
        <f>IF(CR10="","",AY10+CP10)</f>
        <v/>
      </c>
      <c r="CW10" s="14" t="str">
        <f>IF(CR10="","",BW10*2%)</f>
        <v/>
      </c>
      <c r="CX10" s="15" t="str">
        <f>IF(CR10="","",AH10/B10)</f>
        <v/>
      </c>
      <c r="CY10" s="2"/>
      <c r="CZ10" s="41" t="str">
        <f>IF(CR10="","",B10-CY10)</f>
        <v/>
      </c>
      <c r="DA10" s="2"/>
      <c r="DB10" s="192" t="str">
        <f>IF(CR10="","",IF(CR10="","",DA10-C10))</f>
        <v/>
      </c>
      <c r="DC10" s="40"/>
      <c r="DD10" s="16" t="str">
        <f>IF(CR10="","",10%-DC10)</f>
        <v/>
      </c>
      <c r="DE10" s="2" t="str">
        <f>IF(CR10="","",CT10*AH10)</f>
        <v/>
      </c>
      <c r="DF10" s="14" t="str">
        <f>IF(CR10="","",IF(CZ10&gt;2,2*CZ10*CS10*CX10,CZ10*CS10*CX10))</f>
        <v/>
      </c>
      <c r="DG10" s="2" t="str">
        <f>IF(CR10="","",IF(CZ10&gt;2,2*(CZ10-2*CS10*CX10),0))</f>
        <v/>
      </c>
      <c r="DH10" s="192" t="str">
        <f>IF(CR10="","",IF(DB10&gt;0,DB10*0.5*CS10,0))</f>
        <v/>
      </c>
      <c r="DI10" s="2" t="str">
        <f>IF(CR10="","",IF(DD10&lt;0,DD10*CS10*AH10*1%,0))</f>
        <v/>
      </c>
      <c r="DJ10" s="15" t="str">
        <f>IF(CR10="","",SUM(DE10:DI10))</f>
        <v/>
      </c>
      <c r="DK10" s="2"/>
      <c r="DL10" s="2"/>
      <c r="DM10" s="15" t="str">
        <f>IF(CR10="","",SUM(DJ10:DK10))</f>
        <v/>
      </c>
      <c r="DN10" s="14" t="str">
        <f>IF(CR10="","",BI10*AH10-DM10)</f>
        <v/>
      </c>
      <c r="DO10" s="14" t="str">
        <f>IF(CR10="","",AY10+CP10)</f>
        <v/>
      </c>
      <c r="DP10" s="15" t="str">
        <f>IF(CR10="","",IF((DO10-DN10)&gt;0,DO10-DN10,""))</f>
        <v/>
      </c>
      <c r="DQ10" s="15" t="str">
        <f>IF(CR10="","",IF((DN10-DO10)&gt;0,(DN10-DO10),""))</f>
        <v/>
      </c>
      <c r="DR10" s="2" t="str">
        <f>IF(CR10="","",IF(DP10="",G10,"VALENCY"))</f>
        <v/>
      </c>
      <c r="DS10" s="2" t="str">
        <f>IF(DM10="","",IF(DM10&gt;0,"CN", "DN"))</f>
        <v/>
      </c>
      <c r="DT10" s="2"/>
      <c r="DU10" s="2"/>
      <c r="DV10" s="2"/>
      <c r="DW10" s="2"/>
      <c r="DX10" s="2" t="s">
        <v>230</v>
      </c>
      <c r="DY10" s="2"/>
      <c r="DZ10" s="2" t="str">
        <f>IF(CR10="","",
   MIN(0,(IF(CZ10&gt;2,2,1)*CZ10*CS10*CX10))
)</f>
        <v/>
      </c>
      <c r="EA10" s="2"/>
      <c r="EB10" s="2"/>
      <c r="EC10" s="2"/>
      <c r="ED10" s="3"/>
      <c r="EE10" s="7"/>
      <c r="EF10" s="3"/>
      <c r="EG10" s="3" t="s">
        <v>266</v>
      </c>
      <c r="EH10" s="3" t="s">
        <v>258</v>
      </c>
      <c r="EI10" s="189"/>
      <c r="EJ10" s="4"/>
      <c r="EK10" s="4"/>
      <c r="EL10" s="9"/>
      <c r="EM10" s="189">
        <f>EJ10*EI10</f>
        <v>0</v>
      </c>
      <c r="EN10" s="9"/>
      <c r="EO10" s="8"/>
      <c r="EP10" s="4"/>
      <c r="EQ10" s="4"/>
      <c r="ER10" s="7"/>
      <c r="ES10" s="7"/>
      <c r="ET10" s="6"/>
      <c r="EU10" s="2" t="str">
        <f>IF(CQ10&lt;&gt;0,"Final Pmt Recd",IF(CL10&lt;&gt;0,"Export Loan",IF(BY10&lt;&gt;0,"Nego Pending",IF(Y10&lt;&gt;0,"Yet to load","Yet to load"))))</f>
        <v>Yet to load</v>
      </c>
      <c r="EV10" s="189"/>
      <c r="EW10" s="189">
        <f>EV10/BI10</f>
        <v>0</v>
      </c>
      <c r="EX10" s="189" t="s">
        <v>233</v>
      </c>
      <c r="EY10" s="24"/>
      <c r="EZ10" s="2"/>
      <c r="FA10" s="24"/>
      <c r="FB10" s="193"/>
      <c r="FC10" s="189">
        <f>FB10*BI10</f>
        <v>0</v>
      </c>
      <c r="FD10" s="52"/>
      <c r="FE10" s="52"/>
      <c r="FF10" s="49"/>
      <c r="FG10" s="49"/>
      <c r="FH10" s="49"/>
      <c r="FI10" s="49"/>
      <c r="FJ10" s="49"/>
      <c r="FK10" s="49">
        <f>IFERROR(EY10-BX10,"")</f>
        <v>0</v>
      </c>
      <c r="FL10" s="180">
        <f>IFERROR(BL10-FA10,"")</f>
        <v>46189</v>
      </c>
      <c r="FM10" s="49"/>
      <c r="FN10" s="49"/>
      <c r="FO10" s="49"/>
      <c r="FP10" s="49"/>
      <c r="FQ10" s="49"/>
      <c r="FR10" s="34">
        <f>X10</f>
        <v>20009502</v>
      </c>
      <c r="FS10" s="34">
        <f>Z10</f>
        <v>32014454</v>
      </c>
      <c r="FT10" s="3"/>
      <c r="FU10" s="3"/>
      <c r="FV10" s="3"/>
      <c r="FW10" s="3"/>
      <c r="FX10" s="3"/>
      <c r="FY10" s="3"/>
      <c r="FZ10" s="3"/>
      <c r="GA10" s="4"/>
      <c r="GB10" s="3"/>
      <c r="GC10" s="182"/>
      <c r="GD10" s="2"/>
      <c r="GE10" s="2"/>
      <c r="GF10" s="2"/>
      <c r="GG10" s="2"/>
      <c r="GH10" s="2"/>
      <c r="GI10" s="2"/>
      <c r="GJ10" s="2"/>
      <c r="GL10" s="2"/>
      <c r="GM10" s="2"/>
      <c r="GN10" s="2"/>
    </row>
  </sheetData>
  <autoFilter ref="A2:EG2" xr:uid="{9981014F-F893-44AD-8981-57181E5C99EB}"/>
  <conditionalFormatting sqref="K2">
    <cfRule type="duplicateValues" dxfId="6" priority="860"/>
  </conditionalFormatting>
  <conditionalFormatting sqref="Z2">
    <cfRule type="duplicateValues" dxfId="5" priority="86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92AC-BB42-4959-9670-318B825334AF}">
  <dimension ref="A1:DD132"/>
  <sheetViews>
    <sheetView topLeftCell="S1" workbookViewId="0">
      <selection activeCell="B42" sqref="B42"/>
    </sheetView>
  </sheetViews>
  <sheetFormatPr defaultColWidth="79.28515625" defaultRowHeight="14.45"/>
  <cols>
    <col min="1" max="1" width="36.85546875" bestFit="1" customWidth="1"/>
    <col min="3" max="3" width="16" bestFit="1" customWidth="1"/>
    <col min="4" max="4" width="14.28515625" bestFit="1" customWidth="1"/>
    <col min="5" max="5" width="15.42578125" bestFit="1" customWidth="1"/>
    <col min="6" max="6" width="6" bestFit="1" customWidth="1"/>
    <col min="7" max="7" width="13.85546875" bestFit="1" customWidth="1"/>
    <col min="8" max="8" width="13" bestFit="1" customWidth="1"/>
    <col min="9" max="9" width="15.42578125" bestFit="1" customWidth="1"/>
    <col min="10" max="10" width="18.5703125" bestFit="1" customWidth="1"/>
    <col min="11" max="11" width="23.7109375" bestFit="1" customWidth="1"/>
    <col min="12" max="12" width="13" bestFit="1" customWidth="1"/>
    <col min="13" max="13" width="37.28515625" bestFit="1" customWidth="1"/>
    <col min="14" max="14" width="25.7109375" bestFit="1" customWidth="1"/>
    <col min="15" max="15" width="18" bestFit="1" customWidth="1"/>
    <col min="16" max="16" width="16" bestFit="1" customWidth="1"/>
    <col min="17" max="17" width="14.28515625" bestFit="1" customWidth="1"/>
    <col min="18" max="18" width="6.7109375" bestFit="1" customWidth="1"/>
    <col min="19" max="19" width="24.7109375" bestFit="1" customWidth="1"/>
    <col min="20" max="20" width="20" bestFit="1" customWidth="1"/>
    <col min="21" max="21" width="15.28515625" bestFit="1" customWidth="1"/>
    <col min="22" max="22" width="16.7109375" bestFit="1" customWidth="1"/>
    <col min="23" max="23" width="10.7109375" bestFit="1" customWidth="1"/>
    <col min="24" max="24" width="11.140625" bestFit="1" customWidth="1"/>
    <col min="25" max="25" width="9.28515625" bestFit="1" customWidth="1"/>
    <col min="26" max="26" width="10.28515625" bestFit="1" customWidth="1"/>
    <col min="27" max="27" width="10.28515625" customWidth="1"/>
    <col min="28" max="28" width="9.7109375" bestFit="1" customWidth="1"/>
    <col min="29" max="29" width="8.7109375" bestFit="1" customWidth="1"/>
    <col min="30" max="30" width="13.85546875" bestFit="1" customWidth="1"/>
    <col min="31" max="31" width="9.5703125" bestFit="1" customWidth="1"/>
    <col min="32" max="32" width="7.28515625" bestFit="1" customWidth="1"/>
    <col min="33" max="33" width="7.85546875" bestFit="1" customWidth="1"/>
    <col min="34" max="34" width="16.28515625" bestFit="1" customWidth="1"/>
    <col min="35" max="35" width="25.140625" bestFit="1" customWidth="1"/>
    <col min="36" max="36" width="18.85546875" bestFit="1" customWidth="1"/>
    <col min="37" max="37" width="16.140625" bestFit="1" customWidth="1"/>
    <col min="38" max="38" width="14.28515625" bestFit="1" customWidth="1"/>
    <col min="39" max="39" width="12" bestFit="1" customWidth="1"/>
    <col min="40" max="40" width="13.7109375" bestFit="1" customWidth="1"/>
    <col min="41" max="41" width="16.7109375" bestFit="1" customWidth="1"/>
    <col min="42" max="42" width="9.7109375" bestFit="1" customWidth="1"/>
    <col min="43" max="43" width="15.42578125" bestFit="1" customWidth="1"/>
    <col min="44" max="44" width="22.42578125" bestFit="1" customWidth="1"/>
    <col min="45" max="45" width="17.28515625" customWidth="1"/>
    <col min="46" max="46" width="13.85546875" bestFit="1" customWidth="1"/>
    <col min="47" max="47" width="18.42578125" bestFit="1" customWidth="1"/>
    <col min="48" max="48" width="19.42578125" customWidth="1"/>
    <col min="49" max="49" width="23.42578125" bestFit="1" customWidth="1"/>
    <col min="50" max="50" width="17.85546875" bestFit="1" customWidth="1"/>
    <col min="51" max="51" width="17.7109375" bestFit="1" customWidth="1"/>
    <col min="52" max="52" width="12.28515625" bestFit="1" customWidth="1"/>
    <col min="53" max="53" width="9.28515625" bestFit="1" customWidth="1"/>
    <col min="54" max="54" width="9.7109375" bestFit="1" customWidth="1"/>
    <col min="55" max="55" width="56.85546875" bestFit="1" customWidth="1"/>
    <col min="56" max="56" width="21" bestFit="1" customWidth="1"/>
    <col min="57" max="57" width="15.85546875" bestFit="1" customWidth="1"/>
    <col min="58" max="58" width="25.140625" bestFit="1" customWidth="1"/>
    <col min="59" max="59" width="16.140625" bestFit="1" customWidth="1"/>
    <col min="60" max="60" width="18.140625" bestFit="1" customWidth="1"/>
    <col min="61" max="61" width="12.28515625" bestFit="1" customWidth="1"/>
    <col min="62" max="62" width="22" bestFit="1" customWidth="1"/>
    <col min="63" max="63" width="12.140625" bestFit="1" customWidth="1"/>
    <col min="64" max="64" width="18.85546875" bestFit="1" customWidth="1"/>
    <col min="65" max="65" width="16.140625" bestFit="1" customWidth="1"/>
    <col min="66" max="66" width="18.140625" bestFit="1" customWidth="1"/>
    <col min="67" max="67" width="12.28515625" bestFit="1" customWidth="1"/>
    <col min="68" max="68" width="22" bestFit="1" customWidth="1"/>
    <col min="69" max="69" width="12.140625" bestFit="1" customWidth="1"/>
    <col min="70" max="70" width="21.140625" bestFit="1" customWidth="1"/>
    <col min="71" max="71" width="21.28515625" bestFit="1" customWidth="1"/>
    <col min="72" max="72" width="12.85546875" bestFit="1" customWidth="1"/>
    <col min="73" max="73" width="18.5703125" bestFit="1" customWidth="1"/>
    <col min="74" max="74" width="12.42578125" bestFit="1" customWidth="1"/>
    <col min="75" max="75" width="18.85546875" bestFit="1" customWidth="1"/>
    <col min="76" max="76" width="20.42578125" bestFit="1" customWidth="1"/>
    <col min="77" max="77" width="12.7109375" bestFit="1" customWidth="1"/>
    <col min="78" max="78" width="18.5703125" bestFit="1" customWidth="1"/>
    <col min="79" max="79" width="11.42578125" bestFit="1" customWidth="1"/>
    <col min="80" max="80" width="18.28515625" bestFit="1" customWidth="1"/>
    <col min="81" max="81" width="13.42578125" bestFit="1" customWidth="1"/>
    <col min="82" max="82" width="20.140625" bestFit="1" customWidth="1"/>
    <col min="83" max="83" width="22" bestFit="1" customWidth="1"/>
    <col min="84" max="84" width="12.140625" bestFit="1" customWidth="1"/>
    <col min="85" max="85" width="7.7109375" bestFit="1" customWidth="1"/>
    <col min="86" max="86" width="12.28515625" bestFit="1" customWidth="1"/>
    <col min="87" max="87" width="24.7109375" bestFit="1" customWidth="1"/>
    <col min="88" max="88" width="13.28515625" bestFit="1" customWidth="1"/>
    <col min="89" max="89" width="20.28515625" bestFit="1" customWidth="1"/>
    <col min="90" max="90" width="13" bestFit="1" customWidth="1"/>
    <col min="91" max="91" width="12.140625" bestFit="1" customWidth="1"/>
    <col min="92" max="92" width="13.7109375" bestFit="1" customWidth="1"/>
    <col min="93" max="93" width="14.140625" bestFit="1" customWidth="1"/>
    <col min="94" max="94" width="13.28515625" bestFit="1" customWidth="1"/>
    <col min="95" max="95" width="15.85546875" bestFit="1" customWidth="1"/>
    <col min="96" max="96" width="8.5703125" customWidth="1"/>
    <col min="97" max="97" width="8.7109375" customWidth="1"/>
    <col min="98" max="98" width="9.85546875" customWidth="1"/>
    <col min="99" max="99" width="7.5703125" customWidth="1"/>
    <col min="100" max="100" width="8.7109375" customWidth="1"/>
    <col min="101" max="101" width="18" bestFit="1" customWidth="1"/>
    <col min="102" max="102" width="20.7109375" bestFit="1" customWidth="1"/>
    <col min="103" max="103" width="14.28515625" bestFit="1" customWidth="1"/>
    <col min="104" max="104" width="15.7109375" bestFit="1" customWidth="1"/>
  </cols>
  <sheetData>
    <row r="1" spans="1:108">
      <c r="H1" s="647"/>
      <c r="I1" s="648">
        <f>SUBTOTAL(9,I4:I75)</f>
        <v>13500</v>
      </c>
      <c r="O1" s="649"/>
      <c r="AH1" s="650"/>
    </row>
    <row r="2" spans="1:108">
      <c r="A2" s="651" t="s">
        <v>1100</v>
      </c>
      <c r="B2" s="651"/>
      <c r="C2" s="651"/>
      <c r="D2" s="651"/>
      <c r="E2" s="651"/>
      <c r="F2" s="651"/>
      <c r="G2" s="651"/>
      <c r="H2" s="651"/>
      <c r="I2" s="652"/>
      <c r="J2" s="651"/>
      <c r="K2" s="651"/>
      <c r="L2" s="651"/>
      <c r="M2" s="651"/>
      <c r="N2" s="651"/>
      <c r="O2" s="653" t="s">
        <v>1101</v>
      </c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3"/>
      <c r="AF2" s="653"/>
      <c r="AG2" s="653"/>
      <c r="AH2" s="653"/>
      <c r="AI2" s="653"/>
      <c r="AJ2" s="653"/>
      <c r="AK2" s="653"/>
      <c r="AL2" s="653"/>
      <c r="AM2" s="653"/>
      <c r="AN2" s="653"/>
      <c r="AO2" s="653"/>
      <c r="AP2" s="653"/>
      <c r="AQ2" s="654" t="s">
        <v>1102</v>
      </c>
      <c r="AR2" s="654"/>
      <c r="AS2" s="654"/>
      <c r="AT2" s="654"/>
      <c r="AU2" s="654"/>
      <c r="AV2" s="654"/>
      <c r="AW2" s="654"/>
      <c r="AX2" s="654"/>
      <c r="AY2" s="654"/>
      <c r="AZ2" s="653" t="s">
        <v>1103</v>
      </c>
      <c r="BA2" s="653"/>
      <c r="BB2" s="653"/>
      <c r="BC2" s="653"/>
      <c r="BD2" s="653"/>
      <c r="BE2" s="653"/>
      <c r="CR2" s="655" t="s">
        <v>1104</v>
      </c>
      <c r="CS2" s="655"/>
      <c r="CT2" s="655"/>
      <c r="CU2" s="655"/>
      <c r="CV2" s="655"/>
      <c r="CW2" s="655"/>
      <c r="CX2" s="655"/>
      <c r="CY2" t="s">
        <v>1105</v>
      </c>
      <c r="DD2" cm="1">
        <f t="array" ref="DD2">_xlfn.UNIQUE(DB:DB)</f>
        <v>0</v>
      </c>
    </row>
    <row r="3" spans="1:108">
      <c r="A3" s="656" t="s">
        <v>1071</v>
      </c>
      <c r="B3" s="657" t="s">
        <v>1106</v>
      </c>
      <c r="C3" s="656" t="s">
        <v>24</v>
      </c>
      <c r="D3" s="656" t="s">
        <v>1107</v>
      </c>
      <c r="E3" s="656" t="s">
        <v>1108</v>
      </c>
      <c r="F3" s="658" t="s">
        <v>928</v>
      </c>
      <c r="G3" s="659" t="s">
        <v>1109</v>
      </c>
      <c r="H3" s="659" t="s">
        <v>914</v>
      </c>
      <c r="I3" s="658" t="s">
        <v>1110</v>
      </c>
      <c r="J3" s="660" t="s">
        <v>1111</v>
      </c>
      <c r="K3" s="660" t="s">
        <v>1112</v>
      </c>
      <c r="L3" s="661" t="s">
        <v>1113</v>
      </c>
      <c r="M3" s="661" t="s">
        <v>1114</v>
      </c>
      <c r="N3" s="661" t="s">
        <v>1115</v>
      </c>
      <c r="O3" s="661" t="s">
        <v>1116</v>
      </c>
      <c r="P3" s="662" t="s">
        <v>1117</v>
      </c>
      <c r="Q3" s="662" t="s">
        <v>1118</v>
      </c>
      <c r="R3" s="663" t="s">
        <v>83</v>
      </c>
      <c r="S3" s="663" t="s">
        <v>1119</v>
      </c>
      <c r="T3" s="663" t="s">
        <v>30</v>
      </c>
      <c r="U3" s="663" t="s">
        <v>1120</v>
      </c>
      <c r="V3" s="663" t="s">
        <v>1121</v>
      </c>
      <c r="W3" s="661" t="s">
        <v>1122</v>
      </c>
      <c r="X3" s="661" t="s">
        <v>1123</v>
      </c>
      <c r="Y3" s="661" t="s">
        <v>1124</v>
      </c>
      <c r="Z3" s="664" t="s">
        <v>1125</v>
      </c>
      <c r="AA3" s="664" t="s">
        <v>1126</v>
      </c>
      <c r="AB3" s="664" t="s">
        <v>1127</v>
      </c>
      <c r="AC3" s="665" t="s">
        <v>1128</v>
      </c>
      <c r="AD3" s="666" t="s">
        <v>1129</v>
      </c>
      <c r="AE3" s="666" t="s">
        <v>1130</v>
      </c>
      <c r="AF3" s="667" t="s">
        <v>48</v>
      </c>
      <c r="AG3" s="663" t="s">
        <v>1131</v>
      </c>
      <c r="AH3" s="663" t="s">
        <v>1132</v>
      </c>
      <c r="AI3" s="663" t="s">
        <v>1133</v>
      </c>
      <c r="AJ3" s="663" t="s">
        <v>1134</v>
      </c>
      <c r="AK3" s="661" t="s">
        <v>1135</v>
      </c>
      <c r="AL3" s="661" t="s">
        <v>1136</v>
      </c>
      <c r="AM3" s="668" t="s">
        <v>1137</v>
      </c>
      <c r="AN3" s="661" t="s">
        <v>1138</v>
      </c>
      <c r="AO3" s="669" t="s">
        <v>1139</v>
      </c>
      <c r="AP3" s="661" t="s">
        <v>1140</v>
      </c>
      <c r="AQ3" s="670" t="s">
        <v>1141</v>
      </c>
      <c r="AR3" s="670" t="s">
        <v>1142</v>
      </c>
      <c r="AS3" s="670" t="s">
        <v>1143</v>
      </c>
      <c r="AT3" s="671" t="s">
        <v>1144</v>
      </c>
      <c r="AU3" s="672" t="s">
        <v>1145</v>
      </c>
      <c r="AV3" s="670" t="s">
        <v>1146</v>
      </c>
      <c r="AW3" s="670" t="s">
        <v>1147</v>
      </c>
      <c r="AX3" s="672" t="s">
        <v>1148</v>
      </c>
      <c r="AY3" s="671" t="s">
        <v>1149</v>
      </c>
      <c r="AZ3" s="670" t="s">
        <v>1150</v>
      </c>
      <c r="BA3" s="670" t="s">
        <v>1151</v>
      </c>
      <c r="BB3" s="670" t="s">
        <v>1152</v>
      </c>
      <c r="BC3" s="670" t="s">
        <v>1153</v>
      </c>
      <c r="BD3" s="670" t="s">
        <v>1154</v>
      </c>
      <c r="BE3" s="670" t="s">
        <v>1155</v>
      </c>
      <c r="BF3" s="670" t="s">
        <v>1156</v>
      </c>
      <c r="BG3" s="670" t="s">
        <v>1157</v>
      </c>
      <c r="BH3" s="670" t="s">
        <v>1158</v>
      </c>
      <c r="BI3" s="673" t="s">
        <v>1159</v>
      </c>
      <c r="BJ3" s="670" t="s">
        <v>1160</v>
      </c>
      <c r="BK3" s="670" t="s">
        <v>1161</v>
      </c>
      <c r="BL3" s="670" t="s">
        <v>1162</v>
      </c>
      <c r="BM3" s="670" t="s">
        <v>1157</v>
      </c>
      <c r="BN3" s="670" t="s">
        <v>1158</v>
      </c>
      <c r="BO3" s="673" t="s">
        <v>1159</v>
      </c>
      <c r="BP3" s="670" t="s">
        <v>1160</v>
      </c>
      <c r="BQ3" s="670" t="s">
        <v>1161</v>
      </c>
      <c r="BR3" s="674" t="s">
        <v>1163</v>
      </c>
      <c r="BS3" s="670" t="s">
        <v>1164</v>
      </c>
      <c r="BT3" s="661" t="s">
        <v>1165</v>
      </c>
      <c r="BU3" s="661" t="s">
        <v>1166</v>
      </c>
      <c r="BV3" s="662" t="s">
        <v>1167</v>
      </c>
      <c r="BW3" s="672" t="s">
        <v>1168</v>
      </c>
      <c r="BX3" s="672" t="s">
        <v>1169</v>
      </c>
      <c r="BY3" s="675" t="s">
        <v>1170</v>
      </c>
      <c r="BZ3" s="659" t="s">
        <v>1171</v>
      </c>
      <c r="CA3" s="675" t="s">
        <v>1172</v>
      </c>
      <c r="CB3" s="675" t="s">
        <v>1173</v>
      </c>
      <c r="CC3" s="675" t="s">
        <v>1174</v>
      </c>
      <c r="CD3" s="675" t="s">
        <v>1175</v>
      </c>
      <c r="CE3" s="676" t="s">
        <v>1176</v>
      </c>
      <c r="CF3" s="659" t="s">
        <v>1177</v>
      </c>
      <c r="CG3" s="659" t="s">
        <v>1178</v>
      </c>
      <c r="CH3" s="659" t="s">
        <v>1179</v>
      </c>
      <c r="CI3" s="677" t="s">
        <v>1180</v>
      </c>
      <c r="CJ3" s="674" t="s">
        <v>1181</v>
      </c>
      <c r="CK3" s="678" t="s">
        <v>1182</v>
      </c>
      <c r="CL3" s="679" t="s">
        <v>146</v>
      </c>
      <c r="CM3" s="679" t="s">
        <v>147</v>
      </c>
      <c r="CN3" s="679" t="s">
        <v>1183</v>
      </c>
      <c r="CO3" s="680" t="s">
        <v>118</v>
      </c>
      <c r="CP3" s="680" t="s">
        <v>120</v>
      </c>
      <c r="CQ3" s="680" t="s">
        <v>966</v>
      </c>
      <c r="CR3" s="670" t="s">
        <v>1184</v>
      </c>
      <c r="CS3" s="670" t="s">
        <v>1185</v>
      </c>
      <c r="CT3" s="670" t="s">
        <v>1186</v>
      </c>
      <c r="CU3" s="672" t="s">
        <v>1187</v>
      </c>
      <c r="CV3" s="681" t="s">
        <v>1188</v>
      </c>
      <c r="CW3" s="673" t="s">
        <v>1189</v>
      </c>
      <c r="CX3" s="670" t="s">
        <v>1190</v>
      </c>
      <c r="CY3" s="670" t="s">
        <v>1191</v>
      </c>
      <c r="CZ3" s="670" t="s">
        <v>1192</v>
      </c>
    </row>
    <row r="4" spans="1:108" s="694" customFormat="1">
      <c r="A4" s="682" t="str">
        <f t="shared" ref="A4:A67" si="0">IF(CO4&lt;&gt;"","K. TRADE CLOSED",
IF(AA4&lt;&gt;"","J. DISCHARGED, LANDED REPORT AWAITED",
IF(AT4&lt;&gt;"","H. PHYSICAL OBL RCVD",
IF(AC4&lt;&gt;"","G. SAILED, OBL AWAITED",
IF(Y4&lt;&gt;"","F. GATED IN, SAILING AWAITED",
IF(X4&lt;&gt;"","E. STUFFED, GATE IN AWAITED",
IF(W4&lt;&gt;"","D. STUFFING STARTED",
IF(V4&lt;&gt;"","C. CONTAINER RCVD, STUFFING AWAITED",
IF(O4&lt;&gt;"","B. BOOKING DONE, CONTAINERS AWAITED",
"A. BOOKING PENDING")))))))))</f>
        <v>H. PHYSICAL OBL RCVD</v>
      </c>
      <c r="B4" s="683" t="s">
        <v>1193</v>
      </c>
      <c r="C4" s="684" t="str">
        <f t="shared" ref="C4:C67" si="1">IF(AND(H4&lt;&gt;"",H4&lt;&gt;"TBA",O4&lt;&gt;""),"CLOSED POSITION",
IF(AND(H4="TBA",O4&lt;&gt;""),"LONG POSITION",
IF(AND(H4&lt;&gt;"",H4&lt;&gt;"TBA",O4=""),"SHORT POSITION","")))</f>
        <v>CLOSED POSITION</v>
      </c>
      <c r="D4" s="685" t="str">
        <f>IF(BU4&lt;&gt;0,"HBL SURRENDERED TO BANK",IF(AND(AS4&lt;&gt;"",Q4&lt;&gt;""),"HBL RECEIVED, SURRENDER IS DUE",IF(AND(AS4&lt;&gt;"",Q4=""),"HBL AWAITED","")))</f>
        <v>HBL RECEIVED, SURRENDER IS DUE</v>
      </c>
      <c r="E4" s="685" t="str">
        <f t="shared" ref="E4:E67" si="2">IF(AND(LEN(TRIM(AZ4&amp;""))&gt;0,AZ4&lt;&gt;0,LEN(TRIM(BA4&amp;""))&gt;0,BA4&lt;&gt;0,LEN(TRIM(BB4&amp;""))&gt;0,BB4&lt;&gt;0,LEN(TRIM(BD4&amp;""))&gt;0,BD4&lt;&gt;0),"ALL CERT COURIERED",IF(AND(LEN(TRIM(AZ4&amp;""))&gt;0,AZ4&lt;&gt;0,LEN(TRIM(BA4&amp;""))&gt;0,BA4&lt;&gt;0,LEN(TRIM(BB4&amp;""))&gt;0,BB4&lt;&gt;0,OR(LEN(TRIM(BD4&amp;""))=0,BD4=0),OR(LEN(TRIM(AC4&amp;""))=0,AC4=0)),"CERT UNDER PROCESS",""))</f>
        <v>ALL CERT COURIERED</v>
      </c>
      <c r="F4" s="686">
        <f>IF('[1]Data 2026'!D12="","",'[1]Data 2026'!D12)</f>
        <v>48</v>
      </c>
      <c r="G4" s="686">
        <f>IF('[1]Data 2026'!E12="","",'[1]Data 2026'!E12)</f>
        <v>200</v>
      </c>
      <c r="H4" s="687">
        <f>IF('[1]Data 2026'!H12="","",'[1]Data 2026'!H12)</f>
        <v>32014996</v>
      </c>
      <c r="I4" s="688">
        <f>IF('[1]Data 2026'!AA12="","",'[1]Data 2026'!AA12)</f>
        <v>300</v>
      </c>
      <c r="J4" s="685" t="str">
        <f>IF('[1]Data 2026'!K12="","",'[1]Data 2026'!K12)</f>
        <v>APRIL</v>
      </c>
      <c r="K4" s="685">
        <v>46142</v>
      </c>
      <c r="L4" s="685" t="str">
        <f>IF('[1]Data 2026'!L12="","",'[1]Data 2026'!L12)</f>
        <v>VALENCY CI</v>
      </c>
      <c r="M4" s="685" t="str">
        <f>IF('[1]Data 2026'!M12="","",'[1]Data 2026'!M12)</f>
        <v>RED RIVER FOODS</v>
      </c>
      <c r="N4" s="685" t="s">
        <v>1194</v>
      </c>
      <c r="O4" s="689" t="str">
        <f>IF('[1]Data 2026'!N12="","",'[1]Data 2026'!N12)</f>
        <v xml:space="preserve"> ABJG00392800</v>
      </c>
      <c r="P4" s="690" t="str">
        <f>IF('[1]Data 2026'!O12="","",'[1]Data 2026'!O12)</f>
        <v>ONEYABJG00392800</v>
      </c>
      <c r="Q4" s="685" t="str">
        <f>IF('[1]Data 2026'!P12="","",'[1]Data 2026'!P12)</f>
        <v>TPSCR26010622</v>
      </c>
      <c r="R4" s="685" t="str">
        <f>IF('[1]Data 2026'!Q12="","",'[1]Data 2026'!Q12)</f>
        <v>ABJ</v>
      </c>
      <c r="S4" s="685" t="s">
        <v>347</v>
      </c>
      <c r="T4" s="685" t="str">
        <f>IF('[1]Data 2026'!R12="","",'[1]Data 2026'!R12)</f>
        <v>Qui Nhon, Vietnam</v>
      </c>
      <c r="U4" s="685" t="str">
        <f>IF('[1]Data 2026'!S12="","",'[1]Data 2026'!S12)</f>
        <v xml:space="preserve">GLEN CANYON </v>
      </c>
      <c r="V4" s="685">
        <f>IF('[1]Data 2026'!T12="","",'[1]Data 2026'!T12)</f>
        <v>46105</v>
      </c>
      <c r="W4" s="685">
        <f>IF('[1]Data 2026'!U12="","",'[1]Data 2026'!U12)</f>
        <v>46121</v>
      </c>
      <c r="X4" s="685">
        <f>IF('[1]Data 2026'!V12="","",'[1]Data 2026'!V12)</f>
        <v>46122</v>
      </c>
      <c r="Y4" s="685">
        <f>IF('[1]Data 2026'!W12="","",'[1]Data 2026'!W12)</f>
        <v>46133</v>
      </c>
      <c r="Z4" s="685">
        <f>IF('[1]Data 2026'!X12="","",'[1]Data 2026'!X12)</f>
        <v>46171</v>
      </c>
      <c r="AA4" s="685"/>
      <c r="AB4" s="685">
        <f>IF('[1]Data 2026'!Y12="","",'[1]Data 2026'!Y12)</f>
        <v>46137</v>
      </c>
      <c r="AC4" s="685">
        <f>IF('[1]Data 2026'!Z12="","",'[1]Data 2026'!Z12)</f>
        <v>46137</v>
      </c>
      <c r="AD4" s="691">
        <f>IF('[1]Data 2026'!AA12="","",'[1]Data 2026'!AA12)</f>
        <v>300</v>
      </c>
      <c r="AE4" s="691">
        <f>IF('[1]Data 2026'!AB12="","",'[1]Data 2026'!AB12)</f>
        <v>288.39</v>
      </c>
      <c r="AF4" s="685">
        <f>IF('[1]Data 2026'!AC12="","",'[1]Data 2026'!AC12)</f>
        <v>45777</v>
      </c>
      <c r="AG4" s="685" t="str">
        <f>IF('[1]Data 2026'!AD12="","",'[1]Data 2026'!AD12)</f>
        <v>Ex-Olam</v>
      </c>
      <c r="AH4" s="686">
        <f>IF('[1]Data 2026'!AE12="","",'[1]Data 2026'!AE12)</f>
        <v>12</v>
      </c>
      <c r="AI4" s="685" t="str">
        <f>IF('[1]Data 2026'!AG12="","",'[1]Data 2026'!AG12)</f>
        <v>MONTER GLOBAL</v>
      </c>
      <c r="AJ4" s="685" t="str">
        <f>IF('[1]Data 2026'!AH12="","",'[1]Data 2026'!AH12)</f>
        <v>DUNAMIS/SITRACOM</v>
      </c>
      <c r="AK4" s="685" t="str">
        <f>IF('[1]Data 2026'!AI12="","",'[1]Data 2026'!AI12)</f>
        <v>ONE</v>
      </c>
      <c r="AL4" s="685" t="str">
        <f>IF('[1]Data 2026'!AJ12="","",'[1]Data 2026'!AJ12)</f>
        <v>40FT</v>
      </c>
      <c r="AM4" s="692">
        <f>IF('[1]Data 2026'!AK12="","",'[1]Data 2026'!AK12)</f>
        <v>0.1</v>
      </c>
      <c r="AN4" s="685" t="str">
        <f>IF('[1]Data 2026'!AL12="","",'[1]Data 2026'!AL12)</f>
        <v xml:space="preserve"> ( 1 x 300 MTS ) </v>
      </c>
      <c r="AO4" s="691">
        <f>IF('[1]Data 2026'!AM12="","",'[1]Data 2026'!AM12)</f>
        <v>330</v>
      </c>
      <c r="AP4" s="691">
        <f t="shared" ref="AP4:AP67" si="3">IF(AE4-AD4&lt;&gt;0,AE4-AD4,"")</f>
        <v>-11.610000000000014</v>
      </c>
      <c r="AQ4" s="685" t="str">
        <f>IF('[1]Data 2026'!AO12="","",'[1]Data 2026'!AO12)</f>
        <v/>
      </c>
      <c r="AR4" s="685">
        <f>IF('[1]Data 2026'!AP12="","",'[1]Data 2026'!AP12)</f>
        <v>46140</v>
      </c>
      <c r="AS4" s="685">
        <f>IF('[1]Data 2026'!AQ12="","",'[1]Data 2026'!AQ12)</f>
        <v>46140</v>
      </c>
      <c r="AT4" s="685">
        <f>IF('[1]Data 2026'!AR12="","",'[1]Data 2026'!AR12)</f>
        <v>46149</v>
      </c>
      <c r="AU4" s="685">
        <f>IF('[1]Data 2026'!AW12="","",'[1]Data 2026'!AW12)</f>
        <v>46153</v>
      </c>
      <c r="AV4" s="685">
        <f>IF('[1]Data 2026'!AX12="","",'[1]Data 2026'!AX12)</f>
        <v>4780215742</v>
      </c>
      <c r="AW4" s="685" t="str">
        <f>IF('[1]Data 2026'!AY12="","",'[1]Data 2026'!AY12)</f>
        <v xml:space="preserve">BL printing Singapore </v>
      </c>
      <c r="AX4" s="685">
        <f>IF('[1]Data 2026'!AZ12="","",'[1]Data 2026'!AZ12)</f>
        <v>46149</v>
      </c>
      <c r="AY4" s="685" t="str">
        <f>IF('[1]Data 2026'!BA12="","",'[1]Data 2026'!BA12)</f>
        <v/>
      </c>
      <c r="AZ4" s="685">
        <f>IF('[1]Data 2026'!AS12="","",'[1]Data 2026'!AS12)</f>
        <v>46150</v>
      </c>
      <c r="BA4" s="685">
        <f>IF('[1]Data 2026'!AT12="","",'[1]Data 2026'!AT12)</f>
        <v>46150</v>
      </c>
      <c r="BB4" s="685">
        <f>IF('[1]Data 2026'!AU12="","",'[1]Data 2026'!AU12)</f>
        <v>46150</v>
      </c>
      <c r="BC4" s="685" t="str">
        <f>IF('[1]Data 2026'!AV12="","",'[1]Data 2026'!AV12)</f>
        <v xml:space="preserve">Ms. Than 
VALENCY INTERNATIONAL TRADING VIETNAM CO., LTD </v>
      </c>
      <c r="BD4" s="685">
        <f>IF('[1]Data 2026'!AW12="","",'[1]Data 2026'!AW12)</f>
        <v>46153</v>
      </c>
      <c r="BE4" s="685">
        <f>IF('[1]Data 2026'!AX12="","",'[1]Data 2026'!AX12)</f>
        <v>4780215742</v>
      </c>
      <c r="BF4" s="685" t="str">
        <f>IF('[1]Data 2026'!BF12="","",'[1]Data 2026'!BF12)</f>
        <v>MONTER GLOBAL</v>
      </c>
      <c r="BG4" s="685" t="str">
        <f>IF('[1]Data 2026'!BG12="","",'[1]Data 2026'!BG12)</f>
        <v/>
      </c>
      <c r="BH4" s="685" t="str">
        <f>IF('[1]Data 2026'!BH12="","",'[1]Data 2026'!BH12)</f>
        <v/>
      </c>
      <c r="BI4" s="685" t="str">
        <f>IF('[1]Data 2026'!BI12="","",'[1]Data 2026'!BI12)</f>
        <v/>
      </c>
      <c r="BJ4" s="685" t="str">
        <f>IF('[1]Data 2026'!BJ12="","",'[1]Data 2026'!BJ12)</f>
        <v/>
      </c>
      <c r="BK4" s="685" t="str">
        <f>IF('[1]Data 2026'!BK12="","",'[1]Data 2026'!BK12)</f>
        <v/>
      </c>
      <c r="BL4" s="685" t="str">
        <f>IF('[1]Data 2026'!BL12="","",'[1]Data 2026'!BL12)</f>
        <v>DUNAMIS/SITRACOM</v>
      </c>
      <c r="BM4" s="685" t="str">
        <f>IF('[1]Data 2026'!BM12="","",'[1]Data 2026'!BM12)</f>
        <v/>
      </c>
      <c r="BN4" s="685" t="str">
        <f>IF('[1]Data 2026'!BN12="","",'[1]Data 2026'!BN12)</f>
        <v/>
      </c>
      <c r="BO4" s="685" t="str">
        <f>IF('[1]Data 2026'!BO12="","",'[1]Data 2026'!BO12)</f>
        <v/>
      </c>
      <c r="BP4" s="685" t="str">
        <f>IF('[1]Data 2026'!BP12="","",'[1]Data 2026'!BP12)</f>
        <v/>
      </c>
      <c r="BQ4" s="685" t="str">
        <f>IF('[1]Data 2026'!BQ12="","",'[1]Data 2026'!BQ12)</f>
        <v/>
      </c>
      <c r="BR4" s="685">
        <f>IF('[1]Data 2026'!BR12="","",'[1]Data 2026'!BR12)</f>
        <v>46137</v>
      </c>
      <c r="BS4" s="685" t="str">
        <f>IF('[1]Data 2026'!BS12="","",'[1]Data 2026'!BS12)</f>
        <v>IVC-RCN2026-CI0001</v>
      </c>
      <c r="BT4" s="685" t="str">
        <f>IF('[1]Data 2026'!BV12="","",'[1]Data 2026'!BV12)</f>
        <v>BOA/KTD</v>
      </c>
      <c r="BU4" s="685"/>
      <c r="BV4" s="685" t="str">
        <f>IF('[1]Data 2026'!BX12="","",'[1]Data 2026'!BX12)</f>
        <v/>
      </c>
      <c r="BW4" s="685" t="str">
        <f>IF('[1]Data 2026'!BY12="","",'[1]Data 2026'!BY12)</f>
        <v>1347386H26000000532</v>
      </c>
      <c r="BX4" s="685">
        <f>IF('[1]Data 2026'!BZ12="","",'[1]Data 2026'!BZ12)</f>
        <v>46161</v>
      </c>
      <c r="BY4" s="685" t="str">
        <f>IF('[1]Data 2026'!CA12="","",'[1]Data 2026'!CA12)</f>
        <v>182610-14836</v>
      </c>
      <c r="BZ4" s="685">
        <f>IF('[1]Data 2026'!CB12="","",'[1]Data 2026'!CB12)</f>
        <v>46129</v>
      </c>
      <c r="CA4" s="685" t="str">
        <f>IF('[1]Data 2026'!CC12="","",'[1]Data 2026'!CC12)</f>
        <v>2026-0121</v>
      </c>
      <c r="CB4" s="685">
        <f>IF('[1]Data 2026'!CD12="","",'[1]Data 2026'!CD12)</f>
        <v>46129</v>
      </c>
      <c r="CC4" s="685" t="str">
        <f>IF('[1]Data 2026'!CE12="","",'[1]Data 2026'!CE12)</f>
        <v/>
      </c>
      <c r="CD4" s="685" t="str">
        <f>IF('[1]Data 2026'!CF12="","",'[1]Data 2026'!CF12)</f>
        <v/>
      </c>
      <c r="CE4" s="685">
        <f>IF('[1]Data 2026'!CG12="","",'[1]Data 2026'!CG12)</f>
        <v>46105</v>
      </c>
      <c r="CF4" s="685">
        <f>IF('[1]Data 2026'!CH12="","",'[1]Data 2026'!CH12)</f>
        <v>46127</v>
      </c>
      <c r="CG4" s="685" t="str">
        <f>IF('[1]Data 2026'!CI12="","",'[1]Data 2026'!CI12)</f>
        <v>E11675</v>
      </c>
      <c r="CH4" s="685" t="str">
        <f>IF('[1]Data 2026'!CJ12="","",'[1]Data 2026'!CJ12)</f>
        <v/>
      </c>
      <c r="CI4" s="685">
        <f>IF('[1]Data 2026'!CK12="","",'[1]Data 2026'!CK12)</f>
        <v>46132</v>
      </c>
      <c r="CJ4" s="685" t="str">
        <f>IF('[1]Data 2026'!CM12="","",'[1]Data 2026'!CM12)</f>
        <v/>
      </c>
      <c r="CK4" s="685" t="str">
        <f>IF('[1]Data 2026'!CN12="","",'[1]Data 2026'!CN12)</f>
        <v>Sugmaran</v>
      </c>
      <c r="CL4" s="691"/>
      <c r="CM4" s="691" t="str">
        <f>IF('[1]Data 2026'!CP12="","",'[1]Data 2026'!CP12)</f>
        <v/>
      </c>
      <c r="CN4" s="691"/>
      <c r="CO4" s="691"/>
      <c r="CP4" s="691"/>
      <c r="CQ4" s="691"/>
      <c r="CR4" s="686">
        <f t="shared" ref="CR4:CT35" si="4">IFERROR(W4-V4,"")</f>
        <v>16</v>
      </c>
      <c r="CS4" s="686">
        <f t="shared" si="4"/>
        <v>1</v>
      </c>
      <c r="CT4" s="686">
        <f t="shared" si="4"/>
        <v>11</v>
      </c>
      <c r="CU4" s="686">
        <f t="shared" ref="CU4:CU67" si="5">IFERROR(AC4-X4,"")</f>
        <v>15</v>
      </c>
      <c r="CV4" s="686" t="str">
        <f t="shared" ref="CV4:CV67" si="6">IF(BU4="","",IFERROR(BU4-AC4,""))</f>
        <v/>
      </c>
      <c r="CW4" s="685">
        <f>IFERROR(AT4-AC4,"")</f>
        <v>12</v>
      </c>
      <c r="CX4" s="685">
        <f>IFERROR(AX4-AT4,"")</f>
        <v>0</v>
      </c>
      <c r="CY4" s="693">
        <f t="shared" ref="CY4:CY67" ca="1" si="7">IF(K4="","",IF(AND(AC4&lt;&gt;"",K4&lt;AC4),100,IF(AND(K4&gt;=TODAY(),K4&lt;=TODAY()+7),70,IF(AND(K4&gt;=TODAY(),K4&lt;=TODAY()+14),30,0))))</f>
        <v>0</v>
      </c>
      <c r="CZ4" s="693" t="str">
        <f t="shared" ref="CZ4:CZ67" si="8">IF(OR(CL4="",F4=""),"",IF(ABS(CL4-F4)&gt;1,100,IF(ABS(CL4-F4)&gt;0.5,70,IF(ABS(CL4-F4)&gt;0.25,30,0))))</f>
        <v/>
      </c>
      <c r="DB4"/>
      <c r="DC4"/>
    </row>
    <row r="5" spans="1:108" s="694" customFormat="1">
      <c r="A5" s="682" t="str">
        <f t="shared" si="0"/>
        <v>F. GATED IN, SAILING AWAITED</v>
      </c>
      <c r="B5" s="695" t="s">
        <v>1195</v>
      </c>
      <c r="C5" s="684" t="str">
        <f t="shared" si="1"/>
        <v>CLOSED POSITION</v>
      </c>
      <c r="D5" s="685" t="str">
        <f t="shared" ref="D5:D68" si="9">IF(BU5&lt;&gt;"HBL SURRENDERED TO BANK",IF(AND(AS5&lt;&gt;"",Q5&lt;&gt;""),"HBL RECEIVED, SURRENDER IS DUE",IF(AND(AS5&lt;&gt;"",Q5=""),"HBL AWAITED","")))</f>
        <v/>
      </c>
      <c r="E5" s="685" t="str">
        <f t="shared" si="2"/>
        <v/>
      </c>
      <c r="F5" s="686">
        <f>IF('[1]Data 2026'!D13="","",'[1]Data 2026'!D13)</f>
        <v>49</v>
      </c>
      <c r="G5" s="686">
        <f>IF('[1]Data 2026'!E13="","",'[1]Data 2026'!E13)</f>
        <v>200</v>
      </c>
      <c r="H5" s="687">
        <f>IF('[1]Data 2026'!H13="","",'[1]Data 2026'!H13)</f>
        <v>32014455</v>
      </c>
      <c r="I5" s="688">
        <f>IF('[1]Data 2026'!AA13="","",'[1]Data 2026'!AA13)</f>
        <v>100</v>
      </c>
      <c r="J5" s="685" t="str">
        <f>IF('[1]Data 2026'!K13="","",'[1]Data 2026'!K13)</f>
        <v>APRIL</v>
      </c>
      <c r="K5" s="685">
        <v>46142</v>
      </c>
      <c r="L5" s="685" t="str">
        <f>IF('[1]Data 2026'!L13="","",'[1]Data 2026'!L13)</f>
        <v>VALENCY CI</v>
      </c>
      <c r="M5" s="685" t="str">
        <f>IF('[1]Data 2026'!M13="","",'[1]Data 2026'!M13)</f>
        <v>SREE DEVI CASHEW INDUSTRIES</v>
      </c>
      <c r="N5" s="685" t="s">
        <v>1196</v>
      </c>
      <c r="O5" s="689">
        <f>IF('[1]Data 2026'!N13="","",'[1]Data 2026'!N13)</f>
        <v>267777396</v>
      </c>
      <c r="P5" s="690">
        <f>IF('[1]Data 2026'!O13="","",'[1]Data 2026'!O13)</f>
        <v>267777396</v>
      </c>
      <c r="Q5" s="685" t="str">
        <f>IF('[1]Data 2026'!P13="","",'[1]Data 2026'!P13)</f>
        <v/>
      </c>
      <c r="R5" s="685" t="str">
        <f>IF('[1]Data 2026'!Q13="","",'[1]Data 2026'!Q13)</f>
        <v>ABJ</v>
      </c>
      <c r="S5" s="685" t="s">
        <v>210</v>
      </c>
      <c r="T5" s="685" t="str">
        <f>IF('[1]Data 2026'!R13="","",'[1]Data 2026'!R13)</f>
        <v>MANGALORE, INDIA</v>
      </c>
      <c r="U5" s="685" t="str">
        <f>IF('[1]Data 2026'!S13="","",'[1]Data 2026'!S13)</f>
        <v>MAERSK CUANZA</v>
      </c>
      <c r="V5" s="685">
        <f>IF('[1]Data 2026'!T13="","",'[1]Data 2026'!T13)</f>
        <v>46112</v>
      </c>
      <c r="W5" s="685">
        <f>IF('[1]Data 2026'!U13="","",'[1]Data 2026'!U13)</f>
        <v>46123</v>
      </c>
      <c r="X5" s="685">
        <f>IF('[1]Data 2026'!V13="","",'[1]Data 2026'!V13)</f>
        <v>46124</v>
      </c>
      <c r="Y5" s="685">
        <f>IF('[1]Data 2026'!W13="","",'[1]Data 2026'!W13)</f>
        <v>46159</v>
      </c>
      <c r="Z5" s="685">
        <f>IF('[1]Data 2026'!X13="","",'[1]Data 2026'!X13)</f>
        <v>46202</v>
      </c>
      <c r="AA5" s="685"/>
      <c r="AB5" s="685">
        <f>IF('[1]Data 2026'!Y13="","",'[1]Data 2026'!Y13)</f>
        <v>46172</v>
      </c>
      <c r="AC5" s="685" t="str">
        <f>IF('[1]Data 2026'!Z13="","",'[1]Data 2026'!Z13)</f>
        <v/>
      </c>
      <c r="AD5" s="691">
        <f>IF('[1]Data 2026'!AA13="","",'[1]Data 2026'!AA13)</f>
        <v>100</v>
      </c>
      <c r="AE5" s="691">
        <f>IF('[1]Data 2026'!AB13="","",'[1]Data 2026'!AB13)</f>
        <v>100</v>
      </c>
      <c r="AF5" s="685">
        <f>IF('[1]Data 2026'!AC13="","",'[1]Data 2026'!AC13)</f>
        <v>45777</v>
      </c>
      <c r="AG5" s="685" t="str">
        <f>IF('[1]Data 2026'!AD13="","",'[1]Data 2026'!AD13)</f>
        <v>Ex-Olam</v>
      </c>
      <c r="AH5" s="686">
        <f>IF('[1]Data 2026'!AE13="","",'[1]Data 2026'!AE13)</f>
        <v>4</v>
      </c>
      <c r="AI5" s="685" t="str">
        <f>IF('[1]Data 2026'!AG13="","",'[1]Data 2026'!AG13)</f>
        <v xml:space="preserve">VALENCY SINGAPORE </v>
      </c>
      <c r="AJ5" s="685" t="str">
        <f>IF('[1]Data 2026'!AH13="","",'[1]Data 2026'!AH13)</f>
        <v>AFIC</v>
      </c>
      <c r="AK5" s="685" t="str">
        <f>IF('[1]Data 2026'!AI13="","",'[1]Data 2026'!AI13)</f>
        <v>MSK</v>
      </c>
      <c r="AL5" s="685" t="str">
        <f>IF('[1]Data 2026'!AJ13="","",'[1]Data 2026'!AJ13)</f>
        <v>40FT</v>
      </c>
      <c r="AM5" s="692">
        <f>IF('[1]Data 2026'!AK13="","",'[1]Data 2026'!AK13)</f>
        <v>0.1</v>
      </c>
      <c r="AN5" s="685" t="str">
        <f>IF('[1]Data 2026'!AL13="","",'[1]Data 2026'!AL13)</f>
        <v>(01x250MTS)</v>
      </c>
      <c r="AO5" s="691">
        <f>IF('[1]Data 2026'!AM13="","",'[1]Data 2026'!AM13)</f>
        <v>110</v>
      </c>
      <c r="AP5" s="691" t="str">
        <f t="shared" si="3"/>
        <v/>
      </c>
      <c r="AQ5" s="685" t="str">
        <f>IF('[1]Data 2026'!AO13="","",'[1]Data 2026'!AO13)</f>
        <v/>
      </c>
      <c r="AR5" s="685" t="str">
        <f>IF('[1]Data 2026'!AP13="","",'[1]Data 2026'!AP13)</f>
        <v/>
      </c>
      <c r="AS5" s="685" t="str">
        <f>IF('[1]Data 2026'!AQ13="","",'[1]Data 2026'!AQ13)</f>
        <v/>
      </c>
      <c r="AT5" s="685" t="str">
        <f>IF('[1]Data 2026'!AR13="","",'[1]Data 2026'!AR13)</f>
        <v/>
      </c>
      <c r="AU5" s="685" t="str">
        <f>IF('[1]Data 2026'!AW13="","",'[1]Data 2026'!AW13)</f>
        <v/>
      </c>
      <c r="AV5" s="685" t="str">
        <f>IF('[1]Data 2026'!AX13="","",'[1]Data 2026'!AX13)</f>
        <v/>
      </c>
      <c r="AW5" s="685" t="str">
        <f>IF('[1]Data 2026'!AY13="","",'[1]Data 2026'!AY13)</f>
        <v/>
      </c>
      <c r="AX5" s="685" t="str">
        <f>IF('[1]Data 2026'!AZ13="","",'[1]Data 2026'!AZ13)</f>
        <v/>
      </c>
      <c r="AY5" s="685" t="str">
        <f>IF('[1]Data 2026'!BA13="","",'[1]Data 2026'!BA13)</f>
        <v/>
      </c>
      <c r="AZ5" s="685" t="str">
        <f>IF('[1]Data 2026'!AS13="","",'[1]Data 2026'!AS13)</f>
        <v/>
      </c>
      <c r="BA5" s="685" t="str">
        <f>IF('[1]Data 2026'!AT13="","",'[1]Data 2026'!AT13)</f>
        <v/>
      </c>
      <c r="BB5" s="685" t="str">
        <f>IF('[1]Data 2026'!AU13="","",'[1]Data 2026'!AU13)</f>
        <v/>
      </c>
      <c r="BC5" s="685" t="str">
        <f>IF('[1]Data 2026'!AV13="","",'[1]Data 2026'!AV13)</f>
        <v/>
      </c>
      <c r="BD5" s="685" t="str">
        <f>IF('[1]Data 2026'!AW13="","",'[1]Data 2026'!AW13)</f>
        <v/>
      </c>
      <c r="BE5" s="685" t="str">
        <f>IF('[1]Data 2026'!AX13="","",'[1]Data 2026'!AX13)</f>
        <v/>
      </c>
      <c r="BF5" s="685" t="str">
        <f>IF('[1]Data 2026'!BF13="","",'[1]Data 2026'!BF13)</f>
        <v xml:space="preserve">VALENCY SINGAPORE </v>
      </c>
      <c r="BG5" s="685" t="str">
        <f>IF('[1]Data 2026'!BG13="","",'[1]Data 2026'!BG13)</f>
        <v/>
      </c>
      <c r="BH5" s="685" t="str">
        <f>IF('[1]Data 2026'!BH13="","",'[1]Data 2026'!BH13)</f>
        <v/>
      </c>
      <c r="BI5" s="685" t="str">
        <f>IF('[1]Data 2026'!BI13="","",'[1]Data 2026'!BI13)</f>
        <v/>
      </c>
      <c r="BJ5" s="685" t="str">
        <f>IF('[1]Data 2026'!BJ13="","",'[1]Data 2026'!BJ13)</f>
        <v/>
      </c>
      <c r="BK5" s="685" t="str">
        <f>IF('[1]Data 2026'!BK13="","",'[1]Data 2026'!BK13)</f>
        <v/>
      </c>
      <c r="BL5" s="685" t="str">
        <f>IF('[1]Data 2026'!BL13="","",'[1]Data 2026'!BL13)</f>
        <v>AFIC</v>
      </c>
      <c r="BM5" s="685" t="str">
        <f>IF('[1]Data 2026'!BM13="","",'[1]Data 2026'!BM13)</f>
        <v/>
      </c>
      <c r="BN5" s="685" t="str">
        <f>IF('[1]Data 2026'!BN13="","",'[1]Data 2026'!BN13)</f>
        <v/>
      </c>
      <c r="BO5" s="685" t="str">
        <f>IF('[1]Data 2026'!BO13="","",'[1]Data 2026'!BO13)</f>
        <v/>
      </c>
      <c r="BP5" s="685" t="str">
        <f>IF('[1]Data 2026'!BP13="","",'[1]Data 2026'!BP13)</f>
        <v/>
      </c>
      <c r="BQ5" s="685" t="str">
        <f>IF('[1]Data 2026'!BQ13="","",'[1]Data 2026'!BQ13)</f>
        <v/>
      </c>
      <c r="BR5" s="685" t="str">
        <f>IF('[1]Data 2026'!BR13="","",'[1]Data 2026'!BR13)</f>
        <v/>
      </c>
      <c r="BS5" s="685" t="str">
        <f>IF('[1]Data 2026'!BS13="","",'[1]Data 2026'!BS13)</f>
        <v/>
      </c>
      <c r="BT5" s="685" t="str">
        <f>IF('[1]Data 2026'!BV13="","",'[1]Data 2026'!BV13)</f>
        <v>BOA/KTD</v>
      </c>
      <c r="BU5" s="685" t="str">
        <f>IF('[1]Data 2026'!BW13="","",'[1]Data 2026'!BW13)</f>
        <v/>
      </c>
      <c r="BV5" s="685" t="str">
        <f>IF('[1]Data 2026'!BX13="","",'[1]Data 2026'!BX13)</f>
        <v/>
      </c>
      <c r="BW5" s="685" t="str">
        <f>IF('[1]Data 2026'!BY13="","",'[1]Data 2026'!BY13)</f>
        <v/>
      </c>
      <c r="BX5" s="685" t="str">
        <f>IF('[1]Data 2026'!BZ13="","",'[1]Data 2026'!BZ13)</f>
        <v/>
      </c>
      <c r="BY5" s="685" t="str">
        <f>IF('[1]Data 2026'!CA13="","",'[1]Data 2026'!CA13)</f>
        <v>182610-14867</v>
      </c>
      <c r="BZ5" s="685">
        <f>IF('[1]Data 2026'!CB13="","",'[1]Data 2026'!CB13)</f>
        <v>46129</v>
      </c>
      <c r="CA5" s="685" t="str">
        <f>IF('[1]Data 2026'!CC13="","",'[1]Data 2026'!CC13)</f>
        <v>2026-0182</v>
      </c>
      <c r="CB5" s="685">
        <f>IF('[1]Data 2026'!CD13="","",'[1]Data 2026'!CD13)</f>
        <v>46129</v>
      </c>
      <c r="CC5" s="685" t="str">
        <f>IF('[1]Data 2026'!CE13="","",'[1]Data 2026'!CE13)</f>
        <v/>
      </c>
      <c r="CD5" s="685" t="str">
        <f>IF('[1]Data 2026'!CF13="","",'[1]Data 2026'!CF13)</f>
        <v/>
      </c>
      <c r="CE5" s="685">
        <f>IF('[1]Data 2026'!CG13="","",'[1]Data 2026'!CG13)</f>
        <v>46112</v>
      </c>
      <c r="CF5" s="685">
        <f>IF('[1]Data 2026'!CH13="","",'[1]Data 2026'!CH13)</f>
        <v>46126</v>
      </c>
      <c r="CG5" s="685" t="str">
        <f>IF('[1]Data 2026'!CI13="","",'[1]Data 2026'!CI13)</f>
        <v>E11346</v>
      </c>
      <c r="CH5" s="685" t="str">
        <f>IF('[1]Data 2026'!CJ13="","",'[1]Data 2026'!CJ13)</f>
        <v/>
      </c>
      <c r="CI5" s="685" t="str">
        <f>IF('[1]Data 2026'!CK13="","",'[1]Data 2026'!CK13)</f>
        <v/>
      </c>
      <c r="CJ5" s="685" t="str">
        <f>IF('[1]Data 2026'!CM13="","",'[1]Data 2026'!CM13)</f>
        <v/>
      </c>
      <c r="CK5" s="685" t="str">
        <f>IF('[1]Data 2026'!CN13="","",'[1]Data 2026'!CN13)</f>
        <v>Sugmaran</v>
      </c>
      <c r="CL5" s="691"/>
      <c r="CM5" s="691" t="str">
        <f>IF('[1]Data 2026'!CP13="","",'[1]Data 2026'!CP13)</f>
        <v/>
      </c>
      <c r="CN5" s="691"/>
      <c r="CO5" s="693"/>
      <c r="CP5" s="693"/>
      <c r="CQ5" s="693"/>
      <c r="CR5" s="686">
        <f t="shared" si="4"/>
        <v>11</v>
      </c>
      <c r="CS5" s="686">
        <f t="shared" si="4"/>
        <v>1</v>
      </c>
      <c r="CT5" s="686">
        <f t="shared" si="4"/>
        <v>35</v>
      </c>
      <c r="CU5" s="686" t="str">
        <f t="shared" si="5"/>
        <v/>
      </c>
      <c r="CV5" s="686" t="str">
        <f t="shared" si="6"/>
        <v/>
      </c>
      <c r="CW5" s="685" t="str">
        <f t="shared" ref="CW5:CW68" si="10">IFERROR(AT5-AC5,"")</f>
        <v/>
      </c>
      <c r="CX5" s="685" t="str">
        <f t="shared" ref="CX5:CX68" si="11">IFERROR(AX5-AT5,"")</f>
        <v/>
      </c>
      <c r="CY5" s="693">
        <f t="shared" ca="1" si="7"/>
        <v>0</v>
      </c>
      <c r="CZ5" s="693" t="str">
        <f t="shared" si="8"/>
        <v/>
      </c>
      <c r="DB5"/>
      <c r="DC5"/>
    </row>
    <row r="6" spans="1:108" s="694" customFormat="1">
      <c r="A6" s="682" t="str">
        <f t="shared" si="0"/>
        <v>F. GATED IN, SAILING AWAITED</v>
      </c>
      <c r="B6" s="695" t="s">
        <v>1195</v>
      </c>
      <c r="C6" s="684" t="str">
        <f t="shared" si="1"/>
        <v>CLOSED POSITION</v>
      </c>
      <c r="D6" s="685" t="str">
        <f t="shared" si="9"/>
        <v/>
      </c>
      <c r="E6" s="685" t="str">
        <f t="shared" si="2"/>
        <v/>
      </c>
      <c r="F6" s="686">
        <f>IF('[1]Data 2026'!D14="","",'[1]Data 2026'!D14)</f>
        <v>47</v>
      </c>
      <c r="G6" s="686">
        <f>IF('[1]Data 2026'!E14="","",'[1]Data 2026'!E14)</f>
        <v>200</v>
      </c>
      <c r="H6" s="687">
        <f>IF('[1]Data 2026'!H14="","",'[1]Data 2026'!H14)</f>
        <v>32015968</v>
      </c>
      <c r="I6" s="688">
        <f>IF('[1]Data 2026'!AA14="","",'[1]Data 2026'!AA14)</f>
        <v>250</v>
      </c>
      <c r="J6" s="685" t="str">
        <f>IF('[1]Data 2026'!K14="","",'[1]Data 2026'!K14)</f>
        <v>APRIL</v>
      </c>
      <c r="K6" s="685">
        <v>46142</v>
      </c>
      <c r="L6" s="685" t="str">
        <f>IF('[1]Data 2026'!L14="","",'[1]Data 2026'!L14)</f>
        <v>VALENCY CI</v>
      </c>
      <c r="M6" s="685" t="str">
        <f>IF('[1]Data 2026'!M14="","",'[1]Data 2026'!M14)</f>
        <v>VALENCY AGRO INDIA UDUPI</v>
      </c>
      <c r="N6" s="685" t="s">
        <v>1196</v>
      </c>
      <c r="O6" s="689">
        <f>IF('[1]Data 2026'!N14="","",'[1]Data 2026'!N14)</f>
        <v>267777686</v>
      </c>
      <c r="P6" s="690" t="str">
        <f>IF('[1]Data 2026'!O14="","",'[1]Data 2026'!O14)</f>
        <v/>
      </c>
      <c r="Q6" s="685" t="str">
        <f>IF('[1]Data 2026'!P14="","",'[1]Data 2026'!P14)</f>
        <v/>
      </c>
      <c r="R6" s="685" t="str">
        <f>IF('[1]Data 2026'!Q14="","",'[1]Data 2026'!Q14)</f>
        <v>ABJ</v>
      </c>
      <c r="S6" s="685" t="s">
        <v>210</v>
      </c>
      <c r="T6" s="685" t="str">
        <f>IF('[1]Data 2026'!R14="","",'[1]Data 2026'!R14)</f>
        <v>MANGALORE, INDIA</v>
      </c>
      <c r="U6" s="685" t="str">
        <f>IF('[1]Data 2026'!S14="","",'[1]Data 2026'!S14)</f>
        <v>MAERSK CUANZA</v>
      </c>
      <c r="V6" s="685">
        <f>IF('[1]Data 2026'!T14="","",'[1]Data 2026'!T14)</f>
        <v>46112</v>
      </c>
      <c r="W6" s="685">
        <f>IF('[1]Data 2026'!U14="","",'[1]Data 2026'!U14)</f>
        <v>46123</v>
      </c>
      <c r="X6" s="685">
        <f>IF('[1]Data 2026'!V14="","",'[1]Data 2026'!V14)</f>
        <v>46124</v>
      </c>
      <c r="Y6" s="685">
        <f>IF('[1]Data 2026'!W14="","",'[1]Data 2026'!W14)</f>
        <v>46159</v>
      </c>
      <c r="Z6" s="685">
        <f>IF('[1]Data 2026'!X14="","",'[1]Data 2026'!X14)</f>
        <v>46202</v>
      </c>
      <c r="AA6" s="685"/>
      <c r="AB6" s="685">
        <f>IF('[1]Data 2026'!Y14="","",'[1]Data 2026'!Y14)</f>
        <v>46172</v>
      </c>
      <c r="AC6" s="685" t="str">
        <f>IF('[1]Data 2026'!Z14="","",'[1]Data 2026'!Z14)</f>
        <v/>
      </c>
      <c r="AD6" s="691">
        <f>IF('[1]Data 2026'!AA14="","",'[1]Data 2026'!AA14)</f>
        <v>250</v>
      </c>
      <c r="AE6" s="691">
        <f>IF('[1]Data 2026'!AB14="","",'[1]Data 2026'!AB14)</f>
        <v>250</v>
      </c>
      <c r="AF6" s="685">
        <f>IF('[1]Data 2026'!AC14="","",'[1]Data 2026'!AC14)</f>
        <v>45777</v>
      </c>
      <c r="AG6" s="685" t="str">
        <f>IF('[1]Data 2026'!AD14="","",'[1]Data 2026'!AD14)</f>
        <v>Ex-Olam</v>
      </c>
      <c r="AH6" s="686">
        <f>IF('[1]Data 2026'!AE14="","",'[1]Data 2026'!AE14)</f>
        <v>10</v>
      </c>
      <c r="AI6" s="685" t="str">
        <f>IF('[1]Data 2026'!AG14="","",'[1]Data 2026'!AG14)</f>
        <v xml:space="preserve">VALENCY SINGAPORE </v>
      </c>
      <c r="AJ6" s="685" t="str">
        <f>IF('[1]Data 2026'!AH14="","",'[1]Data 2026'!AH14)</f>
        <v>AFIC</v>
      </c>
      <c r="AK6" s="685" t="str">
        <f>IF('[1]Data 2026'!AI14="","",'[1]Data 2026'!AI14)</f>
        <v>MSK</v>
      </c>
      <c r="AL6" s="685" t="str">
        <f>IF('[1]Data 2026'!AJ14="","",'[1]Data 2026'!AJ14)</f>
        <v>40FT</v>
      </c>
      <c r="AM6" s="692">
        <f>IF('[1]Data 2026'!AK14="","",'[1]Data 2026'!AK14)</f>
        <v>0.1</v>
      </c>
      <c r="AN6" s="685" t="str">
        <f>IF('[1]Data 2026'!AL14="","",'[1]Data 2026'!AL14)</f>
        <v>(01x250MTS)</v>
      </c>
      <c r="AO6" s="691">
        <f>IF('[1]Data 2026'!AM14="","",'[1]Data 2026'!AM14)</f>
        <v>275</v>
      </c>
      <c r="AP6" s="691" t="str">
        <f t="shared" si="3"/>
        <v/>
      </c>
      <c r="AQ6" s="685" t="str">
        <f>IF('[1]Data 2026'!AO14="","",'[1]Data 2026'!AO14)</f>
        <v/>
      </c>
      <c r="AR6" s="685" t="str">
        <f>IF('[1]Data 2026'!AP14="","",'[1]Data 2026'!AP14)</f>
        <v/>
      </c>
      <c r="AS6" s="685" t="str">
        <f>IF('[1]Data 2026'!AQ14="","",'[1]Data 2026'!AQ14)</f>
        <v/>
      </c>
      <c r="AT6" s="685" t="str">
        <f>IF('[1]Data 2026'!AR14="","",'[1]Data 2026'!AR14)</f>
        <v/>
      </c>
      <c r="AU6" s="685" t="str">
        <f>IF('[1]Data 2026'!AW14="","",'[1]Data 2026'!AW14)</f>
        <v/>
      </c>
      <c r="AV6" s="685" t="str">
        <f>IF('[1]Data 2026'!AX14="","",'[1]Data 2026'!AX14)</f>
        <v/>
      </c>
      <c r="AW6" s="685" t="str">
        <f>IF('[1]Data 2026'!AY14="","",'[1]Data 2026'!AY14)</f>
        <v/>
      </c>
      <c r="AX6" s="685" t="str">
        <f>IF('[1]Data 2026'!AZ14="","",'[1]Data 2026'!AZ14)</f>
        <v/>
      </c>
      <c r="AY6" s="685" t="str">
        <f>IF('[1]Data 2026'!BA14="","",'[1]Data 2026'!BA14)</f>
        <v/>
      </c>
      <c r="AZ6" s="685" t="str">
        <f>IF('[1]Data 2026'!AS14="","",'[1]Data 2026'!AS14)</f>
        <v/>
      </c>
      <c r="BA6" s="685" t="str">
        <f>IF('[1]Data 2026'!AT14="","",'[1]Data 2026'!AT14)</f>
        <v/>
      </c>
      <c r="BB6" s="685" t="str">
        <f>IF('[1]Data 2026'!AU14="","",'[1]Data 2026'!AU14)</f>
        <v/>
      </c>
      <c r="BC6" s="685" t="str">
        <f>IF('[1]Data 2026'!AV14="","",'[1]Data 2026'!AV14)</f>
        <v/>
      </c>
      <c r="BD6" s="685" t="str">
        <f>IF('[1]Data 2026'!AW14="","",'[1]Data 2026'!AW14)</f>
        <v/>
      </c>
      <c r="BE6" s="685" t="str">
        <f>IF('[1]Data 2026'!AX14="","",'[1]Data 2026'!AX14)</f>
        <v/>
      </c>
      <c r="BF6" s="685" t="str">
        <f>IF('[1]Data 2026'!BF14="","",'[1]Data 2026'!BF14)</f>
        <v xml:space="preserve">VALENCY SINGAPORE </v>
      </c>
      <c r="BG6" s="685" t="str">
        <f>IF('[1]Data 2026'!BG14="","",'[1]Data 2026'!BG14)</f>
        <v/>
      </c>
      <c r="BH6" s="685" t="str">
        <f>IF('[1]Data 2026'!BH14="","",'[1]Data 2026'!BH14)</f>
        <v/>
      </c>
      <c r="BI6" s="685" t="str">
        <f>IF('[1]Data 2026'!BI14="","",'[1]Data 2026'!BI14)</f>
        <v/>
      </c>
      <c r="BJ6" s="685" t="str">
        <f>IF('[1]Data 2026'!BJ14="","",'[1]Data 2026'!BJ14)</f>
        <v/>
      </c>
      <c r="BK6" s="685" t="str">
        <f>IF('[1]Data 2026'!BK14="","",'[1]Data 2026'!BK14)</f>
        <v/>
      </c>
      <c r="BL6" s="685" t="str">
        <f>IF('[1]Data 2026'!BL14="","",'[1]Data 2026'!BL14)</f>
        <v>AFIC</v>
      </c>
      <c r="BM6" s="685" t="str">
        <f>IF('[1]Data 2026'!BM14="","",'[1]Data 2026'!BM14)</f>
        <v/>
      </c>
      <c r="BN6" s="685" t="str">
        <f>IF('[1]Data 2026'!BN14="","",'[1]Data 2026'!BN14)</f>
        <v/>
      </c>
      <c r="BO6" s="685" t="str">
        <f>IF('[1]Data 2026'!BO14="","",'[1]Data 2026'!BO14)</f>
        <v/>
      </c>
      <c r="BP6" s="685" t="str">
        <f>IF('[1]Data 2026'!BP14="","",'[1]Data 2026'!BP14)</f>
        <v/>
      </c>
      <c r="BQ6" s="685" t="str">
        <f>IF('[1]Data 2026'!BQ14="","",'[1]Data 2026'!BQ14)</f>
        <v/>
      </c>
      <c r="BR6" s="685" t="str">
        <f>IF('[1]Data 2026'!BR14="","",'[1]Data 2026'!BR14)</f>
        <v/>
      </c>
      <c r="BS6" s="685" t="str">
        <f>IF('[1]Data 2026'!BS14="","",'[1]Data 2026'!BS14)</f>
        <v/>
      </c>
      <c r="BT6" s="685" t="str">
        <f>IF('[1]Data 2026'!BV14="","",'[1]Data 2026'!BV14)</f>
        <v>BOA/KTD</v>
      </c>
      <c r="BU6" s="685" t="str">
        <f>IF('[1]Data 2026'!BW14="","",'[1]Data 2026'!BW14)</f>
        <v/>
      </c>
      <c r="BV6" s="685" t="str">
        <f>IF('[1]Data 2026'!BX14="","",'[1]Data 2026'!BX14)</f>
        <v/>
      </c>
      <c r="BW6" s="685" t="str">
        <f>IF('[1]Data 2026'!BY14="","",'[1]Data 2026'!BY14)</f>
        <v/>
      </c>
      <c r="BX6" s="685" t="str">
        <f>IF('[1]Data 2026'!BZ14="","",'[1]Data 2026'!BZ14)</f>
        <v/>
      </c>
      <c r="BY6" s="685" t="str">
        <f>IF('[1]Data 2026'!CA14="","",'[1]Data 2026'!CA14)</f>
        <v>182610-14862</v>
      </c>
      <c r="BZ6" s="685">
        <f>IF('[1]Data 2026'!CB14="","",'[1]Data 2026'!CB14)</f>
        <v>46129</v>
      </c>
      <c r="CA6" s="685" t="str">
        <f>IF('[1]Data 2026'!CC14="","",'[1]Data 2026'!CC14)</f>
        <v>2026-0178</v>
      </c>
      <c r="CB6" s="685">
        <f>IF('[1]Data 2026'!CD14="","",'[1]Data 2026'!CD14)</f>
        <v>46129</v>
      </c>
      <c r="CC6" s="685" t="str">
        <f>IF('[1]Data 2026'!CE14="","",'[1]Data 2026'!CE14)</f>
        <v/>
      </c>
      <c r="CD6" s="685" t="str">
        <f>IF('[1]Data 2026'!CF14="","",'[1]Data 2026'!CF14)</f>
        <v/>
      </c>
      <c r="CE6" s="685">
        <f>IF('[1]Data 2026'!CG14="","",'[1]Data 2026'!CG14)</f>
        <v>46112</v>
      </c>
      <c r="CF6" s="685">
        <f>IF('[1]Data 2026'!CH14="","",'[1]Data 2026'!CH14)</f>
        <v>46126</v>
      </c>
      <c r="CG6" s="685" t="str">
        <f>IF('[1]Data 2026'!CI14="","",'[1]Data 2026'!CI14)</f>
        <v>E11346</v>
      </c>
      <c r="CH6" s="685" t="str">
        <f>IF('[1]Data 2026'!CJ14="","",'[1]Data 2026'!CJ14)</f>
        <v/>
      </c>
      <c r="CI6" s="685" t="str">
        <f>IF('[1]Data 2026'!CK14="","",'[1]Data 2026'!CK14)</f>
        <v/>
      </c>
      <c r="CJ6" s="685" t="str">
        <f>IF('[1]Data 2026'!CM14="","",'[1]Data 2026'!CM14)</f>
        <v/>
      </c>
      <c r="CK6" s="685" t="str">
        <f>IF('[1]Data 2026'!CN14="","",'[1]Data 2026'!CN14)</f>
        <v>Sugmaran</v>
      </c>
      <c r="CL6" s="691"/>
      <c r="CM6" s="691" t="str">
        <f>IF('[1]Data 2026'!CP14="","",'[1]Data 2026'!CP14)</f>
        <v/>
      </c>
      <c r="CN6" s="691"/>
      <c r="CO6" s="693"/>
      <c r="CP6" s="693"/>
      <c r="CQ6" s="693"/>
      <c r="CR6" s="686">
        <f t="shared" si="4"/>
        <v>11</v>
      </c>
      <c r="CS6" s="686">
        <f t="shared" si="4"/>
        <v>1</v>
      </c>
      <c r="CT6" s="686">
        <f t="shared" si="4"/>
        <v>35</v>
      </c>
      <c r="CU6" s="686" t="str">
        <f t="shared" si="5"/>
        <v/>
      </c>
      <c r="CV6" s="686" t="str">
        <f t="shared" si="6"/>
        <v/>
      </c>
      <c r="CW6" s="685" t="str">
        <f t="shared" si="10"/>
        <v/>
      </c>
      <c r="CX6" s="685" t="str">
        <f t="shared" si="11"/>
        <v/>
      </c>
      <c r="CY6" s="693">
        <f t="shared" ca="1" si="7"/>
        <v>0</v>
      </c>
      <c r="CZ6" s="693" t="str">
        <f t="shared" si="8"/>
        <v/>
      </c>
      <c r="DB6"/>
      <c r="DC6"/>
    </row>
    <row r="7" spans="1:108" s="694" customFormat="1">
      <c r="A7" s="682" t="str">
        <f t="shared" si="0"/>
        <v>F. GATED IN, SAILING AWAITED</v>
      </c>
      <c r="B7" s="695" t="s">
        <v>1195</v>
      </c>
      <c r="C7" s="684" t="str">
        <f t="shared" si="1"/>
        <v>CLOSED POSITION</v>
      </c>
      <c r="D7" s="685" t="str">
        <f t="shared" si="9"/>
        <v/>
      </c>
      <c r="E7" s="685" t="str">
        <f t="shared" si="2"/>
        <v/>
      </c>
      <c r="F7" s="686">
        <f>IF('[1]Data 2026'!D16="","",'[1]Data 2026'!D16)</f>
        <v>49</v>
      </c>
      <c r="G7" s="686">
        <f>IF('[1]Data 2026'!E16="","",'[1]Data 2026'!E16)</f>
        <v>200</v>
      </c>
      <c r="H7" s="687">
        <f>IF('[1]Data 2026'!H16="","",'[1]Data 2026'!H16)</f>
        <v>32014483</v>
      </c>
      <c r="I7" s="688">
        <f>IF('[1]Data 2026'!AA16="","",'[1]Data 2026'!AA16)</f>
        <v>100</v>
      </c>
      <c r="J7" s="685" t="str">
        <f>IF('[1]Data 2026'!K16="","",'[1]Data 2026'!K16)</f>
        <v>APRIL</v>
      </c>
      <c r="K7" s="685">
        <v>46142</v>
      </c>
      <c r="L7" s="685" t="str">
        <f>IF('[1]Data 2026'!L16="","",'[1]Data 2026'!L16)</f>
        <v>VALENCY CI</v>
      </c>
      <c r="M7" s="685" t="str">
        <f>IF('[1]Data 2026'!M16="","",'[1]Data 2026'!M16)</f>
        <v>SRI VIJAYALAXMI CASHEW INDUSTRIES</v>
      </c>
      <c r="N7" s="685" t="s">
        <v>1196</v>
      </c>
      <c r="O7" s="689">
        <f>IF('[1]Data 2026'!N16="","",'[1]Data 2026'!N16)</f>
        <v>267777926</v>
      </c>
      <c r="P7" s="690">
        <f>IF('[1]Data 2026'!O16="","",'[1]Data 2026'!O16)</f>
        <v>267777926</v>
      </c>
      <c r="Q7" s="685" t="str">
        <f>IF('[1]Data 2026'!P16="","",'[1]Data 2026'!P16)</f>
        <v/>
      </c>
      <c r="R7" s="685" t="str">
        <f>IF('[1]Data 2026'!Q16="","",'[1]Data 2026'!Q16)</f>
        <v>ABJ</v>
      </c>
      <c r="S7" s="685" t="s">
        <v>210</v>
      </c>
      <c r="T7" s="685" t="str">
        <f>IF('[1]Data 2026'!R16="","",'[1]Data 2026'!R16)</f>
        <v>MANGALORE, INDIA</v>
      </c>
      <c r="U7" s="685" t="str">
        <f>IF('[1]Data 2026'!S16="","",'[1]Data 2026'!S16)</f>
        <v>MAERSK CUANZA</v>
      </c>
      <c r="V7" s="685">
        <f>IF('[1]Data 2026'!T16="","",'[1]Data 2026'!T16)</f>
        <v>46112</v>
      </c>
      <c r="W7" s="685">
        <f>IF('[1]Data 2026'!U16="","",'[1]Data 2026'!U16)</f>
        <v>46123</v>
      </c>
      <c r="X7" s="685">
        <f>IF('[1]Data 2026'!V16="","",'[1]Data 2026'!V16)</f>
        <v>46124</v>
      </c>
      <c r="Y7" s="685">
        <f>IF('[1]Data 2026'!W16="","",'[1]Data 2026'!W16)</f>
        <v>46159</v>
      </c>
      <c r="Z7" s="685">
        <f>IF('[1]Data 2026'!X16="","",'[1]Data 2026'!X16)</f>
        <v>46202</v>
      </c>
      <c r="AA7" s="685"/>
      <c r="AB7" s="685">
        <f>IF('[1]Data 2026'!Y16="","",'[1]Data 2026'!Y16)</f>
        <v>46172</v>
      </c>
      <c r="AC7" s="685" t="str">
        <f>IF('[1]Data 2026'!Z16="","",'[1]Data 2026'!Z16)</f>
        <v/>
      </c>
      <c r="AD7" s="691">
        <f>IF('[1]Data 2026'!AA16="","",'[1]Data 2026'!AA16)</f>
        <v>100</v>
      </c>
      <c r="AE7" s="691">
        <f>IF('[1]Data 2026'!AB16="","",'[1]Data 2026'!AB16)</f>
        <v>100</v>
      </c>
      <c r="AF7" s="685">
        <f>IF('[1]Data 2026'!AC16="","",'[1]Data 2026'!AC16)</f>
        <v>45777</v>
      </c>
      <c r="AG7" s="685" t="str">
        <f>IF('[1]Data 2026'!AD16="","",'[1]Data 2026'!AD16)</f>
        <v>Ex-Olam</v>
      </c>
      <c r="AH7" s="686">
        <f>IF('[1]Data 2026'!AE16="","",'[1]Data 2026'!AE16)</f>
        <v>4</v>
      </c>
      <c r="AI7" s="685" t="str">
        <f>IF('[1]Data 2026'!AG16="","",'[1]Data 2026'!AG16)</f>
        <v xml:space="preserve">VALENCY SINGAPORE </v>
      </c>
      <c r="AJ7" s="685" t="str">
        <f>IF('[1]Data 2026'!AH16="","",'[1]Data 2026'!AH16)</f>
        <v>AFIC</v>
      </c>
      <c r="AK7" s="685" t="str">
        <f>IF('[1]Data 2026'!AI16="","",'[1]Data 2026'!AI16)</f>
        <v>MSK</v>
      </c>
      <c r="AL7" s="685" t="str">
        <f>IF('[1]Data 2026'!AJ16="","",'[1]Data 2026'!AJ16)</f>
        <v>40FT</v>
      </c>
      <c r="AM7" s="692">
        <f>IF('[1]Data 2026'!AK16="","",'[1]Data 2026'!AK16)</f>
        <v>0.1</v>
      </c>
      <c r="AN7" s="685" t="str">
        <f>IF('[1]Data 2026'!AL16="","",'[1]Data 2026'!AL16)</f>
        <v>(01x250MTS)</v>
      </c>
      <c r="AO7" s="691">
        <f>IF('[1]Data 2026'!AM16="","",'[1]Data 2026'!AM16)</f>
        <v>110</v>
      </c>
      <c r="AP7" s="691" t="str">
        <f t="shared" si="3"/>
        <v/>
      </c>
      <c r="AQ7" s="685" t="str">
        <f>IF('[1]Data 2026'!AO16="","",'[1]Data 2026'!AO16)</f>
        <v/>
      </c>
      <c r="AR7" s="685" t="str">
        <f>IF('[1]Data 2026'!AP16="","",'[1]Data 2026'!AP16)</f>
        <v/>
      </c>
      <c r="AS7" s="685" t="str">
        <f>IF('[1]Data 2026'!AQ16="","",'[1]Data 2026'!AQ16)</f>
        <v/>
      </c>
      <c r="AT7" s="685" t="str">
        <f>IF('[1]Data 2026'!AR16="","",'[1]Data 2026'!AR16)</f>
        <v/>
      </c>
      <c r="AU7" s="685" t="str">
        <f>IF('[1]Data 2026'!AW16="","",'[1]Data 2026'!AW16)</f>
        <v/>
      </c>
      <c r="AV7" s="685" t="str">
        <f>IF('[1]Data 2026'!AX16="","",'[1]Data 2026'!AX16)</f>
        <v/>
      </c>
      <c r="AW7" s="685" t="str">
        <f>IF('[1]Data 2026'!AY16="","",'[1]Data 2026'!AY16)</f>
        <v/>
      </c>
      <c r="AX7" s="685" t="str">
        <f>IF('[1]Data 2026'!AZ16="","",'[1]Data 2026'!AZ16)</f>
        <v/>
      </c>
      <c r="AY7" s="685" t="str">
        <f>IF('[1]Data 2026'!BA16="","",'[1]Data 2026'!BA16)</f>
        <v/>
      </c>
      <c r="AZ7" s="685" t="str">
        <f>IF('[1]Data 2026'!AS16="","",'[1]Data 2026'!AS16)</f>
        <v/>
      </c>
      <c r="BA7" s="685" t="str">
        <f>IF('[1]Data 2026'!AT16="","",'[1]Data 2026'!AT16)</f>
        <v/>
      </c>
      <c r="BB7" s="685" t="str">
        <f>IF('[1]Data 2026'!AU16="","",'[1]Data 2026'!AU16)</f>
        <v/>
      </c>
      <c r="BC7" s="685" t="str">
        <f>IF('[1]Data 2026'!AV16="","",'[1]Data 2026'!AV16)</f>
        <v/>
      </c>
      <c r="BD7" s="685" t="str">
        <f>IF('[1]Data 2026'!AW16="","",'[1]Data 2026'!AW16)</f>
        <v/>
      </c>
      <c r="BE7" s="685" t="str">
        <f>IF('[1]Data 2026'!AX16="","",'[1]Data 2026'!AX16)</f>
        <v/>
      </c>
      <c r="BF7" s="685" t="str">
        <f>IF('[1]Data 2026'!BF16="","",'[1]Data 2026'!BF16)</f>
        <v xml:space="preserve">VALENCY SINGAPORE </v>
      </c>
      <c r="BG7" s="685" t="str">
        <f>IF('[1]Data 2026'!BG16="","",'[1]Data 2026'!BG16)</f>
        <v/>
      </c>
      <c r="BH7" s="685" t="str">
        <f>IF('[1]Data 2026'!BH16="","",'[1]Data 2026'!BH16)</f>
        <v/>
      </c>
      <c r="BI7" s="685" t="str">
        <f>IF('[1]Data 2026'!BI16="","",'[1]Data 2026'!BI16)</f>
        <v/>
      </c>
      <c r="BJ7" s="685" t="str">
        <f>IF('[1]Data 2026'!BJ16="","",'[1]Data 2026'!BJ16)</f>
        <v/>
      </c>
      <c r="BK7" s="685" t="str">
        <f>IF('[1]Data 2026'!BK16="","",'[1]Data 2026'!BK16)</f>
        <v/>
      </c>
      <c r="BL7" s="685" t="str">
        <f>IF('[1]Data 2026'!BL16="","",'[1]Data 2026'!BL16)</f>
        <v>AFIC</v>
      </c>
      <c r="BM7" s="685" t="str">
        <f>IF('[1]Data 2026'!BM16="","",'[1]Data 2026'!BM16)</f>
        <v/>
      </c>
      <c r="BN7" s="685" t="str">
        <f>IF('[1]Data 2026'!BN16="","",'[1]Data 2026'!BN16)</f>
        <v/>
      </c>
      <c r="BO7" s="685" t="str">
        <f>IF('[1]Data 2026'!BO16="","",'[1]Data 2026'!BO16)</f>
        <v/>
      </c>
      <c r="BP7" s="685" t="str">
        <f>IF('[1]Data 2026'!BP16="","",'[1]Data 2026'!BP16)</f>
        <v/>
      </c>
      <c r="BQ7" s="685" t="str">
        <f>IF('[1]Data 2026'!BQ16="","",'[1]Data 2026'!BQ16)</f>
        <v/>
      </c>
      <c r="BR7" s="685" t="str">
        <f>IF('[1]Data 2026'!BR16="","",'[1]Data 2026'!BR16)</f>
        <v/>
      </c>
      <c r="BS7" s="685" t="str">
        <f>IF('[1]Data 2026'!BS16="","",'[1]Data 2026'!BS16)</f>
        <v/>
      </c>
      <c r="BT7" s="685" t="str">
        <f>IF('[1]Data 2026'!BV16="","",'[1]Data 2026'!BV16)</f>
        <v>BOA/KTD</v>
      </c>
      <c r="BU7" s="685" t="str">
        <f>IF('[1]Data 2026'!BW16="","",'[1]Data 2026'!BW16)</f>
        <v/>
      </c>
      <c r="BV7" s="685" t="str">
        <f>IF('[1]Data 2026'!BX16="","",'[1]Data 2026'!BX16)</f>
        <v/>
      </c>
      <c r="BW7" s="685" t="str">
        <f>IF('[1]Data 2026'!BY16="","",'[1]Data 2026'!BY16)</f>
        <v/>
      </c>
      <c r="BX7" s="685" t="str">
        <f>IF('[1]Data 2026'!BZ16="","",'[1]Data 2026'!BZ16)</f>
        <v/>
      </c>
      <c r="BY7" s="685" t="str">
        <f>IF('[1]Data 2026'!CA16="","",'[1]Data 2026'!CA16)</f>
        <v>182610-14862</v>
      </c>
      <c r="BZ7" s="685">
        <f>IF('[1]Data 2026'!CB16="","",'[1]Data 2026'!CB16)</f>
        <v>46129</v>
      </c>
      <c r="CA7" s="685" t="str">
        <f>IF('[1]Data 2026'!CC16="","",'[1]Data 2026'!CC16)</f>
        <v>2026-0178</v>
      </c>
      <c r="CB7" s="685">
        <f>IF('[1]Data 2026'!CD16="","",'[1]Data 2026'!CD16)</f>
        <v>46129</v>
      </c>
      <c r="CC7" s="685" t="str">
        <f>IF('[1]Data 2026'!CE16="","",'[1]Data 2026'!CE16)</f>
        <v/>
      </c>
      <c r="CD7" s="685" t="str">
        <f>IF('[1]Data 2026'!CF16="","",'[1]Data 2026'!CF16)</f>
        <v/>
      </c>
      <c r="CE7" s="685">
        <f>IF('[1]Data 2026'!CG16="","",'[1]Data 2026'!CG16)</f>
        <v>46112</v>
      </c>
      <c r="CF7" s="685">
        <f>IF('[1]Data 2026'!CH16="","",'[1]Data 2026'!CH16)</f>
        <v>46126</v>
      </c>
      <c r="CG7" s="685" t="str">
        <f>IF('[1]Data 2026'!CI16="","",'[1]Data 2026'!CI16)</f>
        <v>E11346</v>
      </c>
      <c r="CH7" s="685" t="str">
        <f>IF('[1]Data 2026'!CJ16="","",'[1]Data 2026'!CJ16)</f>
        <v/>
      </c>
      <c r="CI7" s="685" t="str">
        <f>IF('[1]Data 2026'!CK16="","",'[1]Data 2026'!CK16)</f>
        <v/>
      </c>
      <c r="CJ7" s="685" t="str">
        <f>IF('[1]Data 2026'!CM16="","",'[1]Data 2026'!CM16)</f>
        <v/>
      </c>
      <c r="CK7" s="685" t="str">
        <f>IF('[1]Data 2026'!CN16="","",'[1]Data 2026'!CN16)</f>
        <v>Sugmaran</v>
      </c>
      <c r="CL7" s="691"/>
      <c r="CM7" s="691" t="str">
        <f>IF('[1]Data 2026'!CP16="","",'[1]Data 2026'!CP16)</f>
        <v/>
      </c>
      <c r="CN7" s="691"/>
      <c r="CO7" s="693"/>
      <c r="CP7" s="693"/>
      <c r="CQ7" s="693"/>
      <c r="CR7" s="686">
        <f t="shared" si="4"/>
        <v>11</v>
      </c>
      <c r="CS7" s="686">
        <f t="shared" si="4"/>
        <v>1</v>
      </c>
      <c r="CT7" s="686">
        <f t="shared" si="4"/>
        <v>35</v>
      </c>
      <c r="CU7" s="686" t="str">
        <f t="shared" si="5"/>
        <v/>
      </c>
      <c r="CV7" s="686" t="str">
        <f t="shared" si="6"/>
        <v/>
      </c>
      <c r="CW7" s="685" t="str">
        <f t="shared" si="10"/>
        <v/>
      </c>
      <c r="CX7" s="685" t="str">
        <f t="shared" si="11"/>
        <v/>
      </c>
      <c r="CY7" s="693">
        <f t="shared" ca="1" si="7"/>
        <v>0</v>
      </c>
      <c r="CZ7" s="693" t="str">
        <f t="shared" si="8"/>
        <v/>
      </c>
      <c r="DB7"/>
      <c r="DC7"/>
    </row>
    <row r="8" spans="1:108" s="694" customFormat="1">
      <c r="A8" s="682" t="str">
        <f t="shared" si="0"/>
        <v>F. GATED IN, SAILING AWAITED</v>
      </c>
      <c r="B8" s="695" t="s">
        <v>1195</v>
      </c>
      <c r="C8" s="684" t="str">
        <f t="shared" si="1"/>
        <v>CLOSED POSITION</v>
      </c>
      <c r="D8" s="685" t="str">
        <f t="shared" si="9"/>
        <v/>
      </c>
      <c r="E8" s="685" t="str">
        <f t="shared" si="2"/>
        <v/>
      </c>
      <c r="F8" s="686">
        <f>IF('[1]Data 2026'!D17="","",'[1]Data 2026'!D17)</f>
        <v>47</v>
      </c>
      <c r="G8" s="686">
        <f>IF('[1]Data 2026'!E17="","",'[1]Data 2026'!E17)</f>
        <v>200</v>
      </c>
      <c r="H8" s="687">
        <f>IF('[1]Data 2026'!H17="","",'[1]Data 2026'!H17)</f>
        <v>32015968</v>
      </c>
      <c r="I8" s="688">
        <f>IF('[1]Data 2026'!AA17="","",'[1]Data 2026'!AA17)</f>
        <v>250</v>
      </c>
      <c r="J8" s="685" t="str">
        <f>IF('[1]Data 2026'!K17="","",'[1]Data 2026'!K17)</f>
        <v>APRIL</v>
      </c>
      <c r="K8" s="685">
        <v>46142</v>
      </c>
      <c r="L8" s="685" t="str">
        <f>IF('[1]Data 2026'!L17="","",'[1]Data 2026'!L17)</f>
        <v>VALENCY CI</v>
      </c>
      <c r="M8" s="685" t="str">
        <f>IF('[1]Data 2026'!M17="","",'[1]Data 2026'!M17)</f>
        <v>VALENCY AGRO INDIA UDUPI</v>
      </c>
      <c r="N8" s="685" t="s">
        <v>1196</v>
      </c>
      <c r="O8" s="689">
        <f>IF('[1]Data 2026'!N17="","",'[1]Data 2026'!N17)</f>
        <v>267778042</v>
      </c>
      <c r="P8" s="690">
        <f>IF('[1]Data 2026'!O17="","",'[1]Data 2026'!O17)</f>
        <v>267778042</v>
      </c>
      <c r="Q8" s="685" t="str">
        <f>IF('[1]Data 2026'!P17="","",'[1]Data 2026'!P17)</f>
        <v/>
      </c>
      <c r="R8" s="685" t="str">
        <f>IF('[1]Data 2026'!Q17="","",'[1]Data 2026'!Q17)</f>
        <v>ABJ</v>
      </c>
      <c r="S8" s="685" t="s">
        <v>210</v>
      </c>
      <c r="T8" s="685" t="str">
        <f>IF('[1]Data 2026'!R17="","",'[1]Data 2026'!R17)</f>
        <v>MANGALORE, INDIA</v>
      </c>
      <c r="U8" s="685" t="str">
        <f>IF('[1]Data 2026'!S17="","",'[1]Data 2026'!S17)</f>
        <v>MAERSK CUANZA</v>
      </c>
      <c r="V8" s="685">
        <f>IF('[1]Data 2026'!T17="","",'[1]Data 2026'!T17)</f>
        <v>46112</v>
      </c>
      <c r="W8" s="685">
        <f>IF('[1]Data 2026'!U17="","",'[1]Data 2026'!U17)</f>
        <v>46123</v>
      </c>
      <c r="X8" s="685">
        <f>IF('[1]Data 2026'!V17="","",'[1]Data 2026'!V17)</f>
        <v>46124</v>
      </c>
      <c r="Y8" s="685">
        <f>IF('[1]Data 2026'!W17="","",'[1]Data 2026'!W17)</f>
        <v>46160</v>
      </c>
      <c r="Z8" s="685">
        <f>IF('[1]Data 2026'!X17="","",'[1]Data 2026'!X17)</f>
        <v>46202</v>
      </c>
      <c r="AA8" s="685"/>
      <c r="AB8" s="685">
        <f>IF('[1]Data 2026'!Y17="","",'[1]Data 2026'!Y17)</f>
        <v>46172</v>
      </c>
      <c r="AC8" s="685" t="str">
        <f>IF('[1]Data 2026'!Z17="","",'[1]Data 2026'!Z17)</f>
        <v/>
      </c>
      <c r="AD8" s="691">
        <f>IF('[1]Data 2026'!AA17="","",'[1]Data 2026'!AA17)</f>
        <v>250</v>
      </c>
      <c r="AE8" s="691">
        <f>IF('[1]Data 2026'!AB17="","",'[1]Data 2026'!AB17)</f>
        <v>250</v>
      </c>
      <c r="AF8" s="685">
        <f>IF('[1]Data 2026'!AC17="","",'[1]Data 2026'!AC17)</f>
        <v>45777</v>
      </c>
      <c r="AG8" s="685" t="str">
        <f>IF('[1]Data 2026'!AD17="","",'[1]Data 2026'!AD17)</f>
        <v>Ex-Olam</v>
      </c>
      <c r="AH8" s="686">
        <f>IF('[1]Data 2026'!AE17="","",'[1]Data 2026'!AE17)</f>
        <v>10</v>
      </c>
      <c r="AI8" s="685" t="str">
        <f>IF('[1]Data 2026'!AG17="","",'[1]Data 2026'!AG17)</f>
        <v xml:space="preserve">VALENCY SINGAPORE </v>
      </c>
      <c r="AJ8" s="685" t="str">
        <f>IF('[1]Data 2026'!AH17="","",'[1]Data 2026'!AH17)</f>
        <v>AFIC</v>
      </c>
      <c r="AK8" s="685" t="str">
        <f>IF('[1]Data 2026'!AI17="","",'[1]Data 2026'!AI17)</f>
        <v>MSK</v>
      </c>
      <c r="AL8" s="685" t="str">
        <f>IF('[1]Data 2026'!AJ17="","",'[1]Data 2026'!AJ17)</f>
        <v>40FT</v>
      </c>
      <c r="AM8" s="692">
        <f>IF('[1]Data 2026'!AK17="","",'[1]Data 2026'!AK17)</f>
        <v>0.1</v>
      </c>
      <c r="AN8" s="685" t="str">
        <f>IF('[1]Data 2026'!AL17="","",'[1]Data 2026'!AL17)</f>
        <v>(01x250MTS)</v>
      </c>
      <c r="AO8" s="691">
        <f>IF('[1]Data 2026'!AM17="","",'[1]Data 2026'!AM17)</f>
        <v>275</v>
      </c>
      <c r="AP8" s="691" t="str">
        <f t="shared" si="3"/>
        <v/>
      </c>
      <c r="AQ8" s="685" t="str">
        <f>IF('[1]Data 2026'!AO17="","",'[1]Data 2026'!AO17)</f>
        <v/>
      </c>
      <c r="AR8" s="685" t="str">
        <f>IF('[1]Data 2026'!AP17="","",'[1]Data 2026'!AP17)</f>
        <v/>
      </c>
      <c r="AS8" s="685" t="str">
        <f>IF('[1]Data 2026'!AQ17="","",'[1]Data 2026'!AQ17)</f>
        <v/>
      </c>
      <c r="AT8" s="685" t="str">
        <f>IF('[1]Data 2026'!AR17="","",'[1]Data 2026'!AR17)</f>
        <v/>
      </c>
      <c r="AU8" s="685" t="str">
        <f>IF('[1]Data 2026'!AW17="","",'[1]Data 2026'!AW17)</f>
        <v/>
      </c>
      <c r="AV8" s="685" t="str">
        <f>IF('[1]Data 2026'!AX17="","",'[1]Data 2026'!AX17)</f>
        <v/>
      </c>
      <c r="AW8" s="685" t="str">
        <f>IF('[1]Data 2026'!AY17="","",'[1]Data 2026'!AY17)</f>
        <v/>
      </c>
      <c r="AX8" s="685" t="str">
        <f>IF('[1]Data 2026'!AZ17="","",'[1]Data 2026'!AZ17)</f>
        <v/>
      </c>
      <c r="AY8" s="685" t="str">
        <f>IF('[1]Data 2026'!BA17="","",'[1]Data 2026'!BA17)</f>
        <v/>
      </c>
      <c r="AZ8" s="685" t="str">
        <f>IF('[1]Data 2026'!AS17="","",'[1]Data 2026'!AS17)</f>
        <v/>
      </c>
      <c r="BA8" s="685" t="str">
        <f>IF('[1]Data 2026'!AT17="","",'[1]Data 2026'!AT17)</f>
        <v/>
      </c>
      <c r="BB8" s="685" t="str">
        <f>IF('[1]Data 2026'!AU17="","",'[1]Data 2026'!AU17)</f>
        <v/>
      </c>
      <c r="BC8" s="685" t="str">
        <f>IF('[1]Data 2026'!AV17="","",'[1]Data 2026'!AV17)</f>
        <v/>
      </c>
      <c r="BD8" s="685" t="str">
        <f>IF('[1]Data 2026'!AW17="","",'[1]Data 2026'!AW17)</f>
        <v/>
      </c>
      <c r="BE8" s="685" t="str">
        <f>IF('[1]Data 2026'!AX17="","",'[1]Data 2026'!AX17)</f>
        <v/>
      </c>
      <c r="BF8" s="685" t="str">
        <f>IF('[1]Data 2026'!BF17="","",'[1]Data 2026'!BF17)</f>
        <v xml:space="preserve">VALENCY SINGAPORE </v>
      </c>
      <c r="BG8" s="685" t="str">
        <f>IF('[1]Data 2026'!BG17="","",'[1]Data 2026'!BG17)</f>
        <v/>
      </c>
      <c r="BH8" s="685" t="str">
        <f>IF('[1]Data 2026'!BH17="","",'[1]Data 2026'!BH17)</f>
        <v/>
      </c>
      <c r="BI8" s="685" t="str">
        <f>IF('[1]Data 2026'!BI17="","",'[1]Data 2026'!BI17)</f>
        <v/>
      </c>
      <c r="BJ8" s="685" t="str">
        <f>IF('[1]Data 2026'!BJ17="","",'[1]Data 2026'!BJ17)</f>
        <v/>
      </c>
      <c r="BK8" s="685" t="str">
        <f>IF('[1]Data 2026'!BK17="","",'[1]Data 2026'!BK17)</f>
        <v/>
      </c>
      <c r="BL8" s="685" t="str">
        <f>IF('[1]Data 2026'!BL17="","",'[1]Data 2026'!BL17)</f>
        <v>AFIC</v>
      </c>
      <c r="BM8" s="685" t="str">
        <f>IF('[1]Data 2026'!BM17="","",'[1]Data 2026'!BM17)</f>
        <v/>
      </c>
      <c r="BN8" s="685" t="str">
        <f>IF('[1]Data 2026'!BN17="","",'[1]Data 2026'!BN17)</f>
        <v/>
      </c>
      <c r="BO8" s="685" t="str">
        <f>IF('[1]Data 2026'!BO17="","",'[1]Data 2026'!BO17)</f>
        <v/>
      </c>
      <c r="BP8" s="685" t="str">
        <f>IF('[1]Data 2026'!BP17="","",'[1]Data 2026'!BP17)</f>
        <v/>
      </c>
      <c r="BQ8" s="685" t="str">
        <f>IF('[1]Data 2026'!BQ17="","",'[1]Data 2026'!BQ17)</f>
        <v/>
      </c>
      <c r="BR8" s="685" t="str">
        <f>IF('[1]Data 2026'!BR17="","",'[1]Data 2026'!BR17)</f>
        <v/>
      </c>
      <c r="BS8" s="685" t="str">
        <f>IF('[1]Data 2026'!BS17="","",'[1]Data 2026'!BS17)</f>
        <v/>
      </c>
      <c r="BT8" s="685" t="str">
        <f>IF('[1]Data 2026'!BV17="","",'[1]Data 2026'!BV17)</f>
        <v>BOA/KTD</v>
      </c>
      <c r="BU8" s="685" t="str">
        <f>IF('[1]Data 2026'!BW17="","",'[1]Data 2026'!BW17)</f>
        <v/>
      </c>
      <c r="BV8" s="685" t="str">
        <f>IF('[1]Data 2026'!BX17="","",'[1]Data 2026'!BX17)</f>
        <v/>
      </c>
      <c r="BW8" s="685" t="str">
        <f>IF('[1]Data 2026'!BY17="","",'[1]Data 2026'!BY17)</f>
        <v/>
      </c>
      <c r="BX8" s="685" t="str">
        <f>IF('[1]Data 2026'!BZ17="","",'[1]Data 2026'!BZ17)</f>
        <v/>
      </c>
      <c r="BY8" s="685" t="str">
        <f>IF('[1]Data 2026'!CA17="","",'[1]Data 2026'!CA17)</f>
        <v>182610-14867</v>
      </c>
      <c r="BZ8" s="685">
        <f>IF('[1]Data 2026'!CB17="","",'[1]Data 2026'!CB17)</f>
        <v>46129</v>
      </c>
      <c r="CA8" s="685" t="str">
        <f>IF('[1]Data 2026'!CC17="","",'[1]Data 2026'!CC17)</f>
        <v>2026-0182</v>
      </c>
      <c r="CB8" s="685">
        <f>IF('[1]Data 2026'!CD17="","",'[1]Data 2026'!CD17)</f>
        <v>46129</v>
      </c>
      <c r="CC8" s="685" t="str">
        <f>IF('[1]Data 2026'!CE17="","",'[1]Data 2026'!CE17)</f>
        <v/>
      </c>
      <c r="CD8" s="685" t="str">
        <f>IF('[1]Data 2026'!CF17="","",'[1]Data 2026'!CF17)</f>
        <v/>
      </c>
      <c r="CE8" s="685">
        <f>IF('[1]Data 2026'!CG17="","",'[1]Data 2026'!CG17)</f>
        <v>46112</v>
      </c>
      <c r="CF8" s="685">
        <f>IF('[1]Data 2026'!CH17="","",'[1]Data 2026'!CH17)</f>
        <v>46126</v>
      </c>
      <c r="CG8" s="685" t="str">
        <f>IF('[1]Data 2026'!CI17="","",'[1]Data 2026'!CI17)</f>
        <v>E11346</v>
      </c>
      <c r="CH8" s="685" t="str">
        <f>IF('[1]Data 2026'!CJ17="","",'[1]Data 2026'!CJ17)</f>
        <v/>
      </c>
      <c r="CI8" s="685" t="str">
        <f>IF('[1]Data 2026'!CK17="","",'[1]Data 2026'!CK17)</f>
        <v/>
      </c>
      <c r="CJ8" s="685" t="str">
        <f>IF('[1]Data 2026'!CM17="","",'[1]Data 2026'!CM17)</f>
        <v/>
      </c>
      <c r="CK8" s="685" t="str">
        <f>IF('[1]Data 2026'!CN17="","",'[1]Data 2026'!CN17)</f>
        <v>Sugmaran</v>
      </c>
      <c r="CL8" s="691"/>
      <c r="CM8" s="691" t="str">
        <f>IF('[1]Data 2026'!CP17="","",'[1]Data 2026'!CP17)</f>
        <v/>
      </c>
      <c r="CN8" s="691"/>
      <c r="CO8" s="693"/>
      <c r="CP8" s="693"/>
      <c r="CQ8" s="693"/>
      <c r="CR8" s="686">
        <f t="shared" si="4"/>
        <v>11</v>
      </c>
      <c r="CS8" s="686">
        <f t="shared" si="4"/>
        <v>1</v>
      </c>
      <c r="CT8" s="686">
        <f t="shared" si="4"/>
        <v>36</v>
      </c>
      <c r="CU8" s="686" t="str">
        <f t="shared" si="5"/>
        <v/>
      </c>
      <c r="CV8" s="686" t="str">
        <f t="shared" si="6"/>
        <v/>
      </c>
      <c r="CW8" s="685" t="str">
        <f t="shared" si="10"/>
        <v/>
      </c>
      <c r="CX8" s="685" t="str">
        <f t="shared" si="11"/>
        <v/>
      </c>
      <c r="CY8" s="693">
        <f t="shared" ca="1" si="7"/>
        <v>0</v>
      </c>
      <c r="CZ8" s="693" t="str">
        <f t="shared" si="8"/>
        <v/>
      </c>
      <c r="DB8"/>
      <c r="DC8"/>
    </row>
    <row r="9" spans="1:108" s="694" customFormat="1">
      <c r="A9" s="682" t="str">
        <f t="shared" si="0"/>
        <v>F. GATED IN, SAILING AWAITED</v>
      </c>
      <c r="B9" s="695" t="s">
        <v>1195</v>
      </c>
      <c r="C9" s="684" t="str">
        <f t="shared" si="1"/>
        <v>CLOSED POSITION</v>
      </c>
      <c r="D9" s="685" t="str">
        <f t="shared" si="9"/>
        <v/>
      </c>
      <c r="E9" s="685" t="str">
        <f t="shared" si="2"/>
        <v/>
      </c>
      <c r="F9" s="686">
        <f>IF('[1]Data 2026'!D19="","",'[1]Data 2026'!D19)</f>
        <v>49</v>
      </c>
      <c r="G9" s="686">
        <f>IF('[1]Data 2026'!E19="","",'[1]Data 2026'!E19)</f>
        <v>200</v>
      </c>
      <c r="H9" s="687">
        <f>IF('[1]Data 2026'!H19="","",'[1]Data 2026'!H19)</f>
        <v>32014480</v>
      </c>
      <c r="I9" s="688">
        <f>IF('[1]Data 2026'!AA19="","",'[1]Data 2026'!AA19)</f>
        <v>100</v>
      </c>
      <c r="J9" s="685" t="str">
        <f>IF('[1]Data 2026'!K19="","",'[1]Data 2026'!K19)</f>
        <v>APRIL</v>
      </c>
      <c r="K9" s="685">
        <v>46142</v>
      </c>
      <c r="L9" s="685" t="str">
        <f>IF('[1]Data 2026'!L19="","",'[1]Data 2026'!L19)</f>
        <v>VALENCY CI</v>
      </c>
      <c r="M9" s="685" t="str">
        <f>IF('[1]Data 2026'!M19="","",'[1]Data 2026'!M19)</f>
        <v>AMITH CASHEWS PVT LTD</v>
      </c>
      <c r="N9" s="685" t="s">
        <v>1196</v>
      </c>
      <c r="O9" s="689" t="str">
        <f>IF('[1]Data 2026'!N19="","",'[1]Data 2026'!N19)</f>
        <v>267778211-1</v>
      </c>
      <c r="P9" s="690">
        <f>IF('[1]Data 2026'!O19="","",'[1]Data 2026'!O19)</f>
        <v>271475651</v>
      </c>
      <c r="Q9" s="685" t="str">
        <f>IF('[1]Data 2026'!P19="","",'[1]Data 2026'!P19)</f>
        <v/>
      </c>
      <c r="R9" s="685" t="str">
        <f>IF('[1]Data 2026'!Q19="","",'[1]Data 2026'!Q19)</f>
        <v>ABJ</v>
      </c>
      <c r="S9" s="685" t="s">
        <v>210</v>
      </c>
      <c r="T9" s="685" t="str">
        <f>IF('[1]Data 2026'!R19="","",'[1]Data 2026'!R19)</f>
        <v>MANGALORE, INDIA</v>
      </c>
      <c r="U9" s="685" t="str">
        <f>IF('[1]Data 2026'!S19="","",'[1]Data 2026'!S19)</f>
        <v>MAERSK CUANZA</v>
      </c>
      <c r="V9" s="685">
        <f>IF('[1]Data 2026'!T19="","",'[1]Data 2026'!T19)</f>
        <v>46112</v>
      </c>
      <c r="W9" s="685">
        <f>IF('[1]Data 2026'!U19="","",'[1]Data 2026'!U19)</f>
        <v>46123</v>
      </c>
      <c r="X9" s="685">
        <f>IF('[1]Data 2026'!V19="","",'[1]Data 2026'!V19)</f>
        <v>46124</v>
      </c>
      <c r="Y9" s="685">
        <f>IF('[1]Data 2026'!W19="","",'[1]Data 2026'!W19)</f>
        <v>46160</v>
      </c>
      <c r="Z9" s="685">
        <f>IF('[1]Data 2026'!X19="","",'[1]Data 2026'!X19)</f>
        <v>46202</v>
      </c>
      <c r="AA9" s="685"/>
      <c r="AB9" s="685">
        <f>IF('[1]Data 2026'!Y19="","",'[1]Data 2026'!Y19)</f>
        <v>46172</v>
      </c>
      <c r="AC9" s="685" t="str">
        <f>IF('[1]Data 2026'!Z19="","",'[1]Data 2026'!Z19)</f>
        <v/>
      </c>
      <c r="AD9" s="691">
        <f>IF('[1]Data 2026'!AA19="","",'[1]Data 2026'!AA19)</f>
        <v>100</v>
      </c>
      <c r="AE9" s="691">
        <f>IF('[1]Data 2026'!AB19="","",'[1]Data 2026'!AB19)</f>
        <v>100</v>
      </c>
      <c r="AF9" s="685">
        <f>IF('[1]Data 2026'!AC19="","",'[1]Data 2026'!AC19)</f>
        <v>45777</v>
      </c>
      <c r="AG9" s="685" t="str">
        <f>IF('[1]Data 2026'!AD19="","",'[1]Data 2026'!AD19)</f>
        <v>Ex-Olam</v>
      </c>
      <c r="AH9" s="686">
        <f>IF('[1]Data 2026'!AE19="","",'[1]Data 2026'!AE19)</f>
        <v>4</v>
      </c>
      <c r="AI9" s="685" t="str">
        <f>IF('[1]Data 2026'!AG19="","",'[1]Data 2026'!AG19)</f>
        <v xml:space="preserve">VALENCY SINGAPORE </v>
      </c>
      <c r="AJ9" s="685" t="str">
        <f>IF('[1]Data 2026'!AH19="","",'[1]Data 2026'!AH19)</f>
        <v>AFIC</v>
      </c>
      <c r="AK9" s="685" t="str">
        <f>IF('[1]Data 2026'!AI19="","",'[1]Data 2026'!AI19)</f>
        <v>MSK</v>
      </c>
      <c r="AL9" s="685" t="str">
        <f>IF('[1]Data 2026'!AJ19="","",'[1]Data 2026'!AJ19)</f>
        <v>40FT</v>
      </c>
      <c r="AM9" s="692">
        <f>IF('[1]Data 2026'!AK19="","",'[1]Data 2026'!AK19)</f>
        <v>0.1</v>
      </c>
      <c r="AN9" s="685" t="str">
        <f>IF('[1]Data 2026'!AL19="","",'[1]Data 2026'!AL19)</f>
        <v>(01x250MTS)</v>
      </c>
      <c r="AO9" s="691">
        <f>IF('[1]Data 2026'!AM19="","",'[1]Data 2026'!AM19)</f>
        <v>110</v>
      </c>
      <c r="AP9" s="691" t="str">
        <f t="shared" si="3"/>
        <v/>
      </c>
      <c r="AQ9" s="685" t="str">
        <f>IF('[1]Data 2026'!AO19="","",'[1]Data 2026'!AO19)</f>
        <v/>
      </c>
      <c r="AR9" s="685" t="str">
        <f>IF('[1]Data 2026'!AP19="","",'[1]Data 2026'!AP19)</f>
        <v/>
      </c>
      <c r="AS9" s="685" t="str">
        <f>IF('[1]Data 2026'!AQ19="","",'[1]Data 2026'!AQ19)</f>
        <v/>
      </c>
      <c r="AT9" s="685" t="str">
        <f>IF('[1]Data 2026'!AR19="","",'[1]Data 2026'!AR19)</f>
        <v/>
      </c>
      <c r="AU9" s="685" t="str">
        <f>IF('[1]Data 2026'!AW19="","",'[1]Data 2026'!AW19)</f>
        <v/>
      </c>
      <c r="AV9" s="685" t="str">
        <f>IF('[1]Data 2026'!AX19="","",'[1]Data 2026'!AX19)</f>
        <v/>
      </c>
      <c r="AW9" s="685" t="str">
        <f>IF('[1]Data 2026'!AY19="","",'[1]Data 2026'!AY19)</f>
        <v/>
      </c>
      <c r="AX9" s="685" t="str">
        <f>IF('[1]Data 2026'!AZ19="","",'[1]Data 2026'!AZ19)</f>
        <v/>
      </c>
      <c r="AY9" s="685" t="str">
        <f>IF('[1]Data 2026'!BA19="","",'[1]Data 2026'!BA19)</f>
        <v/>
      </c>
      <c r="AZ9" s="685" t="str">
        <f>IF('[1]Data 2026'!AS19="","",'[1]Data 2026'!AS19)</f>
        <v/>
      </c>
      <c r="BA9" s="685" t="str">
        <f>IF('[1]Data 2026'!AT19="","",'[1]Data 2026'!AT19)</f>
        <v/>
      </c>
      <c r="BB9" s="685" t="str">
        <f>IF('[1]Data 2026'!AU19="","",'[1]Data 2026'!AU19)</f>
        <v/>
      </c>
      <c r="BC9" s="685" t="str">
        <f>IF('[1]Data 2026'!AV19="","",'[1]Data 2026'!AV19)</f>
        <v/>
      </c>
      <c r="BD9" s="685" t="str">
        <f>IF('[1]Data 2026'!AW19="","",'[1]Data 2026'!AW19)</f>
        <v/>
      </c>
      <c r="BE9" s="685" t="str">
        <f>IF('[1]Data 2026'!AX19="","",'[1]Data 2026'!AX19)</f>
        <v/>
      </c>
      <c r="BF9" s="685" t="str">
        <f>IF('[1]Data 2026'!BF19="","",'[1]Data 2026'!BF19)</f>
        <v xml:space="preserve">VALENCY SINGAPORE </v>
      </c>
      <c r="BG9" s="685" t="str">
        <f>IF('[1]Data 2026'!BG19="","",'[1]Data 2026'!BG19)</f>
        <v/>
      </c>
      <c r="BH9" s="685" t="str">
        <f>IF('[1]Data 2026'!BH19="","",'[1]Data 2026'!BH19)</f>
        <v/>
      </c>
      <c r="BI9" s="685" t="str">
        <f>IF('[1]Data 2026'!BI19="","",'[1]Data 2026'!BI19)</f>
        <v/>
      </c>
      <c r="BJ9" s="685" t="str">
        <f>IF('[1]Data 2026'!BJ19="","",'[1]Data 2026'!BJ19)</f>
        <v/>
      </c>
      <c r="BK9" s="685" t="str">
        <f>IF('[1]Data 2026'!BK19="","",'[1]Data 2026'!BK19)</f>
        <v/>
      </c>
      <c r="BL9" s="685" t="str">
        <f>IF('[1]Data 2026'!BL19="","",'[1]Data 2026'!BL19)</f>
        <v>AFIC</v>
      </c>
      <c r="BM9" s="685" t="str">
        <f>IF('[1]Data 2026'!BM19="","",'[1]Data 2026'!BM19)</f>
        <v/>
      </c>
      <c r="BN9" s="685" t="str">
        <f>IF('[1]Data 2026'!BN19="","",'[1]Data 2026'!BN19)</f>
        <v/>
      </c>
      <c r="BO9" s="685" t="str">
        <f>IF('[1]Data 2026'!BO19="","",'[1]Data 2026'!BO19)</f>
        <v/>
      </c>
      <c r="BP9" s="685" t="str">
        <f>IF('[1]Data 2026'!BP19="","",'[1]Data 2026'!BP19)</f>
        <v/>
      </c>
      <c r="BQ9" s="685" t="str">
        <f>IF('[1]Data 2026'!BQ19="","",'[1]Data 2026'!BQ19)</f>
        <v/>
      </c>
      <c r="BR9" s="685" t="str">
        <f>IF('[1]Data 2026'!BR19="","",'[1]Data 2026'!BR19)</f>
        <v/>
      </c>
      <c r="BS9" s="685" t="str">
        <f>IF('[1]Data 2026'!BS19="","",'[1]Data 2026'!BS19)</f>
        <v/>
      </c>
      <c r="BT9" s="685" t="str">
        <f>IF('[1]Data 2026'!BV19="","",'[1]Data 2026'!BV19)</f>
        <v>BOA/KTD</v>
      </c>
      <c r="BU9" s="685" t="str">
        <f>IF('[1]Data 2026'!BW19="","",'[1]Data 2026'!BW19)</f>
        <v/>
      </c>
      <c r="BV9" s="685" t="str">
        <f>IF('[1]Data 2026'!BX19="","",'[1]Data 2026'!BX19)</f>
        <v/>
      </c>
      <c r="BW9" s="685" t="str">
        <f>IF('[1]Data 2026'!BY19="","",'[1]Data 2026'!BY19)</f>
        <v/>
      </c>
      <c r="BX9" s="685" t="str">
        <f>IF('[1]Data 2026'!BZ19="","",'[1]Data 2026'!BZ19)</f>
        <v/>
      </c>
      <c r="BY9" s="685" t="str">
        <f>IF('[1]Data 2026'!CA19="","",'[1]Data 2026'!CA19)</f>
        <v>182610-14864</v>
      </c>
      <c r="BZ9" s="685">
        <f>IF('[1]Data 2026'!CB19="","",'[1]Data 2026'!CB19)</f>
        <v>46129</v>
      </c>
      <c r="CA9" s="685" t="str">
        <f>IF('[1]Data 2026'!CC19="","",'[1]Data 2026'!CC19)</f>
        <v>2026-0179</v>
      </c>
      <c r="CB9" s="685">
        <f>IF('[1]Data 2026'!CD19="","",'[1]Data 2026'!CD19)</f>
        <v>46129</v>
      </c>
      <c r="CC9" s="685" t="str">
        <f>IF('[1]Data 2026'!CE19="","",'[1]Data 2026'!CE19)</f>
        <v/>
      </c>
      <c r="CD9" s="685" t="str">
        <f>IF('[1]Data 2026'!CF19="","",'[1]Data 2026'!CF19)</f>
        <v/>
      </c>
      <c r="CE9" s="685">
        <f>IF('[1]Data 2026'!CG19="","",'[1]Data 2026'!CG19)</f>
        <v>46112</v>
      </c>
      <c r="CF9" s="685">
        <f>IF('[1]Data 2026'!CH19="","",'[1]Data 2026'!CH19)</f>
        <v>46126</v>
      </c>
      <c r="CG9" s="685" t="str">
        <f>IF('[1]Data 2026'!CI19="","",'[1]Data 2026'!CI19)</f>
        <v>E11346</v>
      </c>
      <c r="CH9" s="685" t="str">
        <f>IF('[1]Data 2026'!CJ19="","",'[1]Data 2026'!CJ19)</f>
        <v/>
      </c>
      <c r="CI9" s="685" t="str">
        <f>IF('[1]Data 2026'!CK19="","",'[1]Data 2026'!CK19)</f>
        <v/>
      </c>
      <c r="CJ9" s="685" t="str">
        <f>IF('[1]Data 2026'!CM19="","",'[1]Data 2026'!CM19)</f>
        <v/>
      </c>
      <c r="CK9" s="685" t="str">
        <f>IF('[1]Data 2026'!CN19="","",'[1]Data 2026'!CN19)</f>
        <v>Sugmaran</v>
      </c>
      <c r="CL9" s="691"/>
      <c r="CM9" s="691" t="str">
        <f>IF('[1]Data 2026'!CP19="","",'[1]Data 2026'!CP19)</f>
        <v/>
      </c>
      <c r="CN9" s="691"/>
      <c r="CO9" s="693"/>
      <c r="CP9" s="693"/>
      <c r="CQ9" s="693"/>
      <c r="CR9" s="686">
        <f t="shared" si="4"/>
        <v>11</v>
      </c>
      <c r="CS9" s="686">
        <f t="shared" si="4"/>
        <v>1</v>
      </c>
      <c r="CT9" s="686">
        <f t="shared" si="4"/>
        <v>36</v>
      </c>
      <c r="CU9" s="686" t="str">
        <f t="shared" si="5"/>
        <v/>
      </c>
      <c r="CV9" s="686" t="str">
        <f t="shared" si="6"/>
        <v/>
      </c>
      <c r="CW9" s="685" t="str">
        <f t="shared" si="10"/>
        <v/>
      </c>
      <c r="CX9" s="685" t="str">
        <f t="shared" si="11"/>
        <v/>
      </c>
      <c r="CY9" s="693">
        <f t="shared" ca="1" si="7"/>
        <v>0</v>
      </c>
      <c r="CZ9" s="693" t="str">
        <f t="shared" si="8"/>
        <v/>
      </c>
      <c r="DB9"/>
      <c r="DC9"/>
    </row>
    <row r="10" spans="1:108" s="694" customFormat="1">
      <c r="A10" s="682" t="str">
        <f t="shared" si="0"/>
        <v>F. GATED IN, SAILING AWAITED</v>
      </c>
      <c r="B10" s="695" t="s">
        <v>1195</v>
      </c>
      <c r="C10" s="684" t="str">
        <f t="shared" si="1"/>
        <v>CLOSED POSITION</v>
      </c>
      <c r="D10" s="685" t="str">
        <f t="shared" si="9"/>
        <v/>
      </c>
      <c r="E10" s="685" t="str">
        <f t="shared" si="2"/>
        <v/>
      </c>
      <c r="F10" s="686">
        <f>IF('[1]Data 2026'!D20="","",'[1]Data 2026'!D20)</f>
        <v>47</v>
      </c>
      <c r="G10" s="686">
        <f>IF('[1]Data 2026'!E20="","",'[1]Data 2026'!E20)</f>
        <v>200</v>
      </c>
      <c r="H10" s="687" t="str">
        <f>IF('[1]Data 2026'!H20="","",'[1]Data 2026'!H20)</f>
        <v>32015968-6</v>
      </c>
      <c r="I10" s="688">
        <f>IF('[1]Data 2026'!AA20="","",'[1]Data 2026'!AA20)</f>
        <v>250</v>
      </c>
      <c r="J10" s="685" t="str">
        <f>IF('[1]Data 2026'!K20="","",'[1]Data 2026'!K20)</f>
        <v>APRIL</v>
      </c>
      <c r="K10" s="685">
        <v>46142</v>
      </c>
      <c r="L10" s="685" t="str">
        <f>IF('[1]Data 2026'!L20="","",'[1]Data 2026'!L20)</f>
        <v>VALENCY CI</v>
      </c>
      <c r="M10" s="685" t="str">
        <f>IF('[1]Data 2026'!M20="","",'[1]Data 2026'!M20)</f>
        <v>VALENCY AGRO INDIA UDUPI</v>
      </c>
      <c r="N10" s="685" t="s">
        <v>1196</v>
      </c>
      <c r="O10" s="689">
        <f>IF('[1]Data 2026'!N20="","",'[1]Data 2026'!N20)</f>
        <v>267778302</v>
      </c>
      <c r="P10" s="690" t="str">
        <f>IF('[1]Data 2026'!O20="","",'[1]Data 2026'!O20)</f>
        <v/>
      </c>
      <c r="Q10" s="685" t="str">
        <f>IF('[1]Data 2026'!P20="","",'[1]Data 2026'!P20)</f>
        <v/>
      </c>
      <c r="R10" s="685" t="str">
        <f>IF('[1]Data 2026'!Q20="","",'[1]Data 2026'!Q20)</f>
        <v>ABJ</v>
      </c>
      <c r="S10" s="685" t="s">
        <v>210</v>
      </c>
      <c r="T10" s="685" t="str">
        <f>IF('[1]Data 2026'!R20="","",'[1]Data 2026'!R20)</f>
        <v>MANGALORE, INDIA</v>
      </c>
      <c r="U10" s="685" t="str">
        <f>IF('[1]Data 2026'!S20="","",'[1]Data 2026'!S20)</f>
        <v>MAERSK CUANZA</v>
      </c>
      <c r="V10" s="685">
        <f>IF('[1]Data 2026'!T20="","",'[1]Data 2026'!T20)</f>
        <v>46112</v>
      </c>
      <c r="W10" s="685">
        <f>IF('[1]Data 2026'!U20="","",'[1]Data 2026'!U20)</f>
        <v>46125</v>
      </c>
      <c r="X10" s="685">
        <f>IF('[1]Data 2026'!V20="","",'[1]Data 2026'!V20)</f>
        <v>46130</v>
      </c>
      <c r="Y10" s="685">
        <f>IF('[1]Data 2026'!W20="","",'[1]Data 2026'!W20)</f>
        <v>46159</v>
      </c>
      <c r="Z10" s="685">
        <f>IF('[1]Data 2026'!X20="","",'[1]Data 2026'!X20)</f>
        <v>46202</v>
      </c>
      <c r="AA10" s="685"/>
      <c r="AB10" s="685">
        <f>IF('[1]Data 2026'!Y20="","",'[1]Data 2026'!Y20)</f>
        <v>46172</v>
      </c>
      <c r="AC10" s="685" t="str">
        <f>IF('[1]Data 2026'!Z20="","",'[1]Data 2026'!Z20)</f>
        <v/>
      </c>
      <c r="AD10" s="691">
        <f>IF('[1]Data 2026'!AA20="","",'[1]Data 2026'!AA20)</f>
        <v>250</v>
      </c>
      <c r="AE10" s="691">
        <f>IF('[1]Data 2026'!AB20="","",'[1]Data 2026'!AB20)</f>
        <v>250</v>
      </c>
      <c r="AF10" s="685">
        <f>IF('[1]Data 2026'!AC20="","",'[1]Data 2026'!AC20)</f>
        <v>45777</v>
      </c>
      <c r="AG10" s="685" t="str">
        <f>IF('[1]Data 2026'!AD20="","",'[1]Data 2026'!AD20)</f>
        <v>WH-C</v>
      </c>
      <c r="AH10" s="686">
        <f>IF('[1]Data 2026'!AE20="","",'[1]Data 2026'!AE20)</f>
        <v>10</v>
      </c>
      <c r="AI10" s="685" t="str">
        <f>IF('[1]Data 2026'!AG20="","",'[1]Data 2026'!AG20)</f>
        <v xml:space="preserve">VALENCY SINGAPORE </v>
      </c>
      <c r="AJ10" s="685" t="str">
        <f>IF('[1]Data 2026'!AH20="","",'[1]Data 2026'!AH20)</f>
        <v>AFIC</v>
      </c>
      <c r="AK10" s="685" t="str">
        <f>IF('[1]Data 2026'!AI20="","",'[1]Data 2026'!AI20)</f>
        <v>MSK</v>
      </c>
      <c r="AL10" s="685" t="str">
        <f>IF('[1]Data 2026'!AJ20="","",'[1]Data 2026'!AJ20)</f>
        <v>40FT</v>
      </c>
      <c r="AM10" s="692">
        <f>IF('[1]Data 2026'!AK20="","",'[1]Data 2026'!AK20)</f>
        <v>0.1</v>
      </c>
      <c r="AN10" s="685" t="str">
        <f>IF('[1]Data 2026'!AL20="","",'[1]Data 2026'!AL20)</f>
        <v>(01x250MTS)</v>
      </c>
      <c r="AO10" s="691">
        <f>IF('[1]Data 2026'!AM20="","",'[1]Data 2026'!AM20)</f>
        <v>275</v>
      </c>
      <c r="AP10" s="691" t="str">
        <f t="shared" si="3"/>
        <v/>
      </c>
      <c r="AQ10" s="685" t="str">
        <f>IF('[1]Data 2026'!AO20="","",'[1]Data 2026'!AO20)</f>
        <v/>
      </c>
      <c r="AR10" s="685" t="str">
        <f>IF('[1]Data 2026'!AP20="","",'[1]Data 2026'!AP20)</f>
        <v/>
      </c>
      <c r="AS10" s="685" t="str">
        <f>IF('[1]Data 2026'!AQ20="","",'[1]Data 2026'!AQ20)</f>
        <v/>
      </c>
      <c r="AT10" s="685" t="str">
        <f>IF('[1]Data 2026'!AR20="","",'[1]Data 2026'!AR20)</f>
        <v/>
      </c>
      <c r="AU10" s="685" t="str">
        <f>IF('[1]Data 2026'!AW20="","",'[1]Data 2026'!AW20)</f>
        <v/>
      </c>
      <c r="AV10" s="685" t="str">
        <f>IF('[1]Data 2026'!AX20="","",'[1]Data 2026'!AX20)</f>
        <v/>
      </c>
      <c r="AW10" s="685" t="str">
        <f>IF('[1]Data 2026'!AY20="","",'[1]Data 2026'!AY20)</f>
        <v/>
      </c>
      <c r="AX10" s="685" t="str">
        <f>IF('[1]Data 2026'!AZ20="","",'[1]Data 2026'!AZ20)</f>
        <v/>
      </c>
      <c r="AY10" s="685" t="str">
        <f>IF('[1]Data 2026'!BA20="","",'[1]Data 2026'!BA20)</f>
        <v/>
      </c>
      <c r="AZ10" s="685" t="str">
        <f>IF('[1]Data 2026'!AS20="","",'[1]Data 2026'!AS20)</f>
        <v/>
      </c>
      <c r="BA10" s="685" t="str">
        <f>IF('[1]Data 2026'!AT20="","",'[1]Data 2026'!AT20)</f>
        <v/>
      </c>
      <c r="BB10" s="685" t="str">
        <f>IF('[1]Data 2026'!AU20="","",'[1]Data 2026'!AU20)</f>
        <v/>
      </c>
      <c r="BC10" s="685" t="str">
        <f>IF('[1]Data 2026'!AV20="","",'[1]Data 2026'!AV20)</f>
        <v/>
      </c>
      <c r="BD10" s="685" t="str">
        <f>IF('[1]Data 2026'!AW20="","",'[1]Data 2026'!AW20)</f>
        <v/>
      </c>
      <c r="BE10" s="685" t="str">
        <f>IF('[1]Data 2026'!AX20="","",'[1]Data 2026'!AX20)</f>
        <v/>
      </c>
      <c r="BF10" s="685" t="str">
        <f>IF('[1]Data 2026'!BF20="","",'[1]Data 2026'!BF20)</f>
        <v xml:space="preserve">VALENCY SINGAPORE </v>
      </c>
      <c r="BG10" s="685" t="str">
        <f>IF('[1]Data 2026'!BG20="","",'[1]Data 2026'!BG20)</f>
        <v/>
      </c>
      <c r="BH10" s="685" t="str">
        <f>IF('[1]Data 2026'!BH20="","",'[1]Data 2026'!BH20)</f>
        <v/>
      </c>
      <c r="BI10" s="685" t="str">
        <f>IF('[1]Data 2026'!BI20="","",'[1]Data 2026'!BI20)</f>
        <v/>
      </c>
      <c r="BJ10" s="685" t="str">
        <f>IF('[1]Data 2026'!BJ20="","",'[1]Data 2026'!BJ20)</f>
        <v/>
      </c>
      <c r="BK10" s="685" t="str">
        <f>IF('[1]Data 2026'!BK20="","",'[1]Data 2026'!BK20)</f>
        <v/>
      </c>
      <c r="BL10" s="685" t="str">
        <f>IF('[1]Data 2026'!BL20="","",'[1]Data 2026'!BL20)</f>
        <v>AFIC</v>
      </c>
      <c r="BM10" s="685" t="str">
        <f>IF('[1]Data 2026'!BM20="","",'[1]Data 2026'!BM20)</f>
        <v/>
      </c>
      <c r="BN10" s="685" t="str">
        <f>IF('[1]Data 2026'!BN20="","",'[1]Data 2026'!BN20)</f>
        <v/>
      </c>
      <c r="BO10" s="685" t="str">
        <f>IF('[1]Data 2026'!BO20="","",'[1]Data 2026'!BO20)</f>
        <v/>
      </c>
      <c r="BP10" s="685" t="str">
        <f>IF('[1]Data 2026'!BP20="","",'[1]Data 2026'!BP20)</f>
        <v/>
      </c>
      <c r="BQ10" s="685" t="str">
        <f>IF('[1]Data 2026'!BQ20="","",'[1]Data 2026'!BQ20)</f>
        <v/>
      </c>
      <c r="BR10" s="685" t="str">
        <f>IF('[1]Data 2026'!BR20="","",'[1]Data 2026'!BR20)</f>
        <v/>
      </c>
      <c r="BS10" s="685" t="str">
        <f>IF('[1]Data 2026'!BS20="","",'[1]Data 2026'!BS20)</f>
        <v/>
      </c>
      <c r="BT10" s="685" t="str">
        <f>IF('[1]Data 2026'!BV20="","",'[1]Data 2026'!BV20)</f>
        <v>ABSA/CMI</v>
      </c>
      <c r="BU10" s="685" t="str">
        <f>IF('[1]Data 2026'!BW20="","",'[1]Data 2026'!BW20)</f>
        <v/>
      </c>
      <c r="BV10" s="685" t="str">
        <f>IF('[1]Data 2026'!BX20="","",'[1]Data 2026'!BX20)</f>
        <v/>
      </c>
      <c r="BW10" s="685" t="str">
        <f>IF('[1]Data 2026'!BY20="","",'[1]Data 2026'!BY20)</f>
        <v/>
      </c>
      <c r="BX10" s="685" t="str">
        <f>IF('[1]Data 2026'!BZ20="","",'[1]Data 2026'!BZ20)</f>
        <v/>
      </c>
      <c r="BY10" s="685" t="str">
        <f>IF('[1]Data 2026'!CA20="","",'[1]Data 2026'!CA20)</f>
        <v>182610-14866</v>
      </c>
      <c r="BZ10" s="685">
        <f>IF('[1]Data 2026'!CB20="","",'[1]Data 2026'!CB20)</f>
        <v>46129</v>
      </c>
      <c r="CA10" s="685" t="str">
        <f>IF('[1]Data 2026'!CC20="","",'[1]Data 2026'!CC20)</f>
        <v>2026-0183</v>
      </c>
      <c r="CB10" s="685">
        <f>IF('[1]Data 2026'!CD20="","",'[1]Data 2026'!CD20)</f>
        <v>46129</v>
      </c>
      <c r="CC10" s="685" t="str">
        <f>IF('[1]Data 2026'!CE20="","",'[1]Data 2026'!CE20)</f>
        <v/>
      </c>
      <c r="CD10" s="685" t="str">
        <f>IF('[1]Data 2026'!CF20="","",'[1]Data 2026'!CF20)</f>
        <v/>
      </c>
      <c r="CE10" s="685">
        <f>IF('[1]Data 2026'!CG20="","",'[1]Data 2026'!CG20)</f>
        <v>46112</v>
      </c>
      <c r="CF10" s="685">
        <f>IF('[1]Data 2026'!CH20="","",'[1]Data 2026'!CH20)</f>
        <v>46129</v>
      </c>
      <c r="CG10" s="685" t="str">
        <f>IF('[1]Data 2026'!CI20="","",'[1]Data 2026'!CI20)</f>
        <v>E12092</v>
      </c>
      <c r="CH10" s="685" t="str">
        <f>IF('[1]Data 2026'!CJ20="","",'[1]Data 2026'!CJ20)</f>
        <v/>
      </c>
      <c r="CI10" s="685" t="str">
        <f>IF('[1]Data 2026'!CK20="","",'[1]Data 2026'!CK20)</f>
        <v/>
      </c>
      <c r="CJ10" s="685" t="str">
        <f>IF('[1]Data 2026'!CM20="","",'[1]Data 2026'!CM20)</f>
        <v/>
      </c>
      <c r="CK10" s="685" t="str">
        <f>IF('[1]Data 2026'!CN20="","",'[1]Data 2026'!CN20)</f>
        <v>Ajit</v>
      </c>
      <c r="CL10" s="691"/>
      <c r="CM10" s="691" t="str">
        <f>IF('[1]Data 2026'!CP20="","",'[1]Data 2026'!CP20)</f>
        <v/>
      </c>
      <c r="CN10" s="691"/>
      <c r="CO10" s="693"/>
      <c r="CP10" s="693"/>
      <c r="CQ10" s="693"/>
      <c r="CR10" s="686">
        <f t="shared" si="4"/>
        <v>13</v>
      </c>
      <c r="CS10" s="686">
        <f t="shared" si="4"/>
        <v>5</v>
      </c>
      <c r="CT10" s="686">
        <f t="shared" si="4"/>
        <v>29</v>
      </c>
      <c r="CU10" s="686" t="str">
        <f t="shared" si="5"/>
        <v/>
      </c>
      <c r="CV10" s="686" t="str">
        <f t="shared" si="6"/>
        <v/>
      </c>
      <c r="CW10" s="685" t="str">
        <f t="shared" si="10"/>
        <v/>
      </c>
      <c r="CX10" s="685" t="str">
        <f t="shared" si="11"/>
        <v/>
      </c>
      <c r="CY10" s="693">
        <f t="shared" ca="1" si="7"/>
        <v>0</v>
      </c>
      <c r="CZ10" s="693" t="str">
        <f t="shared" si="8"/>
        <v/>
      </c>
      <c r="DB10"/>
      <c r="DC10"/>
    </row>
    <row r="11" spans="1:108" s="694" customFormat="1">
      <c r="A11" s="682" t="str">
        <f t="shared" si="0"/>
        <v>F. GATED IN, SAILING AWAITED</v>
      </c>
      <c r="B11" s="695" t="s">
        <v>1195</v>
      </c>
      <c r="C11" s="684" t="str">
        <f t="shared" si="1"/>
        <v>CLOSED POSITION</v>
      </c>
      <c r="D11" s="685" t="str">
        <f t="shared" si="9"/>
        <v/>
      </c>
      <c r="E11" s="685" t="str">
        <f t="shared" si="2"/>
        <v/>
      </c>
      <c r="F11" s="686">
        <f>IF('[1]Data 2026'!D21="","",'[1]Data 2026'!D21)</f>
        <v>47</v>
      </c>
      <c r="G11" s="686">
        <f>IF('[1]Data 2026'!E21="","",'[1]Data 2026'!E21)</f>
        <v>200</v>
      </c>
      <c r="H11" s="687" t="str">
        <f>IF('[1]Data 2026'!H21="","",'[1]Data 2026'!H21)</f>
        <v>32015968-7</v>
      </c>
      <c r="I11" s="688">
        <f>IF('[1]Data 2026'!AA21="","",'[1]Data 2026'!AA21)</f>
        <v>250</v>
      </c>
      <c r="J11" s="685" t="str">
        <f>IF('[1]Data 2026'!K21="","",'[1]Data 2026'!K21)</f>
        <v>APRIL</v>
      </c>
      <c r="K11" s="685">
        <v>46142</v>
      </c>
      <c r="L11" s="685" t="str">
        <f>IF('[1]Data 2026'!L21="","",'[1]Data 2026'!L21)</f>
        <v>VALENCY CI</v>
      </c>
      <c r="M11" s="685" t="str">
        <f>IF('[1]Data 2026'!M21="","",'[1]Data 2026'!M21)</f>
        <v>VALENCY AGRO INDIA UDUPI</v>
      </c>
      <c r="N11" s="685" t="s">
        <v>1196</v>
      </c>
      <c r="O11" s="689">
        <f>IF('[1]Data 2026'!N21="","",'[1]Data 2026'!N21)</f>
        <v>267778372</v>
      </c>
      <c r="P11" s="690">
        <f>IF('[1]Data 2026'!O21="","",'[1]Data 2026'!O21)</f>
        <v>267778372</v>
      </c>
      <c r="Q11" s="685" t="str">
        <f>IF('[1]Data 2026'!P21="","",'[1]Data 2026'!P21)</f>
        <v/>
      </c>
      <c r="R11" s="685" t="str">
        <f>IF('[1]Data 2026'!Q21="","",'[1]Data 2026'!Q21)</f>
        <v>ABJ</v>
      </c>
      <c r="S11" s="685" t="s">
        <v>210</v>
      </c>
      <c r="T11" s="685" t="str">
        <f>IF('[1]Data 2026'!R21="","",'[1]Data 2026'!R21)</f>
        <v>MANGALORE, INDIA</v>
      </c>
      <c r="U11" s="685" t="str">
        <f>IF('[1]Data 2026'!S21="","",'[1]Data 2026'!S21)</f>
        <v>MAERSK CUANZA</v>
      </c>
      <c r="V11" s="685">
        <f>IF('[1]Data 2026'!T21="","",'[1]Data 2026'!T21)</f>
        <v>46112</v>
      </c>
      <c r="W11" s="685">
        <f>IF('[1]Data 2026'!U21="","",'[1]Data 2026'!U21)</f>
        <v>46125</v>
      </c>
      <c r="X11" s="685">
        <f>IF('[1]Data 2026'!V21="","",'[1]Data 2026'!V21)</f>
        <v>46130</v>
      </c>
      <c r="Y11" s="685">
        <f>IF('[1]Data 2026'!W21="","",'[1]Data 2026'!W21)</f>
        <v>46159</v>
      </c>
      <c r="Z11" s="685">
        <f>IF('[1]Data 2026'!X21="","",'[1]Data 2026'!X21)</f>
        <v>46202</v>
      </c>
      <c r="AA11" s="685"/>
      <c r="AB11" s="685">
        <f>IF('[1]Data 2026'!Y21="","",'[1]Data 2026'!Y21)</f>
        <v>46172</v>
      </c>
      <c r="AC11" s="685" t="str">
        <f>IF('[1]Data 2026'!Z21="","",'[1]Data 2026'!Z21)</f>
        <v/>
      </c>
      <c r="AD11" s="691">
        <f>IF('[1]Data 2026'!AA21="","",'[1]Data 2026'!AA21)</f>
        <v>250</v>
      </c>
      <c r="AE11" s="691">
        <f>IF('[1]Data 2026'!AB21="","",'[1]Data 2026'!AB21)</f>
        <v>250</v>
      </c>
      <c r="AF11" s="685">
        <f>IF('[1]Data 2026'!AC21="","",'[1]Data 2026'!AC21)</f>
        <v>45777</v>
      </c>
      <c r="AG11" s="685" t="str">
        <f>IF('[1]Data 2026'!AD21="","",'[1]Data 2026'!AD21)</f>
        <v>WH-C</v>
      </c>
      <c r="AH11" s="686">
        <f>IF('[1]Data 2026'!AE21="","",'[1]Data 2026'!AE21)</f>
        <v>10</v>
      </c>
      <c r="AI11" s="685" t="str">
        <f>IF('[1]Data 2026'!AG21="","",'[1]Data 2026'!AG21)</f>
        <v xml:space="preserve">VALENCY SINGAPORE </v>
      </c>
      <c r="AJ11" s="685" t="str">
        <f>IF('[1]Data 2026'!AH21="","",'[1]Data 2026'!AH21)</f>
        <v>AFIC</v>
      </c>
      <c r="AK11" s="685" t="str">
        <f>IF('[1]Data 2026'!AI21="","",'[1]Data 2026'!AI21)</f>
        <v>MSK</v>
      </c>
      <c r="AL11" s="685" t="str">
        <f>IF('[1]Data 2026'!AJ21="","",'[1]Data 2026'!AJ21)</f>
        <v>40FT</v>
      </c>
      <c r="AM11" s="692">
        <f>IF('[1]Data 2026'!AK21="","",'[1]Data 2026'!AK21)</f>
        <v>0.1</v>
      </c>
      <c r="AN11" s="685" t="str">
        <f>IF('[1]Data 2026'!AL21="","",'[1]Data 2026'!AL21)</f>
        <v>(01x250MTS)</v>
      </c>
      <c r="AO11" s="691">
        <f>IF('[1]Data 2026'!AM21="","",'[1]Data 2026'!AM21)</f>
        <v>275</v>
      </c>
      <c r="AP11" s="691" t="str">
        <f t="shared" si="3"/>
        <v/>
      </c>
      <c r="AQ11" s="685" t="str">
        <f>IF('[1]Data 2026'!AO21="","",'[1]Data 2026'!AO21)</f>
        <v/>
      </c>
      <c r="AR11" s="685" t="str">
        <f>IF('[1]Data 2026'!AP21="","",'[1]Data 2026'!AP21)</f>
        <v/>
      </c>
      <c r="AS11" s="685" t="str">
        <f>IF('[1]Data 2026'!AQ21="","",'[1]Data 2026'!AQ21)</f>
        <v/>
      </c>
      <c r="AT11" s="685" t="str">
        <f>IF('[1]Data 2026'!AR21="","",'[1]Data 2026'!AR21)</f>
        <v/>
      </c>
      <c r="AU11" s="685" t="str">
        <f>IF('[1]Data 2026'!AW21="","",'[1]Data 2026'!AW21)</f>
        <v/>
      </c>
      <c r="AV11" s="685" t="str">
        <f>IF('[1]Data 2026'!AX21="","",'[1]Data 2026'!AX21)</f>
        <v/>
      </c>
      <c r="AW11" s="685" t="str">
        <f>IF('[1]Data 2026'!AY21="","",'[1]Data 2026'!AY21)</f>
        <v/>
      </c>
      <c r="AX11" s="685" t="str">
        <f>IF('[1]Data 2026'!AZ21="","",'[1]Data 2026'!AZ21)</f>
        <v/>
      </c>
      <c r="AY11" s="685" t="str">
        <f>IF('[1]Data 2026'!BA21="","",'[1]Data 2026'!BA21)</f>
        <v/>
      </c>
      <c r="AZ11" s="685" t="str">
        <f>IF('[1]Data 2026'!AS21="","",'[1]Data 2026'!AS21)</f>
        <v/>
      </c>
      <c r="BA11" s="685" t="str">
        <f>IF('[1]Data 2026'!AT21="","",'[1]Data 2026'!AT21)</f>
        <v/>
      </c>
      <c r="BB11" s="685" t="str">
        <f>IF('[1]Data 2026'!AU21="","",'[1]Data 2026'!AU21)</f>
        <v/>
      </c>
      <c r="BC11" s="685" t="str">
        <f>IF('[1]Data 2026'!AV21="","",'[1]Data 2026'!AV21)</f>
        <v/>
      </c>
      <c r="BD11" s="685" t="str">
        <f>IF('[1]Data 2026'!AW21="","",'[1]Data 2026'!AW21)</f>
        <v/>
      </c>
      <c r="BE11" s="685" t="str">
        <f>IF('[1]Data 2026'!AX21="","",'[1]Data 2026'!AX21)</f>
        <v/>
      </c>
      <c r="BF11" s="685" t="str">
        <f>IF('[1]Data 2026'!BF21="","",'[1]Data 2026'!BF21)</f>
        <v xml:space="preserve">VALENCY SINGAPORE </v>
      </c>
      <c r="BG11" s="685" t="str">
        <f>IF('[1]Data 2026'!BG21="","",'[1]Data 2026'!BG21)</f>
        <v/>
      </c>
      <c r="BH11" s="685" t="str">
        <f>IF('[1]Data 2026'!BH21="","",'[1]Data 2026'!BH21)</f>
        <v/>
      </c>
      <c r="BI11" s="685" t="str">
        <f>IF('[1]Data 2026'!BI21="","",'[1]Data 2026'!BI21)</f>
        <v/>
      </c>
      <c r="BJ11" s="685" t="str">
        <f>IF('[1]Data 2026'!BJ21="","",'[1]Data 2026'!BJ21)</f>
        <v/>
      </c>
      <c r="BK11" s="685" t="str">
        <f>IF('[1]Data 2026'!BK21="","",'[1]Data 2026'!BK21)</f>
        <v/>
      </c>
      <c r="BL11" s="685" t="str">
        <f>IF('[1]Data 2026'!BL21="","",'[1]Data 2026'!BL21)</f>
        <v>AFIC</v>
      </c>
      <c r="BM11" s="685" t="str">
        <f>IF('[1]Data 2026'!BM21="","",'[1]Data 2026'!BM21)</f>
        <v/>
      </c>
      <c r="BN11" s="685" t="str">
        <f>IF('[1]Data 2026'!BN21="","",'[1]Data 2026'!BN21)</f>
        <v/>
      </c>
      <c r="BO11" s="685" t="str">
        <f>IF('[1]Data 2026'!BO21="","",'[1]Data 2026'!BO21)</f>
        <v/>
      </c>
      <c r="BP11" s="685" t="str">
        <f>IF('[1]Data 2026'!BP21="","",'[1]Data 2026'!BP21)</f>
        <v/>
      </c>
      <c r="BQ11" s="685" t="str">
        <f>IF('[1]Data 2026'!BQ21="","",'[1]Data 2026'!BQ21)</f>
        <v/>
      </c>
      <c r="BR11" s="685" t="str">
        <f>IF('[1]Data 2026'!BR21="","",'[1]Data 2026'!BR21)</f>
        <v/>
      </c>
      <c r="BS11" s="685" t="str">
        <f>IF('[1]Data 2026'!BS21="","",'[1]Data 2026'!BS21)</f>
        <v/>
      </c>
      <c r="BT11" s="685" t="str">
        <f>IF('[1]Data 2026'!BV21="","",'[1]Data 2026'!BV21)</f>
        <v>ABSA/CMI</v>
      </c>
      <c r="BU11" s="685" t="str">
        <f>IF('[1]Data 2026'!BW21="","",'[1]Data 2026'!BW21)</f>
        <v/>
      </c>
      <c r="BV11" s="685" t="str">
        <f>IF('[1]Data 2026'!BX21="","",'[1]Data 2026'!BX21)</f>
        <v/>
      </c>
      <c r="BW11" s="685" t="str">
        <f>IF('[1]Data 2026'!BY21="","",'[1]Data 2026'!BY21)</f>
        <v/>
      </c>
      <c r="BX11" s="685" t="str">
        <f>IF('[1]Data 2026'!BZ21="","",'[1]Data 2026'!BZ21)</f>
        <v/>
      </c>
      <c r="BY11" s="685" t="str">
        <f>IF('[1]Data 2026'!CA21="","",'[1]Data 2026'!CA21)</f>
        <v>182610-14847</v>
      </c>
      <c r="BZ11" s="685">
        <f>IF('[1]Data 2026'!CB21="","",'[1]Data 2026'!CB21)</f>
        <v>46129</v>
      </c>
      <c r="CA11" s="685" t="str">
        <f>IF('[1]Data 2026'!CC21="","",'[1]Data 2026'!CC21)</f>
        <v>2026-0163</v>
      </c>
      <c r="CB11" s="685">
        <f>IF('[1]Data 2026'!CD21="","",'[1]Data 2026'!CD21)</f>
        <v>46129</v>
      </c>
      <c r="CC11" s="685" t="str">
        <f>IF('[1]Data 2026'!CE21="","",'[1]Data 2026'!CE21)</f>
        <v/>
      </c>
      <c r="CD11" s="685" t="str">
        <f>IF('[1]Data 2026'!CF21="","",'[1]Data 2026'!CF21)</f>
        <v/>
      </c>
      <c r="CE11" s="685">
        <f>IF('[1]Data 2026'!CG21="","",'[1]Data 2026'!CG21)</f>
        <v>46112</v>
      </c>
      <c r="CF11" s="685">
        <f>IF('[1]Data 2026'!CH21="","",'[1]Data 2026'!CH21)</f>
        <v>46129</v>
      </c>
      <c r="CG11" s="685" t="str">
        <f>IF('[1]Data 2026'!CI21="","",'[1]Data 2026'!CI21)</f>
        <v>E12092</v>
      </c>
      <c r="CH11" s="685" t="str">
        <f>IF('[1]Data 2026'!CJ21="","",'[1]Data 2026'!CJ21)</f>
        <v/>
      </c>
      <c r="CI11" s="685" t="str">
        <f>IF('[1]Data 2026'!CK21="","",'[1]Data 2026'!CK21)</f>
        <v/>
      </c>
      <c r="CJ11" s="685" t="str">
        <f>IF('[1]Data 2026'!CM21="","",'[1]Data 2026'!CM21)</f>
        <v/>
      </c>
      <c r="CK11" s="685" t="str">
        <f>IF('[1]Data 2026'!CN21="","",'[1]Data 2026'!CN21)</f>
        <v>Ajit</v>
      </c>
      <c r="CL11" s="691"/>
      <c r="CM11" s="691" t="str">
        <f>IF('[1]Data 2026'!CP21="","",'[1]Data 2026'!CP21)</f>
        <v/>
      </c>
      <c r="CN11" s="691"/>
      <c r="CO11" s="693"/>
      <c r="CP11" s="693"/>
      <c r="CQ11" s="693"/>
      <c r="CR11" s="686">
        <f t="shared" si="4"/>
        <v>13</v>
      </c>
      <c r="CS11" s="686">
        <f t="shared" si="4"/>
        <v>5</v>
      </c>
      <c r="CT11" s="686">
        <f t="shared" si="4"/>
        <v>29</v>
      </c>
      <c r="CU11" s="686" t="str">
        <f t="shared" si="5"/>
        <v/>
      </c>
      <c r="CV11" s="686" t="str">
        <f t="shared" si="6"/>
        <v/>
      </c>
      <c r="CW11" s="685" t="str">
        <f t="shared" si="10"/>
        <v/>
      </c>
      <c r="CX11" s="685" t="str">
        <f t="shared" si="11"/>
        <v/>
      </c>
      <c r="CY11" s="693">
        <f t="shared" ca="1" si="7"/>
        <v>0</v>
      </c>
      <c r="CZ11" s="693" t="str">
        <f t="shared" si="8"/>
        <v/>
      </c>
      <c r="DB11"/>
      <c r="DC11"/>
    </row>
    <row r="12" spans="1:108" s="694" customFormat="1">
      <c r="A12" s="682" t="str">
        <f t="shared" si="0"/>
        <v>F. GATED IN, SAILING AWAITED</v>
      </c>
      <c r="B12" s="695" t="s">
        <v>1195</v>
      </c>
      <c r="C12" s="684" t="str">
        <f t="shared" si="1"/>
        <v>CLOSED POSITION</v>
      </c>
      <c r="D12" s="685" t="str">
        <f t="shared" si="9"/>
        <v/>
      </c>
      <c r="E12" s="685" t="str">
        <f t="shared" si="2"/>
        <v/>
      </c>
      <c r="F12" s="686">
        <f>IF('[1]Data 2026'!D22="","",'[1]Data 2026'!D22)</f>
        <v>47</v>
      </c>
      <c r="G12" s="686">
        <f>IF('[1]Data 2026'!E22="","",'[1]Data 2026'!E22)</f>
        <v>200</v>
      </c>
      <c r="H12" s="687" t="str">
        <f>IF('[1]Data 2026'!H22="","",'[1]Data 2026'!H22)</f>
        <v>32015969-4</v>
      </c>
      <c r="I12" s="688">
        <f>IF('[1]Data 2026'!AA22="","",'[1]Data 2026'!AA22)</f>
        <v>250</v>
      </c>
      <c r="J12" s="685" t="str">
        <f>IF('[1]Data 2026'!K22="","",'[1]Data 2026'!K22)</f>
        <v>APRIL</v>
      </c>
      <c r="K12" s="685">
        <v>46142</v>
      </c>
      <c r="L12" s="685" t="str">
        <f>IF('[1]Data 2026'!L22="","",'[1]Data 2026'!L22)</f>
        <v>VALENCY CI</v>
      </c>
      <c r="M12" s="685" t="str">
        <f>IF('[1]Data 2026'!M22="","",'[1]Data 2026'!M22)</f>
        <v>VALENCY AGRO INDIA GUJRAT</v>
      </c>
      <c r="N12" s="685" t="s">
        <v>1196</v>
      </c>
      <c r="O12" s="689">
        <f>IF('[1]Data 2026'!N22="","",'[1]Data 2026'!N22)</f>
        <v>268584744</v>
      </c>
      <c r="P12" s="690">
        <f>IF('[1]Data 2026'!O22="","",'[1]Data 2026'!O22)</f>
        <v>268584744</v>
      </c>
      <c r="Q12" s="685" t="str">
        <f>IF('[1]Data 2026'!P22="","",'[1]Data 2026'!P22)</f>
        <v/>
      </c>
      <c r="R12" s="685" t="str">
        <f>IF('[1]Data 2026'!Q22="","",'[1]Data 2026'!Q22)</f>
        <v>ABJ</v>
      </c>
      <c r="S12" s="685" t="s">
        <v>210</v>
      </c>
      <c r="T12" s="685" t="str">
        <f>IF('[1]Data 2026'!R22="","",'[1]Data 2026'!R22)</f>
        <v>MUNDRA, INDIA</v>
      </c>
      <c r="U12" s="685" t="str">
        <f>IF('[1]Data 2026'!S22="","",'[1]Data 2026'!S22)</f>
        <v>MAERSK CUANZA</v>
      </c>
      <c r="V12" s="685">
        <f>IF('[1]Data 2026'!T22="","",'[1]Data 2026'!T22)</f>
        <v>46112</v>
      </c>
      <c r="W12" s="685">
        <f>IF('[1]Data 2026'!U22="","",'[1]Data 2026'!U22)</f>
        <v>46125</v>
      </c>
      <c r="X12" s="685">
        <f>IF('[1]Data 2026'!V22="","",'[1]Data 2026'!V22)</f>
        <v>46130</v>
      </c>
      <c r="Y12" s="685">
        <f>IF('[1]Data 2026'!W22="","",'[1]Data 2026'!W22)</f>
        <v>46159</v>
      </c>
      <c r="Z12" s="685">
        <f>IF('[1]Data 2026'!X22="","",'[1]Data 2026'!X22)</f>
        <v>46193</v>
      </c>
      <c r="AA12" s="685"/>
      <c r="AB12" s="685">
        <f>IF('[1]Data 2026'!Y22="","",'[1]Data 2026'!Y22)</f>
        <v>46172</v>
      </c>
      <c r="AC12" s="685" t="str">
        <f>IF('[1]Data 2026'!Z22="","",'[1]Data 2026'!Z22)</f>
        <v/>
      </c>
      <c r="AD12" s="691">
        <f>IF('[1]Data 2026'!AA22="","",'[1]Data 2026'!AA22)</f>
        <v>250</v>
      </c>
      <c r="AE12" s="691">
        <f>IF('[1]Data 2026'!AB22="","",'[1]Data 2026'!AB22)</f>
        <v>250</v>
      </c>
      <c r="AF12" s="685">
        <f>IF('[1]Data 2026'!AC22="","",'[1]Data 2026'!AC22)</f>
        <v>45777</v>
      </c>
      <c r="AG12" s="685" t="str">
        <f>IF('[1]Data 2026'!AD22="","",'[1]Data 2026'!AD22)</f>
        <v>WH-C</v>
      </c>
      <c r="AH12" s="686">
        <f>IF('[1]Data 2026'!AE22="","",'[1]Data 2026'!AE22)</f>
        <v>10</v>
      </c>
      <c r="AI12" s="685" t="str">
        <f>IF('[1]Data 2026'!AG22="","",'[1]Data 2026'!AG22)</f>
        <v xml:space="preserve">VALENCY SINGAPORE </v>
      </c>
      <c r="AJ12" s="685" t="str">
        <f>IF('[1]Data 2026'!AH22="","",'[1]Data 2026'!AH22)</f>
        <v>AFIC</v>
      </c>
      <c r="AK12" s="685" t="str">
        <f>IF('[1]Data 2026'!AI22="","",'[1]Data 2026'!AI22)</f>
        <v>MSK</v>
      </c>
      <c r="AL12" s="685" t="str">
        <f>IF('[1]Data 2026'!AJ22="","",'[1]Data 2026'!AJ22)</f>
        <v>40FT</v>
      </c>
      <c r="AM12" s="692">
        <f>IF('[1]Data 2026'!AK22="","",'[1]Data 2026'!AK22)</f>
        <v>0.1</v>
      </c>
      <c r="AN12" s="685" t="str">
        <f>IF('[1]Data 2026'!AL22="","",'[1]Data 2026'!AL22)</f>
        <v>(01x250MTS)</v>
      </c>
      <c r="AO12" s="691">
        <f>IF('[1]Data 2026'!AM22="","",'[1]Data 2026'!AM22)</f>
        <v>275</v>
      </c>
      <c r="AP12" s="691" t="str">
        <f t="shared" si="3"/>
        <v/>
      </c>
      <c r="AQ12" s="685" t="str">
        <f>IF('[1]Data 2026'!AO22="","",'[1]Data 2026'!AO22)</f>
        <v/>
      </c>
      <c r="AR12" s="685" t="str">
        <f>IF('[1]Data 2026'!AP22="","",'[1]Data 2026'!AP22)</f>
        <v/>
      </c>
      <c r="AS12" s="685" t="str">
        <f>IF('[1]Data 2026'!AQ22="","",'[1]Data 2026'!AQ22)</f>
        <v/>
      </c>
      <c r="AT12" s="685" t="str">
        <f>IF('[1]Data 2026'!AR22="","",'[1]Data 2026'!AR22)</f>
        <v/>
      </c>
      <c r="AU12" s="685" t="str">
        <f>IF('[1]Data 2026'!AW22="","",'[1]Data 2026'!AW22)</f>
        <v/>
      </c>
      <c r="AV12" s="685" t="str">
        <f>IF('[1]Data 2026'!AX22="","",'[1]Data 2026'!AX22)</f>
        <v/>
      </c>
      <c r="AW12" s="685" t="str">
        <f>IF('[1]Data 2026'!AY22="","",'[1]Data 2026'!AY22)</f>
        <v/>
      </c>
      <c r="AX12" s="685" t="str">
        <f>IF('[1]Data 2026'!AZ22="","",'[1]Data 2026'!AZ22)</f>
        <v/>
      </c>
      <c r="AY12" s="685" t="str">
        <f>IF('[1]Data 2026'!BA22="","",'[1]Data 2026'!BA22)</f>
        <v/>
      </c>
      <c r="AZ12" s="685" t="str">
        <f>IF('[1]Data 2026'!AS22="","",'[1]Data 2026'!AS22)</f>
        <v/>
      </c>
      <c r="BA12" s="685" t="str">
        <f>IF('[1]Data 2026'!AT22="","",'[1]Data 2026'!AT22)</f>
        <v/>
      </c>
      <c r="BB12" s="685" t="str">
        <f>IF('[1]Data 2026'!AU22="","",'[1]Data 2026'!AU22)</f>
        <v/>
      </c>
      <c r="BC12" s="685" t="str">
        <f>IF('[1]Data 2026'!AV22="","",'[1]Data 2026'!AV22)</f>
        <v/>
      </c>
      <c r="BD12" s="685" t="str">
        <f>IF('[1]Data 2026'!AW22="","",'[1]Data 2026'!AW22)</f>
        <v/>
      </c>
      <c r="BE12" s="685" t="str">
        <f>IF('[1]Data 2026'!AX22="","",'[1]Data 2026'!AX22)</f>
        <v/>
      </c>
      <c r="BF12" s="685" t="str">
        <f>IF('[1]Data 2026'!BF22="","",'[1]Data 2026'!BF22)</f>
        <v xml:space="preserve">VALENCY SINGAPORE </v>
      </c>
      <c r="BG12" s="685" t="str">
        <f>IF('[1]Data 2026'!BG22="","",'[1]Data 2026'!BG22)</f>
        <v/>
      </c>
      <c r="BH12" s="685" t="str">
        <f>IF('[1]Data 2026'!BH22="","",'[1]Data 2026'!BH22)</f>
        <v/>
      </c>
      <c r="BI12" s="685" t="str">
        <f>IF('[1]Data 2026'!BI22="","",'[1]Data 2026'!BI22)</f>
        <v/>
      </c>
      <c r="BJ12" s="685" t="str">
        <f>IF('[1]Data 2026'!BJ22="","",'[1]Data 2026'!BJ22)</f>
        <v/>
      </c>
      <c r="BK12" s="685" t="str">
        <f>IF('[1]Data 2026'!BK22="","",'[1]Data 2026'!BK22)</f>
        <v/>
      </c>
      <c r="BL12" s="685" t="str">
        <f>IF('[1]Data 2026'!BL22="","",'[1]Data 2026'!BL22)</f>
        <v>AFIC</v>
      </c>
      <c r="BM12" s="685" t="str">
        <f>IF('[1]Data 2026'!BM22="","",'[1]Data 2026'!BM22)</f>
        <v/>
      </c>
      <c r="BN12" s="685" t="str">
        <f>IF('[1]Data 2026'!BN22="","",'[1]Data 2026'!BN22)</f>
        <v/>
      </c>
      <c r="BO12" s="685" t="str">
        <f>IF('[1]Data 2026'!BO22="","",'[1]Data 2026'!BO22)</f>
        <v/>
      </c>
      <c r="BP12" s="685" t="str">
        <f>IF('[1]Data 2026'!BP22="","",'[1]Data 2026'!BP22)</f>
        <v/>
      </c>
      <c r="BQ12" s="685" t="str">
        <f>IF('[1]Data 2026'!BQ22="","",'[1]Data 2026'!BQ22)</f>
        <v/>
      </c>
      <c r="BR12" s="685" t="str">
        <f>IF('[1]Data 2026'!BR22="","",'[1]Data 2026'!BR22)</f>
        <v/>
      </c>
      <c r="BS12" s="685" t="str">
        <f>IF('[1]Data 2026'!BS22="","",'[1]Data 2026'!BS22)</f>
        <v/>
      </c>
      <c r="BT12" s="685" t="str">
        <f>IF('[1]Data 2026'!BV22="","",'[1]Data 2026'!BV22)</f>
        <v>ABSA/CMI</v>
      </c>
      <c r="BU12" s="685" t="str">
        <f>IF('[1]Data 2026'!BW22="","",'[1]Data 2026'!BW22)</f>
        <v/>
      </c>
      <c r="BV12" s="685" t="str">
        <f>IF('[1]Data 2026'!BX22="","",'[1]Data 2026'!BX22)</f>
        <v/>
      </c>
      <c r="BW12" s="685" t="str">
        <f>IF('[1]Data 2026'!BY22="","",'[1]Data 2026'!BY22)</f>
        <v/>
      </c>
      <c r="BX12" s="685" t="str">
        <f>IF('[1]Data 2026'!BZ22="","",'[1]Data 2026'!BZ22)</f>
        <v/>
      </c>
      <c r="BY12" s="685" t="str">
        <f>IF('[1]Data 2026'!CA22="","",'[1]Data 2026'!CA22)</f>
        <v>182610-14929</v>
      </c>
      <c r="BZ12" s="685">
        <f>IF('[1]Data 2026'!CB22="","",'[1]Data 2026'!CB22)</f>
        <v>46134</v>
      </c>
      <c r="CA12" s="685" t="str">
        <f>IF('[1]Data 2026'!CC22="","",'[1]Data 2026'!CC22)</f>
        <v>2026-0160</v>
      </c>
      <c r="CB12" s="685">
        <f>IF('[1]Data 2026'!CD22="","",'[1]Data 2026'!CD22)</f>
        <v>46134</v>
      </c>
      <c r="CC12" s="685" t="str">
        <f>IF('[1]Data 2026'!CE22="","",'[1]Data 2026'!CE22)</f>
        <v/>
      </c>
      <c r="CD12" s="685" t="str">
        <f>IF('[1]Data 2026'!CF22="","",'[1]Data 2026'!CF22)</f>
        <v/>
      </c>
      <c r="CE12" s="685">
        <f>IF('[1]Data 2026'!CG22="","",'[1]Data 2026'!CG22)</f>
        <v>46112</v>
      </c>
      <c r="CF12" s="685">
        <f>IF('[1]Data 2026'!CH22="","",'[1]Data 2026'!CH22)</f>
        <v>46129</v>
      </c>
      <c r="CG12" s="685" t="str">
        <f>IF('[1]Data 2026'!CI22="","",'[1]Data 2026'!CI22)</f>
        <v>E11994</v>
      </c>
      <c r="CH12" s="685" t="str">
        <f>IF('[1]Data 2026'!CJ22="","",'[1]Data 2026'!CJ22)</f>
        <v/>
      </c>
      <c r="CI12" s="685" t="str">
        <f>IF('[1]Data 2026'!CK22="","",'[1]Data 2026'!CK22)</f>
        <v/>
      </c>
      <c r="CJ12" s="685" t="str">
        <f>IF('[1]Data 2026'!CM22="","",'[1]Data 2026'!CM22)</f>
        <v/>
      </c>
      <c r="CK12" s="685" t="str">
        <f>IF('[1]Data 2026'!CN22="","",'[1]Data 2026'!CN22)</f>
        <v>Ajit</v>
      </c>
      <c r="CL12" s="691"/>
      <c r="CM12" s="691" t="str">
        <f>IF('[1]Data 2026'!CP22="","",'[1]Data 2026'!CP22)</f>
        <v/>
      </c>
      <c r="CN12" s="691"/>
      <c r="CO12" s="693"/>
      <c r="CP12" s="693"/>
      <c r="CQ12" s="693"/>
      <c r="CR12" s="686">
        <f t="shared" si="4"/>
        <v>13</v>
      </c>
      <c r="CS12" s="686">
        <f t="shared" si="4"/>
        <v>5</v>
      </c>
      <c r="CT12" s="686">
        <f t="shared" si="4"/>
        <v>29</v>
      </c>
      <c r="CU12" s="686" t="str">
        <f t="shared" si="5"/>
        <v/>
      </c>
      <c r="CV12" s="686" t="str">
        <f t="shared" si="6"/>
        <v/>
      </c>
      <c r="CW12" s="685" t="str">
        <f t="shared" si="10"/>
        <v/>
      </c>
      <c r="CX12" s="685" t="str">
        <f t="shared" si="11"/>
        <v/>
      </c>
      <c r="CY12" s="693">
        <f t="shared" ca="1" si="7"/>
        <v>0</v>
      </c>
      <c r="CZ12" s="693" t="str">
        <f t="shared" si="8"/>
        <v/>
      </c>
      <c r="DB12"/>
      <c r="DC12"/>
    </row>
    <row r="13" spans="1:108" s="694" customFormat="1">
      <c r="A13" s="682" t="str">
        <f t="shared" si="0"/>
        <v>F. GATED IN, SAILING AWAITED</v>
      </c>
      <c r="B13" s="695" t="s">
        <v>1195</v>
      </c>
      <c r="C13" s="684" t="str">
        <f t="shared" si="1"/>
        <v>CLOSED POSITION</v>
      </c>
      <c r="D13" s="685" t="str">
        <f t="shared" si="9"/>
        <v/>
      </c>
      <c r="E13" s="685" t="str">
        <f t="shared" si="2"/>
        <v/>
      </c>
      <c r="F13" s="686">
        <f>IF('[1]Data 2026'!D23="","",'[1]Data 2026'!D23)</f>
        <v>47</v>
      </c>
      <c r="G13" s="686">
        <f>IF('[1]Data 2026'!E23="","",'[1]Data 2026'!E23)</f>
        <v>200</v>
      </c>
      <c r="H13" s="687" t="str">
        <f>IF('[1]Data 2026'!H23="","",'[1]Data 2026'!H23)</f>
        <v>32015969-5</v>
      </c>
      <c r="I13" s="688">
        <f>IF('[1]Data 2026'!AA23="","",'[1]Data 2026'!AA23)</f>
        <v>250</v>
      </c>
      <c r="J13" s="685" t="str">
        <f>IF('[1]Data 2026'!K23="","",'[1]Data 2026'!K23)</f>
        <v>APRIL</v>
      </c>
      <c r="K13" s="685">
        <v>46142</v>
      </c>
      <c r="L13" s="685" t="str">
        <f>IF('[1]Data 2026'!L23="","",'[1]Data 2026'!L23)</f>
        <v>VALENCY CI</v>
      </c>
      <c r="M13" s="685" t="str">
        <f>IF('[1]Data 2026'!M23="","",'[1]Data 2026'!M23)</f>
        <v>VALENCY AGRO INDIA GUJRAT</v>
      </c>
      <c r="N13" s="685" t="s">
        <v>1197</v>
      </c>
      <c r="O13" s="689">
        <f>IF('[1]Data 2026'!N23="","",'[1]Data 2026'!N23)</f>
        <v>268585803</v>
      </c>
      <c r="P13" s="690">
        <f>IF('[1]Data 2026'!O23="","",'[1]Data 2026'!O23)</f>
        <v>268585803</v>
      </c>
      <c r="Q13" s="685" t="str">
        <f>IF('[1]Data 2026'!P23="","",'[1]Data 2026'!P23)</f>
        <v/>
      </c>
      <c r="R13" s="685" t="str">
        <f>IF('[1]Data 2026'!Q23="","",'[1]Data 2026'!Q23)</f>
        <v>ABJ</v>
      </c>
      <c r="S13" s="685" t="s">
        <v>210</v>
      </c>
      <c r="T13" s="685" t="str">
        <f>IF('[1]Data 2026'!R23="","",'[1]Data 2026'!R23)</f>
        <v>MUNDRA, INDIA</v>
      </c>
      <c r="U13" s="685" t="str">
        <f>IF('[1]Data 2026'!S23="","",'[1]Data 2026'!S23)</f>
        <v>MAERSK CUANZA</v>
      </c>
      <c r="V13" s="685">
        <f>IF('[1]Data 2026'!T23="","",'[1]Data 2026'!T23)</f>
        <v>46112</v>
      </c>
      <c r="W13" s="685">
        <f>IF('[1]Data 2026'!U23="","",'[1]Data 2026'!U23)</f>
        <v>46125</v>
      </c>
      <c r="X13" s="685">
        <f>IF('[1]Data 2026'!V23="","",'[1]Data 2026'!V23)</f>
        <v>46130</v>
      </c>
      <c r="Y13" s="685">
        <f>IF('[1]Data 2026'!W23="","",'[1]Data 2026'!W23)</f>
        <v>46159</v>
      </c>
      <c r="Z13" s="685">
        <f>IF('[1]Data 2026'!X23="","",'[1]Data 2026'!X23)</f>
        <v>46193</v>
      </c>
      <c r="AA13" s="685"/>
      <c r="AB13" s="685">
        <f>IF('[1]Data 2026'!Y23="","",'[1]Data 2026'!Y23)</f>
        <v>46172</v>
      </c>
      <c r="AC13" s="685" t="str">
        <f>IF('[1]Data 2026'!Z23="","",'[1]Data 2026'!Z23)</f>
        <v/>
      </c>
      <c r="AD13" s="691">
        <f>IF('[1]Data 2026'!AA23="","",'[1]Data 2026'!AA23)</f>
        <v>250</v>
      </c>
      <c r="AE13" s="691">
        <f>IF('[1]Data 2026'!AB23="","",'[1]Data 2026'!AB23)</f>
        <v>250</v>
      </c>
      <c r="AF13" s="685">
        <f>IF('[1]Data 2026'!AC23="","",'[1]Data 2026'!AC23)</f>
        <v>45777</v>
      </c>
      <c r="AG13" s="685" t="str">
        <f>IF('[1]Data 2026'!AD23="","",'[1]Data 2026'!AD23)</f>
        <v>WH-C</v>
      </c>
      <c r="AH13" s="686">
        <f>IF('[1]Data 2026'!AE23="","",'[1]Data 2026'!AE23)</f>
        <v>10</v>
      </c>
      <c r="AI13" s="685" t="str">
        <f>IF('[1]Data 2026'!AG23="","",'[1]Data 2026'!AG23)</f>
        <v xml:space="preserve">VALENCY SINGAPORE </v>
      </c>
      <c r="AJ13" s="685" t="str">
        <f>IF('[1]Data 2026'!AH23="","",'[1]Data 2026'!AH23)</f>
        <v>AFIC</v>
      </c>
      <c r="AK13" s="685" t="str">
        <f>IF('[1]Data 2026'!AI23="","",'[1]Data 2026'!AI23)</f>
        <v>MSK</v>
      </c>
      <c r="AL13" s="685" t="str">
        <f>IF('[1]Data 2026'!AJ23="","",'[1]Data 2026'!AJ23)</f>
        <v>40FT</v>
      </c>
      <c r="AM13" s="692">
        <f>IF('[1]Data 2026'!AK23="","",'[1]Data 2026'!AK23)</f>
        <v>0.1</v>
      </c>
      <c r="AN13" s="685" t="str">
        <f>IF('[1]Data 2026'!AL23="","",'[1]Data 2026'!AL23)</f>
        <v>(01x250MTS)</v>
      </c>
      <c r="AO13" s="691">
        <f>IF('[1]Data 2026'!AM23="","",'[1]Data 2026'!AM23)</f>
        <v>275</v>
      </c>
      <c r="AP13" s="691" t="str">
        <f t="shared" si="3"/>
        <v/>
      </c>
      <c r="AQ13" s="685" t="str">
        <f>IF('[1]Data 2026'!AO23="","",'[1]Data 2026'!AO23)</f>
        <v/>
      </c>
      <c r="AR13" s="685" t="str">
        <f>IF('[1]Data 2026'!AP23="","",'[1]Data 2026'!AP23)</f>
        <v/>
      </c>
      <c r="AS13" s="685" t="str">
        <f>IF('[1]Data 2026'!AQ23="","",'[1]Data 2026'!AQ23)</f>
        <v/>
      </c>
      <c r="AT13" s="685" t="str">
        <f>IF('[1]Data 2026'!AR23="","",'[1]Data 2026'!AR23)</f>
        <v/>
      </c>
      <c r="AU13" s="685" t="str">
        <f>IF('[1]Data 2026'!AW23="","",'[1]Data 2026'!AW23)</f>
        <v/>
      </c>
      <c r="AV13" s="685" t="str">
        <f>IF('[1]Data 2026'!AX23="","",'[1]Data 2026'!AX23)</f>
        <v/>
      </c>
      <c r="AW13" s="685" t="str">
        <f>IF('[1]Data 2026'!AY23="","",'[1]Data 2026'!AY23)</f>
        <v/>
      </c>
      <c r="AX13" s="685" t="str">
        <f>IF('[1]Data 2026'!AZ23="","",'[1]Data 2026'!AZ23)</f>
        <v/>
      </c>
      <c r="AY13" s="685" t="str">
        <f>IF('[1]Data 2026'!BA23="","",'[1]Data 2026'!BA23)</f>
        <v/>
      </c>
      <c r="AZ13" s="685" t="str">
        <f>IF('[1]Data 2026'!AS23="","",'[1]Data 2026'!AS23)</f>
        <v/>
      </c>
      <c r="BA13" s="685" t="str">
        <f>IF('[1]Data 2026'!AT23="","",'[1]Data 2026'!AT23)</f>
        <v/>
      </c>
      <c r="BB13" s="685" t="str">
        <f>IF('[1]Data 2026'!AU23="","",'[1]Data 2026'!AU23)</f>
        <v/>
      </c>
      <c r="BC13" s="685" t="str">
        <f>IF('[1]Data 2026'!AV23="","",'[1]Data 2026'!AV23)</f>
        <v/>
      </c>
      <c r="BD13" s="685" t="str">
        <f>IF('[1]Data 2026'!AW23="","",'[1]Data 2026'!AW23)</f>
        <v/>
      </c>
      <c r="BE13" s="685" t="str">
        <f>IF('[1]Data 2026'!AX23="","",'[1]Data 2026'!AX23)</f>
        <v/>
      </c>
      <c r="BF13" s="685" t="str">
        <f>IF('[1]Data 2026'!BF23="","",'[1]Data 2026'!BF23)</f>
        <v xml:space="preserve">VALENCY SINGAPORE </v>
      </c>
      <c r="BG13" s="685" t="str">
        <f>IF('[1]Data 2026'!BG23="","",'[1]Data 2026'!BG23)</f>
        <v/>
      </c>
      <c r="BH13" s="685" t="str">
        <f>IF('[1]Data 2026'!BH23="","",'[1]Data 2026'!BH23)</f>
        <v/>
      </c>
      <c r="BI13" s="685" t="str">
        <f>IF('[1]Data 2026'!BI23="","",'[1]Data 2026'!BI23)</f>
        <v/>
      </c>
      <c r="BJ13" s="685" t="str">
        <f>IF('[1]Data 2026'!BJ23="","",'[1]Data 2026'!BJ23)</f>
        <v/>
      </c>
      <c r="BK13" s="685" t="str">
        <f>IF('[1]Data 2026'!BK23="","",'[1]Data 2026'!BK23)</f>
        <v/>
      </c>
      <c r="BL13" s="685" t="str">
        <f>IF('[1]Data 2026'!BL23="","",'[1]Data 2026'!BL23)</f>
        <v>AFIC</v>
      </c>
      <c r="BM13" s="685" t="str">
        <f>IF('[1]Data 2026'!BM23="","",'[1]Data 2026'!BM23)</f>
        <v/>
      </c>
      <c r="BN13" s="685" t="str">
        <f>IF('[1]Data 2026'!BN23="","",'[1]Data 2026'!BN23)</f>
        <v/>
      </c>
      <c r="BO13" s="685" t="str">
        <f>IF('[1]Data 2026'!BO23="","",'[1]Data 2026'!BO23)</f>
        <v/>
      </c>
      <c r="BP13" s="685" t="str">
        <f>IF('[1]Data 2026'!BP23="","",'[1]Data 2026'!BP23)</f>
        <v/>
      </c>
      <c r="BQ13" s="685" t="str">
        <f>IF('[1]Data 2026'!BQ23="","",'[1]Data 2026'!BQ23)</f>
        <v/>
      </c>
      <c r="BR13" s="685" t="str">
        <f>IF('[1]Data 2026'!BR23="","",'[1]Data 2026'!BR23)</f>
        <v/>
      </c>
      <c r="BS13" s="685" t="str">
        <f>IF('[1]Data 2026'!BS23="","",'[1]Data 2026'!BS23)</f>
        <v/>
      </c>
      <c r="BT13" s="685" t="str">
        <f>IF('[1]Data 2026'!BV23="","",'[1]Data 2026'!BV23)</f>
        <v>ABSA/CMI</v>
      </c>
      <c r="BU13" s="685" t="str">
        <f>IF('[1]Data 2026'!BW23="","",'[1]Data 2026'!BW23)</f>
        <v/>
      </c>
      <c r="BV13" s="685" t="str">
        <f>IF('[1]Data 2026'!BX23="","",'[1]Data 2026'!BX23)</f>
        <v/>
      </c>
      <c r="BW13" s="685" t="str">
        <f>IF('[1]Data 2026'!BY23="","",'[1]Data 2026'!BY23)</f>
        <v/>
      </c>
      <c r="BX13" s="685" t="str">
        <f>IF('[1]Data 2026'!BZ23="","",'[1]Data 2026'!BZ23)</f>
        <v/>
      </c>
      <c r="BY13" s="685" t="str">
        <f>IF('[1]Data 2026'!CA23="","",'[1]Data 2026'!CA23)</f>
        <v>182610-14849</v>
      </c>
      <c r="BZ13" s="685">
        <f>IF('[1]Data 2026'!CB23="","",'[1]Data 2026'!CB23)</f>
        <v>46129</v>
      </c>
      <c r="CA13" s="685" t="str">
        <f>IF('[1]Data 2026'!CC23="","",'[1]Data 2026'!CC23)</f>
        <v>2026-0159</v>
      </c>
      <c r="CB13" s="685">
        <f>IF('[1]Data 2026'!CD23="","",'[1]Data 2026'!CD23)</f>
        <v>46129</v>
      </c>
      <c r="CC13" s="685" t="str">
        <f>IF('[1]Data 2026'!CE23="","",'[1]Data 2026'!CE23)</f>
        <v/>
      </c>
      <c r="CD13" s="685" t="str">
        <f>IF('[1]Data 2026'!CF23="","",'[1]Data 2026'!CF23)</f>
        <v/>
      </c>
      <c r="CE13" s="685">
        <f>IF('[1]Data 2026'!CG23="","",'[1]Data 2026'!CG23)</f>
        <v>46112</v>
      </c>
      <c r="CF13" s="685">
        <f>IF('[1]Data 2026'!CH23="","",'[1]Data 2026'!CH23)</f>
        <v>46129</v>
      </c>
      <c r="CG13" s="685" t="str">
        <f>IF('[1]Data 2026'!CI23="","",'[1]Data 2026'!CI23)</f>
        <v>E11994</v>
      </c>
      <c r="CH13" s="685" t="str">
        <f>IF('[1]Data 2026'!CJ23="","",'[1]Data 2026'!CJ23)</f>
        <v/>
      </c>
      <c r="CI13" s="685" t="str">
        <f>IF('[1]Data 2026'!CK23="","",'[1]Data 2026'!CK23)</f>
        <v/>
      </c>
      <c r="CJ13" s="685" t="str">
        <f>IF('[1]Data 2026'!CM23="","",'[1]Data 2026'!CM23)</f>
        <v/>
      </c>
      <c r="CK13" s="685" t="str">
        <f>IF('[1]Data 2026'!CN23="","",'[1]Data 2026'!CN23)</f>
        <v>Ajit</v>
      </c>
      <c r="CL13" s="691"/>
      <c r="CM13" s="691" t="str">
        <f>IF('[1]Data 2026'!CP23="","",'[1]Data 2026'!CP23)</f>
        <v/>
      </c>
      <c r="CN13" s="691"/>
      <c r="CO13" s="693"/>
      <c r="CP13" s="693"/>
      <c r="CQ13" s="693"/>
      <c r="CR13" s="686">
        <f t="shared" si="4"/>
        <v>13</v>
      </c>
      <c r="CS13" s="686">
        <f t="shared" si="4"/>
        <v>5</v>
      </c>
      <c r="CT13" s="686">
        <f t="shared" si="4"/>
        <v>29</v>
      </c>
      <c r="CU13" s="686" t="str">
        <f t="shared" si="5"/>
        <v/>
      </c>
      <c r="CV13" s="686" t="str">
        <f t="shared" si="6"/>
        <v/>
      </c>
      <c r="CW13" s="685" t="str">
        <f t="shared" si="10"/>
        <v/>
      </c>
      <c r="CX13" s="685" t="str">
        <f t="shared" si="11"/>
        <v/>
      </c>
      <c r="CY13" s="693">
        <f t="shared" ca="1" si="7"/>
        <v>0</v>
      </c>
      <c r="CZ13" s="693" t="str">
        <f t="shared" si="8"/>
        <v/>
      </c>
      <c r="DB13"/>
      <c r="DC13"/>
    </row>
    <row r="14" spans="1:108" s="694" customFormat="1">
      <c r="A14" s="682" t="str">
        <f t="shared" si="0"/>
        <v>F. GATED IN, SAILING AWAITED</v>
      </c>
      <c r="B14" s="695" t="s">
        <v>1195</v>
      </c>
      <c r="C14" s="684" t="str">
        <f t="shared" si="1"/>
        <v>CLOSED POSITION</v>
      </c>
      <c r="D14" s="685" t="str">
        <f t="shared" si="9"/>
        <v/>
      </c>
      <c r="E14" s="685" t="str">
        <f t="shared" si="2"/>
        <v/>
      </c>
      <c r="F14" s="686">
        <f>IF('[1]Data 2026'!D24="","",'[1]Data 2026'!D24)</f>
        <v>47</v>
      </c>
      <c r="G14" s="686">
        <f>IF('[1]Data 2026'!E24="","",'[1]Data 2026'!E24)</f>
        <v>200</v>
      </c>
      <c r="H14" s="687" t="str">
        <f>IF('[1]Data 2026'!H24="","",'[1]Data 2026'!H24)</f>
        <v>32015969-1</v>
      </c>
      <c r="I14" s="688">
        <f>IF('[1]Data 2026'!AA24="","",'[1]Data 2026'!AA24)</f>
        <v>250</v>
      </c>
      <c r="J14" s="685" t="str">
        <f>IF('[1]Data 2026'!K24="","",'[1]Data 2026'!K24)</f>
        <v>APRIL</v>
      </c>
      <c r="K14" s="685">
        <v>46142</v>
      </c>
      <c r="L14" s="685" t="str">
        <f>IF('[1]Data 2026'!L24="","",'[1]Data 2026'!L24)</f>
        <v>VALENCY CI</v>
      </c>
      <c r="M14" s="685" t="str">
        <f>IF('[1]Data 2026'!M24="","",'[1]Data 2026'!M24)</f>
        <v>VALENCY AGRO INDIA GUJRAT</v>
      </c>
      <c r="N14" s="685" t="s">
        <v>1197</v>
      </c>
      <c r="O14" s="689">
        <f>IF('[1]Data 2026'!N24="","",'[1]Data 2026'!N24)</f>
        <v>268586303</v>
      </c>
      <c r="P14" s="690" t="str">
        <f>IF('[1]Data 2026'!O24="","",'[1]Data 2026'!O24)</f>
        <v/>
      </c>
      <c r="Q14" s="685" t="str">
        <f>IF('[1]Data 2026'!P24="","",'[1]Data 2026'!P24)</f>
        <v/>
      </c>
      <c r="R14" s="685" t="str">
        <f>IF('[1]Data 2026'!Q24="","",'[1]Data 2026'!Q24)</f>
        <v>ABJ</v>
      </c>
      <c r="S14" s="685" t="s">
        <v>210</v>
      </c>
      <c r="T14" s="685" t="str">
        <f>IF('[1]Data 2026'!R24="","",'[1]Data 2026'!R24)</f>
        <v>MUNDRA, INDIA</v>
      </c>
      <c r="U14" s="685" t="str">
        <f>IF('[1]Data 2026'!S24="","",'[1]Data 2026'!S24)</f>
        <v>MAERSK CUANZA</v>
      </c>
      <c r="V14" s="685">
        <f>IF('[1]Data 2026'!T24="","",'[1]Data 2026'!T24)</f>
        <v>46112</v>
      </c>
      <c r="W14" s="685">
        <f>IF('[1]Data 2026'!U24="","",'[1]Data 2026'!U24)</f>
        <v>46125</v>
      </c>
      <c r="X14" s="685">
        <f>IF('[1]Data 2026'!V24="","",'[1]Data 2026'!V24)</f>
        <v>46130</v>
      </c>
      <c r="Y14" s="685">
        <f>IF('[1]Data 2026'!W24="","",'[1]Data 2026'!W24)</f>
        <v>46158</v>
      </c>
      <c r="Z14" s="685">
        <f>IF('[1]Data 2026'!X24="","",'[1]Data 2026'!X24)</f>
        <v>46193</v>
      </c>
      <c r="AA14" s="685"/>
      <c r="AB14" s="685">
        <f>IF('[1]Data 2026'!Y24="","",'[1]Data 2026'!Y24)</f>
        <v>46172</v>
      </c>
      <c r="AC14" s="685" t="str">
        <f>IF('[1]Data 2026'!Z24="","",'[1]Data 2026'!Z24)</f>
        <v/>
      </c>
      <c r="AD14" s="691">
        <f>IF('[1]Data 2026'!AA24="","",'[1]Data 2026'!AA24)</f>
        <v>250</v>
      </c>
      <c r="AE14" s="691">
        <f>IF('[1]Data 2026'!AB24="","",'[1]Data 2026'!AB24)</f>
        <v>250</v>
      </c>
      <c r="AF14" s="685">
        <f>IF('[1]Data 2026'!AC24="","",'[1]Data 2026'!AC24)</f>
        <v>45777</v>
      </c>
      <c r="AG14" s="685" t="str">
        <f>IF('[1]Data 2026'!AD24="","",'[1]Data 2026'!AD24)</f>
        <v>WH-C</v>
      </c>
      <c r="AH14" s="686">
        <f>IF('[1]Data 2026'!AE24="","",'[1]Data 2026'!AE24)</f>
        <v>10</v>
      </c>
      <c r="AI14" s="685" t="str">
        <f>IF('[1]Data 2026'!AG24="","",'[1]Data 2026'!AG24)</f>
        <v xml:space="preserve">VALENCY SINGAPORE </v>
      </c>
      <c r="AJ14" s="685" t="str">
        <f>IF('[1]Data 2026'!AH24="","",'[1]Data 2026'!AH24)</f>
        <v>AFIC</v>
      </c>
      <c r="AK14" s="685" t="str">
        <f>IF('[1]Data 2026'!AI24="","",'[1]Data 2026'!AI24)</f>
        <v>MSK</v>
      </c>
      <c r="AL14" s="685" t="str">
        <f>IF('[1]Data 2026'!AJ24="","",'[1]Data 2026'!AJ24)</f>
        <v>40FT</v>
      </c>
      <c r="AM14" s="692">
        <f>IF('[1]Data 2026'!AK24="","",'[1]Data 2026'!AK24)</f>
        <v>0.1</v>
      </c>
      <c r="AN14" s="685" t="str">
        <f>IF('[1]Data 2026'!AL24="","",'[1]Data 2026'!AL24)</f>
        <v>(01x250MTS)</v>
      </c>
      <c r="AO14" s="691">
        <f>IF('[1]Data 2026'!AM24="","",'[1]Data 2026'!AM24)</f>
        <v>275</v>
      </c>
      <c r="AP14" s="691" t="str">
        <f t="shared" si="3"/>
        <v/>
      </c>
      <c r="AQ14" s="685" t="str">
        <f>IF('[1]Data 2026'!AO24="","",'[1]Data 2026'!AO24)</f>
        <v/>
      </c>
      <c r="AR14" s="685" t="str">
        <f>IF('[1]Data 2026'!AP24="","",'[1]Data 2026'!AP24)</f>
        <v/>
      </c>
      <c r="AS14" s="685" t="str">
        <f>IF('[1]Data 2026'!AQ24="","",'[1]Data 2026'!AQ24)</f>
        <v/>
      </c>
      <c r="AT14" s="685" t="str">
        <f>IF('[1]Data 2026'!AR24="","",'[1]Data 2026'!AR24)</f>
        <v/>
      </c>
      <c r="AU14" s="685" t="str">
        <f>IF('[1]Data 2026'!AW24="","",'[1]Data 2026'!AW24)</f>
        <v/>
      </c>
      <c r="AV14" s="685" t="str">
        <f>IF('[1]Data 2026'!AX24="","",'[1]Data 2026'!AX24)</f>
        <v/>
      </c>
      <c r="AW14" s="685" t="str">
        <f>IF('[1]Data 2026'!AY24="","",'[1]Data 2026'!AY24)</f>
        <v/>
      </c>
      <c r="AX14" s="685" t="str">
        <f>IF('[1]Data 2026'!AZ24="","",'[1]Data 2026'!AZ24)</f>
        <v/>
      </c>
      <c r="AY14" s="685" t="str">
        <f>IF('[1]Data 2026'!BA24="","",'[1]Data 2026'!BA24)</f>
        <v/>
      </c>
      <c r="AZ14" s="685" t="str">
        <f>IF('[1]Data 2026'!AS24="","",'[1]Data 2026'!AS24)</f>
        <v/>
      </c>
      <c r="BA14" s="685" t="str">
        <f>IF('[1]Data 2026'!AT24="","",'[1]Data 2026'!AT24)</f>
        <v/>
      </c>
      <c r="BB14" s="685" t="str">
        <f>IF('[1]Data 2026'!AU24="","",'[1]Data 2026'!AU24)</f>
        <v/>
      </c>
      <c r="BC14" s="685" t="str">
        <f>IF('[1]Data 2026'!AV24="","",'[1]Data 2026'!AV24)</f>
        <v/>
      </c>
      <c r="BD14" s="685" t="str">
        <f>IF('[1]Data 2026'!AW24="","",'[1]Data 2026'!AW24)</f>
        <v/>
      </c>
      <c r="BE14" s="685" t="str">
        <f>IF('[1]Data 2026'!AX24="","",'[1]Data 2026'!AX24)</f>
        <v/>
      </c>
      <c r="BF14" s="685" t="str">
        <f>IF('[1]Data 2026'!BF24="","",'[1]Data 2026'!BF24)</f>
        <v xml:space="preserve">VALENCY SINGAPORE </v>
      </c>
      <c r="BG14" s="685" t="str">
        <f>IF('[1]Data 2026'!BG24="","",'[1]Data 2026'!BG24)</f>
        <v/>
      </c>
      <c r="BH14" s="685" t="str">
        <f>IF('[1]Data 2026'!BH24="","",'[1]Data 2026'!BH24)</f>
        <v/>
      </c>
      <c r="BI14" s="685" t="str">
        <f>IF('[1]Data 2026'!BI24="","",'[1]Data 2026'!BI24)</f>
        <v/>
      </c>
      <c r="BJ14" s="685" t="str">
        <f>IF('[1]Data 2026'!BJ24="","",'[1]Data 2026'!BJ24)</f>
        <v/>
      </c>
      <c r="BK14" s="685" t="str">
        <f>IF('[1]Data 2026'!BK24="","",'[1]Data 2026'!BK24)</f>
        <v/>
      </c>
      <c r="BL14" s="685" t="str">
        <f>IF('[1]Data 2026'!BL24="","",'[1]Data 2026'!BL24)</f>
        <v>AFIC</v>
      </c>
      <c r="BM14" s="685" t="str">
        <f>IF('[1]Data 2026'!BM24="","",'[1]Data 2026'!BM24)</f>
        <v/>
      </c>
      <c r="BN14" s="685" t="str">
        <f>IF('[1]Data 2026'!BN24="","",'[1]Data 2026'!BN24)</f>
        <v/>
      </c>
      <c r="BO14" s="685" t="str">
        <f>IF('[1]Data 2026'!BO24="","",'[1]Data 2026'!BO24)</f>
        <v/>
      </c>
      <c r="BP14" s="685" t="str">
        <f>IF('[1]Data 2026'!BP24="","",'[1]Data 2026'!BP24)</f>
        <v/>
      </c>
      <c r="BQ14" s="685" t="str">
        <f>IF('[1]Data 2026'!BQ24="","",'[1]Data 2026'!BQ24)</f>
        <v/>
      </c>
      <c r="BR14" s="685" t="str">
        <f>IF('[1]Data 2026'!BR24="","",'[1]Data 2026'!BR24)</f>
        <v/>
      </c>
      <c r="BS14" s="685" t="str">
        <f>IF('[1]Data 2026'!BS24="","",'[1]Data 2026'!BS24)</f>
        <v/>
      </c>
      <c r="BT14" s="685" t="str">
        <f>IF('[1]Data 2026'!BV24="","",'[1]Data 2026'!BV24)</f>
        <v>ABSA/CMI</v>
      </c>
      <c r="BU14" s="685" t="str">
        <f>IF('[1]Data 2026'!BW24="","",'[1]Data 2026'!BW24)</f>
        <v/>
      </c>
      <c r="BV14" s="685" t="str">
        <f>IF('[1]Data 2026'!BX24="","",'[1]Data 2026'!BX24)</f>
        <v/>
      </c>
      <c r="BW14" s="685" t="str">
        <f>IF('[1]Data 2026'!BY24="","",'[1]Data 2026'!BY24)</f>
        <v/>
      </c>
      <c r="BX14" s="685" t="str">
        <f>IF('[1]Data 2026'!BZ24="","",'[1]Data 2026'!BZ24)</f>
        <v/>
      </c>
      <c r="BY14" s="685" t="str">
        <f>IF('[1]Data 2026'!CA24="","",'[1]Data 2026'!CA24)</f>
        <v>182610-14927</v>
      </c>
      <c r="BZ14" s="685">
        <f>IF('[1]Data 2026'!CB24="","",'[1]Data 2026'!CB24)</f>
        <v>46134</v>
      </c>
      <c r="CA14" s="685" t="str">
        <f>IF('[1]Data 2026'!CC24="","",'[1]Data 2026'!CC24)</f>
        <v>2026-0161</v>
      </c>
      <c r="CB14" s="685">
        <f>IF('[1]Data 2026'!CD24="","",'[1]Data 2026'!CD24)</f>
        <v>46134</v>
      </c>
      <c r="CC14" s="685" t="str">
        <f>IF('[1]Data 2026'!CE24="","",'[1]Data 2026'!CE24)</f>
        <v/>
      </c>
      <c r="CD14" s="685" t="str">
        <f>IF('[1]Data 2026'!CF24="","",'[1]Data 2026'!CF24)</f>
        <v/>
      </c>
      <c r="CE14" s="685">
        <f>IF('[1]Data 2026'!CG24="","",'[1]Data 2026'!CG24)</f>
        <v>46112</v>
      </c>
      <c r="CF14" s="685">
        <f>IF('[1]Data 2026'!CH24="","",'[1]Data 2026'!CH24)</f>
        <v>46129</v>
      </c>
      <c r="CG14" s="685" t="str">
        <f>IF('[1]Data 2026'!CI24="","",'[1]Data 2026'!CI24)</f>
        <v>E11994</v>
      </c>
      <c r="CH14" s="685" t="str">
        <f>IF('[1]Data 2026'!CJ24="","",'[1]Data 2026'!CJ24)</f>
        <v/>
      </c>
      <c r="CI14" s="685" t="str">
        <f>IF('[1]Data 2026'!CK24="","",'[1]Data 2026'!CK24)</f>
        <v/>
      </c>
      <c r="CJ14" s="685" t="str">
        <f>IF('[1]Data 2026'!CM24="","",'[1]Data 2026'!CM24)</f>
        <v/>
      </c>
      <c r="CK14" s="685" t="str">
        <f>IF('[1]Data 2026'!CN24="","",'[1]Data 2026'!CN24)</f>
        <v>Ajit</v>
      </c>
      <c r="CL14" s="691"/>
      <c r="CM14" s="691" t="str">
        <f>IF('[1]Data 2026'!CP24="","",'[1]Data 2026'!CP24)</f>
        <v/>
      </c>
      <c r="CN14" s="691"/>
      <c r="CO14" s="693"/>
      <c r="CP14" s="693"/>
      <c r="CQ14" s="693"/>
      <c r="CR14" s="686">
        <f t="shared" si="4"/>
        <v>13</v>
      </c>
      <c r="CS14" s="686">
        <f t="shared" si="4"/>
        <v>5</v>
      </c>
      <c r="CT14" s="686">
        <f t="shared" si="4"/>
        <v>28</v>
      </c>
      <c r="CU14" s="686" t="str">
        <f t="shared" si="5"/>
        <v/>
      </c>
      <c r="CV14" s="686" t="str">
        <f t="shared" si="6"/>
        <v/>
      </c>
      <c r="CW14" s="685" t="str">
        <f t="shared" si="10"/>
        <v/>
      </c>
      <c r="CX14" s="685" t="str">
        <f t="shared" si="11"/>
        <v/>
      </c>
      <c r="CY14" s="693">
        <f t="shared" ca="1" si="7"/>
        <v>0</v>
      </c>
      <c r="CZ14" s="693" t="str">
        <f t="shared" si="8"/>
        <v/>
      </c>
      <c r="DB14"/>
      <c r="DC14"/>
    </row>
    <row r="15" spans="1:108" s="694" customFormat="1">
      <c r="A15" s="682" t="str">
        <f t="shared" si="0"/>
        <v>F. GATED IN, SAILING AWAITED</v>
      </c>
      <c r="B15" s="695" t="s">
        <v>1195</v>
      </c>
      <c r="C15" s="684" t="str">
        <f t="shared" si="1"/>
        <v>CLOSED POSITION</v>
      </c>
      <c r="D15" s="685" t="str">
        <f t="shared" si="9"/>
        <v/>
      </c>
      <c r="E15" s="685" t="str">
        <f t="shared" si="2"/>
        <v/>
      </c>
      <c r="F15" s="686">
        <f>IF('[1]Data 2026'!D25="","",'[1]Data 2026'!D25)</f>
        <v>47</v>
      </c>
      <c r="G15" s="686">
        <f>IF('[1]Data 2026'!E25="","",'[1]Data 2026'!E25)</f>
        <v>200</v>
      </c>
      <c r="H15" s="687" t="str">
        <f>IF('[1]Data 2026'!H25="","",'[1]Data 2026'!H25)</f>
        <v>32015969-2</v>
      </c>
      <c r="I15" s="688">
        <f>IF('[1]Data 2026'!AA25="","",'[1]Data 2026'!AA25)</f>
        <v>250</v>
      </c>
      <c r="J15" s="685" t="str">
        <f>IF('[1]Data 2026'!K25="","",'[1]Data 2026'!K25)</f>
        <v>APRIL</v>
      </c>
      <c r="K15" s="685">
        <v>46142</v>
      </c>
      <c r="L15" s="685" t="str">
        <f>IF('[1]Data 2026'!L25="","",'[1]Data 2026'!L25)</f>
        <v>VALENCY CI</v>
      </c>
      <c r="M15" s="685" t="str">
        <f>IF('[1]Data 2026'!M25="","",'[1]Data 2026'!M25)</f>
        <v>VALENCY AGRO INDIA GUJRAT</v>
      </c>
      <c r="N15" s="685" t="s">
        <v>1197</v>
      </c>
      <c r="O15" s="689">
        <f>IF('[1]Data 2026'!N25="","",'[1]Data 2026'!N25)</f>
        <v>268589748</v>
      </c>
      <c r="P15" s="690">
        <f>IF('[1]Data 2026'!O25="","",'[1]Data 2026'!O25)</f>
        <v>268589748</v>
      </c>
      <c r="Q15" s="685" t="str">
        <f>IF('[1]Data 2026'!P25="","",'[1]Data 2026'!P25)</f>
        <v/>
      </c>
      <c r="R15" s="685" t="str">
        <f>IF('[1]Data 2026'!Q25="","",'[1]Data 2026'!Q25)</f>
        <v>ABJ</v>
      </c>
      <c r="S15" s="685" t="s">
        <v>210</v>
      </c>
      <c r="T15" s="685" t="str">
        <f>IF('[1]Data 2026'!R25="","",'[1]Data 2026'!R25)</f>
        <v>MUNDRA, INDIA</v>
      </c>
      <c r="U15" s="685" t="str">
        <f>IF('[1]Data 2026'!S25="","",'[1]Data 2026'!S25)</f>
        <v>MAERSK CUANZA</v>
      </c>
      <c r="V15" s="685">
        <f>IF('[1]Data 2026'!T25="","",'[1]Data 2026'!T25)</f>
        <v>46112</v>
      </c>
      <c r="W15" s="685">
        <f>IF('[1]Data 2026'!U25="","",'[1]Data 2026'!U25)</f>
        <v>46125</v>
      </c>
      <c r="X15" s="685">
        <f>IF('[1]Data 2026'!V25="","",'[1]Data 2026'!V25)</f>
        <v>46130</v>
      </c>
      <c r="Y15" s="685">
        <f>IF('[1]Data 2026'!W25="","",'[1]Data 2026'!W25)</f>
        <v>46158</v>
      </c>
      <c r="Z15" s="685">
        <f>IF('[1]Data 2026'!X25="","",'[1]Data 2026'!X25)</f>
        <v>46193</v>
      </c>
      <c r="AA15" s="685"/>
      <c r="AB15" s="685">
        <f>IF('[1]Data 2026'!Y25="","",'[1]Data 2026'!Y25)</f>
        <v>46172</v>
      </c>
      <c r="AC15" s="685" t="str">
        <f>IF('[1]Data 2026'!Z25="","",'[1]Data 2026'!Z25)</f>
        <v/>
      </c>
      <c r="AD15" s="691">
        <f>IF('[1]Data 2026'!AA25="","",'[1]Data 2026'!AA25)</f>
        <v>250</v>
      </c>
      <c r="AE15" s="691">
        <f>IF('[1]Data 2026'!AB25="","",'[1]Data 2026'!AB25)</f>
        <v>250</v>
      </c>
      <c r="AF15" s="685">
        <f>IF('[1]Data 2026'!AC25="","",'[1]Data 2026'!AC25)</f>
        <v>45777</v>
      </c>
      <c r="AG15" s="685" t="str">
        <f>IF('[1]Data 2026'!AD25="","",'[1]Data 2026'!AD25)</f>
        <v>WH-C</v>
      </c>
      <c r="AH15" s="686">
        <f>IF('[1]Data 2026'!AE25="","",'[1]Data 2026'!AE25)</f>
        <v>10</v>
      </c>
      <c r="AI15" s="685" t="str">
        <f>IF('[1]Data 2026'!AG25="","",'[1]Data 2026'!AG25)</f>
        <v xml:space="preserve">VALENCY SINGAPORE </v>
      </c>
      <c r="AJ15" s="685" t="str">
        <f>IF('[1]Data 2026'!AH25="","",'[1]Data 2026'!AH25)</f>
        <v>AFIC</v>
      </c>
      <c r="AK15" s="685" t="str">
        <f>IF('[1]Data 2026'!AI25="","",'[1]Data 2026'!AI25)</f>
        <v>MSK</v>
      </c>
      <c r="AL15" s="685" t="str">
        <f>IF('[1]Data 2026'!AJ25="","",'[1]Data 2026'!AJ25)</f>
        <v>40FT</v>
      </c>
      <c r="AM15" s="692">
        <f>IF('[1]Data 2026'!AK25="","",'[1]Data 2026'!AK25)</f>
        <v>0.1</v>
      </c>
      <c r="AN15" s="685" t="str">
        <f>IF('[1]Data 2026'!AL25="","",'[1]Data 2026'!AL25)</f>
        <v>(01x250MTS)</v>
      </c>
      <c r="AO15" s="691">
        <f>IF('[1]Data 2026'!AM25="","",'[1]Data 2026'!AM25)</f>
        <v>275</v>
      </c>
      <c r="AP15" s="691" t="str">
        <f t="shared" si="3"/>
        <v/>
      </c>
      <c r="AQ15" s="685" t="str">
        <f>IF('[1]Data 2026'!AO25="","",'[1]Data 2026'!AO25)</f>
        <v/>
      </c>
      <c r="AR15" s="685" t="str">
        <f>IF('[1]Data 2026'!AP25="","",'[1]Data 2026'!AP25)</f>
        <v/>
      </c>
      <c r="AS15" s="685" t="str">
        <f>IF('[1]Data 2026'!AQ25="","",'[1]Data 2026'!AQ25)</f>
        <v/>
      </c>
      <c r="AT15" s="685" t="str">
        <f>IF('[1]Data 2026'!AR25="","",'[1]Data 2026'!AR25)</f>
        <v/>
      </c>
      <c r="AU15" s="685" t="str">
        <f>IF('[1]Data 2026'!AW25="","",'[1]Data 2026'!AW25)</f>
        <v/>
      </c>
      <c r="AV15" s="685" t="str">
        <f>IF('[1]Data 2026'!AX25="","",'[1]Data 2026'!AX25)</f>
        <v/>
      </c>
      <c r="AW15" s="685" t="str">
        <f>IF('[1]Data 2026'!AY25="","",'[1]Data 2026'!AY25)</f>
        <v/>
      </c>
      <c r="AX15" s="685" t="str">
        <f>IF('[1]Data 2026'!AZ25="","",'[1]Data 2026'!AZ25)</f>
        <v/>
      </c>
      <c r="AY15" s="685" t="str">
        <f>IF('[1]Data 2026'!BA25="","",'[1]Data 2026'!BA25)</f>
        <v/>
      </c>
      <c r="AZ15" s="685" t="str">
        <f>IF('[1]Data 2026'!AS25="","",'[1]Data 2026'!AS25)</f>
        <v/>
      </c>
      <c r="BA15" s="685" t="str">
        <f>IF('[1]Data 2026'!AT25="","",'[1]Data 2026'!AT25)</f>
        <v/>
      </c>
      <c r="BB15" s="685" t="str">
        <f>IF('[1]Data 2026'!AU25="","",'[1]Data 2026'!AU25)</f>
        <v/>
      </c>
      <c r="BC15" s="685" t="str">
        <f>IF('[1]Data 2026'!AV25="","",'[1]Data 2026'!AV25)</f>
        <v/>
      </c>
      <c r="BD15" s="685" t="str">
        <f>IF('[1]Data 2026'!AW25="","",'[1]Data 2026'!AW25)</f>
        <v/>
      </c>
      <c r="BE15" s="685" t="str">
        <f>IF('[1]Data 2026'!AX25="","",'[1]Data 2026'!AX25)</f>
        <v/>
      </c>
      <c r="BF15" s="685" t="str">
        <f>IF('[1]Data 2026'!BF25="","",'[1]Data 2026'!BF25)</f>
        <v xml:space="preserve">VALENCY SINGAPORE </v>
      </c>
      <c r="BG15" s="685" t="str">
        <f>IF('[1]Data 2026'!BG25="","",'[1]Data 2026'!BG25)</f>
        <v/>
      </c>
      <c r="BH15" s="685" t="str">
        <f>IF('[1]Data 2026'!BH25="","",'[1]Data 2026'!BH25)</f>
        <v/>
      </c>
      <c r="BI15" s="685" t="str">
        <f>IF('[1]Data 2026'!BI25="","",'[1]Data 2026'!BI25)</f>
        <v/>
      </c>
      <c r="BJ15" s="685" t="str">
        <f>IF('[1]Data 2026'!BJ25="","",'[1]Data 2026'!BJ25)</f>
        <v/>
      </c>
      <c r="BK15" s="685" t="str">
        <f>IF('[1]Data 2026'!BK25="","",'[1]Data 2026'!BK25)</f>
        <v/>
      </c>
      <c r="BL15" s="685" t="str">
        <f>IF('[1]Data 2026'!BL25="","",'[1]Data 2026'!BL25)</f>
        <v>AFIC</v>
      </c>
      <c r="BM15" s="685" t="str">
        <f>IF('[1]Data 2026'!BM25="","",'[1]Data 2026'!BM25)</f>
        <v/>
      </c>
      <c r="BN15" s="685" t="str">
        <f>IF('[1]Data 2026'!BN25="","",'[1]Data 2026'!BN25)</f>
        <v/>
      </c>
      <c r="BO15" s="685" t="str">
        <f>IF('[1]Data 2026'!BO25="","",'[1]Data 2026'!BO25)</f>
        <v/>
      </c>
      <c r="BP15" s="685" t="str">
        <f>IF('[1]Data 2026'!BP25="","",'[1]Data 2026'!BP25)</f>
        <v/>
      </c>
      <c r="BQ15" s="685" t="str">
        <f>IF('[1]Data 2026'!BQ25="","",'[1]Data 2026'!BQ25)</f>
        <v/>
      </c>
      <c r="BR15" s="685" t="str">
        <f>IF('[1]Data 2026'!BR25="","",'[1]Data 2026'!BR25)</f>
        <v/>
      </c>
      <c r="BS15" s="685" t="str">
        <f>IF('[1]Data 2026'!BS25="","",'[1]Data 2026'!BS25)</f>
        <v/>
      </c>
      <c r="BT15" s="685" t="str">
        <f>IF('[1]Data 2026'!BV25="","",'[1]Data 2026'!BV25)</f>
        <v>ABSA/CMI</v>
      </c>
      <c r="BU15" s="685" t="str">
        <f>IF('[1]Data 2026'!BW25="","",'[1]Data 2026'!BW25)</f>
        <v/>
      </c>
      <c r="BV15" s="685" t="str">
        <f>IF('[1]Data 2026'!BX25="","",'[1]Data 2026'!BX25)</f>
        <v/>
      </c>
      <c r="BW15" s="685" t="str">
        <f>IF('[1]Data 2026'!BY25="","",'[1]Data 2026'!BY25)</f>
        <v/>
      </c>
      <c r="BX15" s="685" t="str">
        <f>IF('[1]Data 2026'!BZ25="","",'[1]Data 2026'!BZ25)</f>
        <v/>
      </c>
      <c r="BY15" s="685" t="str">
        <f>IF('[1]Data 2026'!CA25="","",'[1]Data 2026'!CA25)</f>
        <v>182610-14846</v>
      </c>
      <c r="BZ15" s="685">
        <f>IF('[1]Data 2026'!CB25="","",'[1]Data 2026'!CB25)</f>
        <v>46129</v>
      </c>
      <c r="CA15" s="685" t="str">
        <f>IF('[1]Data 2026'!CC25="","",'[1]Data 2026'!CC25)</f>
        <v>2026-0162</v>
      </c>
      <c r="CB15" s="685">
        <f>IF('[1]Data 2026'!CD25="","",'[1]Data 2026'!CD25)</f>
        <v>46129</v>
      </c>
      <c r="CC15" s="685" t="str">
        <f>IF('[1]Data 2026'!CE25="","",'[1]Data 2026'!CE25)</f>
        <v/>
      </c>
      <c r="CD15" s="685" t="str">
        <f>IF('[1]Data 2026'!CF25="","",'[1]Data 2026'!CF25)</f>
        <v/>
      </c>
      <c r="CE15" s="685">
        <f>IF('[1]Data 2026'!CG25="","",'[1]Data 2026'!CG25)</f>
        <v>46112</v>
      </c>
      <c r="CF15" s="685">
        <f>IF('[1]Data 2026'!CH25="","",'[1]Data 2026'!CH25)</f>
        <v>46129</v>
      </c>
      <c r="CG15" s="685" t="str">
        <f>IF('[1]Data 2026'!CI25="","",'[1]Data 2026'!CI25)</f>
        <v>E11994</v>
      </c>
      <c r="CH15" s="685" t="str">
        <f>IF('[1]Data 2026'!CJ25="","",'[1]Data 2026'!CJ25)</f>
        <v/>
      </c>
      <c r="CI15" s="685" t="str">
        <f>IF('[1]Data 2026'!CK25="","",'[1]Data 2026'!CK25)</f>
        <v/>
      </c>
      <c r="CJ15" s="685" t="str">
        <f>IF('[1]Data 2026'!CM25="","",'[1]Data 2026'!CM25)</f>
        <v/>
      </c>
      <c r="CK15" s="685" t="str">
        <f>IF('[1]Data 2026'!CN25="","",'[1]Data 2026'!CN25)</f>
        <v>Ajit</v>
      </c>
      <c r="CL15" s="691"/>
      <c r="CM15" s="691" t="str">
        <f>IF('[1]Data 2026'!CP25="","",'[1]Data 2026'!CP25)</f>
        <v/>
      </c>
      <c r="CN15" s="691"/>
      <c r="CO15" s="693"/>
      <c r="CP15" s="693"/>
      <c r="CQ15" s="693"/>
      <c r="CR15" s="686">
        <f t="shared" si="4"/>
        <v>13</v>
      </c>
      <c r="CS15" s="686">
        <f t="shared" si="4"/>
        <v>5</v>
      </c>
      <c r="CT15" s="686">
        <f t="shared" si="4"/>
        <v>28</v>
      </c>
      <c r="CU15" s="686" t="str">
        <f t="shared" si="5"/>
        <v/>
      </c>
      <c r="CV15" s="686" t="str">
        <f t="shared" si="6"/>
        <v/>
      </c>
      <c r="CW15" s="685" t="str">
        <f t="shared" si="10"/>
        <v/>
      </c>
      <c r="CX15" s="685" t="str">
        <f t="shared" si="11"/>
        <v/>
      </c>
      <c r="CY15" s="693">
        <f t="shared" ca="1" si="7"/>
        <v>0</v>
      </c>
      <c r="CZ15" s="693" t="str">
        <f t="shared" si="8"/>
        <v/>
      </c>
      <c r="DB15"/>
      <c r="DC15"/>
    </row>
    <row r="16" spans="1:108" s="694" customFormat="1">
      <c r="A16" s="682" t="str">
        <f t="shared" si="0"/>
        <v>F. GATED IN, SAILING AWAITED</v>
      </c>
      <c r="B16" s="695" t="s">
        <v>1195</v>
      </c>
      <c r="C16" s="684" t="str">
        <f t="shared" si="1"/>
        <v>CLOSED POSITION</v>
      </c>
      <c r="D16" s="685" t="str">
        <f t="shared" si="9"/>
        <v/>
      </c>
      <c r="E16" s="685" t="str">
        <f t="shared" si="2"/>
        <v/>
      </c>
      <c r="F16" s="686">
        <f>IF('[1]Data 2026'!D26="","",'[1]Data 2026'!D26)</f>
        <v>47</v>
      </c>
      <c r="G16" s="686">
        <f>IF('[1]Data 2026'!E26="","",'[1]Data 2026'!E26)</f>
        <v>200</v>
      </c>
      <c r="H16" s="687" t="str">
        <f>IF('[1]Data 2026'!H26="","",'[1]Data 2026'!H26)</f>
        <v>32015969-3</v>
      </c>
      <c r="I16" s="688">
        <f>IF('[1]Data 2026'!AA26="","",'[1]Data 2026'!AA26)</f>
        <v>250</v>
      </c>
      <c r="J16" s="685" t="str">
        <f>IF('[1]Data 2026'!K26="","",'[1]Data 2026'!K26)</f>
        <v>APRIL</v>
      </c>
      <c r="K16" s="685">
        <v>46142</v>
      </c>
      <c r="L16" s="685" t="str">
        <f>IF('[1]Data 2026'!L26="","",'[1]Data 2026'!L26)</f>
        <v>VALENCY CI</v>
      </c>
      <c r="M16" s="685" t="str">
        <f>IF('[1]Data 2026'!M26="","",'[1]Data 2026'!M26)</f>
        <v>VALENCY AGRO INDIA GUJRAT</v>
      </c>
      <c r="N16" s="685" t="s">
        <v>1197</v>
      </c>
      <c r="O16" s="689">
        <f>IF('[1]Data 2026'!N26="","",'[1]Data 2026'!N26)</f>
        <v>268590042</v>
      </c>
      <c r="P16" s="690">
        <f>IF('[1]Data 2026'!O26="","",'[1]Data 2026'!O26)</f>
        <v>268590042</v>
      </c>
      <c r="Q16" s="685" t="str">
        <f>IF('[1]Data 2026'!P26="","",'[1]Data 2026'!P26)</f>
        <v/>
      </c>
      <c r="R16" s="685" t="str">
        <f>IF('[1]Data 2026'!Q26="","",'[1]Data 2026'!Q26)</f>
        <v>ABJ</v>
      </c>
      <c r="S16" s="685" t="s">
        <v>210</v>
      </c>
      <c r="T16" s="685" t="str">
        <f>IF('[1]Data 2026'!R26="","",'[1]Data 2026'!R26)</f>
        <v>MUNDRA, INDIA</v>
      </c>
      <c r="U16" s="685" t="str">
        <f>IF('[1]Data 2026'!S26="","",'[1]Data 2026'!S26)</f>
        <v>MAERSK CUANZA</v>
      </c>
      <c r="V16" s="685">
        <f>IF('[1]Data 2026'!T26="","",'[1]Data 2026'!T26)</f>
        <v>46112</v>
      </c>
      <c r="W16" s="685">
        <f>IF('[1]Data 2026'!U26="","",'[1]Data 2026'!U26)</f>
        <v>46125</v>
      </c>
      <c r="X16" s="685">
        <f>IF('[1]Data 2026'!V26="","",'[1]Data 2026'!V26)</f>
        <v>46130</v>
      </c>
      <c r="Y16" s="685">
        <f>IF('[1]Data 2026'!W26="","",'[1]Data 2026'!W26)</f>
        <v>46158</v>
      </c>
      <c r="Z16" s="685">
        <f>IF('[1]Data 2026'!X26="","",'[1]Data 2026'!X26)</f>
        <v>46193</v>
      </c>
      <c r="AA16" s="685"/>
      <c r="AB16" s="685">
        <f>IF('[1]Data 2026'!Y26="","",'[1]Data 2026'!Y26)</f>
        <v>46172</v>
      </c>
      <c r="AC16" s="685" t="str">
        <f>IF('[1]Data 2026'!Z26="","",'[1]Data 2026'!Z26)</f>
        <v/>
      </c>
      <c r="AD16" s="691">
        <f>IF('[1]Data 2026'!AA26="","",'[1]Data 2026'!AA26)</f>
        <v>250</v>
      </c>
      <c r="AE16" s="691">
        <f>IF('[1]Data 2026'!AB26="","",'[1]Data 2026'!AB26)</f>
        <v>250</v>
      </c>
      <c r="AF16" s="685">
        <f>IF('[1]Data 2026'!AC26="","",'[1]Data 2026'!AC26)</f>
        <v>45777</v>
      </c>
      <c r="AG16" s="685" t="str">
        <f>IF('[1]Data 2026'!AD26="","",'[1]Data 2026'!AD26)</f>
        <v>WH-C</v>
      </c>
      <c r="AH16" s="686">
        <f>IF('[1]Data 2026'!AE26="","",'[1]Data 2026'!AE26)</f>
        <v>10</v>
      </c>
      <c r="AI16" s="685" t="str">
        <f>IF('[1]Data 2026'!AG26="","",'[1]Data 2026'!AG26)</f>
        <v xml:space="preserve">VALENCY SINGAPORE </v>
      </c>
      <c r="AJ16" s="685" t="str">
        <f>IF('[1]Data 2026'!AH26="","",'[1]Data 2026'!AH26)</f>
        <v>AFIC</v>
      </c>
      <c r="AK16" s="685" t="str">
        <f>IF('[1]Data 2026'!AI26="","",'[1]Data 2026'!AI26)</f>
        <v>MSK</v>
      </c>
      <c r="AL16" s="685" t="str">
        <f>IF('[1]Data 2026'!AJ26="","",'[1]Data 2026'!AJ26)</f>
        <v>40FT</v>
      </c>
      <c r="AM16" s="692">
        <f>IF('[1]Data 2026'!AK26="","",'[1]Data 2026'!AK26)</f>
        <v>0.1</v>
      </c>
      <c r="AN16" s="685" t="str">
        <f>IF('[1]Data 2026'!AL26="","",'[1]Data 2026'!AL26)</f>
        <v>(01x250MTS)</v>
      </c>
      <c r="AO16" s="691">
        <f>IF('[1]Data 2026'!AM26="","",'[1]Data 2026'!AM26)</f>
        <v>275</v>
      </c>
      <c r="AP16" s="691" t="str">
        <f t="shared" si="3"/>
        <v/>
      </c>
      <c r="AQ16" s="685" t="str">
        <f>IF('[1]Data 2026'!AO26="","",'[1]Data 2026'!AO26)</f>
        <v/>
      </c>
      <c r="AR16" s="685" t="str">
        <f>IF('[1]Data 2026'!AP26="","",'[1]Data 2026'!AP26)</f>
        <v/>
      </c>
      <c r="AS16" s="685" t="str">
        <f>IF('[1]Data 2026'!AQ26="","",'[1]Data 2026'!AQ26)</f>
        <v/>
      </c>
      <c r="AT16" s="685" t="str">
        <f>IF('[1]Data 2026'!AR26="","",'[1]Data 2026'!AR26)</f>
        <v/>
      </c>
      <c r="AU16" s="685" t="str">
        <f>IF('[1]Data 2026'!AW26="","",'[1]Data 2026'!AW26)</f>
        <v/>
      </c>
      <c r="AV16" s="685" t="str">
        <f>IF('[1]Data 2026'!AX26="","",'[1]Data 2026'!AX26)</f>
        <v/>
      </c>
      <c r="AW16" s="685" t="str">
        <f>IF('[1]Data 2026'!AY26="","",'[1]Data 2026'!AY26)</f>
        <v/>
      </c>
      <c r="AX16" s="685" t="str">
        <f>IF('[1]Data 2026'!AZ26="","",'[1]Data 2026'!AZ26)</f>
        <v/>
      </c>
      <c r="AY16" s="685" t="str">
        <f>IF('[1]Data 2026'!BA26="","",'[1]Data 2026'!BA26)</f>
        <v/>
      </c>
      <c r="AZ16" s="685" t="str">
        <f>IF('[1]Data 2026'!AS26="","",'[1]Data 2026'!AS26)</f>
        <v/>
      </c>
      <c r="BA16" s="685" t="str">
        <f>IF('[1]Data 2026'!AT26="","",'[1]Data 2026'!AT26)</f>
        <v/>
      </c>
      <c r="BB16" s="685" t="str">
        <f>IF('[1]Data 2026'!AU26="","",'[1]Data 2026'!AU26)</f>
        <v/>
      </c>
      <c r="BC16" s="685" t="str">
        <f>IF('[1]Data 2026'!AV26="","",'[1]Data 2026'!AV26)</f>
        <v/>
      </c>
      <c r="BD16" s="685" t="str">
        <f>IF('[1]Data 2026'!AW26="","",'[1]Data 2026'!AW26)</f>
        <v/>
      </c>
      <c r="BE16" s="685" t="str">
        <f>IF('[1]Data 2026'!AX26="","",'[1]Data 2026'!AX26)</f>
        <v/>
      </c>
      <c r="BF16" s="685" t="str">
        <f>IF('[1]Data 2026'!BF26="","",'[1]Data 2026'!BF26)</f>
        <v xml:space="preserve">VALENCY SINGAPORE </v>
      </c>
      <c r="BG16" s="685" t="str">
        <f>IF('[1]Data 2026'!BG26="","",'[1]Data 2026'!BG26)</f>
        <v/>
      </c>
      <c r="BH16" s="685" t="str">
        <f>IF('[1]Data 2026'!BH26="","",'[1]Data 2026'!BH26)</f>
        <v/>
      </c>
      <c r="BI16" s="685" t="str">
        <f>IF('[1]Data 2026'!BI26="","",'[1]Data 2026'!BI26)</f>
        <v/>
      </c>
      <c r="BJ16" s="685" t="str">
        <f>IF('[1]Data 2026'!BJ26="","",'[1]Data 2026'!BJ26)</f>
        <v/>
      </c>
      <c r="BK16" s="685" t="str">
        <f>IF('[1]Data 2026'!BK26="","",'[1]Data 2026'!BK26)</f>
        <v/>
      </c>
      <c r="BL16" s="685" t="str">
        <f>IF('[1]Data 2026'!BL26="","",'[1]Data 2026'!BL26)</f>
        <v>AFIC</v>
      </c>
      <c r="BM16" s="685" t="str">
        <f>IF('[1]Data 2026'!BM26="","",'[1]Data 2026'!BM26)</f>
        <v/>
      </c>
      <c r="BN16" s="685" t="str">
        <f>IF('[1]Data 2026'!BN26="","",'[1]Data 2026'!BN26)</f>
        <v/>
      </c>
      <c r="BO16" s="685" t="str">
        <f>IF('[1]Data 2026'!BO26="","",'[1]Data 2026'!BO26)</f>
        <v/>
      </c>
      <c r="BP16" s="685" t="str">
        <f>IF('[1]Data 2026'!BP26="","",'[1]Data 2026'!BP26)</f>
        <v/>
      </c>
      <c r="BQ16" s="685" t="str">
        <f>IF('[1]Data 2026'!BQ26="","",'[1]Data 2026'!BQ26)</f>
        <v/>
      </c>
      <c r="BR16" s="685" t="str">
        <f>IF('[1]Data 2026'!BR26="","",'[1]Data 2026'!BR26)</f>
        <v/>
      </c>
      <c r="BS16" s="685" t="str">
        <f>IF('[1]Data 2026'!BS26="","",'[1]Data 2026'!BS26)</f>
        <v/>
      </c>
      <c r="BT16" s="685" t="str">
        <f>IF('[1]Data 2026'!BV26="","",'[1]Data 2026'!BV26)</f>
        <v>ABSA/CMI</v>
      </c>
      <c r="BU16" s="685" t="str">
        <f>IF('[1]Data 2026'!BW26="","",'[1]Data 2026'!BW26)</f>
        <v/>
      </c>
      <c r="BV16" s="685" t="str">
        <f>IF('[1]Data 2026'!BX26="","",'[1]Data 2026'!BX26)</f>
        <v/>
      </c>
      <c r="BW16" s="685" t="str">
        <f>IF('[1]Data 2026'!BY26="","",'[1]Data 2026'!BY26)</f>
        <v/>
      </c>
      <c r="BX16" s="685" t="str">
        <f>IF('[1]Data 2026'!BZ26="","",'[1]Data 2026'!BZ26)</f>
        <v/>
      </c>
      <c r="BY16" s="685" t="str">
        <f>IF('[1]Data 2026'!CA26="","",'[1]Data 2026'!CA26)</f>
        <v>182610-14848</v>
      </c>
      <c r="BZ16" s="685">
        <f>IF('[1]Data 2026'!CB26="","",'[1]Data 2026'!CB26)</f>
        <v>46129</v>
      </c>
      <c r="CA16" s="685" t="str">
        <f>IF('[1]Data 2026'!CC26="","",'[1]Data 2026'!CC26)</f>
        <v>2026-0165</v>
      </c>
      <c r="CB16" s="685">
        <f>IF('[1]Data 2026'!CD26="","",'[1]Data 2026'!CD26)</f>
        <v>46129</v>
      </c>
      <c r="CC16" s="685" t="str">
        <f>IF('[1]Data 2026'!CE26="","",'[1]Data 2026'!CE26)</f>
        <v/>
      </c>
      <c r="CD16" s="685" t="str">
        <f>IF('[1]Data 2026'!CF26="","",'[1]Data 2026'!CF26)</f>
        <v/>
      </c>
      <c r="CE16" s="685">
        <f>IF('[1]Data 2026'!CG26="","",'[1]Data 2026'!CG26)</f>
        <v>46112</v>
      </c>
      <c r="CF16" s="685">
        <f>IF('[1]Data 2026'!CH26="","",'[1]Data 2026'!CH26)</f>
        <v>46129</v>
      </c>
      <c r="CG16" s="685" t="str">
        <f>IF('[1]Data 2026'!CI26="","",'[1]Data 2026'!CI26)</f>
        <v>E11994</v>
      </c>
      <c r="CH16" s="685" t="str">
        <f>IF('[1]Data 2026'!CJ26="","",'[1]Data 2026'!CJ26)</f>
        <v/>
      </c>
      <c r="CI16" s="685" t="str">
        <f>IF('[1]Data 2026'!CK26="","",'[1]Data 2026'!CK26)</f>
        <v/>
      </c>
      <c r="CJ16" s="685" t="str">
        <f>IF('[1]Data 2026'!CM26="","",'[1]Data 2026'!CM26)</f>
        <v/>
      </c>
      <c r="CK16" s="685" t="str">
        <f>IF('[1]Data 2026'!CN26="","",'[1]Data 2026'!CN26)</f>
        <v>Ajit</v>
      </c>
      <c r="CL16" s="691"/>
      <c r="CM16" s="691" t="str">
        <f>IF('[1]Data 2026'!CP26="","",'[1]Data 2026'!CP26)</f>
        <v/>
      </c>
      <c r="CN16" s="691"/>
      <c r="CO16" s="693"/>
      <c r="CP16" s="693"/>
      <c r="CQ16" s="693"/>
      <c r="CR16" s="686">
        <f t="shared" si="4"/>
        <v>13</v>
      </c>
      <c r="CS16" s="686">
        <f t="shared" si="4"/>
        <v>5</v>
      </c>
      <c r="CT16" s="686">
        <f t="shared" si="4"/>
        <v>28</v>
      </c>
      <c r="CU16" s="686" t="str">
        <f t="shared" si="5"/>
        <v/>
      </c>
      <c r="CV16" s="686" t="str">
        <f t="shared" si="6"/>
        <v/>
      </c>
      <c r="CW16" s="685" t="str">
        <f t="shared" si="10"/>
        <v/>
      </c>
      <c r="CX16" s="685" t="str">
        <f t="shared" si="11"/>
        <v/>
      </c>
      <c r="CY16" s="693">
        <f t="shared" ca="1" si="7"/>
        <v>0</v>
      </c>
      <c r="CZ16" s="693" t="str">
        <f t="shared" si="8"/>
        <v/>
      </c>
      <c r="DB16"/>
      <c r="DC16"/>
    </row>
    <row r="17" spans="1:107" s="694" customFormat="1">
      <c r="A17" s="682" t="str">
        <f t="shared" si="0"/>
        <v>F. GATED IN, SAILING AWAITED</v>
      </c>
      <c r="B17" s="695" t="s">
        <v>1195</v>
      </c>
      <c r="C17" s="684" t="str">
        <f t="shared" si="1"/>
        <v>CLOSED POSITION</v>
      </c>
      <c r="D17" s="685" t="str">
        <f t="shared" si="9"/>
        <v/>
      </c>
      <c r="E17" s="685" t="str">
        <f t="shared" si="2"/>
        <v/>
      </c>
      <c r="F17" s="686">
        <f>IF('[1]Data 2026'!D27="","",'[1]Data 2026'!D27)</f>
        <v>47</v>
      </c>
      <c r="G17" s="686">
        <f>IF('[1]Data 2026'!E27="","",'[1]Data 2026'!E27)</f>
        <v>200</v>
      </c>
      <c r="H17" s="687" t="str">
        <f>IF('[1]Data 2026'!H27="","",'[1]Data 2026'!H27)</f>
        <v>32015969-6</v>
      </c>
      <c r="I17" s="688">
        <f>IF('[1]Data 2026'!AA27="","",'[1]Data 2026'!AA27)</f>
        <v>250</v>
      </c>
      <c r="J17" s="685" t="str">
        <f>IF('[1]Data 2026'!K27="","",'[1]Data 2026'!K27)</f>
        <v>APRIL</v>
      </c>
      <c r="K17" s="685">
        <v>46142</v>
      </c>
      <c r="L17" s="685" t="str">
        <f>IF('[1]Data 2026'!L27="","",'[1]Data 2026'!L27)</f>
        <v>VALENCY CI</v>
      </c>
      <c r="M17" s="685" t="str">
        <f>IF('[1]Data 2026'!M27="","",'[1]Data 2026'!M27)</f>
        <v>VALENCY AGRO INDIA GUJRAT</v>
      </c>
      <c r="N17" s="685" t="s">
        <v>1197</v>
      </c>
      <c r="O17" s="689">
        <f>IF('[1]Data 2026'!N27="","",'[1]Data 2026'!N27)</f>
        <v>268593044</v>
      </c>
      <c r="P17" s="690" t="str">
        <f>IF('[1]Data 2026'!O27="","",'[1]Data 2026'!O27)</f>
        <v/>
      </c>
      <c r="Q17" s="685" t="str">
        <f>IF('[1]Data 2026'!P27="","",'[1]Data 2026'!P27)</f>
        <v/>
      </c>
      <c r="R17" s="685" t="str">
        <f>IF('[1]Data 2026'!Q27="","",'[1]Data 2026'!Q27)</f>
        <v>ABJ</v>
      </c>
      <c r="S17" s="685" t="s">
        <v>210</v>
      </c>
      <c r="T17" s="685" t="str">
        <f>IF('[1]Data 2026'!R27="","",'[1]Data 2026'!R27)</f>
        <v>MUNDRA, INDIA</v>
      </c>
      <c r="U17" s="685" t="str">
        <f>IF('[1]Data 2026'!S27="","",'[1]Data 2026'!S27)</f>
        <v>MAERSK CUANZA</v>
      </c>
      <c r="V17" s="685">
        <f>IF('[1]Data 2026'!T27="","",'[1]Data 2026'!T27)</f>
        <v>46112</v>
      </c>
      <c r="W17" s="685">
        <f>IF('[1]Data 2026'!U27="","",'[1]Data 2026'!U27)</f>
        <v>46125</v>
      </c>
      <c r="X17" s="685">
        <f>IF('[1]Data 2026'!V27="","",'[1]Data 2026'!V27)</f>
        <v>46130</v>
      </c>
      <c r="Y17" s="685">
        <f>IF('[1]Data 2026'!W27="","",'[1]Data 2026'!W27)</f>
        <v>46158</v>
      </c>
      <c r="Z17" s="685">
        <f>IF('[1]Data 2026'!X27="","",'[1]Data 2026'!X27)</f>
        <v>46193</v>
      </c>
      <c r="AA17" s="685"/>
      <c r="AB17" s="685">
        <f>IF('[1]Data 2026'!Y27="","",'[1]Data 2026'!Y27)</f>
        <v>46172</v>
      </c>
      <c r="AC17" s="685" t="str">
        <f>IF('[1]Data 2026'!Z27="","",'[1]Data 2026'!Z27)</f>
        <v/>
      </c>
      <c r="AD17" s="691">
        <f>IF('[1]Data 2026'!AA27="","",'[1]Data 2026'!AA27)</f>
        <v>250</v>
      </c>
      <c r="AE17" s="691">
        <f>IF('[1]Data 2026'!AB27="","",'[1]Data 2026'!AB27)</f>
        <v>250</v>
      </c>
      <c r="AF17" s="685">
        <f>IF('[1]Data 2026'!AC27="","",'[1]Data 2026'!AC27)</f>
        <v>45777</v>
      </c>
      <c r="AG17" s="685" t="str">
        <f>IF('[1]Data 2026'!AD27="","",'[1]Data 2026'!AD27)</f>
        <v>WH-C</v>
      </c>
      <c r="AH17" s="686">
        <f>IF('[1]Data 2026'!AE27="","",'[1]Data 2026'!AE27)</f>
        <v>10</v>
      </c>
      <c r="AI17" s="685" t="str">
        <f>IF('[1]Data 2026'!AG27="","",'[1]Data 2026'!AG27)</f>
        <v xml:space="preserve">VALENCY SINGAPORE </v>
      </c>
      <c r="AJ17" s="685" t="str">
        <f>IF('[1]Data 2026'!AH27="","",'[1]Data 2026'!AH27)</f>
        <v>AFIC</v>
      </c>
      <c r="AK17" s="685" t="str">
        <f>IF('[1]Data 2026'!AI27="","",'[1]Data 2026'!AI27)</f>
        <v>MSK</v>
      </c>
      <c r="AL17" s="685" t="str">
        <f>IF('[1]Data 2026'!AJ27="","",'[1]Data 2026'!AJ27)</f>
        <v>40FT</v>
      </c>
      <c r="AM17" s="692">
        <f>IF('[1]Data 2026'!AK27="","",'[1]Data 2026'!AK27)</f>
        <v>0.1</v>
      </c>
      <c r="AN17" s="685" t="str">
        <f>IF('[1]Data 2026'!AL27="","",'[1]Data 2026'!AL27)</f>
        <v>(01x250MTS)</v>
      </c>
      <c r="AO17" s="691">
        <f>IF('[1]Data 2026'!AM27="","",'[1]Data 2026'!AM27)</f>
        <v>275</v>
      </c>
      <c r="AP17" s="691" t="str">
        <f t="shared" si="3"/>
        <v/>
      </c>
      <c r="AQ17" s="685" t="str">
        <f>IF('[1]Data 2026'!AO27="","",'[1]Data 2026'!AO27)</f>
        <v/>
      </c>
      <c r="AR17" s="685" t="str">
        <f>IF('[1]Data 2026'!AP27="","",'[1]Data 2026'!AP27)</f>
        <v/>
      </c>
      <c r="AS17" s="685" t="str">
        <f>IF('[1]Data 2026'!AQ27="","",'[1]Data 2026'!AQ27)</f>
        <v/>
      </c>
      <c r="AT17" s="685" t="str">
        <f>IF('[1]Data 2026'!AR27="","",'[1]Data 2026'!AR27)</f>
        <v/>
      </c>
      <c r="AU17" s="685" t="str">
        <f>IF('[1]Data 2026'!AW27="","",'[1]Data 2026'!AW27)</f>
        <v/>
      </c>
      <c r="AV17" s="685" t="str">
        <f>IF('[1]Data 2026'!AX27="","",'[1]Data 2026'!AX27)</f>
        <v/>
      </c>
      <c r="AW17" s="685" t="str">
        <f>IF('[1]Data 2026'!AY27="","",'[1]Data 2026'!AY27)</f>
        <v/>
      </c>
      <c r="AX17" s="685" t="str">
        <f>IF('[1]Data 2026'!AZ27="","",'[1]Data 2026'!AZ27)</f>
        <v/>
      </c>
      <c r="AY17" s="685" t="str">
        <f>IF('[1]Data 2026'!BA27="","",'[1]Data 2026'!BA27)</f>
        <v/>
      </c>
      <c r="AZ17" s="685" t="str">
        <f>IF('[1]Data 2026'!AS27="","",'[1]Data 2026'!AS27)</f>
        <v/>
      </c>
      <c r="BA17" s="685" t="str">
        <f>IF('[1]Data 2026'!AT27="","",'[1]Data 2026'!AT27)</f>
        <v/>
      </c>
      <c r="BB17" s="685" t="str">
        <f>IF('[1]Data 2026'!AU27="","",'[1]Data 2026'!AU27)</f>
        <v/>
      </c>
      <c r="BC17" s="685" t="str">
        <f>IF('[1]Data 2026'!AV27="","",'[1]Data 2026'!AV27)</f>
        <v/>
      </c>
      <c r="BD17" s="685" t="str">
        <f>IF('[1]Data 2026'!AW27="","",'[1]Data 2026'!AW27)</f>
        <v/>
      </c>
      <c r="BE17" s="685" t="str">
        <f>IF('[1]Data 2026'!AX27="","",'[1]Data 2026'!AX27)</f>
        <v/>
      </c>
      <c r="BF17" s="685" t="str">
        <f>IF('[1]Data 2026'!BF27="","",'[1]Data 2026'!BF27)</f>
        <v xml:space="preserve">VALENCY SINGAPORE </v>
      </c>
      <c r="BG17" s="685" t="str">
        <f>IF('[1]Data 2026'!BG27="","",'[1]Data 2026'!BG27)</f>
        <v/>
      </c>
      <c r="BH17" s="685" t="str">
        <f>IF('[1]Data 2026'!BH27="","",'[1]Data 2026'!BH27)</f>
        <v/>
      </c>
      <c r="BI17" s="685" t="str">
        <f>IF('[1]Data 2026'!BI27="","",'[1]Data 2026'!BI27)</f>
        <v/>
      </c>
      <c r="BJ17" s="685" t="str">
        <f>IF('[1]Data 2026'!BJ27="","",'[1]Data 2026'!BJ27)</f>
        <v/>
      </c>
      <c r="BK17" s="685" t="str">
        <f>IF('[1]Data 2026'!BK27="","",'[1]Data 2026'!BK27)</f>
        <v/>
      </c>
      <c r="BL17" s="685" t="str">
        <f>IF('[1]Data 2026'!BL27="","",'[1]Data 2026'!BL27)</f>
        <v>AFIC</v>
      </c>
      <c r="BM17" s="685" t="str">
        <f>IF('[1]Data 2026'!BM27="","",'[1]Data 2026'!BM27)</f>
        <v/>
      </c>
      <c r="BN17" s="685" t="str">
        <f>IF('[1]Data 2026'!BN27="","",'[1]Data 2026'!BN27)</f>
        <v/>
      </c>
      <c r="BO17" s="685" t="str">
        <f>IF('[1]Data 2026'!BO27="","",'[1]Data 2026'!BO27)</f>
        <v/>
      </c>
      <c r="BP17" s="685" t="str">
        <f>IF('[1]Data 2026'!BP27="","",'[1]Data 2026'!BP27)</f>
        <v/>
      </c>
      <c r="BQ17" s="685" t="str">
        <f>IF('[1]Data 2026'!BQ27="","",'[1]Data 2026'!BQ27)</f>
        <v/>
      </c>
      <c r="BR17" s="685" t="str">
        <f>IF('[1]Data 2026'!BR27="","",'[1]Data 2026'!BR27)</f>
        <v/>
      </c>
      <c r="BS17" s="685" t="str">
        <f>IF('[1]Data 2026'!BS27="","",'[1]Data 2026'!BS27)</f>
        <v/>
      </c>
      <c r="BT17" s="685" t="str">
        <f>IF('[1]Data 2026'!BV27="","",'[1]Data 2026'!BV27)</f>
        <v>ABSA/CMI</v>
      </c>
      <c r="BU17" s="685" t="str">
        <f>IF('[1]Data 2026'!BW27="","",'[1]Data 2026'!BW27)</f>
        <v/>
      </c>
      <c r="BV17" s="685" t="str">
        <f>IF('[1]Data 2026'!BX27="","",'[1]Data 2026'!BX27)</f>
        <v/>
      </c>
      <c r="BW17" s="685" t="str">
        <f>IF('[1]Data 2026'!BY27="","",'[1]Data 2026'!BY27)</f>
        <v/>
      </c>
      <c r="BX17" s="685" t="str">
        <f>IF('[1]Data 2026'!BZ27="","",'[1]Data 2026'!BZ27)</f>
        <v/>
      </c>
      <c r="BY17" s="685" t="str">
        <f>IF('[1]Data 2026'!CA27="","",'[1]Data 2026'!CA27)</f>
        <v>182610-14853</v>
      </c>
      <c r="BZ17" s="685">
        <f>IF('[1]Data 2026'!CB27="","",'[1]Data 2026'!CB27)</f>
        <v>46129</v>
      </c>
      <c r="CA17" s="685" t="str">
        <f>IF('[1]Data 2026'!CC27="","",'[1]Data 2026'!CC27)</f>
        <v>2016-00176</v>
      </c>
      <c r="CB17" s="685">
        <f>IF('[1]Data 2026'!CD27="","",'[1]Data 2026'!CD27)</f>
        <v>46129</v>
      </c>
      <c r="CC17" s="685" t="str">
        <f>IF('[1]Data 2026'!CE27="","",'[1]Data 2026'!CE27)</f>
        <v/>
      </c>
      <c r="CD17" s="685" t="str">
        <f>IF('[1]Data 2026'!CF27="","",'[1]Data 2026'!CF27)</f>
        <v/>
      </c>
      <c r="CE17" s="685">
        <f>IF('[1]Data 2026'!CG27="","",'[1]Data 2026'!CG27)</f>
        <v>46112</v>
      </c>
      <c r="CF17" s="685">
        <f>IF('[1]Data 2026'!CH27="","",'[1]Data 2026'!CH27)</f>
        <v>46129</v>
      </c>
      <c r="CG17" s="685" t="str">
        <f>IF('[1]Data 2026'!CI27="","",'[1]Data 2026'!CI27)</f>
        <v>E11994</v>
      </c>
      <c r="CH17" s="685" t="str">
        <f>IF('[1]Data 2026'!CJ27="","",'[1]Data 2026'!CJ27)</f>
        <v/>
      </c>
      <c r="CI17" s="685" t="str">
        <f>IF('[1]Data 2026'!CK27="","",'[1]Data 2026'!CK27)</f>
        <v/>
      </c>
      <c r="CJ17" s="685" t="str">
        <f>IF('[1]Data 2026'!CM27="","",'[1]Data 2026'!CM27)</f>
        <v/>
      </c>
      <c r="CK17" s="685" t="str">
        <f>IF('[1]Data 2026'!CN27="","",'[1]Data 2026'!CN27)</f>
        <v>Ajit</v>
      </c>
      <c r="CL17" s="691"/>
      <c r="CM17" s="691" t="str">
        <f>IF('[1]Data 2026'!CP27="","",'[1]Data 2026'!CP27)</f>
        <v/>
      </c>
      <c r="CN17" s="691"/>
      <c r="CO17" s="693"/>
      <c r="CP17" s="693"/>
      <c r="CQ17" s="693"/>
      <c r="CR17" s="686">
        <f t="shared" si="4"/>
        <v>13</v>
      </c>
      <c r="CS17" s="686">
        <f t="shared" si="4"/>
        <v>5</v>
      </c>
      <c r="CT17" s="686">
        <f t="shared" si="4"/>
        <v>28</v>
      </c>
      <c r="CU17" s="686" t="str">
        <f t="shared" si="5"/>
        <v/>
      </c>
      <c r="CV17" s="686" t="str">
        <f t="shared" si="6"/>
        <v/>
      </c>
      <c r="CW17" s="685" t="str">
        <f t="shared" si="10"/>
        <v/>
      </c>
      <c r="CX17" s="685" t="str">
        <f t="shared" si="11"/>
        <v/>
      </c>
      <c r="CY17" s="693">
        <f t="shared" ca="1" si="7"/>
        <v>0</v>
      </c>
      <c r="CZ17" s="693" t="str">
        <f t="shared" si="8"/>
        <v/>
      </c>
      <c r="DB17"/>
      <c r="DC17"/>
    </row>
    <row r="18" spans="1:107" s="694" customFormat="1">
      <c r="A18" s="682" t="str">
        <f t="shared" si="0"/>
        <v>F. GATED IN, SAILING AWAITED</v>
      </c>
      <c r="B18" s="695" t="s">
        <v>1195</v>
      </c>
      <c r="C18" s="684" t="str">
        <f t="shared" si="1"/>
        <v>CLOSED POSITION</v>
      </c>
      <c r="D18" s="685" t="str">
        <f t="shared" si="9"/>
        <v/>
      </c>
      <c r="E18" s="685" t="str">
        <f t="shared" si="2"/>
        <v/>
      </c>
      <c r="F18" s="686">
        <f>IF('[1]Data 2026'!D28="","",'[1]Data 2026'!D28)</f>
        <v>49</v>
      </c>
      <c r="G18" s="686">
        <f>IF('[1]Data 2026'!E28="","",'[1]Data 2026'!E28)</f>
        <v>200</v>
      </c>
      <c r="H18" s="687">
        <f>IF('[1]Data 2026'!H28="","",'[1]Data 2026'!H28)</f>
        <v>32014470</v>
      </c>
      <c r="I18" s="688">
        <f>IF('[1]Data 2026'!AA28="","",'[1]Data 2026'!AA28)</f>
        <v>100</v>
      </c>
      <c r="J18" s="685" t="str">
        <f>IF('[1]Data 2026'!K28="","",'[1]Data 2026'!K28)</f>
        <v>APRIL</v>
      </c>
      <c r="K18" s="685">
        <v>46142</v>
      </c>
      <c r="L18" s="685" t="str">
        <f>IF('[1]Data 2026'!L28="","",'[1]Data 2026'!L28)</f>
        <v>VALENCY CI</v>
      </c>
      <c r="M18" s="685" t="str">
        <f>IF('[1]Data 2026'!M28="","",'[1]Data 2026'!M28)</f>
        <v>VALENCY AGRO INDIA UDUPI</v>
      </c>
      <c r="N18" s="685" t="s">
        <v>1198</v>
      </c>
      <c r="O18" s="689">
        <f>IF('[1]Data 2026'!N28="","",'[1]Data 2026'!N28)</f>
        <v>267466662</v>
      </c>
      <c r="P18" s="690">
        <f>IF('[1]Data 2026'!O28="","",'[1]Data 2026'!O28)</f>
        <v>267466662</v>
      </c>
      <c r="Q18" s="685" t="str">
        <f>IF('[1]Data 2026'!P28="","",'[1]Data 2026'!P28)</f>
        <v/>
      </c>
      <c r="R18" s="685" t="str">
        <f>IF('[1]Data 2026'!Q28="","",'[1]Data 2026'!Q28)</f>
        <v>ABJ</v>
      </c>
      <c r="S18" s="685" t="s">
        <v>210</v>
      </c>
      <c r="T18" s="685" t="str">
        <f>IF('[1]Data 2026'!R28="","",'[1]Data 2026'!R28)</f>
        <v>VISHAKPATNAM, INDIA</v>
      </c>
      <c r="U18" s="685" t="str">
        <f>IF('[1]Data 2026'!S28="","",'[1]Data 2026'!S28)</f>
        <v>MAERSK CUANZA</v>
      </c>
      <c r="V18" s="685">
        <f>IF('[1]Data 2026'!T28="","",'[1]Data 2026'!T28)</f>
        <v>46107</v>
      </c>
      <c r="W18" s="685">
        <f>IF('[1]Data 2026'!U28="","",'[1]Data 2026'!U28)</f>
        <v>46115</v>
      </c>
      <c r="X18" s="685">
        <f>IF('[1]Data 2026'!V28="","",'[1]Data 2026'!V28)</f>
        <v>46115</v>
      </c>
      <c r="Y18" s="685">
        <f>IF('[1]Data 2026'!W28="","",'[1]Data 2026'!W28)</f>
        <v>46160</v>
      </c>
      <c r="Z18" s="685" t="str">
        <f>IF('[1]Data 2026'!X28="","",'[1]Data 2026'!X28)</f>
        <v/>
      </c>
      <c r="AA18" s="685"/>
      <c r="AB18" s="685">
        <f>IF('[1]Data 2026'!Y28="","",'[1]Data 2026'!Y28)</f>
        <v>46172</v>
      </c>
      <c r="AC18" s="685" t="str">
        <f>IF('[1]Data 2026'!Z28="","",'[1]Data 2026'!Z28)</f>
        <v/>
      </c>
      <c r="AD18" s="691">
        <f>IF('[1]Data 2026'!AA28="","",'[1]Data 2026'!AA28)</f>
        <v>100</v>
      </c>
      <c r="AE18" s="691">
        <f>IF('[1]Data 2026'!AB28="","",'[1]Data 2026'!AB28)</f>
        <v>100</v>
      </c>
      <c r="AF18" s="685">
        <f>IF('[1]Data 2026'!AC28="","",'[1]Data 2026'!AC28)</f>
        <v>45777</v>
      </c>
      <c r="AG18" s="685" t="str">
        <f>IF('[1]Data 2026'!AD28="","",'[1]Data 2026'!AD28)</f>
        <v>Ex-Olam</v>
      </c>
      <c r="AH18" s="686">
        <f>IF('[1]Data 2026'!AE28="","",'[1]Data 2026'!AE28)</f>
        <v>4</v>
      </c>
      <c r="AI18" s="685" t="str">
        <f>IF('[1]Data 2026'!AG28="","",'[1]Data 2026'!AG28)</f>
        <v xml:space="preserve">VALENCY SINGAPORE </v>
      </c>
      <c r="AJ18" s="685" t="str">
        <f>IF('[1]Data 2026'!AH28="","",'[1]Data 2026'!AH28)</f>
        <v>DUNAMIS/SITRACOM</v>
      </c>
      <c r="AK18" s="685" t="str">
        <f>IF('[1]Data 2026'!AI28="","",'[1]Data 2026'!AI28)</f>
        <v>MSK</v>
      </c>
      <c r="AL18" s="685" t="str">
        <f>IF('[1]Data 2026'!AJ28="","",'[1]Data 2026'!AJ28)</f>
        <v>40FT</v>
      </c>
      <c r="AM18" s="692">
        <f>IF('[1]Data 2026'!AK28="","",'[1]Data 2026'!AK28)</f>
        <v>0.05</v>
      </c>
      <c r="AN18" s="685" t="str">
        <f>IF('[1]Data 2026'!AL28="","",'[1]Data 2026'!AL28)</f>
        <v xml:space="preserve"> ( 1 x 100 MTS ) </v>
      </c>
      <c r="AO18" s="691">
        <f>IF('[1]Data 2026'!AM28="","",'[1]Data 2026'!AM28)</f>
        <v>105</v>
      </c>
      <c r="AP18" s="691" t="str">
        <f t="shared" si="3"/>
        <v/>
      </c>
      <c r="AQ18" s="685" t="str">
        <f>IF('[1]Data 2026'!AO28="","",'[1]Data 2026'!AO28)</f>
        <v/>
      </c>
      <c r="AR18" s="685" t="str">
        <f>IF('[1]Data 2026'!AP28="","",'[1]Data 2026'!AP28)</f>
        <v/>
      </c>
      <c r="AS18" s="685" t="str">
        <f>IF('[1]Data 2026'!AQ28="","",'[1]Data 2026'!AQ28)</f>
        <v/>
      </c>
      <c r="AT18" s="685" t="str">
        <f>IF('[1]Data 2026'!AR28="","",'[1]Data 2026'!AR28)</f>
        <v/>
      </c>
      <c r="AU18" s="685" t="str">
        <f>IF('[1]Data 2026'!AW28="","",'[1]Data 2026'!AW28)</f>
        <v/>
      </c>
      <c r="AV18" s="685" t="str">
        <f>IF('[1]Data 2026'!AX28="","",'[1]Data 2026'!AX28)</f>
        <v/>
      </c>
      <c r="AW18" s="685" t="str">
        <f>IF('[1]Data 2026'!AY28="","",'[1]Data 2026'!AY28)</f>
        <v/>
      </c>
      <c r="AX18" s="685" t="str">
        <f>IF('[1]Data 2026'!AZ28="","",'[1]Data 2026'!AZ28)</f>
        <v/>
      </c>
      <c r="AY18" s="685" t="str">
        <f>IF('[1]Data 2026'!BA28="","",'[1]Data 2026'!BA28)</f>
        <v/>
      </c>
      <c r="AZ18" s="685" t="str">
        <f>IF('[1]Data 2026'!AS28="","",'[1]Data 2026'!AS28)</f>
        <v/>
      </c>
      <c r="BA18" s="685" t="str">
        <f>IF('[1]Data 2026'!AT28="","",'[1]Data 2026'!AT28)</f>
        <v/>
      </c>
      <c r="BB18" s="685" t="str">
        <f>IF('[1]Data 2026'!AU28="","",'[1]Data 2026'!AU28)</f>
        <v/>
      </c>
      <c r="BC18" s="685" t="str">
        <f>IF('[1]Data 2026'!AV28="","",'[1]Data 2026'!AV28)</f>
        <v/>
      </c>
      <c r="BD18" s="685" t="str">
        <f>IF('[1]Data 2026'!AW28="","",'[1]Data 2026'!AW28)</f>
        <v/>
      </c>
      <c r="BE18" s="685" t="str">
        <f>IF('[1]Data 2026'!AX28="","",'[1]Data 2026'!AX28)</f>
        <v/>
      </c>
      <c r="BF18" s="685" t="str">
        <f>IF('[1]Data 2026'!BF28="","",'[1]Data 2026'!BF28)</f>
        <v xml:space="preserve">VALENCY SINGAPORE </v>
      </c>
      <c r="BG18" s="685" t="str">
        <f>IF('[1]Data 2026'!BG28="","",'[1]Data 2026'!BG28)</f>
        <v/>
      </c>
      <c r="BH18" s="685" t="str">
        <f>IF('[1]Data 2026'!BH28="","",'[1]Data 2026'!BH28)</f>
        <v/>
      </c>
      <c r="BI18" s="685" t="str">
        <f>IF('[1]Data 2026'!BI28="","",'[1]Data 2026'!BI28)</f>
        <v/>
      </c>
      <c r="BJ18" s="685" t="str">
        <f>IF('[1]Data 2026'!BJ28="","",'[1]Data 2026'!BJ28)</f>
        <v/>
      </c>
      <c r="BK18" s="685" t="str">
        <f>IF('[1]Data 2026'!BK28="","",'[1]Data 2026'!BK28)</f>
        <v/>
      </c>
      <c r="BL18" s="685" t="str">
        <f>IF('[1]Data 2026'!BL28="","",'[1]Data 2026'!BL28)</f>
        <v>DUNAMIS/SITRACOM</v>
      </c>
      <c r="BM18" s="685" t="str">
        <f>IF('[1]Data 2026'!BM28="","",'[1]Data 2026'!BM28)</f>
        <v/>
      </c>
      <c r="BN18" s="685" t="str">
        <f>IF('[1]Data 2026'!BN28="","",'[1]Data 2026'!BN28)</f>
        <v/>
      </c>
      <c r="BO18" s="685" t="str">
        <f>IF('[1]Data 2026'!BO28="","",'[1]Data 2026'!BO28)</f>
        <v/>
      </c>
      <c r="BP18" s="685" t="str">
        <f>IF('[1]Data 2026'!BP28="","",'[1]Data 2026'!BP28)</f>
        <v/>
      </c>
      <c r="BQ18" s="685" t="str">
        <f>IF('[1]Data 2026'!BQ28="","",'[1]Data 2026'!BQ28)</f>
        <v/>
      </c>
      <c r="BR18" s="685" t="str">
        <f>IF('[1]Data 2026'!BR28="","",'[1]Data 2026'!BR28)</f>
        <v/>
      </c>
      <c r="BS18" s="685" t="str">
        <f>IF('[1]Data 2026'!BS28="","",'[1]Data 2026'!BS28)</f>
        <v/>
      </c>
      <c r="BT18" s="685" t="str">
        <f>IF('[1]Data 2026'!BV28="","",'[1]Data 2026'!BV28)</f>
        <v>BOA/KTD</v>
      </c>
      <c r="BU18" s="685" t="str">
        <f>IF('[1]Data 2026'!BW28="","",'[1]Data 2026'!BW28)</f>
        <v/>
      </c>
      <c r="BV18" s="685" t="str">
        <f>IF('[1]Data 2026'!BX28="","",'[1]Data 2026'!BX28)</f>
        <v/>
      </c>
      <c r="BW18" s="685" t="str">
        <f>IF('[1]Data 2026'!BY28="","",'[1]Data 2026'!BY28)</f>
        <v/>
      </c>
      <c r="BX18" s="685" t="str">
        <f>IF('[1]Data 2026'!BZ28="","",'[1]Data 2026'!BZ28)</f>
        <v/>
      </c>
      <c r="BY18" s="685" t="str">
        <f>IF('[1]Data 2026'!CA28="","",'[1]Data 2026'!CA28)</f>
        <v>182610-14810</v>
      </c>
      <c r="BZ18" s="685">
        <f>IF('[1]Data 2026'!CB28="","",'[1]Data 2026'!CB28)</f>
        <v>46128</v>
      </c>
      <c r="CA18" s="685" t="str">
        <f>IF('[1]Data 2026'!CC28="","",'[1]Data 2026'!CC28)</f>
        <v>2026-0112</v>
      </c>
      <c r="CB18" s="685">
        <f>IF('[1]Data 2026'!CD28="","",'[1]Data 2026'!CD28)</f>
        <v>46128</v>
      </c>
      <c r="CC18" s="685" t="str">
        <f>IF('[1]Data 2026'!CE28="","",'[1]Data 2026'!CE28)</f>
        <v/>
      </c>
      <c r="CD18" s="685" t="str">
        <f>IF('[1]Data 2026'!CF28="","",'[1]Data 2026'!CF28)</f>
        <v/>
      </c>
      <c r="CE18" s="685">
        <f>IF('[1]Data 2026'!CG28="","",'[1]Data 2026'!CG28)</f>
        <v>46107</v>
      </c>
      <c r="CF18" s="685">
        <f>IF('[1]Data 2026'!CH28="","",'[1]Data 2026'!CH28)</f>
        <v>46127</v>
      </c>
      <c r="CG18" s="685" t="str">
        <f>IF('[1]Data 2026'!CI28="","",'[1]Data 2026'!CI28)</f>
        <v>E11685</v>
      </c>
      <c r="CH18" s="685" t="str">
        <f>IF('[1]Data 2026'!CJ28="","",'[1]Data 2026'!CJ28)</f>
        <v/>
      </c>
      <c r="CI18" s="685">
        <f>IF('[1]Data 2026'!CK28="","",'[1]Data 2026'!CK28)</f>
        <v>46140</v>
      </c>
      <c r="CJ18" s="685" t="str">
        <f>IF('[1]Data 2026'!CM28="","",'[1]Data 2026'!CM28)</f>
        <v/>
      </c>
      <c r="CK18" s="685" t="str">
        <f>IF('[1]Data 2026'!CN28="","",'[1]Data 2026'!CN28)</f>
        <v>Sugmaran</v>
      </c>
      <c r="CL18" s="691"/>
      <c r="CM18" s="691" t="str">
        <f>IF('[1]Data 2026'!CP28="","",'[1]Data 2026'!CP28)</f>
        <v/>
      </c>
      <c r="CN18" s="691"/>
      <c r="CO18" s="693"/>
      <c r="CP18" s="693"/>
      <c r="CQ18" s="693"/>
      <c r="CR18" s="686">
        <f t="shared" si="4"/>
        <v>8</v>
      </c>
      <c r="CS18" s="686">
        <f t="shared" si="4"/>
        <v>0</v>
      </c>
      <c r="CT18" s="686">
        <f t="shared" si="4"/>
        <v>45</v>
      </c>
      <c r="CU18" s="686" t="str">
        <f t="shared" si="5"/>
        <v/>
      </c>
      <c r="CV18" s="686" t="str">
        <f t="shared" si="6"/>
        <v/>
      </c>
      <c r="CW18" s="685" t="str">
        <f t="shared" si="10"/>
        <v/>
      </c>
      <c r="CX18" s="685" t="str">
        <f t="shared" si="11"/>
        <v/>
      </c>
      <c r="CY18" s="693">
        <f t="shared" ca="1" si="7"/>
        <v>0</v>
      </c>
      <c r="CZ18" s="693" t="str">
        <f t="shared" si="8"/>
        <v/>
      </c>
      <c r="DB18"/>
      <c r="DC18"/>
    </row>
    <row r="19" spans="1:107" s="694" customFormat="1">
      <c r="A19" s="682" t="str">
        <f t="shared" si="0"/>
        <v>F. GATED IN, SAILING AWAITED</v>
      </c>
      <c r="B19" s="695" t="s">
        <v>1195</v>
      </c>
      <c r="C19" s="684" t="str">
        <f t="shared" si="1"/>
        <v>CLOSED POSITION</v>
      </c>
      <c r="D19" s="685" t="str">
        <f t="shared" si="9"/>
        <v/>
      </c>
      <c r="E19" s="685" t="str">
        <f t="shared" si="2"/>
        <v/>
      </c>
      <c r="F19" s="686">
        <f>IF('[1]Data 2026'!D29="","",'[1]Data 2026'!D29)</f>
        <v>49</v>
      </c>
      <c r="G19" s="686">
        <f>IF('[1]Data 2026'!E29="","",'[1]Data 2026'!E29)</f>
        <v>200</v>
      </c>
      <c r="H19" s="687">
        <f>IF('[1]Data 2026'!H29="","",'[1]Data 2026'!H29)</f>
        <v>32014450</v>
      </c>
      <c r="I19" s="688">
        <f>IF('[1]Data 2026'!AA29="","",'[1]Data 2026'!AA29)</f>
        <v>200</v>
      </c>
      <c r="J19" s="685" t="str">
        <f>IF('[1]Data 2026'!K29="","",'[1]Data 2026'!K29)</f>
        <v>APRIL</v>
      </c>
      <c r="K19" s="685">
        <v>46142</v>
      </c>
      <c r="L19" s="685" t="str">
        <f>IF('[1]Data 2026'!L29="","",'[1]Data 2026'!L29)</f>
        <v>VALENCY CI</v>
      </c>
      <c r="M19" s="685" t="str">
        <f>IF('[1]Data 2026'!M29="","",'[1]Data 2026'!M29)</f>
        <v>ST. PAULS CASHEW FACTORY</v>
      </c>
      <c r="N19" s="685" t="s">
        <v>1198</v>
      </c>
      <c r="O19" s="689">
        <f>IF('[1]Data 2026'!N29="","",'[1]Data 2026'!N29)</f>
        <v>268715415</v>
      </c>
      <c r="P19" s="690">
        <f>IF('[1]Data 2026'!O29="","",'[1]Data 2026'!O29)</f>
        <v>268715415</v>
      </c>
      <c r="Q19" s="685" t="str">
        <f>IF('[1]Data 2026'!P29="","",'[1]Data 2026'!P29)</f>
        <v/>
      </c>
      <c r="R19" s="685" t="str">
        <f>IF('[1]Data 2026'!Q29="","",'[1]Data 2026'!Q29)</f>
        <v>ABJ</v>
      </c>
      <c r="S19" s="685" t="s">
        <v>210</v>
      </c>
      <c r="T19" s="685" t="str">
        <f>IF('[1]Data 2026'!R29="","",'[1]Data 2026'!R29)</f>
        <v>TUTICORIN, INDIA</v>
      </c>
      <c r="U19" s="685" t="str">
        <f>IF('[1]Data 2026'!S29="","",'[1]Data 2026'!S29)</f>
        <v>MAERSK CUANZA</v>
      </c>
      <c r="V19" s="685">
        <f>IF('[1]Data 2026'!T29="","",'[1]Data 2026'!T29)</f>
        <v>46109</v>
      </c>
      <c r="W19" s="685">
        <f>IF('[1]Data 2026'!U29="","",'[1]Data 2026'!U29)</f>
        <v>46123</v>
      </c>
      <c r="X19" s="685">
        <f>IF('[1]Data 2026'!V29="","",'[1]Data 2026'!V29)</f>
        <v>46126</v>
      </c>
      <c r="Y19" s="685">
        <f>IF('[1]Data 2026'!W29="","",'[1]Data 2026'!W29)</f>
        <v>46160</v>
      </c>
      <c r="Z19" s="685">
        <f>IF('[1]Data 2026'!X29="","",'[1]Data 2026'!X29)</f>
        <v>46179</v>
      </c>
      <c r="AA19" s="685"/>
      <c r="AB19" s="685">
        <f>IF('[1]Data 2026'!Y29="","",'[1]Data 2026'!Y29)</f>
        <v>46172</v>
      </c>
      <c r="AC19" s="685" t="str">
        <f>IF('[1]Data 2026'!Z29="","",'[1]Data 2026'!Z29)</f>
        <v/>
      </c>
      <c r="AD19" s="691">
        <f>IF('[1]Data 2026'!AA29="","",'[1]Data 2026'!AA29)</f>
        <v>200</v>
      </c>
      <c r="AE19" s="691">
        <f>IF('[1]Data 2026'!AB29="","",'[1]Data 2026'!AB29)</f>
        <v>200</v>
      </c>
      <c r="AF19" s="685">
        <f>IF('[1]Data 2026'!AC29="","",'[1]Data 2026'!AC29)</f>
        <v>45777</v>
      </c>
      <c r="AG19" s="685" t="str">
        <f>IF('[1]Data 2026'!AD29="","",'[1]Data 2026'!AD29)</f>
        <v>Ex-Olam</v>
      </c>
      <c r="AH19" s="686">
        <f>IF('[1]Data 2026'!AE29="","",'[1]Data 2026'!AE29)</f>
        <v>8</v>
      </c>
      <c r="AI19" s="685" t="str">
        <f>IF('[1]Data 2026'!AG29="","",'[1]Data 2026'!AG29)</f>
        <v xml:space="preserve">REUDAN INTERNATIONAL CI </v>
      </c>
      <c r="AJ19" s="685" t="str">
        <f>IF('[1]Data 2026'!AH29="","",'[1]Data 2026'!AH29)</f>
        <v>DUNAMIS/SITRACOM</v>
      </c>
      <c r="AK19" s="685" t="str">
        <f>IF('[1]Data 2026'!AI29="","",'[1]Data 2026'!AI29)</f>
        <v>MSK</v>
      </c>
      <c r="AL19" s="685" t="str">
        <f>IF('[1]Data 2026'!AJ29="","",'[1]Data 2026'!AJ29)</f>
        <v>40FT</v>
      </c>
      <c r="AM19" s="692">
        <f>IF('[1]Data 2026'!AK29="","",'[1]Data 2026'!AK29)</f>
        <v>0.1</v>
      </c>
      <c r="AN19" s="685" t="str">
        <f>IF('[1]Data 2026'!AL29="","",'[1]Data 2026'!AL29)</f>
        <v xml:space="preserve"> ( 1 x 200 MTS ) </v>
      </c>
      <c r="AO19" s="691">
        <f>IF('[1]Data 2026'!AM29="","",'[1]Data 2026'!AM29)</f>
        <v>220</v>
      </c>
      <c r="AP19" s="691" t="str">
        <f t="shared" si="3"/>
        <v/>
      </c>
      <c r="AQ19" s="685" t="str">
        <f>IF('[1]Data 2026'!AO29="","",'[1]Data 2026'!AO29)</f>
        <v/>
      </c>
      <c r="AR19" s="685" t="str">
        <f>IF('[1]Data 2026'!AP29="","",'[1]Data 2026'!AP29)</f>
        <v/>
      </c>
      <c r="AS19" s="685" t="str">
        <f>IF('[1]Data 2026'!AQ29="","",'[1]Data 2026'!AQ29)</f>
        <v/>
      </c>
      <c r="AT19" s="685" t="str">
        <f>IF('[1]Data 2026'!AR29="","",'[1]Data 2026'!AR29)</f>
        <v/>
      </c>
      <c r="AU19" s="685" t="str">
        <f>IF('[1]Data 2026'!AW29="","",'[1]Data 2026'!AW29)</f>
        <v/>
      </c>
      <c r="AV19" s="685" t="str">
        <f>IF('[1]Data 2026'!AX29="","",'[1]Data 2026'!AX29)</f>
        <v/>
      </c>
      <c r="AW19" s="685" t="str">
        <f>IF('[1]Data 2026'!AY29="","",'[1]Data 2026'!AY29)</f>
        <v/>
      </c>
      <c r="AX19" s="685" t="str">
        <f>IF('[1]Data 2026'!AZ29="","",'[1]Data 2026'!AZ29)</f>
        <v/>
      </c>
      <c r="AY19" s="685" t="str">
        <f>IF('[1]Data 2026'!BA29="","",'[1]Data 2026'!BA29)</f>
        <v/>
      </c>
      <c r="AZ19" s="685" t="str">
        <f>IF('[1]Data 2026'!AS29="","",'[1]Data 2026'!AS29)</f>
        <v/>
      </c>
      <c r="BA19" s="685" t="str">
        <f>IF('[1]Data 2026'!AT29="","",'[1]Data 2026'!AT29)</f>
        <v/>
      </c>
      <c r="BB19" s="685" t="str">
        <f>IF('[1]Data 2026'!AU29="","",'[1]Data 2026'!AU29)</f>
        <v/>
      </c>
      <c r="BC19" s="685" t="str">
        <f>IF('[1]Data 2026'!AV29="","",'[1]Data 2026'!AV29)</f>
        <v/>
      </c>
      <c r="BD19" s="685" t="str">
        <f>IF('[1]Data 2026'!AW29="","",'[1]Data 2026'!AW29)</f>
        <v/>
      </c>
      <c r="BE19" s="685" t="str">
        <f>IF('[1]Data 2026'!AX29="","",'[1]Data 2026'!AX29)</f>
        <v/>
      </c>
      <c r="BF19" s="685" t="str">
        <f>IF('[1]Data 2026'!BF29="","",'[1]Data 2026'!BF29)</f>
        <v xml:space="preserve">REUDAN INTERNATIONAL CI </v>
      </c>
      <c r="BG19" s="685" t="str">
        <f>IF('[1]Data 2026'!BG29="","",'[1]Data 2026'!BG29)</f>
        <v/>
      </c>
      <c r="BH19" s="685" t="str">
        <f>IF('[1]Data 2026'!BH29="","",'[1]Data 2026'!BH29)</f>
        <v/>
      </c>
      <c r="BI19" s="685" t="str">
        <f>IF('[1]Data 2026'!BI29="","",'[1]Data 2026'!BI29)</f>
        <v/>
      </c>
      <c r="BJ19" s="685" t="str">
        <f>IF('[1]Data 2026'!BJ29="","",'[1]Data 2026'!BJ29)</f>
        <v/>
      </c>
      <c r="BK19" s="685" t="str">
        <f>IF('[1]Data 2026'!BK29="","",'[1]Data 2026'!BK29)</f>
        <v/>
      </c>
      <c r="BL19" s="685" t="str">
        <f>IF('[1]Data 2026'!BL29="","",'[1]Data 2026'!BL29)</f>
        <v>DUNAMIS/SITRACOM</v>
      </c>
      <c r="BM19" s="685" t="str">
        <f>IF('[1]Data 2026'!BM29="","",'[1]Data 2026'!BM29)</f>
        <v/>
      </c>
      <c r="BN19" s="685" t="str">
        <f>IF('[1]Data 2026'!BN29="","",'[1]Data 2026'!BN29)</f>
        <v/>
      </c>
      <c r="BO19" s="685" t="str">
        <f>IF('[1]Data 2026'!BO29="","",'[1]Data 2026'!BO29)</f>
        <v/>
      </c>
      <c r="BP19" s="685" t="str">
        <f>IF('[1]Data 2026'!BP29="","",'[1]Data 2026'!BP29)</f>
        <v/>
      </c>
      <c r="BQ19" s="685" t="str">
        <f>IF('[1]Data 2026'!BQ29="","",'[1]Data 2026'!BQ29)</f>
        <v/>
      </c>
      <c r="BR19" s="685" t="str">
        <f>IF('[1]Data 2026'!BR29="","",'[1]Data 2026'!BR29)</f>
        <v/>
      </c>
      <c r="BS19" s="685" t="str">
        <f>IF('[1]Data 2026'!BS29="","",'[1]Data 2026'!BS29)</f>
        <v/>
      </c>
      <c r="BT19" s="685" t="str">
        <f>IF('[1]Data 2026'!BV29="","",'[1]Data 2026'!BV29)</f>
        <v>BOA/KTD</v>
      </c>
      <c r="BU19" s="685" t="str">
        <f>IF('[1]Data 2026'!BW29="","",'[1]Data 2026'!BW29)</f>
        <v/>
      </c>
      <c r="BV19" s="685" t="str">
        <f>IF('[1]Data 2026'!BX29="","",'[1]Data 2026'!BX29)</f>
        <v/>
      </c>
      <c r="BW19" s="685" t="str">
        <f>IF('[1]Data 2026'!BY29="","",'[1]Data 2026'!BY29)</f>
        <v/>
      </c>
      <c r="BX19" s="685" t="str">
        <f>IF('[1]Data 2026'!BZ29="","",'[1]Data 2026'!BZ29)</f>
        <v/>
      </c>
      <c r="BY19" s="685" t="str">
        <f>IF('[1]Data 2026'!CA29="","",'[1]Data 2026'!CA29)</f>
        <v>182610-14840</v>
      </c>
      <c r="BZ19" s="685">
        <f>IF('[1]Data 2026'!CB29="","",'[1]Data 2026'!CB29)</f>
        <v>46129</v>
      </c>
      <c r="CA19" s="685" t="str">
        <f>IF('[1]Data 2026'!CC29="","",'[1]Data 2026'!CC29)</f>
        <v>2026-0120</v>
      </c>
      <c r="CB19" s="685">
        <f>IF('[1]Data 2026'!CD29="","",'[1]Data 2026'!CD29)</f>
        <v>46129</v>
      </c>
      <c r="CC19" s="685" t="str">
        <f>IF('[1]Data 2026'!CE29="","",'[1]Data 2026'!CE29)</f>
        <v/>
      </c>
      <c r="CD19" s="685" t="str">
        <f>IF('[1]Data 2026'!CF29="","",'[1]Data 2026'!CF29)</f>
        <v/>
      </c>
      <c r="CE19" s="685">
        <f>IF('[1]Data 2026'!CG29="","",'[1]Data 2026'!CG29)</f>
        <v>46109</v>
      </c>
      <c r="CF19" s="685">
        <f>IF('[1]Data 2026'!CH29="","",'[1]Data 2026'!CH29)</f>
        <v>46129</v>
      </c>
      <c r="CG19" s="685" t="str">
        <f>IF('[1]Data 2026'!CI29="","",'[1]Data 2026'!CI29)</f>
        <v>E11961</v>
      </c>
      <c r="CH19" s="685" t="str">
        <f>IF('[1]Data 2026'!CJ29="","",'[1]Data 2026'!CJ29)</f>
        <v/>
      </c>
      <c r="CI19" s="685">
        <f>IF('[1]Data 2026'!CK29="","",'[1]Data 2026'!CK29)</f>
        <v>46140</v>
      </c>
      <c r="CJ19" s="685" t="str">
        <f>IF('[1]Data 2026'!CM29="","",'[1]Data 2026'!CM29)</f>
        <v/>
      </c>
      <c r="CK19" s="685" t="str">
        <f>IF('[1]Data 2026'!CN29="","",'[1]Data 2026'!CN29)</f>
        <v>Sugmaran</v>
      </c>
      <c r="CL19" s="691"/>
      <c r="CM19" s="691" t="str">
        <f>IF('[1]Data 2026'!CP29="","",'[1]Data 2026'!CP29)</f>
        <v/>
      </c>
      <c r="CN19" s="691"/>
      <c r="CO19" s="693"/>
      <c r="CP19" s="693"/>
      <c r="CQ19" s="693"/>
      <c r="CR19" s="686">
        <f t="shared" si="4"/>
        <v>14</v>
      </c>
      <c r="CS19" s="686">
        <f t="shared" si="4"/>
        <v>3</v>
      </c>
      <c r="CT19" s="686">
        <f t="shared" si="4"/>
        <v>34</v>
      </c>
      <c r="CU19" s="686" t="str">
        <f t="shared" si="5"/>
        <v/>
      </c>
      <c r="CV19" s="686" t="str">
        <f t="shared" si="6"/>
        <v/>
      </c>
      <c r="CW19" s="685" t="str">
        <f t="shared" si="10"/>
        <v/>
      </c>
      <c r="CX19" s="685" t="str">
        <f t="shared" si="11"/>
        <v/>
      </c>
      <c r="CY19" s="693">
        <f t="shared" ca="1" si="7"/>
        <v>0</v>
      </c>
      <c r="CZ19" s="693" t="str">
        <f t="shared" si="8"/>
        <v/>
      </c>
      <c r="DB19"/>
      <c r="DC19"/>
    </row>
    <row r="20" spans="1:107" s="694" customFormat="1">
      <c r="A20" s="682" t="str">
        <f t="shared" si="0"/>
        <v>F. GATED IN, SAILING AWAITED</v>
      </c>
      <c r="B20" s="695" t="s">
        <v>1195</v>
      </c>
      <c r="C20" s="684" t="str">
        <f t="shared" si="1"/>
        <v>CLOSED POSITION</v>
      </c>
      <c r="D20" s="685" t="str">
        <f t="shared" si="9"/>
        <v/>
      </c>
      <c r="E20" s="685" t="str">
        <f t="shared" si="2"/>
        <v/>
      </c>
      <c r="F20" s="686">
        <f>IF('[1]Data 2026'!D30="","",'[1]Data 2026'!D30)</f>
        <v>49</v>
      </c>
      <c r="G20" s="686">
        <f>IF('[1]Data 2026'!E30="","",'[1]Data 2026'!E30)</f>
        <v>200</v>
      </c>
      <c r="H20" s="687">
        <f>IF('[1]Data 2026'!H30="","",'[1]Data 2026'!H30)</f>
        <v>32014461</v>
      </c>
      <c r="I20" s="688">
        <f>IF('[1]Data 2026'!AA30="","",'[1]Data 2026'!AA30)</f>
        <v>100</v>
      </c>
      <c r="J20" s="685" t="str">
        <f>IF('[1]Data 2026'!K30="","",'[1]Data 2026'!K30)</f>
        <v>APRIL</v>
      </c>
      <c r="K20" s="685">
        <v>46142</v>
      </c>
      <c r="L20" s="685" t="str">
        <f>IF('[1]Data 2026'!L30="","",'[1]Data 2026'!L30)</f>
        <v>VALENCY CI</v>
      </c>
      <c r="M20" s="685" t="str">
        <f>IF('[1]Data 2026'!M30="","",'[1]Data 2026'!M30)</f>
        <v>ST. GREGORIOUS CASHEW</v>
      </c>
      <c r="N20" s="685" t="s">
        <v>1198</v>
      </c>
      <c r="O20" s="689">
        <f>IF('[1]Data 2026'!N30="","",'[1]Data 2026'!N30)</f>
        <v>268716278</v>
      </c>
      <c r="P20" s="690">
        <f>IF('[1]Data 2026'!O30="","",'[1]Data 2026'!O30)</f>
        <v>268716278</v>
      </c>
      <c r="Q20" s="685" t="str">
        <f>IF('[1]Data 2026'!P30="","",'[1]Data 2026'!P30)</f>
        <v/>
      </c>
      <c r="R20" s="685" t="str">
        <f>IF('[1]Data 2026'!Q30="","",'[1]Data 2026'!Q30)</f>
        <v>ABJ</v>
      </c>
      <c r="S20" s="685" t="s">
        <v>210</v>
      </c>
      <c r="T20" s="685" t="str">
        <f>IF('[1]Data 2026'!R30="","",'[1]Data 2026'!R30)</f>
        <v>TUTICORIN, INDIA</v>
      </c>
      <c r="U20" s="685" t="str">
        <f>IF('[1]Data 2026'!S30="","",'[1]Data 2026'!S30)</f>
        <v>MAERSK CUANZA</v>
      </c>
      <c r="V20" s="685">
        <f>IF('[1]Data 2026'!T30="","",'[1]Data 2026'!T30)</f>
        <v>46109</v>
      </c>
      <c r="W20" s="685">
        <f>IF('[1]Data 2026'!U30="","",'[1]Data 2026'!U30)</f>
        <v>46123</v>
      </c>
      <c r="X20" s="685">
        <f>IF('[1]Data 2026'!V30="","",'[1]Data 2026'!V30)</f>
        <v>46126</v>
      </c>
      <c r="Y20" s="685">
        <f>IF('[1]Data 2026'!W30="","",'[1]Data 2026'!W30)</f>
        <v>46161</v>
      </c>
      <c r="Z20" s="685">
        <f>IF('[1]Data 2026'!X30="","",'[1]Data 2026'!X30)</f>
        <v>46179</v>
      </c>
      <c r="AA20" s="685"/>
      <c r="AB20" s="685">
        <f>IF('[1]Data 2026'!Y30="","",'[1]Data 2026'!Y30)</f>
        <v>46172</v>
      </c>
      <c r="AC20" s="685" t="str">
        <f>IF('[1]Data 2026'!Z30="","",'[1]Data 2026'!Z30)</f>
        <v/>
      </c>
      <c r="AD20" s="691">
        <f>IF('[1]Data 2026'!AA30="","",'[1]Data 2026'!AA30)</f>
        <v>100</v>
      </c>
      <c r="AE20" s="691">
        <f>IF('[1]Data 2026'!AB30="","",'[1]Data 2026'!AB30)</f>
        <v>100</v>
      </c>
      <c r="AF20" s="685">
        <f>IF('[1]Data 2026'!AC30="","",'[1]Data 2026'!AC30)</f>
        <v>45777</v>
      </c>
      <c r="AG20" s="685" t="str">
        <f>IF('[1]Data 2026'!AD30="","",'[1]Data 2026'!AD30)</f>
        <v>Ex-Olam</v>
      </c>
      <c r="AH20" s="686">
        <f>IF('[1]Data 2026'!AE30="","",'[1]Data 2026'!AE30)</f>
        <v>4</v>
      </c>
      <c r="AI20" s="685" t="str">
        <f>IF('[1]Data 2026'!AG30="","",'[1]Data 2026'!AG30)</f>
        <v xml:space="preserve">REUDAN INTERNATIONAL CI </v>
      </c>
      <c r="AJ20" s="685" t="str">
        <f>IF('[1]Data 2026'!AH30="","",'[1]Data 2026'!AH30)</f>
        <v>DUNAMIS/SITRACOM</v>
      </c>
      <c r="AK20" s="685" t="str">
        <f>IF('[1]Data 2026'!AI30="","",'[1]Data 2026'!AI30)</f>
        <v>MSK</v>
      </c>
      <c r="AL20" s="685" t="str">
        <f>IF('[1]Data 2026'!AJ30="","",'[1]Data 2026'!AJ30)</f>
        <v>40FT</v>
      </c>
      <c r="AM20" s="692">
        <f>IF('[1]Data 2026'!AK30="","",'[1]Data 2026'!AK30)</f>
        <v>0.1</v>
      </c>
      <c r="AN20" s="685" t="str">
        <f>IF('[1]Data 2026'!AL30="","",'[1]Data 2026'!AL30)</f>
        <v xml:space="preserve"> ( 1 x 100 MTS ) </v>
      </c>
      <c r="AO20" s="691">
        <f>IF('[1]Data 2026'!AM30="","",'[1]Data 2026'!AM30)</f>
        <v>110</v>
      </c>
      <c r="AP20" s="691" t="str">
        <f t="shared" si="3"/>
        <v/>
      </c>
      <c r="AQ20" s="685" t="str">
        <f>IF('[1]Data 2026'!AO30="","",'[1]Data 2026'!AO30)</f>
        <v/>
      </c>
      <c r="AR20" s="685" t="str">
        <f>IF('[1]Data 2026'!AP30="","",'[1]Data 2026'!AP30)</f>
        <v/>
      </c>
      <c r="AS20" s="685" t="str">
        <f>IF('[1]Data 2026'!AQ30="","",'[1]Data 2026'!AQ30)</f>
        <v/>
      </c>
      <c r="AT20" s="685" t="str">
        <f>IF('[1]Data 2026'!AR30="","",'[1]Data 2026'!AR30)</f>
        <v/>
      </c>
      <c r="AU20" s="685" t="str">
        <f>IF('[1]Data 2026'!AW30="","",'[1]Data 2026'!AW30)</f>
        <v/>
      </c>
      <c r="AV20" s="685" t="str">
        <f>IF('[1]Data 2026'!AX30="","",'[1]Data 2026'!AX30)</f>
        <v/>
      </c>
      <c r="AW20" s="685" t="str">
        <f>IF('[1]Data 2026'!AY30="","",'[1]Data 2026'!AY30)</f>
        <v/>
      </c>
      <c r="AX20" s="685" t="str">
        <f>IF('[1]Data 2026'!AZ30="","",'[1]Data 2026'!AZ30)</f>
        <v/>
      </c>
      <c r="AY20" s="685" t="str">
        <f>IF('[1]Data 2026'!BA30="","",'[1]Data 2026'!BA30)</f>
        <v/>
      </c>
      <c r="AZ20" s="685" t="str">
        <f>IF('[1]Data 2026'!AS30="","",'[1]Data 2026'!AS30)</f>
        <v/>
      </c>
      <c r="BA20" s="685" t="str">
        <f>IF('[1]Data 2026'!AT30="","",'[1]Data 2026'!AT30)</f>
        <v/>
      </c>
      <c r="BB20" s="685" t="str">
        <f>IF('[1]Data 2026'!AU30="","",'[1]Data 2026'!AU30)</f>
        <v/>
      </c>
      <c r="BC20" s="685" t="str">
        <f>IF('[1]Data 2026'!AV30="","",'[1]Data 2026'!AV30)</f>
        <v/>
      </c>
      <c r="BD20" s="685" t="str">
        <f>IF('[1]Data 2026'!AW30="","",'[1]Data 2026'!AW30)</f>
        <v/>
      </c>
      <c r="BE20" s="685" t="str">
        <f>IF('[1]Data 2026'!AX30="","",'[1]Data 2026'!AX30)</f>
        <v/>
      </c>
      <c r="BF20" s="685" t="str">
        <f>IF('[1]Data 2026'!BF30="","",'[1]Data 2026'!BF30)</f>
        <v xml:space="preserve">REUDAN INTERNATIONAL CI </v>
      </c>
      <c r="BG20" s="685" t="str">
        <f>IF('[1]Data 2026'!BG30="","",'[1]Data 2026'!BG30)</f>
        <v/>
      </c>
      <c r="BH20" s="685" t="str">
        <f>IF('[1]Data 2026'!BH30="","",'[1]Data 2026'!BH30)</f>
        <v/>
      </c>
      <c r="BI20" s="685" t="str">
        <f>IF('[1]Data 2026'!BI30="","",'[1]Data 2026'!BI30)</f>
        <v/>
      </c>
      <c r="BJ20" s="685" t="str">
        <f>IF('[1]Data 2026'!BJ30="","",'[1]Data 2026'!BJ30)</f>
        <v/>
      </c>
      <c r="BK20" s="685" t="str">
        <f>IF('[1]Data 2026'!BK30="","",'[1]Data 2026'!BK30)</f>
        <v/>
      </c>
      <c r="BL20" s="685" t="str">
        <f>IF('[1]Data 2026'!BL30="","",'[1]Data 2026'!BL30)</f>
        <v>DUNAMIS/SITRACOM</v>
      </c>
      <c r="BM20" s="685" t="str">
        <f>IF('[1]Data 2026'!BM30="","",'[1]Data 2026'!BM30)</f>
        <v/>
      </c>
      <c r="BN20" s="685" t="str">
        <f>IF('[1]Data 2026'!BN30="","",'[1]Data 2026'!BN30)</f>
        <v/>
      </c>
      <c r="BO20" s="685" t="str">
        <f>IF('[1]Data 2026'!BO30="","",'[1]Data 2026'!BO30)</f>
        <v/>
      </c>
      <c r="BP20" s="685" t="str">
        <f>IF('[1]Data 2026'!BP30="","",'[1]Data 2026'!BP30)</f>
        <v/>
      </c>
      <c r="BQ20" s="685" t="str">
        <f>IF('[1]Data 2026'!BQ30="","",'[1]Data 2026'!BQ30)</f>
        <v/>
      </c>
      <c r="BR20" s="685" t="str">
        <f>IF('[1]Data 2026'!BR30="","",'[1]Data 2026'!BR30)</f>
        <v/>
      </c>
      <c r="BS20" s="685" t="str">
        <f>IF('[1]Data 2026'!BS30="","",'[1]Data 2026'!BS30)</f>
        <v/>
      </c>
      <c r="BT20" s="685" t="str">
        <f>IF('[1]Data 2026'!BV30="","",'[1]Data 2026'!BV30)</f>
        <v>BOA/KTD</v>
      </c>
      <c r="BU20" s="685" t="str">
        <f>IF('[1]Data 2026'!BW30="","",'[1]Data 2026'!BW30)</f>
        <v/>
      </c>
      <c r="BV20" s="685" t="str">
        <f>IF('[1]Data 2026'!BX30="","",'[1]Data 2026'!BX30)</f>
        <v/>
      </c>
      <c r="BW20" s="685" t="str">
        <f>IF('[1]Data 2026'!BY30="","",'[1]Data 2026'!BY30)</f>
        <v/>
      </c>
      <c r="BX20" s="685" t="str">
        <f>IF('[1]Data 2026'!BZ30="","",'[1]Data 2026'!BZ30)</f>
        <v/>
      </c>
      <c r="BY20" s="685" t="str">
        <f>IF('[1]Data 2026'!CA30="","",'[1]Data 2026'!CA30)</f>
        <v>182610-14840</v>
      </c>
      <c r="BZ20" s="685">
        <f>IF('[1]Data 2026'!CB30="","",'[1]Data 2026'!CB30)</f>
        <v>46129</v>
      </c>
      <c r="CA20" s="685" t="str">
        <f>IF('[1]Data 2026'!CC30="","",'[1]Data 2026'!CC30)</f>
        <v>2026-0120</v>
      </c>
      <c r="CB20" s="685">
        <f>IF('[1]Data 2026'!CD30="","",'[1]Data 2026'!CD30)</f>
        <v>46129</v>
      </c>
      <c r="CC20" s="685" t="str">
        <f>IF('[1]Data 2026'!CE30="","",'[1]Data 2026'!CE30)</f>
        <v/>
      </c>
      <c r="CD20" s="685" t="str">
        <f>IF('[1]Data 2026'!CF30="","",'[1]Data 2026'!CF30)</f>
        <v/>
      </c>
      <c r="CE20" s="685">
        <f>IF('[1]Data 2026'!CG30="","",'[1]Data 2026'!CG30)</f>
        <v>46109</v>
      </c>
      <c r="CF20" s="685">
        <f>IF('[1]Data 2026'!CH30="","",'[1]Data 2026'!CH30)</f>
        <v>46129</v>
      </c>
      <c r="CG20" s="685" t="str">
        <f>IF('[1]Data 2026'!CI30="","",'[1]Data 2026'!CI30)</f>
        <v>E11961</v>
      </c>
      <c r="CH20" s="685" t="str">
        <f>IF('[1]Data 2026'!CJ30="","",'[1]Data 2026'!CJ30)</f>
        <v/>
      </c>
      <c r="CI20" s="685">
        <f>IF('[1]Data 2026'!CK30="","",'[1]Data 2026'!CK30)</f>
        <v>46140</v>
      </c>
      <c r="CJ20" s="685" t="str">
        <f>IF('[1]Data 2026'!CM30="","",'[1]Data 2026'!CM30)</f>
        <v/>
      </c>
      <c r="CK20" s="685" t="str">
        <f>IF('[1]Data 2026'!CN30="","",'[1]Data 2026'!CN30)</f>
        <v>Sugmaran</v>
      </c>
      <c r="CL20" s="691"/>
      <c r="CM20" s="691" t="str">
        <f>IF('[1]Data 2026'!CP30="","",'[1]Data 2026'!CP30)</f>
        <v/>
      </c>
      <c r="CN20" s="691"/>
      <c r="CO20" s="693"/>
      <c r="CP20" s="693"/>
      <c r="CQ20" s="693"/>
      <c r="CR20" s="686">
        <f t="shared" si="4"/>
        <v>14</v>
      </c>
      <c r="CS20" s="686">
        <f t="shared" si="4"/>
        <v>3</v>
      </c>
      <c r="CT20" s="686">
        <f t="shared" si="4"/>
        <v>35</v>
      </c>
      <c r="CU20" s="686" t="str">
        <f t="shared" si="5"/>
        <v/>
      </c>
      <c r="CV20" s="686" t="str">
        <f t="shared" si="6"/>
        <v/>
      </c>
      <c r="CW20" s="685" t="str">
        <f t="shared" si="10"/>
        <v/>
      </c>
      <c r="CX20" s="685" t="str">
        <f t="shared" si="11"/>
        <v/>
      </c>
      <c r="CY20" s="693">
        <f t="shared" ca="1" si="7"/>
        <v>0</v>
      </c>
      <c r="CZ20" s="693" t="str">
        <f t="shared" si="8"/>
        <v/>
      </c>
      <c r="DB20"/>
      <c r="DC20"/>
    </row>
    <row r="21" spans="1:107" s="694" customFormat="1">
      <c r="A21" s="682" t="str">
        <f t="shared" si="0"/>
        <v>F. GATED IN, SAILING AWAITED</v>
      </c>
      <c r="B21" s="695" t="s">
        <v>1195</v>
      </c>
      <c r="C21" s="684" t="str">
        <f t="shared" si="1"/>
        <v>CLOSED POSITION</v>
      </c>
      <c r="D21" s="685" t="str">
        <f t="shared" si="9"/>
        <v/>
      </c>
      <c r="E21" s="685" t="str">
        <f t="shared" si="2"/>
        <v/>
      </c>
      <c r="F21" s="686">
        <f>IF('[1]Data 2026'!D31="","",'[1]Data 2026'!D31)</f>
        <v>49</v>
      </c>
      <c r="G21" s="686">
        <f>IF('[1]Data 2026'!E31="","",'[1]Data 2026'!E31)</f>
        <v>200</v>
      </c>
      <c r="H21" s="687">
        <f>IF('[1]Data 2026'!H31="","",'[1]Data 2026'!H31)</f>
        <v>32014454</v>
      </c>
      <c r="I21" s="688">
        <f>IF('[1]Data 2026'!AA31="","",'[1]Data 2026'!AA31)</f>
        <v>200</v>
      </c>
      <c r="J21" s="685" t="str">
        <f>IF('[1]Data 2026'!K31="","",'[1]Data 2026'!K31)</f>
        <v>APRIL</v>
      </c>
      <c r="K21" s="685">
        <v>46142</v>
      </c>
      <c r="L21" s="685" t="str">
        <f>IF('[1]Data 2026'!L31="","",'[1]Data 2026'!L31)</f>
        <v>VALENCY CI</v>
      </c>
      <c r="M21" s="685" t="str">
        <f>IF('[1]Data 2026'!M31="","",'[1]Data 2026'!M31)</f>
        <v>NS CASHEW COMPANY</v>
      </c>
      <c r="N21" s="685" t="s">
        <v>1198</v>
      </c>
      <c r="O21" s="689">
        <f>IF('[1]Data 2026'!N31="","",'[1]Data 2026'!N31)</f>
        <v>268715092</v>
      </c>
      <c r="P21" s="690">
        <f>IF('[1]Data 2026'!O31="","",'[1]Data 2026'!O31)</f>
        <v>268715092</v>
      </c>
      <c r="Q21" s="685" t="str">
        <f>IF('[1]Data 2026'!P31="","",'[1]Data 2026'!P31)</f>
        <v/>
      </c>
      <c r="R21" s="685" t="str">
        <f>IF('[1]Data 2026'!Q31="","",'[1]Data 2026'!Q31)</f>
        <v>ABJ</v>
      </c>
      <c r="S21" s="685" t="s">
        <v>210</v>
      </c>
      <c r="T21" s="685" t="str">
        <f>IF('[1]Data 2026'!R31="","",'[1]Data 2026'!R31)</f>
        <v>TUTICORIN, INDIA</v>
      </c>
      <c r="U21" s="685" t="str">
        <f>IF('[1]Data 2026'!S31="","",'[1]Data 2026'!S31)</f>
        <v>MAERSK CUANZA</v>
      </c>
      <c r="V21" s="685">
        <f>IF('[1]Data 2026'!T31="","",'[1]Data 2026'!T31)</f>
        <v>46109</v>
      </c>
      <c r="W21" s="685">
        <f>IF('[1]Data 2026'!U31="","",'[1]Data 2026'!U31)</f>
        <v>46131</v>
      </c>
      <c r="X21" s="685">
        <f>IF('[1]Data 2026'!V31="","",'[1]Data 2026'!V31)</f>
        <v>46132</v>
      </c>
      <c r="Y21" s="685">
        <f>IF('[1]Data 2026'!W31="","",'[1]Data 2026'!W31)</f>
        <v>46159</v>
      </c>
      <c r="Z21" s="685">
        <f>IF('[1]Data 2026'!X31="","",'[1]Data 2026'!X31)</f>
        <v>46179</v>
      </c>
      <c r="AA21" s="685"/>
      <c r="AB21" s="685">
        <f>IF('[1]Data 2026'!Y31="","",'[1]Data 2026'!Y31)</f>
        <v>46172</v>
      </c>
      <c r="AC21" s="685" t="str">
        <f>IF('[1]Data 2026'!Z31="","",'[1]Data 2026'!Z31)</f>
        <v/>
      </c>
      <c r="AD21" s="691">
        <f>IF('[1]Data 2026'!AA31="","",'[1]Data 2026'!AA31)</f>
        <v>200</v>
      </c>
      <c r="AE21" s="691">
        <f>IF('[1]Data 2026'!AB31="","",'[1]Data 2026'!AB31)</f>
        <v>200</v>
      </c>
      <c r="AF21" s="685">
        <f>IF('[1]Data 2026'!AC31="","",'[1]Data 2026'!AC31)</f>
        <v>45777</v>
      </c>
      <c r="AG21" s="685" t="str">
        <f>IF('[1]Data 2026'!AD31="","",'[1]Data 2026'!AD31)</f>
        <v>WH-I</v>
      </c>
      <c r="AH21" s="686">
        <f>IF('[1]Data 2026'!AE31="","",'[1]Data 2026'!AE31)</f>
        <v>8</v>
      </c>
      <c r="AI21" s="685" t="str">
        <f>IF('[1]Data 2026'!AG31="","",'[1]Data 2026'!AG31)</f>
        <v xml:space="preserve">REUDAN INTERNATIONAL CI </v>
      </c>
      <c r="AJ21" s="685" t="str">
        <f>IF('[1]Data 2026'!AH31="","",'[1]Data 2026'!AH31)</f>
        <v>DUNAMIS/SITRACOM</v>
      </c>
      <c r="AK21" s="685" t="str">
        <f>IF('[1]Data 2026'!AI31="","",'[1]Data 2026'!AI31)</f>
        <v>MSK</v>
      </c>
      <c r="AL21" s="685" t="str">
        <f>IF('[1]Data 2026'!AJ31="","",'[1]Data 2026'!AJ31)</f>
        <v>40FT</v>
      </c>
      <c r="AM21" s="692">
        <f>IF('[1]Data 2026'!AK31="","",'[1]Data 2026'!AK31)</f>
        <v>0.1</v>
      </c>
      <c r="AN21" s="685" t="str">
        <f>IF('[1]Data 2026'!AL31="","",'[1]Data 2026'!AL31)</f>
        <v xml:space="preserve"> ( 1 x 200 MTS ) </v>
      </c>
      <c r="AO21" s="691">
        <f>IF('[1]Data 2026'!AM31="","",'[1]Data 2026'!AM31)</f>
        <v>220</v>
      </c>
      <c r="AP21" s="691" t="str">
        <f t="shared" si="3"/>
        <v/>
      </c>
      <c r="AQ21" s="685" t="str">
        <f>IF('[1]Data 2026'!AO31="","",'[1]Data 2026'!AO31)</f>
        <v/>
      </c>
      <c r="AR21" s="685" t="str">
        <f>IF('[1]Data 2026'!AP31="","",'[1]Data 2026'!AP31)</f>
        <v/>
      </c>
      <c r="AS21" s="685" t="str">
        <f>IF('[1]Data 2026'!AQ31="","",'[1]Data 2026'!AQ31)</f>
        <v/>
      </c>
      <c r="AT21" s="685" t="str">
        <f>IF('[1]Data 2026'!AR31="","",'[1]Data 2026'!AR31)</f>
        <v/>
      </c>
      <c r="AU21" s="685" t="str">
        <f>IF('[1]Data 2026'!AW31="","",'[1]Data 2026'!AW31)</f>
        <v/>
      </c>
      <c r="AV21" s="685" t="str">
        <f>IF('[1]Data 2026'!AX31="","",'[1]Data 2026'!AX31)</f>
        <v/>
      </c>
      <c r="AW21" s="685" t="str">
        <f>IF('[1]Data 2026'!AY31="","",'[1]Data 2026'!AY31)</f>
        <v/>
      </c>
      <c r="AX21" s="685" t="str">
        <f>IF('[1]Data 2026'!AZ31="","",'[1]Data 2026'!AZ31)</f>
        <v/>
      </c>
      <c r="AY21" s="685" t="str">
        <f>IF('[1]Data 2026'!BA31="","",'[1]Data 2026'!BA31)</f>
        <v/>
      </c>
      <c r="AZ21" s="685" t="str">
        <f>IF('[1]Data 2026'!AS31="","",'[1]Data 2026'!AS31)</f>
        <v/>
      </c>
      <c r="BA21" s="685" t="str">
        <f>IF('[1]Data 2026'!AT31="","",'[1]Data 2026'!AT31)</f>
        <v/>
      </c>
      <c r="BB21" s="685" t="str">
        <f>IF('[1]Data 2026'!AU31="","",'[1]Data 2026'!AU31)</f>
        <v/>
      </c>
      <c r="BC21" s="685" t="str">
        <f>IF('[1]Data 2026'!AV31="","",'[1]Data 2026'!AV31)</f>
        <v/>
      </c>
      <c r="BD21" s="685" t="str">
        <f>IF('[1]Data 2026'!AW31="","",'[1]Data 2026'!AW31)</f>
        <v/>
      </c>
      <c r="BE21" s="685" t="str">
        <f>IF('[1]Data 2026'!AX31="","",'[1]Data 2026'!AX31)</f>
        <v/>
      </c>
      <c r="BF21" s="685" t="str">
        <f>IF('[1]Data 2026'!BF31="","",'[1]Data 2026'!BF31)</f>
        <v xml:space="preserve">REUDAN INTERNATIONAL CI </v>
      </c>
      <c r="BG21" s="685" t="str">
        <f>IF('[1]Data 2026'!BG31="","",'[1]Data 2026'!BG31)</f>
        <v/>
      </c>
      <c r="BH21" s="685" t="str">
        <f>IF('[1]Data 2026'!BH31="","",'[1]Data 2026'!BH31)</f>
        <v/>
      </c>
      <c r="BI21" s="685" t="str">
        <f>IF('[1]Data 2026'!BI31="","",'[1]Data 2026'!BI31)</f>
        <v/>
      </c>
      <c r="BJ21" s="685" t="str">
        <f>IF('[1]Data 2026'!BJ31="","",'[1]Data 2026'!BJ31)</f>
        <v/>
      </c>
      <c r="BK21" s="685" t="str">
        <f>IF('[1]Data 2026'!BK31="","",'[1]Data 2026'!BK31)</f>
        <v/>
      </c>
      <c r="BL21" s="685" t="str">
        <f>IF('[1]Data 2026'!BL31="","",'[1]Data 2026'!BL31)</f>
        <v>DUNAMIS/SITRACOM</v>
      </c>
      <c r="BM21" s="685" t="str">
        <f>IF('[1]Data 2026'!BM31="","",'[1]Data 2026'!BM31)</f>
        <v/>
      </c>
      <c r="BN21" s="685" t="str">
        <f>IF('[1]Data 2026'!BN31="","",'[1]Data 2026'!BN31)</f>
        <v/>
      </c>
      <c r="BO21" s="685" t="str">
        <f>IF('[1]Data 2026'!BO31="","",'[1]Data 2026'!BO31)</f>
        <v/>
      </c>
      <c r="BP21" s="685" t="str">
        <f>IF('[1]Data 2026'!BP31="","",'[1]Data 2026'!BP31)</f>
        <v/>
      </c>
      <c r="BQ21" s="685" t="str">
        <f>IF('[1]Data 2026'!BQ31="","",'[1]Data 2026'!BQ31)</f>
        <v/>
      </c>
      <c r="BR21" s="685" t="str">
        <f>IF('[1]Data 2026'!BR31="","",'[1]Data 2026'!BR31)</f>
        <v/>
      </c>
      <c r="BS21" s="685" t="str">
        <f>IF('[1]Data 2026'!BS31="","",'[1]Data 2026'!BS31)</f>
        <v/>
      </c>
      <c r="BT21" s="685" t="str">
        <f>IF('[1]Data 2026'!BV31="","",'[1]Data 2026'!BV31)</f>
        <v>ABSA/CMI</v>
      </c>
      <c r="BU21" s="685" t="str">
        <f>IF('[1]Data 2026'!BW31="","",'[1]Data 2026'!BW31)</f>
        <v/>
      </c>
      <c r="BV21" s="685" t="str">
        <f>IF('[1]Data 2026'!BX31="","",'[1]Data 2026'!BX31)</f>
        <v/>
      </c>
      <c r="BW21" s="685" t="str">
        <f>IF('[1]Data 2026'!BY31="","",'[1]Data 2026'!BY31)</f>
        <v/>
      </c>
      <c r="BX21" s="685" t="str">
        <f>IF('[1]Data 2026'!BZ31="","",'[1]Data 2026'!BZ31)</f>
        <v/>
      </c>
      <c r="BY21" s="685" t="str">
        <f>IF('[1]Data 2026'!CA31="","",'[1]Data 2026'!CA31)</f>
        <v>182610-14859</v>
      </c>
      <c r="BZ21" s="685">
        <f>IF('[1]Data 2026'!CB31="","",'[1]Data 2026'!CB31)</f>
        <v>46129</v>
      </c>
      <c r="CA21" s="685" t="str">
        <f>IF('[1]Data 2026'!CC31="","",'[1]Data 2026'!CC31)</f>
        <v>2026-0177</v>
      </c>
      <c r="CB21" s="685">
        <f>IF('[1]Data 2026'!CD31="","",'[1]Data 2026'!CD31)</f>
        <v>46129</v>
      </c>
      <c r="CC21" s="685" t="str">
        <f>IF('[1]Data 2026'!CE31="","",'[1]Data 2026'!CE31)</f>
        <v/>
      </c>
      <c r="CD21" s="685" t="str">
        <f>IF('[1]Data 2026'!CF31="","",'[1]Data 2026'!CF31)</f>
        <v/>
      </c>
      <c r="CE21" s="685">
        <f>IF('[1]Data 2026'!CG31="","",'[1]Data 2026'!CG31)</f>
        <v>46109</v>
      </c>
      <c r="CF21" s="685">
        <f>IF('[1]Data 2026'!CH31="","",'[1]Data 2026'!CH31)</f>
        <v>46129</v>
      </c>
      <c r="CG21" s="685" t="str">
        <f>IF('[1]Data 2026'!CI31="","",'[1]Data 2026'!CI31)</f>
        <v>E12038</v>
      </c>
      <c r="CH21" s="685" t="str">
        <f>IF('[1]Data 2026'!CJ31="","",'[1]Data 2026'!CJ31)</f>
        <v/>
      </c>
      <c r="CI21" s="685">
        <f>IF('[1]Data 2026'!CK31="","",'[1]Data 2026'!CK31)</f>
        <v>46140</v>
      </c>
      <c r="CJ21" s="685" t="str">
        <f>IF('[1]Data 2026'!CM31="","",'[1]Data 2026'!CM31)</f>
        <v/>
      </c>
      <c r="CK21" s="685" t="str">
        <f>IF('[1]Data 2026'!CN31="","",'[1]Data 2026'!CN31)</f>
        <v>Ajeesh</v>
      </c>
      <c r="CL21" s="691"/>
      <c r="CM21" s="691" t="str">
        <f>IF('[1]Data 2026'!CP31="","",'[1]Data 2026'!CP31)</f>
        <v/>
      </c>
      <c r="CN21" s="691"/>
      <c r="CO21" s="693"/>
      <c r="CP21" s="693"/>
      <c r="CQ21" s="693"/>
      <c r="CR21" s="686">
        <f t="shared" si="4"/>
        <v>22</v>
      </c>
      <c r="CS21" s="686">
        <f t="shared" si="4"/>
        <v>1</v>
      </c>
      <c r="CT21" s="686">
        <f t="shared" si="4"/>
        <v>27</v>
      </c>
      <c r="CU21" s="686" t="str">
        <f t="shared" si="5"/>
        <v/>
      </c>
      <c r="CV21" s="686" t="str">
        <f t="shared" si="6"/>
        <v/>
      </c>
      <c r="CW21" s="685" t="str">
        <f t="shared" si="10"/>
        <v/>
      </c>
      <c r="CX21" s="685" t="str">
        <f t="shared" si="11"/>
        <v/>
      </c>
      <c r="CY21" s="693">
        <f t="shared" ca="1" si="7"/>
        <v>0</v>
      </c>
      <c r="CZ21" s="693" t="str">
        <f t="shared" si="8"/>
        <v/>
      </c>
      <c r="DB21"/>
      <c r="DC21"/>
    </row>
    <row r="22" spans="1:107" s="694" customFormat="1">
      <c r="A22" s="682" t="str">
        <f t="shared" si="0"/>
        <v>F. GATED IN, SAILING AWAITED</v>
      </c>
      <c r="B22" s="695" t="s">
        <v>1195</v>
      </c>
      <c r="C22" s="684" t="str">
        <f t="shared" si="1"/>
        <v>CLOSED POSITION</v>
      </c>
      <c r="D22" s="685" t="str">
        <f t="shared" si="9"/>
        <v/>
      </c>
      <c r="E22" s="685" t="str">
        <f t="shared" si="2"/>
        <v/>
      </c>
      <c r="F22" s="686">
        <f>IF('[1]Data 2026'!D34="","",'[1]Data 2026'!D34)</f>
        <v>47</v>
      </c>
      <c r="G22" s="686">
        <f>IF('[1]Data 2026'!E34="","",'[1]Data 2026'!E34)</f>
        <v>200</v>
      </c>
      <c r="H22" s="687" t="str">
        <f>IF('[1]Data 2026'!H34="","",'[1]Data 2026'!H34)</f>
        <v>32015968-1</v>
      </c>
      <c r="I22" s="688">
        <f>IF('[1]Data 2026'!AA34="","",'[1]Data 2026'!AA34)</f>
        <v>100</v>
      </c>
      <c r="J22" s="685" t="str">
        <f>IF('[1]Data 2026'!K34="","",'[1]Data 2026'!K34)</f>
        <v>APRIL</v>
      </c>
      <c r="K22" s="685">
        <v>46142</v>
      </c>
      <c r="L22" s="685" t="str">
        <f>IF('[1]Data 2026'!L34="","",'[1]Data 2026'!L34)</f>
        <v>VALENCY CI</v>
      </c>
      <c r="M22" s="685" t="str">
        <f>IF('[1]Data 2026'!M34="","",'[1]Data 2026'!M34)</f>
        <v>VALENCY AGRO INDIA UDUPI</v>
      </c>
      <c r="N22" s="685" t="s">
        <v>1198</v>
      </c>
      <c r="O22" s="689">
        <f>IF('[1]Data 2026'!N34="","",'[1]Data 2026'!N34)</f>
        <v>267489622</v>
      </c>
      <c r="P22" s="690">
        <f>IF('[1]Data 2026'!O34="","",'[1]Data 2026'!O34)</f>
        <v>270437687</v>
      </c>
      <c r="Q22" s="685" t="str">
        <f>IF('[1]Data 2026'!P34="","",'[1]Data 2026'!P34)</f>
        <v/>
      </c>
      <c r="R22" s="685" t="str">
        <f>IF('[1]Data 2026'!Q34="","",'[1]Data 2026'!Q34)</f>
        <v>ABJ</v>
      </c>
      <c r="S22" s="685" t="s">
        <v>210</v>
      </c>
      <c r="T22" s="685" t="str">
        <f>IF('[1]Data 2026'!R34="","",'[1]Data 2026'!R34)</f>
        <v>MANGALORE, INDIA</v>
      </c>
      <c r="U22" s="685" t="str">
        <f>IF('[1]Data 2026'!S34="","",'[1]Data 2026'!S34)</f>
        <v>MAERSK CUANZA</v>
      </c>
      <c r="V22" s="685">
        <f>IF('[1]Data 2026'!T34="","",'[1]Data 2026'!T34)</f>
        <v>46107</v>
      </c>
      <c r="W22" s="685">
        <f>IF('[1]Data 2026'!U34="","",'[1]Data 2026'!U34)</f>
        <v>46115</v>
      </c>
      <c r="X22" s="685">
        <f>IF('[1]Data 2026'!V34="","",'[1]Data 2026'!V34)</f>
        <v>46115</v>
      </c>
      <c r="Y22" s="685">
        <f>IF('[1]Data 2026'!W34="","",'[1]Data 2026'!W34)</f>
        <v>46161</v>
      </c>
      <c r="Z22" s="685">
        <f>IF('[1]Data 2026'!X34="","",'[1]Data 2026'!X34)</f>
        <v>46202</v>
      </c>
      <c r="AA22" s="685"/>
      <c r="AB22" s="685">
        <f>IF('[1]Data 2026'!Y34="","",'[1]Data 2026'!Y34)</f>
        <v>46172</v>
      </c>
      <c r="AC22" s="685" t="str">
        <f>IF('[1]Data 2026'!Z34="","",'[1]Data 2026'!Z34)</f>
        <v/>
      </c>
      <c r="AD22" s="691">
        <f>IF('[1]Data 2026'!AA34="","",'[1]Data 2026'!AA34)</f>
        <v>100</v>
      </c>
      <c r="AE22" s="691">
        <f>IF('[1]Data 2026'!AB34="","",'[1]Data 2026'!AB34)</f>
        <v>100</v>
      </c>
      <c r="AF22" s="685">
        <f>IF('[1]Data 2026'!AC34="","",'[1]Data 2026'!AC34)</f>
        <v>45777</v>
      </c>
      <c r="AG22" s="685" t="str">
        <f>IF('[1]Data 2026'!AD34="","",'[1]Data 2026'!AD34)</f>
        <v>Ex-Olam</v>
      </c>
      <c r="AH22" s="686">
        <f>IF('[1]Data 2026'!AE34="","",'[1]Data 2026'!AE34)</f>
        <v>4</v>
      </c>
      <c r="AI22" s="685" t="str">
        <f>IF('[1]Data 2026'!AG34="","",'[1]Data 2026'!AG34)</f>
        <v xml:space="preserve">VALENCY SINGAPORE </v>
      </c>
      <c r="AJ22" s="685" t="str">
        <f>IF('[1]Data 2026'!AH34="","",'[1]Data 2026'!AH34)</f>
        <v>DUNAMIS/SITRACOM</v>
      </c>
      <c r="AK22" s="685" t="str">
        <f>IF('[1]Data 2026'!AI34="","",'[1]Data 2026'!AI34)</f>
        <v>MSK</v>
      </c>
      <c r="AL22" s="685" t="str">
        <f>IF('[1]Data 2026'!AJ34="","",'[1]Data 2026'!AJ34)</f>
        <v>40FT</v>
      </c>
      <c r="AM22" s="692">
        <f>IF('[1]Data 2026'!AK34="","",'[1]Data 2026'!AK34)</f>
        <v>0.1</v>
      </c>
      <c r="AN22" s="685" t="str">
        <f>IF('[1]Data 2026'!AL34="","",'[1]Data 2026'!AL34)</f>
        <v xml:space="preserve"> ( 1 x 100 MTS ) </v>
      </c>
      <c r="AO22" s="691">
        <f>IF('[1]Data 2026'!AM34="","",'[1]Data 2026'!AM34)</f>
        <v>110</v>
      </c>
      <c r="AP22" s="691" t="str">
        <f t="shared" si="3"/>
        <v/>
      </c>
      <c r="AQ22" s="685" t="str">
        <f>IF('[1]Data 2026'!AO34="","",'[1]Data 2026'!AO34)</f>
        <v/>
      </c>
      <c r="AR22" s="685" t="str">
        <f>IF('[1]Data 2026'!AP34="","",'[1]Data 2026'!AP34)</f>
        <v/>
      </c>
      <c r="AS22" s="685" t="str">
        <f>IF('[1]Data 2026'!AQ34="","",'[1]Data 2026'!AQ34)</f>
        <v/>
      </c>
      <c r="AT22" s="685" t="str">
        <f>IF('[1]Data 2026'!AR34="","",'[1]Data 2026'!AR34)</f>
        <v/>
      </c>
      <c r="AU22" s="685" t="str">
        <f>IF('[1]Data 2026'!AW34="","",'[1]Data 2026'!AW34)</f>
        <v/>
      </c>
      <c r="AV22" s="685" t="str">
        <f>IF('[1]Data 2026'!AX34="","",'[1]Data 2026'!AX34)</f>
        <v/>
      </c>
      <c r="AW22" s="685" t="str">
        <f>IF('[1]Data 2026'!AY34="","",'[1]Data 2026'!AY34)</f>
        <v/>
      </c>
      <c r="AX22" s="685" t="str">
        <f>IF('[1]Data 2026'!AZ34="","",'[1]Data 2026'!AZ34)</f>
        <v/>
      </c>
      <c r="AY22" s="685" t="str">
        <f>IF('[1]Data 2026'!BA34="","",'[1]Data 2026'!BA34)</f>
        <v/>
      </c>
      <c r="AZ22" s="685" t="str">
        <f>IF('[1]Data 2026'!AS34="","",'[1]Data 2026'!AS34)</f>
        <v/>
      </c>
      <c r="BA22" s="685" t="str">
        <f>IF('[1]Data 2026'!AT34="","",'[1]Data 2026'!AT34)</f>
        <v/>
      </c>
      <c r="BB22" s="685" t="str">
        <f>IF('[1]Data 2026'!AU34="","",'[1]Data 2026'!AU34)</f>
        <v/>
      </c>
      <c r="BC22" s="685" t="str">
        <f>IF('[1]Data 2026'!AV34="","",'[1]Data 2026'!AV34)</f>
        <v/>
      </c>
      <c r="BD22" s="685" t="str">
        <f>IF('[1]Data 2026'!AW34="","",'[1]Data 2026'!AW34)</f>
        <v/>
      </c>
      <c r="BE22" s="685" t="str">
        <f>IF('[1]Data 2026'!AX34="","",'[1]Data 2026'!AX34)</f>
        <v/>
      </c>
      <c r="BF22" s="685" t="str">
        <f>IF('[1]Data 2026'!BF34="","",'[1]Data 2026'!BF34)</f>
        <v xml:space="preserve">VALENCY SINGAPORE </v>
      </c>
      <c r="BG22" s="685" t="str">
        <f>IF('[1]Data 2026'!BG34="","",'[1]Data 2026'!BG34)</f>
        <v/>
      </c>
      <c r="BH22" s="685" t="str">
        <f>IF('[1]Data 2026'!BH34="","",'[1]Data 2026'!BH34)</f>
        <v/>
      </c>
      <c r="BI22" s="685" t="str">
        <f>IF('[1]Data 2026'!BI34="","",'[1]Data 2026'!BI34)</f>
        <v/>
      </c>
      <c r="BJ22" s="685" t="str">
        <f>IF('[1]Data 2026'!BJ34="","",'[1]Data 2026'!BJ34)</f>
        <v/>
      </c>
      <c r="BK22" s="685" t="str">
        <f>IF('[1]Data 2026'!BK34="","",'[1]Data 2026'!BK34)</f>
        <v/>
      </c>
      <c r="BL22" s="685" t="str">
        <f>IF('[1]Data 2026'!BL34="","",'[1]Data 2026'!BL34)</f>
        <v>DUNAMIS/SITRACOM</v>
      </c>
      <c r="BM22" s="685" t="str">
        <f>IF('[1]Data 2026'!BM34="","",'[1]Data 2026'!BM34)</f>
        <v/>
      </c>
      <c r="BN22" s="685" t="str">
        <f>IF('[1]Data 2026'!BN34="","",'[1]Data 2026'!BN34)</f>
        <v/>
      </c>
      <c r="BO22" s="685" t="str">
        <f>IF('[1]Data 2026'!BO34="","",'[1]Data 2026'!BO34)</f>
        <v/>
      </c>
      <c r="BP22" s="685" t="str">
        <f>IF('[1]Data 2026'!BP34="","",'[1]Data 2026'!BP34)</f>
        <v/>
      </c>
      <c r="BQ22" s="685" t="str">
        <f>IF('[1]Data 2026'!BQ34="","",'[1]Data 2026'!BQ34)</f>
        <v/>
      </c>
      <c r="BR22" s="685" t="str">
        <f>IF('[1]Data 2026'!BR34="","",'[1]Data 2026'!BR34)</f>
        <v/>
      </c>
      <c r="BS22" s="685" t="str">
        <f>IF('[1]Data 2026'!BS34="","",'[1]Data 2026'!BS34)</f>
        <v/>
      </c>
      <c r="BT22" s="685" t="str">
        <f>IF('[1]Data 2026'!BV34="","",'[1]Data 2026'!BV34)</f>
        <v>BOA/KTD</v>
      </c>
      <c r="BU22" s="685" t="str">
        <f>IF('[1]Data 2026'!BW34="","",'[1]Data 2026'!BW34)</f>
        <v/>
      </c>
      <c r="BV22" s="685" t="str">
        <f>IF('[1]Data 2026'!BX34="","",'[1]Data 2026'!BX34)</f>
        <v/>
      </c>
      <c r="BW22" s="685" t="str">
        <f>IF('[1]Data 2026'!BY34="","",'[1]Data 2026'!BY34)</f>
        <v/>
      </c>
      <c r="BX22" s="685" t="str">
        <f>IF('[1]Data 2026'!BZ34="","",'[1]Data 2026'!BZ34)</f>
        <v/>
      </c>
      <c r="BY22" s="685" t="str">
        <f>IF('[1]Data 2026'!CA34="","",'[1]Data 2026'!CA34)</f>
        <v>182610-14811</v>
      </c>
      <c r="BZ22" s="685">
        <f>IF('[1]Data 2026'!CB34="","",'[1]Data 2026'!CB34)</f>
        <v>46128</v>
      </c>
      <c r="CA22" s="685" t="str">
        <f>IF('[1]Data 2026'!CC34="","",'[1]Data 2026'!CC34)</f>
        <v>2026-0100</v>
      </c>
      <c r="CB22" s="685">
        <f>IF('[1]Data 2026'!CD34="","",'[1]Data 2026'!CD34)</f>
        <v>46128</v>
      </c>
      <c r="CC22" s="685" t="str">
        <f>IF('[1]Data 2026'!CE34="","",'[1]Data 2026'!CE34)</f>
        <v/>
      </c>
      <c r="CD22" s="685" t="str">
        <f>IF('[1]Data 2026'!CF34="","",'[1]Data 2026'!CF34)</f>
        <v/>
      </c>
      <c r="CE22" s="685">
        <f>IF('[1]Data 2026'!CG34="","",'[1]Data 2026'!CG34)</f>
        <v>46107</v>
      </c>
      <c r="CF22" s="685">
        <f>IF('[1]Data 2026'!CH34="","",'[1]Data 2026'!CH34)</f>
        <v>46128</v>
      </c>
      <c r="CG22" s="685" t="str">
        <f>IF('[1]Data 2026'!CI34="","",'[1]Data 2026'!CI34)</f>
        <v>E11853</v>
      </c>
      <c r="CH22" s="685" t="str">
        <f>IF('[1]Data 2026'!CJ34="","",'[1]Data 2026'!CJ34)</f>
        <v/>
      </c>
      <c r="CI22" s="685">
        <f>IF('[1]Data 2026'!CK34="","",'[1]Data 2026'!CK34)</f>
        <v>46140</v>
      </c>
      <c r="CJ22" s="685" t="str">
        <f>IF('[1]Data 2026'!CM34="","",'[1]Data 2026'!CM34)</f>
        <v/>
      </c>
      <c r="CK22" s="685" t="str">
        <f>IF('[1]Data 2026'!CN34="","",'[1]Data 2026'!CN34)</f>
        <v>Sugmaran</v>
      </c>
      <c r="CL22" s="691"/>
      <c r="CM22" s="691" t="str">
        <f>IF('[1]Data 2026'!CP34="","",'[1]Data 2026'!CP34)</f>
        <v/>
      </c>
      <c r="CN22" s="691"/>
      <c r="CO22" s="693"/>
      <c r="CP22" s="693"/>
      <c r="CQ22" s="693"/>
      <c r="CR22" s="686">
        <f t="shared" si="4"/>
        <v>8</v>
      </c>
      <c r="CS22" s="686">
        <f t="shared" si="4"/>
        <v>0</v>
      </c>
      <c r="CT22" s="686">
        <f t="shared" si="4"/>
        <v>46</v>
      </c>
      <c r="CU22" s="686" t="str">
        <f t="shared" si="5"/>
        <v/>
      </c>
      <c r="CV22" s="686" t="str">
        <f t="shared" si="6"/>
        <v/>
      </c>
      <c r="CW22" s="685" t="str">
        <f t="shared" si="10"/>
        <v/>
      </c>
      <c r="CX22" s="685" t="str">
        <f t="shared" si="11"/>
        <v/>
      </c>
      <c r="CY22" s="693">
        <f t="shared" ca="1" si="7"/>
        <v>0</v>
      </c>
      <c r="CZ22" s="693" t="str">
        <f t="shared" si="8"/>
        <v/>
      </c>
      <c r="DB22"/>
      <c r="DC22"/>
    </row>
    <row r="23" spans="1:107" s="694" customFormat="1">
      <c r="A23" s="682" t="str">
        <f t="shared" si="0"/>
        <v>F. GATED IN, SAILING AWAITED</v>
      </c>
      <c r="B23" s="695" t="s">
        <v>1195</v>
      </c>
      <c r="C23" s="684" t="str">
        <f t="shared" si="1"/>
        <v>CLOSED POSITION</v>
      </c>
      <c r="D23" s="685" t="str">
        <f t="shared" si="9"/>
        <v/>
      </c>
      <c r="E23" s="685" t="str">
        <f t="shared" si="2"/>
        <v/>
      </c>
      <c r="F23" s="686">
        <f>IF('[1]Data 2026'!D35="","",'[1]Data 2026'!D35)</f>
        <v>47</v>
      </c>
      <c r="G23" s="686">
        <f>IF('[1]Data 2026'!E35="","",'[1]Data 2026'!E35)</f>
        <v>200</v>
      </c>
      <c r="H23" s="687" t="str">
        <f>IF('[1]Data 2026'!H35="","",'[1]Data 2026'!H35)</f>
        <v>32015968-3</v>
      </c>
      <c r="I23" s="688">
        <f>IF('[1]Data 2026'!AA35="","",'[1]Data 2026'!AA35)</f>
        <v>100</v>
      </c>
      <c r="J23" s="685" t="str">
        <f>IF('[1]Data 2026'!K35="","",'[1]Data 2026'!K35)</f>
        <v>APRIL</v>
      </c>
      <c r="K23" s="685">
        <v>46142</v>
      </c>
      <c r="L23" s="685" t="str">
        <f>IF('[1]Data 2026'!L35="","",'[1]Data 2026'!L35)</f>
        <v>VALENCY CI</v>
      </c>
      <c r="M23" s="685" t="str">
        <f>IF('[1]Data 2026'!M35="","",'[1]Data 2026'!M35)</f>
        <v>VALENCY AGRO INDIA UDUPI</v>
      </c>
      <c r="N23" s="685" t="s">
        <v>1198</v>
      </c>
      <c r="O23" s="689" t="str">
        <f>IF('[1]Data 2026'!N35="","",'[1]Data 2026'!N35)</f>
        <v>267489622-1</v>
      </c>
      <c r="P23" s="690">
        <f>IF('[1]Data 2026'!O35="","",'[1]Data 2026'!O35)</f>
        <v>267489622</v>
      </c>
      <c r="Q23" s="685" t="str">
        <f>IF('[1]Data 2026'!P35="","",'[1]Data 2026'!P35)</f>
        <v/>
      </c>
      <c r="R23" s="685" t="str">
        <f>IF('[1]Data 2026'!Q35="","",'[1]Data 2026'!Q35)</f>
        <v>ABJ</v>
      </c>
      <c r="S23" s="685" t="s">
        <v>210</v>
      </c>
      <c r="T23" s="685" t="str">
        <f>IF('[1]Data 2026'!R35="","",'[1]Data 2026'!R35)</f>
        <v>MANGALORE, INDIA</v>
      </c>
      <c r="U23" s="685" t="str">
        <f>IF('[1]Data 2026'!S35="","",'[1]Data 2026'!S35)</f>
        <v>MAERSK CUANZA</v>
      </c>
      <c r="V23" s="685">
        <f>IF('[1]Data 2026'!T35="","",'[1]Data 2026'!T35)</f>
        <v>46107</v>
      </c>
      <c r="W23" s="685">
        <f>IF('[1]Data 2026'!U35="","",'[1]Data 2026'!U35)</f>
        <v>46115</v>
      </c>
      <c r="X23" s="685">
        <f>IF('[1]Data 2026'!V35="","",'[1]Data 2026'!V35)</f>
        <v>46115</v>
      </c>
      <c r="Y23" s="685">
        <f>IF('[1]Data 2026'!W35="","",'[1]Data 2026'!W35)</f>
        <v>46161</v>
      </c>
      <c r="Z23" s="685">
        <f>IF('[1]Data 2026'!X35="","",'[1]Data 2026'!X35)</f>
        <v>46202</v>
      </c>
      <c r="AA23" s="685"/>
      <c r="AB23" s="685">
        <f>IF('[1]Data 2026'!Y35="","",'[1]Data 2026'!Y35)</f>
        <v>46172</v>
      </c>
      <c r="AC23" s="685" t="str">
        <f>IF('[1]Data 2026'!Z35="","",'[1]Data 2026'!Z35)</f>
        <v/>
      </c>
      <c r="AD23" s="691">
        <f>IF('[1]Data 2026'!AA35="","",'[1]Data 2026'!AA35)</f>
        <v>100</v>
      </c>
      <c r="AE23" s="691">
        <f>IF('[1]Data 2026'!AB35="","",'[1]Data 2026'!AB35)</f>
        <v>100</v>
      </c>
      <c r="AF23" s="685">
        <f>IF('[1]Data 2026'!AC35="","",'[1]Data 2026'!AC35)</f>
        <v>45777</v>
      </c>
      <c r="AG23" s="685" t="str">
        <f>IF('[1]Data 2026'!AD35="","",'[1]Data 2026'!AD35)</f>
        <v>Ex-Olam</v>
      </c>
      <c r="AH23" s="686">
        <f>IF('[1]Data 2026'!AE35="","",'[1]Data 2026'!AE35)</f>
        <v>4</v>
      </c>
      <c r="AI23" s="685" t="str">
        <f>IF('[1]Data 2026'!AG35="","",'[1]Data 2026'!AG35)</f>
        <v xml:space="preserve">VALENCY SINGAPORE </v>
      </c>
      <c r="AJ23" s="685" t="str">
        <f>IF('[1]Data 2026'!AH35="","",'[1]Data 2026'!AH35)</f>
        <v>DUNAMIS/SITRACOM</v>
      </c>
      <c r="AK23" s="685" t="str">
        <f>IF('[1]Data 2026'!AI35="","",'[1]Data 2026'!AI35)</f>
        <v>MSK</v>
      </c>
      <c r="AL23" s="685" t="str">
        <f>IF('[1]Data 2026'!AJ35="","",'[1]Data 2026'!AJ35)</f>
        <v>40FT</v>
      </c>
      <c r="AM23" s="692">
        <f>IF('[1]Data 2026'!AK35="","",'[1]Data 2026'!AK35)</f>
        <v>0.1</v>
      </c>
      <c r="AN23" s="685" t="str">
        <f>IF('[1]Data 2026'!AL35="","",'[1]Data 2026'!AL35)</f>
        <v xml:space="preserve"> ( 1 x 100 MTS ) </v>
      </c>
      <c r="AO23" s="691">
        <f>IF('[1]Data 2026'!AM35="","",'[1]Data 2026'!AM35)</f>
        <v>110</v>
      </c>
      <c r="AP23" s="691" t="str">
        <f t="shared" si="3"/>
        <v/>
      </c>
      <c r="AQ23" s="685" t="str">
        <f>IF('[1]Data 2026'!AO35="","",'[1]Data 2026'!AO35)</f>
        <v/>
      </c>
      <c r="AR23" s="685" t="str">
        <f>IF('[1]Data 2026'!AP35="","",'[1]Data 2026'!AP35)</f>
        <v/>
      </c>
      <c r="AS23" s="685" t="str">
        <f>IF('[1]Data 2026'!AQ35="","",'[1]Data 2026'!AQ35)</f>
        <v/>
      </c>
      <c r="AT23" s="685" t="str">
        <f>IF('[1]Data 2026'!AR35="","",'[1]Data 2026'!AR35)</f>
        <v/>
      </c>
      <c r="AU23" s="685" t="str">
        <f>IF('[1]Data 2026'!AW35="","",'[1]Data 2026'!AW35)</f>
        <v/>
      </c>
      <c r="AV23" s="685" t="str">
        <f>IF('[1]Data 2026'!AX35="","",'[1]Data 2026'!AX35)</f>
        <v/>
      </c>
      <c r="AW23" s="685" t="str">
        <f>IF('[1]Data 2026'!AY35="","",'[1]Data 2026'!AY35)</f>
        <v/>
      </c>
      <c r="AX23" s="685" t="str">
        <f>IF('[1]Data 2026'!AZ35="","",'[1]Data 2026'!AZ35)</f>
        <v/>
      </c>
      <c r="AY23" s="685" t="str">
        <f>IF('[1]Data 2026'!BA35="","",'[1]Data 2026'!BA35)</f>
        <v/>
      </c>
      <c r="AZ23" s="685" t="str">
        <f>IF('[1]Data 2026'!AS35="","",'[1]Data 2026'!AS35)</f>
        <v/>
      </c>
      <c r="BA23" s="685" t="str">
        <f>IF('[1]Data 2026'!AT35="","",'[1]Data 2026'!AT35)</f>
        <v/>
      </c>
      <c r="BB23" s="685" t="str">
        <f>IF('[1]Data 2026'!AU35="","",'[1]Data 2026'!AU35)</f>
        <v/>
      </c>
      <c r="BC23" s="685" t="str">
        <f>IF('[1]Data 2026'!AV35="","",'[1]Data 2026'!AV35)</f>
        <v/>
      </c>
      <c r="BD23" s="685" t="str">
        <f>IF('[1]Data 2026'!AW35="","",'[1]Data 2026'!AW35)</f>
        <v/>
      </c>
      <c r="BE23" s="685" t="str">
        <f>IF('[1]Data 2026'!AX35="","",'[1]Data 2026'!AX35)</f>
        <v/>
      </c>
      <c r="BF23" s="685" t="str">
        <f>IF('[1]Data 2026'!BF35="","",'[1]Data 2026'!BF35)</f>
        <v xml:space="preserve">VALENCY SINGAPORE </v>
      </c>
      <c r="BG23" s="685" t="str">
        <f>IF('[1]Data 2026'!BG35="","",'[1]Data 2026'!BG35)</f>
        <v/>
      </c>
      <c r="BH23" s="685" t="str">
        <f>IF('[1]Data 2026'!BH35="","",'[1]Data 2026'!BH35)</f>
        <v/>
      </c>
      <c r="BI23" s="685" t="str">
        <f>IF('[1]Data 2026'!BI35="","",'[1]Data 2026'!BI35)</f>
        <v/>
      </c>
      <c r="BJ23" s="685" t="str">
        <f>IF('[1]Data 2026'!BJ35="","",'[1]Data 2026'!BJ35)</f>
        <v/>
      </c>
      <c r="BK23" s="685" t="str">
        <f>IF('[1]Data 2026'!BK35="","",'[1]Data 2026'!BK35)</f>
        <v/>
      </c>
      <c r="BL23" s="685" t="str">
        <f>IF('[1]Data 2026'!BL35="","",'[1]Data 2026'!BL35)</f>
        <v>DUNAMIS/SITRACOM</v>
      </c>
      <c r="BM23" s="685" t="str">
        <f>IF('[1]Data 2026'!BM35="","",'[1]Data 2026'!BM35)</f>
        <v/>
      </c>
      <c r="BN23" s="685" t="str">
        <f>IF('[1]Data 2026'!BN35="","",'[1]Data 2026'!BN35)</f>
        <v/>
      </c>
      <c r="BO23" s="685" t="str">
        <f>IF('[1]Data 2026'!BO35="","",'[1]Data 2026'!BO35)</f>
        <v/>
      </c>
      <c r="BP23" s="685" t="str">
        <f>IF('[1]Data 2026'!BP35="","",'[1]Data 2026'!BP35)</f>
        <v/>
      </c>
      <c r="BQ23" s="685" t="str">
        <f>IF('[1]Data 2026'!BQ35="","",'[1]Data 2026'!BQ35)</f>
        <v/>
      </c>
      <c r="BR23" s="685" t="str">
        <f>IF('[1]Data 2026'!BR35="","",'[1]Data 2026'!BR35)</f>
        <v/>
      </c>
      <c r="BS23" s="685" t="str">
        <f>IF('[1]Data 2026'!BS35="","",'[1]Data 2026'!BS35)</f>
        <v/>
      </c>
      <c r="BT23" s="685" t="str">
        <f>IF('[1]Data 2026'!BV35="","",'[1]Data 2026'!BV35)</f>
        <v>BOA/KTD</v>
      </c>
      <c r="BU23" s="685" t="str">
        <f>IF('[1]Data 2026'!BW35="","",'[1]Data 2026'!BW35)</f>
        <v/>
      </c>
      <c r="BV23" s="685" t="str">
        <f>IF('[1]Data 2026'!BX35="","",'[1]Data 2026'!BX35)</f>
        <v/>
      </c>
      <c r="BW23" s="685" t="str">
        <f>IF('[1]Data 2026'!BY35="","",'[1]Data 2026'!BY35)</f>
        <v/>
      </c>
      <c r="BX23" s="685" t="str">
        <f>IF('[1]Data 2026'!BZ35="","",'[1]Data 2026'!BZ35)</f>
        <v/>
      </c>
      <c r="BY23" s="685" t="str">
        <f>IF('[1]Data 2026'!CA35="","",'[1]Data 2026'!CA35)</f>
        <v>182610-14811</v>
      </c>
      <c r="BZ23" s="685">
        <f>IF('[1]Data 2026'!CB35="","",'[1]Data 2026'!CB35)</f>
        <v>46128</v>
      </c>
      <c r="CA23" s="685" t="str">
        <f>IF('[1]Data 2026'!CC35="","",'[1]Data 2026'!CC35)</f>
        <v>2026-0100</v>
      </c>
      <c r="CB23" s="685">
        <f>IF('[1]Data 2026'!CD35="","",'[1]Data 2026'!CD35)</f>
        <v>46128</v>
      </c>
      <c r="CC23" s="685" t="str">
        <f>IF('[1]Data 2026'!CE35="","",'[1]Data 2026'!CE35)</f>
        <v/>
      </c>
      <c r="CD23" s="685" t="str">
        <f>IF('[1]Data 2026'!CF35="","",'[1]Data 2026'!CF35)</f>
        <v/>
      </c>
      <c r="CE23" s="685">
        <f>IF('[1]Data 2026'!CG35="","",'[1]Data 2026'!CG35)</f>
        <v>46107</v>
      </c>
      <c r="CF23" s="685">
        <f>IF('[1]Data 2026'!CH35="","",'[1]Data 2026'!CH35)</f>
        <v>46128</v>
      </c>
      <c r="CG23" s="685" t="str">
        <f>IF('[1]Data 2026'!CI35="","",'[1]Data 2026'!CI35)</f>
        <v>E11853</v>
      </c>
      <c r="CH23" s="685" t="str">
        <f>IF('[1]Data 2026'!CJ35="","",'[1]Data 2026'!CJ35)</f>
        <v/>
      </c>
      <c r="CI23" s="685">
        <f>IF('[1]Data 2026'!CK35="","",'[1]Data 2026'!CK35)</f>
        <v>46140</v>
      </c>
      <c r="CJ23" s="685" t="str">
        <f>IF('[1]Data 2026'!CM35="","",'[1]Data 2026'!CM35)</f>
        <v/>
      </c>
      <c r="CK23" s="685" t="str">
        <f>IF('[1]Data 2026'!CN35="","",'[1]Data 2026'!CN35)</f>
        <v>Sugmaran</v>
      </c>
      <c r="CL23" s="691"/>
      <c r="CM23" s="691" t="str">
        <f>IF('[1]Data 2026'!CP35="","",'[1]Data 2026'!CP35)</f>
        <v/>
      </c>
      <c r="CN23" s="691"/>
      <c r="CO23" s="693"/>
      <c r="CP23" s="693"/>
      <c r="CQ23" s="693"/>
      <c r="CR23" s="686">
        <f t="shared" si="4"/>
        <v>8</v>
      </c>
      <c r="CS23" s="686">
        <f t="shared" si="4"/>
        <v>0</v>
      </c>
      <c r="CT23" s="686">
        <f t="shared" si="4"/>
        <v>46</v>
      </c>
      <c r="CU23" s="686" t="str">
        <f t="shared" si="5"/>
        <v/>
      </c>
      <c r="CV23" s="686" t="str">
        <f t="shared" si="6"/>
        <v/>
      </c>
      <c r="CW23" s="685" t="str">
        <f t="shared" si="10"/>
        <v/>
      </c>
      <c r="CX23" s="685" t="str">
        <f t="shared" si="11"/>
        <v/>
      </c>
      <c r="CY23" s="693">
        <f t="shared" ca="1" si="7"/>
        <v>0</v>
      </c>
      <c r="CZ23" s="693" t="str">
        <f t="shared" si="8"/>
        <v/>
      </c>
      <c r="DB23"/>
      <c r="DC23"/>
    </row>
    <row r="24" spans="1:107" s="694" customFormat="1">
      <c r="A24" s="682" t="str">
        <f t="shared" si="0"/>
        <v>F. GATED IN, SAILING AWAITED</v>
      </c>
      <c r="B24" s="695" t="s">
        <v>1195</v>
      </c>
      <c r="C24" s="684" t="str">
        <f t="shared" si="1"/>
        <v>CLOSED POSITION</v>
      </c>
      <c r="D24" s="685" t="str">
        <f t="shared" si="9"/>
        <v/>
      </c>
      <c r="E24" s="685" t="str">
        <f t="shared" si="2"/>
        <v/>
      </c>
      <c r="F24" s="686">
        <f>IF('[1]Data 2026'!D36="","",'[1]Data 2026'!D36)</f>
        <v>49</v>
      </c>
      <c r="G24" s="686">
        <f>IF('[1]Data 2026'!E36="","",'[1]Data 2026'!E36)</f>
        <v>200</v>
      </c>
      <c r="H24" s="687">
        <f>IF('[1]Data 2026'!H36="","",'[1]Data 2026'!H36)</f>
        <v>32014459</v>
      </c>
      <c r="I24" s="688">
        <f>IF('[1]Data 2026'!AA36="","",'[1]Data 2026'!AA36)</f>
        <v>100</v>
      </c>
      <c r="J24" s="685" t="str">
        <f>IF('[1]Data 2026'!K36="","",'[1]Data 2026'!K36)</f>
        <v>APRIL</v>
      </c>
      <c r="K24" s="685">
        <v>46142</v>
      </c>
      <c r="L24" s="685" t="str">
        <f>IF('[1]Data 2026'!L36="","",'[1]Data 2026'!L36)</f>
        <v>VALENCY CI</v>
      </c>
      <c r="M24" s="685" t="str">
        <f>IF('[1]Data 2026'!M36="","",'[1]Data 2026'!M36)</f>
        <v xml:space="preserve">MAA TARINI TRADERS AND PROCESSING </v>
      </c>
      <c r="N24" s="685" t="s">
        <v>1198</v>
      </c>
      <c r="O24" s="689">
        <f>IF('[1]Data 2026'!N36="","",'[1]Data 2026'!N36)</f>
        <v>267514904</v>
      </c>
      <c r="P24" s="690">
        <f>IF('[1]Data 2026'!O36="","",'[1]Data 2026'!O36)</f>
        <v>267514904</v>
      </c>
      <c r="Q24" s="685" t="str">
        <f>IF('[1]Data 2026'!P36="","",'[1]Data 2026'!P36)</f>
        <v/>
      </c>
      <c r="R24" s="685" t="str">
        <f>IF('[1]Data 2026'!Q36="","",'[1]Data 2026'!Q36)</f>
        <v>ABJ</v>
      </c>
      <c r="S24" s="685" t="s">
        <v>210</v>
      </c>
      <c r="T24" s="685" t="str">
        <f>IF('[1]Data 2026'!R36="","",'[1]Data 2026'!R36)</f>
        <v>VISHAKPATNAM, INDIA</v>
      </c>
      <c r="U24" s="685" t="str">
        <f>IF('[1]Data 2026'!S36="","",'[1]Data 2026'!S36)</f>
        <v>MAERSK CUANZA</v>
      </c>
      <c r="V24" s="685">
        <f>IF('[1]Data 2026'!T36="","",'[1]Data 2026'!T36)</f>
        <v>46107</v>
      </c>
      <c r="W24" s="685">
        <f>IF('[1]Data 2026'!U36="","",'[1]Data 2026'!U36)</f>
        <v>46132</v>
      </c>
      <c r="X24" s="685">
        <f>IF('[1]Data 2026'!V36="","",'[1]Data 2026'!V36)</f>
        <v>46132</v>
      </c>
      <c r="Y24" s="685">
        <f>IF('[1]Data 2026'!W36="","",'[1]Data 2026'!W36)</f>
        <v>46159</v>
      </c>
      <c r="Z24" s="685" t="str">
        <f>IF('[1]Data 2026'!X36="","",'[1]Data 2026'!X36)</f>
        <v/>
      </c>
      <c r="AA24" s="685"/>
      <c r="AB24" s="685">
        <f>IF('[1]Data 2026'!Y36="","",'[1]Data 2026'!Y36)</f>
        <v>46172</v>
      </c>
      <c r="AC24" s="685" t="str">
        <f>IF('[1]Data 2026'!Z36="","",'[1]Data 2026'!Z36)</f>
        <v/>
      </c>
      <c r="AD24" s="691">
        <f>IF('[1]Data 2026'!AA36="","",'[1]Data 2026'!AA36)</f>
        <v>100</v>
      </c>
      <c r="AE24" s="691">
        <f>IF('[1]Data 2026'!AB36="","",'[1]Data 2026'!AB36)</f>
        <v>100</v>
      </c>
      <c r="AF24" s="685">
        <f>IF('[1]Data 2026'!AC36="","",'[1]Data 2026'!AC36)</f>
        <v>45777</v>
      </c>
      <c r="AG24" s="685" t="str">
        <f>IF('[1]Data 2026'!AD36="","",'[1]Data 2026'!AD36)</f>
        <v>WH-I</v>
      </c>
      <c r="AH24" s="686">
        <f>IF('[1]Data 2026'!AE36="","",'[1]Data 2026'!AE36)</f>
        <v>4</v>
      </c>
      <c r="AI24" s="685" t="str">
        <f>IF('[1]Data 2026'!AG36="","",'[1]Data 2026'!AG36)</f>
        <v xml:space="preserve">VALENCY SINGAPORE </v>
      </c>
      <c r="AJ24" s="685" t="str">
        <f>IF('[1]Data 2026'!AH36="","",'[1]Data 2026'!AH36)</f>
        <v>DUNAMIS/SITRACOM</v>
      </c>
      <c r="AK24" s="685" t="str">
        <f>IF('[1]Data 2026'!AI36="","",'[1]Data 2026'!AI36)</f>
        <v>MSK</v>
      </c>
      <c r="AL24" s="685" t="str">
        <f>IF('[1]Data 2026'!AJ36="","",'[1]Data 2026'!AJ36)</f>
        <v>40FT</v>
      </c>
      <c r="AM24" s="692">
        <f>IF('[1]Data 2026'!AK36="","",'[1]Data 2026'!AK36)</f>
        <v>0.05</v>
      </c>
      <c r="AN24" s="685" t="str">
        <f>IF('[1]Data 2026'!AL36="","",'[1]Data 2026'!AL36)</f>
        <v xml:space="preserve"> ( 1 x 100 MTS ) </v>
      </c>
      <c r="AO24" s="691">
        <f>IF('[1]Data 2026'!AM36="","",'[1]Data 2026'!AM36)</f>
        <v>105</v>
      </c>
      <c r="AP24" s="691" t="str">
        <f t="shared" si="3"/>
        <v/>
      </c>
      <c r="AQ24" s="685" t="str">
        <f>IF('[1]Data 2026'!AO36="","",'[1]Data 2026'!AO36)</f>
        <v/>
      </c>
      <c r="AR24" s="685" t="str">
        <f>IF('[1]Data 2026'!AP36="","",'[1]Data 2026'!AP36)</f>
        <v/>
      </c>
      <c r="AS24" s="685" t="str">
        <f>IF('[1]Data 2026'!AQ36="","",'[1]Data 2026'!AQ36)</f>
        <v/>
      </c>
      <c r="AT24" s="685" t="str">
        <f>IF('[1]Data 2026'!AR36="","",'[1]Data 2026'!AR36)</f>
        <v/>
      </c>
      <c r="AU24" s="685" t="str">
        <f>IF('[1]Data 2026'!AW36="","",'[1]Data 2026'!AW36)</f>
        <v/>
      </c>
      <c r="AV24" s="685" t="str">
        <f>IF('[1]Data 2026'!AX36="","",'[1]Data 2026'!AX36)</f>
        <v/>
      </c>
      <c r="AW24" s="685" t="str">
        <f>IF('[1]Data 2026'!AY36="","",'[1]Data 2026'!AY36)</f>
        <v/>
      </c>
      <c r="AX24" s="685" t="str">
        <f>IF('[1]Data 2026'!AZ36="","",'[1]Data 2026'!AZ36)</f>
        <v/>
      </c>
      <c r="AY24" s="685" t="str">
        <f>IF('[1]Data 2026'!BA36="","",'[1]Data 2026'!BA36)</f>
        <v/>
      </c>
      <c r="AZ24" s="685" t="str">
        <f>IF('[1]Data 2026'!AS36="","",'[1]Data 2026'!AS36)</f>
        <v/>
      </c>
      <c r="BA24" s="685" t="str">
        <f>IF('[1]Data 2026'!AT36="","",'[1]Data 2026'!AT36)</f>
        <v/>
      </c>
      <c r="BB24" s="685" t="str">
        <f>IF('[1]Data 2026'!AU36="","",'[1]Data 2026'!AU36)</f>
        <v/>
      </c>
      <c r="BC24" s="685" t="str">
        <f>IF('[1]Data 2026'!AV36="","",'[1]Data 2026'!AV36)</f>
        <v/>
      </c>
      <c r="BD24" s="685" t="str">
        <f>IF('[1]Data 2026'!AW36="","",'[1]Data 2026'!AW36)</f>
        <v/>
      </c>
      <c r="BE24" s="685" t="str">
        <f>IF('[1]Data 2026'!AX36="","",'[1]Data 2026'!AX36)</f>
        <v/>
      </c>
      <c r="BF24" s="685" t="str">
        <f>IF('[1]Data 2026'!BF36="","",'[1]Data 2026'!BF36)</f>
        <v xml:space="preserve">VALENCY SINGAPORE </v>
      </c>
      <c r="BG24" s="685" t="str">
        <f>IF('[1]Data 2026'!BG36="","",'[1]Data 2026'!BG36)</f>
        <v/>
      </c>
      <c r="BH24" s="685" t="str">
        <f>IF('[1]Data 2026'!BH36="","",'[1]Data 2026'!BH36)</f>
        <v/>
      </c>
      <c r="BI24" s="685" t="str">
        <f>IF('[1]Data 2026'!BI36="","",'[1]Data 2026'!BI36)</f>
        <v/>
      </c>
      <c r="BJ24" s="685" t="str">
        <f>IF('[1]Data 2026'!BJ36="","",'[1]Data 2026'!BJ36)</f>
        <v/>
      </c>
      <c r="BK24" s="685" t="str">
        <f>IF('[1]Data 2026'!BK36="","",'[1]Data 2026'!BK36)</f>
        <v/>
      </c>
      <c r="BL24" s="685" t="str">
        <f>IF('[1]Data 2026'!BL36="","",'[1]Data 2026'!BL36)</f>
        <v>DUNAMIS/SITRACOM</v>
      </c>
      <c r="BM24" s="685" t="str">
        <f>IF('[1]Data 2026'!BM36="","",'[1]Data 2026'!BM36)</f>
        <v/>
      </c>
      <c r="BN24" s="685" t="str">
        <f>IF('[1]Data 2026'!BN36="","",'[1]Data 2026'!BN36)</f>
        <v/>
      </c>
      <c r="BO24" s="685" t="str">
        <f>IF('[1]Data 2026'!BO36="","",'[1]Data 2026'!BO36)</f>
        <v/>
      </c>
      <c r="BP24" s="685" t="str">
        <f>IF('[1]Data 2026'!BP36="","",'[1]Data 2026'!BP36)</f>
        <v/>
      </c>
      <c r="BQ24" s="685" t="str">
        <f>IF('[1]Data 2026'!BQ36="","",'[1]Data 2026'!BQ36)</f>
        <v/>
      </c>
      <c r="BR24" s="685" t="str">
        <f>IF('[1]Data 2026'!BR36="","",'[1]Data 2026'!BR36)</f>
        <v/>
      </c>
      <c r="BS24" s="685" t="str">
        <f>IF('[1]Data 2026'!BS36="","",'[1]Data 2026'!BS36)</f>
        <v/>
      </c>
      <c r="BT24" s="685" t="str">
        <f>IF('[1]Data 2026'!BV36="","",'[1]Data 2026'!BV36)</f>
        <v>ABSA/CMI</v>
      </c>
      <c r="BU24" s="685" t="str">
        <f>IF('[1]Data 2026'!BW36="","",'[1]Data 2026'!BW36)</f>
        <v/>
      </c>
      <c r="BV24" s="685" t="str">
        <f>IF('[1]Data 2026'!BX36="","",'[1]Data 2026'!BX36)</f>
        <v/>
      </c>
      <c r="BW24" s="685" t="str">
        <f>IF('[1]Data 2026'!BY36="","",'[1]Data 2026'!BY36)</f>
        <v/>
      </c>
      <c r="BX24" s="685" t="str">
        <f>IF('[1]Data 2026'!BZ36="","",'[1]Data 2026'!BZ36)</f>
        <v/>
      </c>
      <c r="BY24" s="685" t="str">
        <f>IF('[1]Data 2026'!CA36="","",'[1]Data 2026'!CA36)</f>
        <v>182610-14892</v>
      </c>
      <c r="BZ24" s="685">
        <f>IF('[1]Data 2026'!CB36="","",'[1]Data 2026'!CB36)</f>
        <v>46133</v>
      </c>
      <c r="CA24" s="685" t="str">
        <f>IF('[1]Data 2026'!CC36="","",'[1]Data 2026'!CC36)</f>
        <v>2026-0209</v>
      </c>
      <c r="CB24" s="685">
        <f>IF('[1]Data 2026'!CD36="","",'[1]Data 2026'!CD36)</f>
        <v>46133</v>
      </c>
      <c r="CC24" s="685" t="str">
        <f>IF('[1]Data 2026'!CE36="","",'[1]Data 2026'!CE36)</f>
        <v/>
      </c>
      <c r="CD24" s="685" t="str">
        <f>IF('[1]Data 2026'!CF36="","",'[1]Data 2026'!CF36)</f>
        <v/>
      </c>
      <c r="CE24" s="685">
        <f>IF('[1]Data 2026'!CG36="","",'[1]Data 2026'!CG36)</f>
        <v>46107</v>
      </c>
      <c r="CF24" s="685">
        <f>IF('[1]Data 2026'!CH36="","",'[1]Data 2026'!CH36)</f>
        <v>46129</v>
      </c>
      <c r="CG24" s="685" t="str">
        <f>IF('[1]Data 2026'!CI36="","",'[1]Data 2026'!CI36)</f>
        <v>E12082</v>
      </c>
      <c r="CH24" s="685" t="str">
        <f>IF('[1]Data 2026'!CJ36="","",'[1]Data 2026'!CJ36)</f>
        <v/>
      </c>
      <c r="CI24" s="685">
        <f>IF('[1]Data 2026'!CK36="","",'[1]Data 2026'!CK36)</f>
        <v>46140</v>
      </c>
      <c r="CJ24" s="685" t="str">
        <f>IF('[1]Data 2026'!CM36="","",'[1]Data 2026'!CM36)</f>
        <v/>
      </c>
      <c r="CK24" s="685" t="str">
        <f>IF('[1]Data 2026'!CN36="","",'[1]Data 2026'!CN36)</f>
        <v>Ajeesh</v>
      </c>
      <c r="CL24" s="691"/>
      <c r="CM24" s="691" t="str">
        <f>IF('[1]Data 2026'!CP36="","",'[1]Data 2026'!CP36)</f>
        <v/>
      </c>
      <c r="CN24" s="691"/>
      <c r="CO24" s="693"/>
      <c r="CP24" s="693"/>
      <c r="CQ24" s="693"/>
      <c r="CR24" s="686">
        <f t="shared" si="4"/>
        <v>25</v>
      </c>
      <c r="CS24" s="686">
        <f t="shared" si="4"/>
        <v>0</v>
      </c>
      <c r="CT24" s="686">
        <f t="shared" si="4"/>
        <v>27</v>
      </c>
      <c r="CU24" s="686" t="str">
        <f t="shared" si="5"/>
        <v/>
      </c>
      <c r="CV24" s="686" t="str">
        <f t="shared" si="6"/>
        <v/>
      </c>
      <c r="CW24" s="685" t="str">
        <f t="shared" si="10"/>
        <v/>
      </c>
      <c r="CX24" s="685" t="str">
        <f t="shared" si="11"/>
        <v/>
      </c>
      <c r="CY24" s="693">
        <f t="shared" ca="1" si="7"/>
        <v>0</v>
      </c>
      <c r="CZ24" s="693" t="str">
        <f t="shared" si="8"/>
        <v/>
      </c>
      <c r="DB24"/>
      <c r="DC24"/>
    </row>
    <row r="25" spans="1:107" s="694" customFormat="1">
      <c r="A25" s="682" t="str">
        <f t="shared" si="0"/>
        <v>F. GATED IN, SAILING AWAITED</v>
      </c>
      <c r="B25" s="695" t="s">
        <v>1195</v>
      </c>
      <c r="C25" s="684" t="str">
        <f t="shared" si="1"/>
        <v>CLOSED POSITION</v>
      </c>
      <c r="D25" s="685" t="str">
        <f t="shared" si="9"/>
        <v/>
      </c>
      <c r="E25" s="685" t="str">
        <f t="shared" si="2"/>
        <v/>
      </c>
      <c r="F25" s="686">
        <f>IF('[1]Data 2026'!D37="","",'[1]Data 2026'!D37)</f>
        <v>47</v>
      </c>
      <c r="G25" s="686">
        <f>IF('[1]Data 2026'!E37="","",'[1]Data 2026'!E37)</f>
        <v>200</v>
      </c>
      <c r="H25" s="687" t="str">
        <f>IF('[1]Data 2026'!H37="","",'[1]Data 2026'!H37)</f>
        <v>32015968-3</v>
      </c>
      <c r="I25" s="688">
        <f>IF('[1]Data 2026'!AA37="","",'[1]Data 2026'!AA37)</f>
        <v>100</v>
      </c>
      <c r="J25" s="685" t="str">
        <f>IF('[1]Data 2026'!K37="","",'[1]Data 2026'!K37)</f>
        <v>APRIL</v>
      </c>
      <c r="K25" s="685">
        <v>46142</v>
      </c>
      <c r="L25" s="685" t="str">
        <f>IF('[1]Data 2026'!L37="","",'[1]Data 2026'!L37)</f>
        <v>VALENCY CI</v>
      </c>
      <c r="M25" s="685" t="str">
        <f>IF('[1]Data 2026'!M37="","",'[1]Data 2026'!M37)</f>
        <v>VALENCY AGRO INDIA UDUPI</v>
      </c>
      <c r="N25" s="685" t="s">
        <v>1198</v>
      </c>
      <c r="O25" s="689">
        <f>IF('[1]Data 2026'!N37="","",'[1]Data 2026'!N37)</f>
        <v>267489694</v>
      </c>
      <c r="P25" s="690">
        <f>IF('[1]Data 2026'!O37="","",'[1]Data 2026'!O37)</f>
        <v>267489694</v>
      </c>
      <c r="Q25" s="685" t="str">
        <f>IF('[1]Data 2026'!P37="","",'[1]Data 2026'!P37)</f>
        <v/>
      </c>
      <c r="R25" s="685" t="str">
        <f>IF('[1]Data 2026'!Q37="","",'[1]Data 2026'!Q37)</f>
        <v>ABJ</v>
      </c>
      <c r="S25" s="685" t="s">
        <v>210</v>
      </c>
      <c r="T25" s="685" t="str">
        <f>IF('[1]Data 2026'!R37="","",'[1]Data 2026'!R37)</f>
        <v>MANGALORE, INDIA</v>
      </c>
      <c r="U25" s="685" t="str">
        <f>IF('[1]Data 2026'!S37="","",'[1]Data 2026'!S37)</f>
        <v>MAERSK CUANZA</v>
      </c>
      <c r="V25" s="685">
        <f>IF('[1]Data 2026'!T37="","",'[1]Data 2026'!T37)</f>
        <v>46107</v>
      </c>
      <c r="W25" s="685">
        <f>IF('[1]Data 2026'!U37="","",'[1]Data 2026'!U37)</f>
        <v>46116</v>
      </c>
      <c r="X25" s="685">
        <f>IF('[1]Data 2026'!V37="","",'[1]Data 2026'!V37)</f>
        <v>46116</v>
      </c>
      <c r="Y25" s="685">
        <f>IF('[1]Data 2026'!W37="","",'[1]Data 2026'!W37)</f>
        <v>46161</v>
      </c>
      <c r="Z25" s="685" t="str">
        <f>IF('[1]Data 2026'!X37="","",'[1]Data 2026'!X37)</f>
        <v/>
      </c>
      <c r="AA25" s="685"/>
      <c r="AB25" s="685">
        <f>IF('[1]Data 2026'!Y37="","",'[1]Data 2026'!Y37)</f>
        <v>46172</v>
      </c>
      <c r="AC25" s="685" t="str">
        <f>IF('[1]Data 2026'!Z37="","",'[1]Data 2026'!Z37)</f>
        <v/>
      </c>
      <c r="AD25" s="691">
        <f>IF('[1]Data 2026'!AA37="","",'[1]Data 2026'!AA37)</f>
        <v>100</v>
      </c>
      <c r="AE25" s="691">
        <f>IF('[1]Data 2026'!AB37="","",'[1]Data 2026'!AB37)</f>
        <v>100</v>
      </c>
      <c r="AF25" s="685">
        <f>IF('[1]Data 2026'!AC37="","",'[1]Data 2026'!AC37)</f>
        <v>45777</v>
      </c>
      <c r="AG25" s="685" t="str">
        <f>IF('[1]Data 2026'!AD37="","",'[1]Data 2026'!AD37)</f>
        <v>Ex-Olam</v>
      </c>
      <c r="AH25" s="686">
        <f>IF('[1]Data 2026'!AE37="","",'[1]Data 2026'!AE37)</f>
        <v>4</v>
      </c>
      <c r="AI25" s="685" t="str">
        <f>IF('[1]Data 2026'!AG37="","",'[1]Data 2026'!AG37)</f>
        <v xml:space="preserve">VALENCY SINGAPORE </v>
      </c>
      <c r="AJ25" s="685" t="str">
        <f>IF('[1]Data 2026'!AH37="","",'[1]Data 2026'!AH37)</f>
        <v>DUNAMIS/SITRACOM</v>
      </c>
      <c r="AK25" s="685" t="str">
        <f>IF('[1]Data 2026'!AI37="","",'[1]Data 2026'!AI37)</f>
        <v>MSK</v>
      </c>
      <c r="AL25" s="685" t="str">
        <f>IF('[1]Data 2026'!AJ37="","",'[1]Data 2026'!AJ37)</f>
        <v>40FT</v>
      </c>
      <c r="AM25" s="692">
        <f>IF('[1]Data 2026'!AK37="","",'[1]Data 2026'!AK37)</f>
        <v>0.1</v>
      </c>
      <c r="AN25" s="685" t="str">
        <f>IF('[1]Data 2026'!AL37="","",'[1]Data 2026'!AL37)</f>
        <v xml:space="preserve"> ( 1 x 100 MTS ) </v>
      </c>
      <c r="AO25" s="691">
        <f>IF('[1]Data 2026'!AM37="","",'[1]Data 2026'!AM37)</f>
        <v>110</v>
      </c>
      <c r="AP25" s="691" t="str">
        <f t="shared" si="3"/>
        <v/>
      </c>
      <c r="AQ25" s="685" t="str">
        <f>IF('[1]Data 2026'!AO37="","",'[1]Data 2026'!AO37)</f>
        <v/>
      </c>
      <c r="AR25" s="685" t="str">
        <f>IF('[1]Data 2026'!AP37="","",'[1]Data 2026'!AP37)</f>
        <v/>
      </c>
      <c r="AS25" s="685" t="str">
        <f>IF('[1]Data 2026'!AQ37="","",'[1]Data 2026'!AQ37)</f>
        <v/>
      </c>
      <c r="AT25" s="685" t="str">
        <f>IF('[1]Data 2026'!AR37="","",'[1]Data 2026'!AR37)</f>
        <v/>
      </c>
      <c r="AU25" s="685" t="str">
        <f>IF('[1]Data 2026'!AW37="","",'[1]Data 2026'!AW37)</f>
        <v/>
      </c>
      <c r="AV25" s="685" t="str">
        <f>IF('[1]Data 2026'!AX37="","",'[1]Data 2026'!AX37)</f>
        <v/>
      </c>
      <c r="AW25" s="685" t="str">
        <f>IF('[1]Data 2026'!AY37="","",'[1]Data 2026'!AY37)</f>
        <v/>
      </c>
      <c r="AX25" s="685" t="str">
        <f>IF('[1]Data 2026'!AZ37="","",'[1]Data 2026'!AZ37)</f>
        <v/>
      </c>
      <c r="AY25" s="685" t="str">
        <f>IF('[1]Data 2026'!BA37="","",'[1]Data 2026'!BA37)</f>
        <v/>
      </c>
      <c r="AZ25" s="685" t="str">
        <f>IF('[1]Data 2026'!AS37="","",'[1]Data 2026'!AS37)</f>
        <v/>
      </c>
      <c r="BA25" s="685" t="str">
        <f>IF('[1]Data 2026'!AT37="","",'[1]Data 2026'!AT37)</f>
        <v/>
      </c>
      <c r="BB25" s="685" t="str">
        <f>IF('[1]Data 2026'!AU37="","",'[1]Data 2026'!AU37)</f>
        <v/>
      </c>
      <c r="BC25" s="685" t="str">
        <f>IF('[1]Data 2026'!AV37="","",'[1]Data 2026'!AV37)</f>
        <v/>
      </c>
      <c r="BD25" s="685" t="str">
        <f>IF('[1]Data 2026'!AW37="","",'[1]Data 2026'!AW37)</f>
        <v/>
      </c>
      <c r="BE25" s="685" t="str">
        <f>IF('[1]Data 2026'!AX37="","",'[1]Data 2026'!AX37)</f>
        <v/>
      </c>
      <c r="BF25" s="685" t="str">
        <f>IF('[1]Data 2026'!BF37="","",'[1]Data 2026'!BF37)</f>
        <v xml:space="preserve">VALENCY SINGAPORE </v>
      </c>
      <c r="BG25" s="685" t="str">
        <f>IF('[1]Data 2026'!BG37="","",'[1]Data 2026'!BG37)</f>
        <v/>
      </c>
      <c r="BH25" s="685" t="str">
        <f>IF('[1]Data 2026'!BH37="","",'[1]Data 2026'!BH37)</f>
        <v/>
      </c>
      <c r="BI25" s="685" t="str">
        <f>IF('[1]Data 2026'!BI37="","",'[1]Data 2026'!BI37)</f>
        <v/>
      </c>
      <c r="BJ25" s="685" t="str">
        <f>IF('[1]Data 2026'!BJ37="","",'[1]Data 2026'!BJ37)</f>
        <v/>
      </c>
      <c r="BK25" s="685" t="str">
        <f>IF('[1]Data 2026'!BK37="","",'[1]Data 2026'!BK37)</f>
        <v/>
      </c>
      <c r="BL25" s="685" t="str">
        <f>IF('[1]Data 2026'!BL37="","",'[1]Data 2026'!BL37)</f>
        <v>DUNAMIS/SITRACOM</v>
      </c>
      <c r="BM25" s="685" t="str">
        <f>IF('[1]Data 2026'!BM37="","",'[1]Data 2026'!BM37)</f>
        <v/>
      </c>
      <c r="BN25" s="685" t="str">
        <f>IF('[1]Data 2026'!BN37="","",'[1]Data 2026'!BN37)</f>
        <v/>
      </c>
      <c r="BO25" s="685" t="str">
        <f>IF('[1]Data 2026'!BO37="","",'[1]Data 2026'!BO37)</f>
        <v/>
      </c>
      <c r="BP25" s="685" t="str">
        <f>IF('[1]Data 2026'!BP37="","",'[1]Data 2026'!BP37)</f>
        <v/>
      </c>
      <c r="BQ25" s="685" t="str">
        <f>IF('[1]Data 2026'!BQ37="","",'[1]Data 2026'!BQ37)</f>
        <v/>
      </c>
      <c r="BR25" s="685" t="str">
        <f>IF('[1]Data 2026'!BR37="","",'[1]Data 2026'!BR37)</f>
        <v/>
      </c>
      <c r="BS25" s="685" t="str">
        <f>IF('[1]Data 2026'!BS37="","",'[1]Data 2026'!BS37)</f>
        <v/>
      </c>
      <c r="BT25" s="685" t="str">
        <f>IF('[1]Data 2026'!BV37="","",'[1]Data 2026'!BV37)</f>
        <v>BOA/KTD</v>
      </c>
      <c r="BU25" s="685" t="str">
        <f>IF('[1]Data 2026'!BW37="","",'[1]Data 2026'!BW37)</f>
        <v/>
      </c>
      <c r="BV25" s="685" t="str">
        <f>IF('[1]Data 2026'!BX37="","",'[1]Data 2026'!BX37)</f>
        <v/>
      </c>
      <c r="BW25" s="685" t="str">
        <f>IF('[1]Data 2026'!BY37="","",'[1]Data 2026'!BY37)</f>
        <v/>
      </c>
      <c r="BX25" s="685" t="str">
        <f>IF('[1]Data 2026'!BZ37="","",'[1]Data 2026'!BZ37)</f>
        <v/>
      </c>
      <c r="BY25" s="685" t="str">
        <f>IF('[1]Data 2026'!CA37="","",'[1]Data 2026'!CA37)</f>
        <v>182610-14811</v>
      </c>
      <c r="BZ25" s="685">
        <f>IF('[1]Data 2026'!CB37="","",'[1]Data 2026'!CB37)</f>
        <v>46128</v>
      </c>
      <c r="CA25" s="685" t="str">
        <f>IF('[1]Data 2026'!CC37="","",'[1]Data 2026'!CC37)</f>
        <v>2026-0100</v>
      </c>
      <c r="CB25" s="685">
        <f>IF('[1]Data 2026'!CD37="","",'[1]Data 2026'!CD37)</f>
        <v>46128</v>
      </c>
      <c r="CC25" s="685" t="str">
        <f>IF('[1]Data 2026'!CE37="","",'[1]Data 2026'!CE37)</f>
        <v/>
      </c>
      <c r="CD25" s="685" t="str">
        <f>IF('[1]Data 2026'!CF37="","",'[1]Data 2026'!CF37)</f>
        <v/>
      </c>
      <c r="CE25" s="685">
        <f>IF('[1]Data 2026'!CG37="","",'[1]Data 2026'!CG37)</f>
        <v>46107</v>
      </c>
      <c r="CF25" s="685">
        <f>IF('[1]Data 2026'!CH37="","",'[1]Data 2026'!CH37)</f>
        <v>46128</v>
      </c>
      <c r="CG25" s="685" t="str">
        <f>IF('[1]Data 2026'!CI37="","",'[1]Data 2026'!CI37)</f>
        <v>E11853</v>
      </c>
      <c r="CH25" s="685" t="str">
        <f>IF('[1]Data 2026'!CJ37="","",'[1]Data 2026'!CJ37)</f>
        <v/>
      </c>
      <c r="CI25" s="685">
        <f>IF('[1]Data 2026'!CK37="","",'[1]Data 2026'!CK37)</f>
        <v>46140</v>
      </c>
      <c r="CJ25" s="685" t="str">
        <f>IF('[1]Data 2026'!CM37="","",'[1]Data 2026'!CM37)</f>
        <v/>
      </c>
      <c r="CK25" s="685" t="str">
        <f>IF('[1]Data 2026'!CN37="","",'[1]Data 2026'!CN37)</f>
        <v>Sugmaran</v>
      </c>
      <c r="CL25" s="691"/>
      <c r="CM25" s="691" t="str">
        <f>IF('[1]Data 2026'!CP37="","",'[1]Data 2026'!CP37)</f>
        <v/>
      </c>
      <c r="CN25" s="691"/>
      <c r="CO25" s="693"/>
      <c r="CP25" s="693"/>
      <c r="CQ25" s="693"/>
      <c r="CR25" s="686">
        <f t="shared" si="4"/>
        <v>9</v>
      </c>
      <c r="CS25" s="686">
        <f t="shared" si="4"/>
        <v>0</v>
      </c>
      <c r="CT25" s="686">
        <f t="shared" si="4"/>
        <v>45</v>
      </c>
      <c r="CU25" s="686" t="str">
        <f t="shared" si="5"/>
        <v/>
      </c>
      <c r="CV25" s="686" t="str">
        <f t="shared" si="6"/>
        <v/>
      </c>
      <c r="CW25" s="685" t="str">
        <f t="shared" si="10"/>
        <v/>
      </c>
      <c r="CX25" s="685" t="str">
        <f t="shared" si="11"/>
        <v/>
      </c>
      <c r="CY25" s="693">
        <f t="shared" ca="1" si="7"/>
        <v>0</v>
      </c>
      <c r="CZ25" s="693" t="str">
        <f t="shared" si="8"/>
        <v/>
      </c>
      <c r="DB25"/>
      <c r="DC25"/>
    </row>
    <row r="26" spans="1:107" s="694" customFormat="1">
      <c r="A26" s="682" t="str">
        <f t="shared" si="0"/>
        <v>E. STUFFED, GATE IN AWAITED</v>
      </c>
      <c r="B26" s="695" t="s">
        <v>1199</v>
      </c>
      <c r="C26" s="684" t="str">
        <f t="shared" si="1"/>
        <v>CLOSED POSITION</v>
      </c>
      <c r="D26" s="685" t="str">
        <f t="shared" si="9"/>
        <v/>
      </c>
      <c r="E26" s="685" t="str">
        <f t="shared" si="2"/>
        <v/>
      </c>
      <c r="F26" s="686">
        <f>IF('[1]Data 2026'!D38="","",'[1]Data 2026'!D38)</f>
        <v>48</v>
      </c>
      <c r="G26" s="686">
        <f>IF('[1]Data 2026'!E38="","",'[1]Data 2026'!E38)</f>
        <v>200</v>
      </c>
      <c r="H26" s="687">
        <f>IF('[1]Data 2026'!H38="","",'[1]Data 2026'!H38)</f>
        <v>32014569</v>
      </c>
      <c r="I26" s="688">
        <f>IF('[1]Data 2026'!AA38="","",'[1]Data 2026'!AA38)</f>
        <v>100</v>
      </c>
      <c r="J26" s="685" t="str">
        <f>IF('[1]Data 2026'!K38="","",'[1]Data 2026'!K38)</f>
        <v>APRIL</v>
      </c>
      <c r="K26" s="685">
        <v>46142</v>
      </c>
      <c r="L26" s="685" t="str">
        <f>IF('[1]Data 2026'!L38="","",'[1]Data 2026'!L38)</f>
        <v>VALENCY CI</v>
      </c>
      <c r="M26" s="685" t="str">
        <f>IF('[1]Data 2026'!M38="","",'[1]Data 2026'!M38)</f>
        <v>VALENCY AGRO INDIA UDUPI</v>
      </c>
      <c r="N26" s="685" t="s">
        <v>1198</v>
      </c>
      <c r="O26" s="689">
        <f>IF('[1]Data 2026'!N38="","",'[1]Data 2026'!N38)</f>
        <v>269062811</v>
      </c>
      <c r="P26" s="690" t="str">
        <f>IF('[1]Data 2026'!O38="","",'[1]Data 2026'!O38)</f>
        <v/>
      </c>
      <c r="Q26" s="685" t="str">
        <f>IF('[1]Data 2026'!P38="","",'[1]Data 2026'!P38)</f>
        <v/>
      </c>
      <c r="R26" s="685" t="str">
        <f>IF('[1]Data 2026'!Q38="","",'[1]Data 2026'!Q38)</f>
        <v>ABJ</v>
      </c>
      <c r="S26" s="685" t="s">
        <v>210</v>
      </c>
      <c r="T26" s="685" t="str">
        <f>IF('[1]Data 2026'!R38="","",'[1]Data 2026'!R38)</f>
        <v>KOLKATA, INDIA</v>
      </c>
      <c r="U26" s="685" t="str">
        <f>IF('[1]Data 2026'!S38="","",'[1]Data 2026'!S38)</f>
        <v>MAERSK CABO VERDE</v>
      </c>
      <c r="V26" s="685">
        <f>IF('[1]Data 2026'!T38="","",'[1]Data 2026'!T38)</f>
        <v>46140</v>
      </c>
      <c r="W26" s="685">
        <f>IF('[1]Data 2026'!U38="","",'[1]Data 2026'!U38)</f>
        <v>46139</v>
      </c>
      <c r="X26" s="685">
        <f>IF('[1]Data 2026'!V38="","",'[1]Data 2026'!V38)</f>
        <v>46140</v>
      </c>
      <c r="Y26" s="685" t="str">
        <f>IF('[1]Data 2026'!W38="","",'[1]Data 2026'!W38)</f>
        <v/>
      </c>
      <c r="Z26" s="685" t="str">
        <f>IF('[1]Data 2026'!X38="","",'[1]Data 2026'!X38)</f>
        <v/>
      </c>
      <c r="AA26" s="685"/>
      <c r="AB26" s="685">
        <f>IF('[1]Data 2026'!Y38="","",'[1]Data 2026'!Y38)</f>
        <v>46187</v>
      </c>
      <c r="AC26" s="685" t="str">
        <f>IF('[1]Data 2026'!Z38="","",'[1]Data 2026'!Z38)</f>
        <v/>
      </c>
      <c r="AD26" s="691">
        <f>IF('[1]Data 2026'!AA38="","",'[1]Data 2026'!AA38)</f>
        <v>100</v>
      </c>
      <c r="AE26" s="691">
        <f>IF('[1]Data 2026'!AB38="","",'[1]Data 2026'!AB38)</f>
        <v>100</v>
      </c>
      <c r="AF26" s="685">
        <f>IF('[1]Data 2026'!AC38="","",'[1]Data 2026'!AC38)</f>
        <v>45777</v>
      </c>
      <c r="AG26" s="685" t="str">
        <f>IF('[1]Data 2026'!AD38="","",'[1]Data 2026'!AD38)</f>
        <v>WH-I</v>
      </c>
      <c r="AH26" s="686">
        <f>IF('[1]Data 2026'!AE38="","",'[1]Data 2026'!AE38)</f>
        <v>4</v>
      </c>
      <c r="AI26" s="685" t="str">
        <f>IF('[1]Data 2026'!AG38="","",'[1]Data 2026'!AG38)</f>
        <v>MONTER GLOBAL</v>
      </c>
      <c r="AJ26" s="685" t="str">
        <f>IF('[1]Data 2026'!AH38="","",'[1]Data 2026'!AH38)</f>
        <v xml:space="preserve">MANTRA IVOIRE </v>
      </c>
      <c r="AK26" s="685" t="str">
        <f>IF('[1]Data 2026'!AI38="","",'[1]Data 2026'!AI38)</f>
        <v>MSK</v>
      </c>
      <c r="AL26" s="685" t="str">
        <f>IF('[1]Data 2026'!AJ38="","",'[1]Data 2026'!AJ38)</f>
        <v>40FT</v>
      </c>
      <c r="AM26" s="692">
        <f>IF('[1]Data 2026'!AK38="","",'[1]Data 2026'!AK38)</f>
        <v>0.05</v>
      </c>
      <c r="AN26" s="685" t="str">
        <f>IF('[1]Data 2026'!AL38="","",'[1]Data 2026'!AL38)</f>
        <v xml:space="preserve"> ( 1 x 100 MTS ) </v>
      </c>
      <c r="AO26" s="691">
        <f>IF('[1]Data 2026'!AM38="","",'[1]Data 2026'!AM38)</f>
        <v>105</v>
      </c>
      <c r="AP26" s="691" t="str">
        <f t="shared" si="3"/>
        <v/>
      </c>
      <c r="AQ26" s="685" t="str">
        <f>IF('[1]Data 2026'!AO38="","",'[1]Data 2026'!AO38)</f>
        <v/>
      </c>
      <c r="AR26" s="685" t="str">
        <f>IF('[1]Data 2026'!AP38="","",'[1]Data 2026'!AP38)</f>
        <v/>
      </c>
      <c r="AS26" s="685" t="str">
        <f>IF('[1]Data 2026'!AQ38="","",'[1]Data 2026'!AQ38)</f>
        <v/>
      </c>
      <c r="AT26" s="685" t="str">
        <f>IF('[1]Data 2026'!AR38="","",'[1]Data 2026'!AR38)</f>
        <v/>
      </c>
      <c r="AU26" s="685" t="str">
        <f>IF('[1]Data 2026'!AW38="","",'[1]Data 2026'!AW38)</f>
        <v/>
      </c>
      <c r="AV26" s="685" t="str">
        <f>IF('[1]Data 2026'!AX38="","",'[1]Data 2026'!AX38)</f>
        <v/>
      </c>
      <c r="AW26" s="685" t="str">
        <f>IF('[1]Data 2026'!AY38="","",'[1]Data 2026'!AY38)</f>
        <v/>
      </c>
      <c r="AX26" s="685" t="str">
        <f>IF('[1]Data 2026'!AZ38="","",'[1]Data 2026'!AZ38)</f>
        <v/>
      </c>
      <c r="AY26" s="685" t="str">
        <f>IF('[1]Data 2026'!BA38="","",'[1]Data 2026'!BA38)</f>
        <v/>
      </c>
      <c r="AZ26" s="685" t="str">
        <f>IF('[1]Data 2026'!AS38="","",'[1]Data 2026'!AS38)</f>
        <v/>
      </c>
      <c r="BA26" s="685" t="str">
        <f>IF('[1]Data 2026'!AT38="","",'[1]Data 2026'!AT38)</f>
        <v/>
      </c>
      <c r="BB26" s="685" t="str">
        <f>IF('[1]Data 2026'!AU38="","",'[1]Data 2026'!AU38)</f>
        <v/>
      </c>
      <c r="BC26" s="685" t="str">
        <f>IF('[1]Data 2026'!AV38="","",'[1]Data 2026'!AV38)</f>
        <v/>
      </c>
      <c r="BD26" s="685" t="str">
        <f>IF('[1]Data 2026'!AW38="","",'[1]Data 2026'!AW38)</f>
        <v/>
      </c>
      <c r="BE26" s="685" t="str">
        <f>IF('[1]Data 2026'!AX38="","",'[1]Data 2026'!AX38)</f>
        <v/>
      </c>
      <c r="BF26" s="685" t="str">
        <f>IF('[1]Data 2026'!BF38="","",'[1]Data 2026'!BF38)</f>
        <v>MONTER GLOBAL</v>
      </c>
      <c r="BG26" s="685" t="str">
        <f>IF('[1]Data 2026'!BG38="","",'[1]Data 2026'!BG38)</f>
        <v/>
      </c>
      <c r="BH26" s="685" t="str">
        <f>IF('[1]Data 2026'!BH38="","",'[1]Data 2026'!BH38)</f>
        <v/>
      </c>
      <c r="BI26" s="685" t="str">
        <f>IF('[1]Data 2026'!BI38="","",'[1]Data 2026'!BI38)</f>
        <v/>
      </c>
      <c r="BJ26" s="685" t="str">
        <f>IF('[1]Data 2026'!BJ38="","",'[1]Data 2026'!BJ38)</f>
        <v/>
      </c>
      <c r="BK26" s="685" t="str">
        <f>IF('[1]Data 2026'!BK38="","",'[1]Data 2026'!BK38)</f>
        <v/>
      </c>
      <c r="BL26" s="685" t="str">
        <f>IF('[1]Data 2026'!BL38="","",'[1]Data 2026'!BL38)</f>
        <v xml:space="preserve">MANTRA IVOIRE </v>
      </c>
      <c r="BM26" s="685" t="str">
        <f>IF('[1]Data 2026'!BM38="","",'[1]Data 2026'!BM38)</f>
        <v/>
      </c>
      <c r="BN26" s="685" t="str">
        <f>IF('[1]Data 2026'!BN38="","",'[1]Data 2026'!BN38)</f>
        <v/>
      </c>
      <c r="BO26" s="685" t="str">
        <f>IF('[1]Data 2026'!BO38="","",'[1]Data 2026'!BO38)</f>
        <v/>
      </c>
      <c r="BP26" s="685" t="str">
        <f>IF('[1]Data 2026'!BP38="","",'[1]Data 2026'!BP38)</f>
        <v/>
      </c>
      <c r="BQ26" s="685" t="str">
        <f>IF('[1]Data 2026'!BQ38="","",'[1]Data 2026'!BQ38)</f>
        <v/>
      </c>
      <c r="BR26" s="685" t="str">
        <f>IF('[1]Data 2026'!BR38="","",'[1]Data 2026'!BR38)</f>
        <v/>
      </c>
      <c r="BS26" s="685" t="str">
        <f>IF('[1]Data 2026'!BS38="","",'[1]Data 2026'!BS38)</f>
        <v/>
      </c>
      <c r="BT26" s="685" t="str">
        <f>IF('[1]Data 2026'!BV38="","",'[1]Data 2026'!BV38)</f>
        <v>ABSA/CMI</v>
      </c>
      <c r="BU26" s="685" t="str">
        <f>IF('[1]Data 2026'!BW38="","",'[1]Data 2026'!BW38)</f>
        <v/>
      </c>
      <c r="BV26" s="685" t="str">
        <f>IF('[1]Data 2026'!BX38="","",'[1]Data 2026'!BX38)</f>
        <v/>
      </c>
      <c r="BW26" s="685" t="str">
        <f>IF('[1]Data 2026'!BY38="","",'[1]Data 2026'!BY38)</f>
        <v/>
      </c>
      <c r="BX26" s="685" t="str">
        <f>IF('[1]Data 2026'!BZ38="","",'[1]Data 2026'!BZ38)</f>
        <v/>
      </c>
      <c r="BY26" s="685" t="str">
        <f>IF('[1]Data 2026'!CA38="","",'[1]Data 2026'!CA38)</f>
        <v>182610-15025</v>
      </c>
      <c r="BZ26" s="685">
        <f>IF('[1]Data 2026'!CB38="","",'[1]Data 2026'!CB38)</f>
        <v>46142</v>
      </c>
      <c r="CA26" s="685" t="str">
        <f>IF('[1]Data 2026'!CC38="","",'[1]Data 2026'!CC38)</f>
        <v/>
      </c>
      <c r="CB26" s="685" t="str">
        <f>IF('[1]Data 2026'!CD38="","",'[1]Data 2026'!CD38)</f>
        <v/>
      </c>
      <c r="CC26" s="685" t="str">
        <f>IF('[1]Data 2026'!CE38="","",'[1]Data 2026'!CE38)</f>
        <v/>
      </c>
      <c r="CD26" s="685" t="str">
        <f>IF('[1]Data 2026'!CF38="","",'[1]Data 2026'!CF38)</f>
        <v/>
      </c>
      <c r="CE26" s="685">
        <f>IF('[1]Data 2026'!CG38="","",'[1]Data 2026'!CG38)</f>
        <v>46138</v>
      </c>
      <c r="CF26" s="685">
        <f>IF('[1]Data 2026'!CH38="","",'[1]Data 2026'!CH38)</f>
        <v>46142</v>
      </c>
      <c r="CG26" s="685" t="str">
        <f>IF('[1]Data 2026'!CI38="","",'[1]Data 2026'!CI38)</f>
        <v>E13882</v>
      </c>
      <c r="CH26" s="685" t="str">
        <f>IF('[1]Data 2026'!CJ38="","",'[1]Data 2026'!CJ38)</f>
        <v/>
      </c>
      <c r="CI26" s="685">
        <f>IF('[1]Data 2026'!CK38="","",'[1]Data 2026'!CK38)</f>
        <v>46161</v>
      </c>
      <c r="CJ26" s="685" t="str">
        <f>IF('[1]Data 2026'!CM38="","",'[1]Data 2026'!CM38)</f>
        <v/>
      </c>
      <c r="CK26" s="685" t="str">
        <f>IF('[1]Data 2026'!CN38="","",'[1]Data 2026'!CN38)</f>
        <v/>
      </c>
      <c r="CL26" s="691"/>
      <c r="CM26" s="691" t="str">
        <f>IF('[1]Data 2026'!CP38="","",'[1]Data 2026'!CP38)</f>
        <v/>
      </c>
      <c r="CN26" s="691"/>
      <c r="CO26" s="693"/>
      <c r="CP26" s="693"/>
      <c r="CQ26" s="693"/>
      <c r="CR26" s="686">
        <f t="shared" si="4"/>
        <v>-1</v>
      </c>
      <c r="CS26" s="686">
        <f t="shared" si="4"/>
        <v>1</v>
      </c>
      <c r="CT26" s="686" t="str">
        <f t="shared" si="4"/>
        <v/>
      </c>
      <c r="CU26" s="686" t="str">
        <f t="shared" si="5"/>
        <v/>
      </c>
      <c r="CV26" s="686" t="str">
        <f t="shared" si="6"/>
        <v/>
      </c>
      <c r="CW26" s="685" t="str">
        <f t="shared" si="10"/>
        <v/>
      </c>
      <c r="CX26" s="685" t="str">
        <f t="shared" si="11"/>
        <v/>
      </c>
      <c r="CY26" s="693">
        <f t="shared" ca="1" si="7"/>
        <v>0</v>
      </c>
      <c r="CZ26" s="693" t="str">
        <f t="shared" si="8"/>
        <v/>
      </c>
      <c r="DB26"/>
      <c r="DC26"/>
    </row>
    <row r="27" spans="1:107" s="694" customFormat="1">
      <c r="A27" s="682" t="str">
        <f t="shared" si="0"/>
        <v>E. STUFFED, GATE IN AWAITED</v>
      </c>
      <c r="B27" s="695" t="s">
        <v>1199</v>
      </c>
      <c r="C27" s="684" t="str">
        <f t="shared" si="1"/>
        <v>CLOSED POSITION</v>
      </c>
      <c r="D27" s="685" t="str">
        <f t="shared" si="9"/>
        <v/>
      </c>
      <c r="E27" s="685" t="str">
        <f t="shared" si="2"/>
        <v/>
      </c>
      <c r="F27" s="686">
        <f>IF('[1]Data 2026'!D39="","",'[1]Data 2026'!D39)</f>
        <v>48</v>
      </c>
      <c r="G27" s="686">
        <f>IF('[1]Data 2026'!E39="","",'[1]Data 2026'!E39)</f>
        <v>200</v>
      </c>
      <c r="H27" s="687">
        <f>IF('[1]Data 2026'!H39="","",'[1]Data 2026'!H39)</f>
        <v>32014574</v>
      </c>
      <c r="I27" s="688">
        <f>IF('[1]Data 2026'!AA39="","",'[1]Data 2026'!AA39)</f>
        <v>100</v>
      </c>
      <c r="J27" s="685" t="str">
        <f>IF('[1]Data 2026'!K39="","",'[1]Data 2026'!K39)</f>
        <v>APRIL</v>
      </c>
      <c r="K27" s="685">
        <v>46142</v>
      </c>
      <c r="L27" s="685" t="str">
        <f>IF('[1]Data 2026'!L39="","",'[1]Data 2026'!L39)</f>
        <v>VALENCY CI</v>
      </c>
      <c r="M27" s="685" t="str">
        <f>IF('[1]Data 2026'!M39="","",'[1]Data 2026'!M39)</f>
        <v>VALENCY AGRO INDIA UDUPI</v>
      </c>
      <c r="N27" s="685" t="s">
        <v>1198</v>
      </c>
      <c r="O27" s="689">
        <f>IF('[1]Data 2026'!N39="","",'[1]Data 2026'!N39)</f>
        <v>269062760</v>
      </c>
      <c r="P27" s="690" t="str">
        <f>IF('[1]Data 2026'!O39="","",'[1]Data 2026'!O39)</f>
        <v/>
      </c>
      <c r="Q27" s="685" t="str">
        <f>IF('[1]Data 2026'!P39="","",'[1]Data 2026'!P39)</f>
        <v/>
      </c>
      <c r="R27" s="685" t="str">
        <f>IF('[1]Data 2026'!Q39="","",'[1]Data 2026'!Q39)</f>
        <v>ABJ</v>
      </c>
      <c r="S27" s="685" t="s">
        <v>210</v>
      </c>
      <c r="T27" s="685" t="str">
        <f>IF('[1]Data 2026'!R39="","",'[1]Data 2026'!R39)</f>
        <v>KOLKATA, INDIA</v>
      </c>
      <c r="U27" s="685" t="str">
        <f>IF('[1]Data 2026'!S39="","",'[1]Data 2026'!S39)</f>
        <v>MAERSK CABO VERDE</v>
      </c>
      <c r="V27" s="685">
        <f>IF('[1]Data 2026'!T39="","",'[1]Data 2026'!T39)</f>
        <v>46140</v>
      </c>
      <c r="W27" s="685">
        <f>IF('[1]Data 2026'!U39="","",'[1]Data 2026'!U39)</f>
        <v>46140</v>
      </c>
      <c r="X27" s="685">
        <f>IF('[1]Data 2026'!V39="","",'[1]Data 2026'!V39)</f>
        <v>46140</v>
      </c>
      <c r="Y27" s="685" t="str">
        <f>IF('[1]Data 2026'!W39="","",'[1]Data 2026'!W39)</f>
        <v/>
      </c>
      <c r="Z27" s="685" t="str">
        <f>IF('[1]Data 2026'!X39="","",'[1]Data 2026'!X39)</f>
        <v/>
      </c>
      <c r="AA27" s="685"/>
      <c r="AB27" s="685">
        <f>IF('[1]Data 2026'!Y39="","",'[1]Data 2026'!Y39)</f>
        <v>46187</v>
      </c>
      <c r="AC27" s="685" t="str">
        <f>IF('[1]Data 2026'!Z39="","",'[1]Data 2026'!Z39)</f>
        <v/>
      </c>
      <c r="AD27" s="691">
        <f>IF('[1]Data 2026'!AA39="","",'[1]Data 2026'!AA39)</f>
        <v>100</v>
      </c>
      <c r="AE27" s="691">
        <f>IF('[1]Data 2026'!AB39="","",'[1]Data 2026'!AB39)</f>
        <v>100</v>
      </c>
      <c r="AF27" s="685">
        <f>IF('[1]Data 2026'!AC39="","",'[1]Data 2026'!AC39)</f>
        <v>45777</v>
      </c>
      <c r="AG27" s="685" t="str">
        <f>IF('[1]Data 2026'!AD39="","",'[1]Data 2026'!AD39)</f>
        <v>WH-I</v>
      </c>
      <c r="AH27" s="686">
        <f>IF('[1]Data 2026'!AE39="","",'[1]Data 2026'!AE39)</f>
        <v>4</v>
      </c>
      <c r="AI27" s="685" t="str">
        <f>IF('[1]Data 2026'!AG39="","",'[1]Data 2026'!AG39)</f>
        <v>MONTER GLOBAL</v>
      </c>
      <c r="AJ27" s="685" t="str">
        <f>IF('[1]Data 2026'!AH39="","",'[1]Data 2026'!AH39)</f>
        <v xml:space="preserve">MANTRA IVOIRE </v>
      </c>
      <c r="AK27" s="685" t="str">
        <f>IF('[1]Data 2026'!AI39="","",'[1]Data 2026'!AI39)</f>
        <v>MSK</v>
      </c>
      <c r="AL27" s="685" t="str">
        <f>IF('[1]Data 2026'!AJ39="","",'[1]Data 2026'!AJ39)</f>
        <v>40FT</v>
      </c>
      <c r="AM27" s="692">
        <f>IF('[1]Data 2026'!AK39="","",'[1]Data 2026'!AK39)</f>
        <v>0.05</v>
      </c>
      <c r="AN27" s="685" t="str">
        <f>IF('[1]Data 2026'!AL39="","",'[1]Data 2026'!AL39)</f>
        <v xml:space="preserve"> ( 1 x 100 MTS ) </v>
      </c>
      <c r="AO27" s="691">
        <f>IF('[1]Data 2026'!AM39="","",'[1]Data 2026'!AM39)</f>
        <v>105</v>
      </c>
      <c r="AP27" s="691" t="str">
        <f t="shared" si="3"/>
        <v/>
      </c>
      <c r="AQ27" s="685" t="str">
        <f>IF('[1]Data 2026'!AO39="","",'[1]Data 2026'!AO39)</f>
        <v/>
      </c>
      <c r="AR27" s="685" t="str">
        <f>IF('[1]Data 2026'!AP39="","",'[1]Data 2026'!AP39)</f>
        <v/>
      </c>
      <c r="AS27" s="685" t="str">
        <f>IF('[1]Data 2026'!AQ39="","",'[1]Data 2026'!AQ39)</f>
        <v/>
      </c>
      <c r="AT27" s="685" t="str">
        <f>IF('[1]Data 2026'!AR39="","",'[1]Data 2026'!AR39)</f>
        <v/>
      </c>
      <c r="AU27" s="685" t="str">
        <f>IF('[1]Data 2026'!AW39="","",'[1]Data 2026'!AW39)</f>
        <v/>
      </c>
      <c r="AV27" s="685" t="str">
        <f>IF('[1]Data 2026'!AX39="","",'[1]Data 2026'!AX39)</f>
        <v/>
      </c>
      <c r="AW27" s="685" t="str">
        <f>IF('[1]Data 2026'!AY39="","",'[1]Data 2026'!AY39)</f>
        <v/>
      </c>
      <c r="AX27" s="685" t="str">
        <f>IF('[1]Data 2026'!AZ39="","",'[1]Data 2026'!AZ39)</f>
        <v/>
      </c>
      <c r="AY27" s="685" t="str">
        <f>IF('[1]Data 2026'!BA39="","",'[1]Data 2026'!BA39)</f>
        <v/>
      </c>
      <c r="AZ27" s="685" t="str">
        <f>IF('[1]Data 2026'!AS39="","",'[1]Data 2026'!AS39)</f>
        <v/>
      </c>
      <c r="BA27" s="685" t="str">
        <f>IF('[1]Data 2026'!AT39="","",'[1]Data 2026'!AT39)</f>
        <v/>
      </c>
      <c r="BB27" s="685" t="str">
        <f>IF('[1]Data 2026'!AU39="","",'[1]Data 2026'!AU39)</f>
        <v/>
      </c>
      <c r="BC27" s="685" t="str">
        <f>IF('[1]Data 2026'!AV39="","",'[1]Data 2026'!AV39)</f>
        <v/>
      </c>
      <c r="BD27" s="685" t="str">
        <f>IF('[1]Data 2026'!AW39="","",'[1]Data 2026'!AW39)</f>
        <v/>
      </c>
      <c r="BE27" s="685" t="str">
        <f>IF('[1]Data 2026'!AX39="","",'[1]Data 2026'!AX39)</f>
        <v/>
      </c>
      <c r="BF27" s="685" t="str">
        <f>IF('[1]Data 2026'!BF39="","",'[1]Data 2026'!BF39)</f>
        <v>MONTER GLOBAL</v>
      </c>
      <c r="BG27" s="685" t="str">
        <f>IF('[1]Data 2026'!BG39="","",'[1]Data 2026'!BG39)</f>
        <v/>
      </c>
      <c r="BH27" s="685" t="str">
        <f>IF('[1]Data 2026'!BH39="","",'[1]Data 2026'!BH39)</f>
        <v/>
      </c>
      <c r="BI27" s="685" t="str">
        <f>IF('[1]Data 2026'!BI39="","",'[1]Data 2026'!BI39)</f>
        <v/>
      </c>
      <c r="BJ27" s="685" t="str">
        <f>IF('[1]Data 2026'!BJ39="","",'[1]Data 2026'!BJ39)</f>
        <v/>
      </c>
      <c r="BK27" s="685" t="str">
        <f>IF('[1]Data 2026'!BK39="","",'[1]Data 2026'!BK39)</f>
        <v/>
      </c>
      <c r="BL27" s="685" t="str">
        <f>IF('[1]Data 2026'!BL39="","",'[1]Data 2026'!BL39)</f>
        <v xml:space="preserve">MANTRA IVOIRE </v>
      </c>
      <c r="BM27" s="685" t="str">
        <f>IF('[1]Data 2026'!BM39="","",'[1]Data 2026'!BM39)</f>
        <v/>
      </c>
      <c r="BN27" s="685" t="str">
        <f>IF('[1]Data 2026'!BN39="","",'[1]Data 2026'!BN39)</f>
        <v/>
      </c>
      <c r="BO27" s="685" t="str">
        <f>IF('[1]Data 2026'!BO39="","",'[1]Data 2026'!BO39)</f>
        <v/>
      </c>
      <c r="BP27" s="685" t="str">
        <f>IF('[1]Data 2026'!BP39="","",'[1]Data 2026'!BP39)</f>
        <v/>
      </c>
      <c r="BQ27" s="685" t="str">
        <f>IF('[1]Data 2026'!BQ39="","",'[1]Data 2026'!BQ39)</f>
        <v/>
      </c>
      <c r="BR27" s="685" t="str">
        <f>IF('[1]Data 2026'!BR39="","",'[1]Data 2026'!BR39)</f>
        <v/>
      </c>
      <c r="BS27" s="685" t="str">
        <f>IF('[1]Data 2026'!BS39="","",'[1]Data 2026'!BS39)</f>
        <v/>
      </c>
      <c r="BT27" s="685" t="str">
        <f>IF('[1]Data 2026'!BV39="","",'[1]Data 2026'!BV39)</f>
        <v>ABSA/CMI</v>
      </c>
      <c r="BU27" s="685" t="str">
        <f>IF('[1]Data 2026'!BW39="","",'[1]Data 2026'!BW39)</f>
        <v/>
      </c>
      <c r="BV27" s="685" t="str">
        <f>IF('[1]Data 2026'!BX39="","",'[1]Data 2026'!BX39)</f>
        <v/>
      </c>
      <c r="BW27" s="685" t="str">
        <f>IF('[1]Data 2026'!BY39="","",'[1]Data 2026'!BY39)</f>
        <v/>
      </c>
      <c r="BX27" s="685" t="str">
        <f>IF('[1]Data 2026'!BZ39="","",'[1]Data 2026'!BZ39)</f>
        <v/>
      </c>
      <c r="BY27" s="685" t="str">
        <f>IF('[1]Data 2026'!CA39="","",'[1]Data 2026'!CA39)</f>
        <v>182610-15025</v>
      </c>
      <c r="BZ27" s="685">
        <f>IF('[1]Data 2026'!CB39="","",'[1]Data 2026'!CB39)</f>
        <v>46142</v>
      </c>
      <c r="CA27" s="685" t="str">
        <f>IF('[1]Data 2026'!CC39="","",'[1]Data 2026'!CC39)</f>
        <v/>
      </c>
      <c r="CB27" s="685" t="str">
        <f>IF('[1]Data 2026'!CD39="","",'[1]Data 2026'!CD39)</f>
        <v/>
      </c>
      <c r="CC27" s="685" t="str">
        <f>IF('[1]Data 2026'!CE39="","",'[1]Data 2026'!CE39)</f>
        <v/>
      </c>
      <c r="CD27" s="685" t="str">
        <f>IF('[1]Data 2026'!CF39="","",'[1]Data 2026'!CF39)</f>
        <v/>
      </c>
      <c r="CE27" s="685">
        <f>IF('[1]Data 2026'!CG39="","",'[1]Data 2026'!CG39)</f>
        <v>46138</v>
      </c>
      <c r="CF27" s="685">
        <f>IF('[1]Data 2026'!CH39="","",'[1]Data 2026'!CH39)</f>
        <v>46142</v>
      </c>
      <c r="CG27" s="685" t="str">
        <f>IF('[1]Data 2026'!CI39="","",'[1]Data 2026'!CI39)</f>
        <v>E13882</v>
      </c>
      <c r="CH27" s="685" t="str">
        <f>IF('[1]Data 2026'!CJ39="","",'[1]Data 2026'!CJ39)</f>
        <v/>
      </c>
      <c r="CI27" s="685">
        <f>IF('[1]Data 2026'!CK39="","",'[1]Data 2026'!CK39)</f>
        <v>46161</v>
      </c>
      <c r="CJ27" s="685" t="str">
        <f>IF('[1]Data 2026'!CM39="","",'[1]Data 2026'!CM39)</f>
        <v/>
      </c>
      <c r="CK27" s="685" t="str">
        <f>IF('[1]Data 2026'!CN39="","",'[1]Data 2026'!CN39)</f>
        <v/>
      </c>
      <c r="CL27" s="691"/>
      <c r="CM27" s="691" t="str">
        <f>IF('[1]Data 2026'!CP39="","",'[1]Data 2026'!CP39)</f>
        <v/>
      </c>
      <c r="CN27" s="691"/>
      <c r="CO27" s="693"/>
      <c r="CP27" s="693"/>
      <c r="CQ27" s="693"/>
      <c r="CR27" s="686">
        <f t="shared" si="4"/>
        <v>0</v>
      </c>
      <c r="CS27" s="686">
        <f t="shared" si="4"/>
        <v>0</v>
      </c>
      <c r="CT27" s="686" t="str">
        <f t="shared" si="4"/>
        <v/>
      </c>
      <c r="CU27" s="686" t="str">
        <f t="shared" si="5"/>
        <v/>
      </c>
      <c r="CV27" s="686" t="str">
        <f t="shared" si="6"/>
        <v/>
      </c>
      <c r="CW27" s="685" t="str">
        <f t="shared" si="10"/>
        <v/>
      </c>
      <c r="CX27" s="685" t="str">
        <f t="shared" si="11"/>
        <v/>
      </c>
      <c r="CY27" s="693">
        <f t="shared" ca="1" si="7"/>
        <v>0</v>
      </c>
      <c r="CZ27" s="693" t="str">
        <f t="shared" si="8"/>
        <v/>
      </c>
      <c r="DB27"/>
      <c r="DC27"/>
    </row>
    <row r="28" spans="1:107" s="694" customFormat="1">
      <c r="A28" s="682" t="str">
        <f t="shared" si="0"/>
        <v>F. GATED IN, SAILING AWAITED</v>
      </c>
      <c r="B28" s="695" t="s">
        <v>1195</v>
      </c>
      <c r="C28" s="684" t="str">
        <f t="shared" si="1"/>
        <v>CLOSED POSITION</v>
      </c>
      <c r="D28" s="685" t="str">
        <f t="shared" si="9"/>
        <v/>
      </c>
      <c r="E28" s="685" t="str">
        <f t="shared" si="2"/>
        <v/>
      </c>
      <c r="F28" s="686">
        <f>IF('[1]Data 2026'!D40="","",'[1]Data 2026'!D40)</f>
        <v>47</v>
      </c>
      <c r="G28" s="686">
        <f>IF('[1]Data 2026'!E40="","",'[1]Data 2026'!E40)</f>
        <v>200</v>
      </c>
      <c r="H28" s="687" t="str">
        <f>IF('[1]Data 2026'!H40="","",'[1]Data 2026'!H40)</f>
        <v>32015968-5</v>
      </c>
      <c r="I28" s="688">
        <f>IF('[1]Data 2026'!AA40="","",'[1]Data 2026'!AA40)</f>
        <v>100</v>
      </c>
      <c r="J28" s="685" t="str">
        <f>IF('[1]Data 2026'!K40="","",'[1]Data 2026'!K40)</f>
        <v>APRIL</v>
      </c>
      <c r="K28" s="685">
        <v>46142</v>
      </c>
      <c r="L28" s="685" t="str">
        <f>IF('[1]Data 2026'!L40="","",'[1]Data 2026'!L40)</f>
        <v>VALENCY CI</v>
      </c>
      <c r="M28" s="685" t="str">
        <f>IF('[1]Data 2026'!M40="","",'[1]Data 2026'!M40)</f>
        <v>VALENCY AGRO INDIA UDUPI</v>
      </c>
      <c r="N28" s="685" t="s">
        <v>1198</v>
      </c>
      <c r="O28" s="689" t="str">
        <f>IF('[1]Data 2026'!N40="","",'[1]Data 2026'!N40)</f>
        <v>267489736-1</v>
      </c>
      <c r="P28" s="690" t="str">
        <f>IF('[1]Data 2026'!O40="","",'[1]Data 2026'!O40)</f>
        <v/>
      </c>
      <c r="Q28" s="685" t="str">
        <f>IF('[1]Data 2026'!P40="","",'[1]Data 2026'!P40)</f>
        <v/>
      </c>
      <c r="R28" s="685" t="str">
        <f>IF('[1]Data 2026'!Q40="","",'[1]Data 2026'!Q40)</f>
        <v>ABJ</v>
      </c>
      <c r="S28" s="685" t="s">
        <v>210</v>
      </c>
      <c r="T28" s="685" t="str">
        <f>IF('[1]Data 2026'!R40="","",'[1]Data 2026'!R40)</f>
        <v>MANGALORE, INDIA</v>
      </c>
      <c r="U28" s="685" t="str">
        <f>IF('[1]Data 2026'!S40="","",'[1]Data 2026'!S40)</f>
        <v>MAERSK CUANZA</v>
      </c>
      <c r="V28" s="685">
        <f>IF('[1]Data 2026'!T40="","",'[1]Data 2026'!T40)</f>
        <v>46141</v>
      </c>
      <c r="W28" s="685">
        <f>IF('[1]Data 2026'!U40="","",'[1]Data 2026'!U40)</f>
        <v>46116</v>
      </c>
      <c r="X28" s="685">
        <f>IF('[1]Data 2026'!V40="","",'[1]Data 2026'!V40)</f>
        <v>46116</v>
      </c>
      <c r="Y28" s="685">
        <f>IF('[1]Data 2026'!W40="","",'[1]Data 2026'!W40)</f>
        <v>46160</v>
      </c>
      <c r="Z28" s="685">
        <f>IF('[1]Data 2026'!X40="","",'[1]Data 2026'!X40)</f>
        <v>46202</v>
      </c>
      <c r="AA28" s="685"/>
      <c r="AB28" s="685">
        <f>IF('[1]Data 2026'!Y40="","",'[1]Data 2026'!Y40)</f>
        <v>46172</v>
      </c>
      <c r="AC28" s="685" t="str">
        <f>IF('[1]Data 2026'!Z40="","",'[1]Data 2026'!Z40)</f>
        <v/>
      </c>
      <c r="AD28" s="691">
        <f>IF('[1]Data 2026'!AA40="","",'[1]Data 2026'!AA40)</f>
        <v>100</v>
      </c>
      <c r="AE28" s="691">
        <f>IF('[1]Data 2026'!AB40="","",'[1]Data 2026'!AB40)</f>
        <v>100</v>
      </c>
      <c r="AF28" s="685">
        <f>IF('[1]Data 2026'!AC40="","",'[1]Data 2026'!AC40)</f>
        <v>45777</v>
      </c>
      <c r="AG28" s="685" t="str">
        <f>IF('[1]Data 2026'!AD40="","",'[1]Data 2026'!AD40)</f>
        <v>Ex-Olam</v>
      </c>
      <c r="AH28" s="686">
        <f>IF('[1]Data 2026'!AE40="","",'[1]Data 2026'!AE40)</f>
        <v>4</v>
      </c>
      <c r="AI28" s="685" t="str">
        <f>IF('[1]Data 2026'!AG40="","",'[1]Data 2026'!AG40)</f>
        <v xml:space="preserve">VALENCY SINGAPORE </v>
      </c>
      <c r="AJ28" s="685" t="str">
        <f>IF('[1]Data 2026'!AH40="","",'[1]Data 2026'!AH40)</f>
        <v>DUNAMIS/SITRACOM</v>
      </c>
      <c r="AK28" s="685" t="str">
        <f>IF('[1]Data 2026'!AI40="","",'[1]Data 2026'!AI40)</f>
        <v>MSK</v>
      </c>
      <c r="AL28" s="685" t="str">
        <f>IF('[1]Data 2026'!AJ40="","",'[1]Data 2026'!AJ40)</f>
        <v>40FT</v>
      </c>
      <c r="AM28" s="692">
        <f>IF('[1]Data 2026'!AK40="","",'[1]Data 2026'!AK40)</f>
        <v>0.1</v>
      </c>
      <c r="AN28" s="685" t="str">
        <f>IF('[1]Data 2026'!AL40="","",'[1]Data 2026'!AL40)</f>
        <v xml:space="preserve"> ( 1 x 100 MTS ) </v>
      </c>
      <c r="AO28" s="691">
        <f>IF('[1]Data 2026'!AM40="","",'[1]Data 2026'!AM40)</f>
        <v>110</v>
      </c>
      <c r="AP28" s="691" t="str">
        <f t="shared" si="3"/>
        <v/>
      </c>
      <c r="AQ28" s="685" t="str">
        <f>IF('[1]Data 2026'!AO40="","",'[1]Data 2026'!AO40)</f>
        <v/>
      </c>
      <c r="AR28" s="685" t="str">
        <f>IF('[1]Data 2026'!AP40="","",'[1]Data 2026'!AP40)</f>
        <v/>
      </c>
      <c r="AS28" s="685" t="str">
        <f>IF('[1]Data 2026'!AQ40="","",'[1]Data 2026'!AQ40)</f>
        <v/>
      </c>
      <c r="AT28" s="685" t="str">
        <f>IF('[1]Data 2026'!AR40="","",'[1]Data 2026'!AR40)</f>
        <v/>
      </c>
      <c r="AU28" s="685" t="str">
        <f>IF('[1]Data 2026'!AW40="","",'[1]Data 2026'!AW40)</f>
        <v/>
      </c>
      <c r="AV28" s="685" t="str">
        <f>IF('[1]Data 2026'!AX40="","",'[1]Data 2026'!AX40)</f>
        <v/>
      </c>
      <c r="AW28" s="685" t="str">
        <f>IF('[1]Data 2026'!AY40="","",'[1]Data 2026'!AY40)</f>
        <v/>
      </c>
      <c r="AX28" s="685" t="str">
        <f>IF('[1]Data 2026'!AZ40="","",'[1]Data 2026'!AZ40)</f>
        <v/>
      </c>
      <c r="AY28" s="685" t="str">
        <f>IF('[1]Data 2026'!BA40="","",'[1]Data 2026'!BA40)</f>
        <v/>
      </c>
      <c r="AZ28" s="685" t="str">
        <f>IF('[1]Data 2026'!AS40="","",'[1]Data 2026'!AS40)</f>
        <v/>
      </c>
      <c r="BA28" s="685" t="str">
        <f>IF('[1]Data 2026'!AT40="","",'[1]Data 2026'!AT40)</f>
        <v/>
      </c>
      <c r="BB28" s="685" t="str">
        <f>IF('[1]Data 2026'!AU40="","",'[1]Data 2026'!AU40)</f>
        <v/>
      </c>
      <c r="BC28" s="685" t="str">
        <f>IF('[1]Data 2026'!AV40="","",'[1]Data 2026'!AV40)</f>
        <v/>
      </c>
      <c r="BD28" s="685" t="str">
        <f>IF('[1]Data 2026'!AW40="","",'[1]Data 2026'!AW40)</f>
        <v/>
      </c>
      <c r="BE28" s="685" t="str">
        <f>IF('[1]Data 2026'!AX40="","",'[1]Data 2026'!AX40)</f>
        <v/>
      </c>
      <c r="BF28" s="685" t="str">
        <f>IF('[1]Data 2026'!BF40="","",'[1]Data 2026'!BF40)</f>
        <v xml:space="preserve">VALENCY SINGAPORE </v>
      </c>
      <c r="BG28" s="685" t="str">
        <f>IF('[1]Data 2026'!BG40="","",'[1]Data 2026'!BG40)</f>
        <v/>
      </c>
      <c r="BH28" s="685" t="str">
        <f>IF('[1]Data 2026'!BH40="","",'[1]Data 2026'!BH40)</f>
        <v/>
      </c>
      <c r="BI28" s="685" t="str">
        <f>IF('[1]Data 2026'!BI40="","",'[1]Data 2026'!BI40)</f>
        <v/>
      </c>
      <c r="BJ28" s="685" t="str">
        <f>IF('[1]Data 2026'!BJ40="","",'[1]Data 2026'!BJ40)</f>
        <v/>
      </c>
      <c r="BK28" s="685" t="str">
        <f>IF('[1]Data 2026'!BK40="","",'[1]Data 2026'!BK40)</f>
        <v/>
      </c>
      <c r="BL28" s="685" t="str">
        <f>IF('[1]Data 2026'!BL40="","",'[1]Data 2026'!BL40)</f>
        <v>DUNAMIS/SITRACOM</v>
      </c>
      <c r="BM28" s="685" t="str">
        <f>IF('[1]Data 2026'!BM40="","",'[1]Data 2026'!BM40)</f>
        <v/>
      </c>
      <c r="BN28" s="685" t="str">
        <f>IF('[1]Data 2026'!BN40="","",'[1]Data 2026'!BN40)</f>
        <v/>
      </c>
      <c r="BO28" s="685" t="str">
        <f>IF('[1]Data 2026'!BO40="","",'[1]Data 2026'!BO40)</f>
        <v/>
      </c>
      <c r="BP28" s="685" t="str">
        <f>IF('[1]Data 2026'!BP40="","",'[1]Data 2026'!BP40)</f>
        <v/>
      </c>
      <c r="BQ28" s="685" t="str">
        <f>IF('[1]Data 2026'!BQ40="","",'[1]Data 2026'!BQ40)</f>
        <v/>
      </c>
      <c r="BR28" s="685" t="str">
        <f>IF('[1]Data 2026'!BR40="","",'[1]Data 2026'!BR40)</f>
        <v/>
      </c>
      <c r="BS28" s="685" t="str">
        <f>IF('[1]Data 2026'!BS40="","",'[1]Data 2026'!BS40)</f>
        <v/>
      </c>
      <c r="BT28" s="685" t="str">
        <f>IF('[1]Data 2026'!BV40="","",'[1]Data 2026'!BV40)</f>
        <v>BOA/KTD</v>
      </c>
      <c r="BU28" s="685" t="str">
        <f>IF('[1]Data 2026'!BW40="","",'[1]Data 2026'!BW40)</f>
        <v/>
      </c>
      <c r="BV28" s="685" t="str">
        <f>IF('[1]Data 2026'!BX40="","",'[1]Data 2026'!BX40)</f>
        <v/>
      </c>
      <c r="BW28" s="685" t="str">
        <f>IF('[1]Data 2026'!BY40="","",'[1]Data 2026'!BY40)</f>
        <v/>
      </c>
      <c r="BX28" s="685" t="str">
        <f>IF('[1]Data 2026'!BZ40="","",'[1]Data 2026'!BZ40)</f>
        <v/>
      </c>
      <c r="BY28" s="685" t="str">
        <f>IF('[1]Data 2026'!CA40="","",'[1]Data 2026'!CA40)</f>
        <v>182610-14811</v>
      </c>
      <c r="BZ28" s="685">
        <f>IF('[1]Data 2026'!CB40="","",'[1]Data 2026'!CB40)</f>
        <v>46128</v>
      </c>
      <c r="CA28" s="685" t="str">
        <f>IF('[1]Data 2026'!CC40="","",'[1]Data 2026'!CC40)</f>
        <v>2026-0100</v>
      </c>
      <c r="CB28" s="685">
        <f>IF('[1]Data 2026'!CD40="","",'[1]Data 2026'!CD40)</f>
        <v>46128</v>
      </c>
      <c r="CC28" s="685" t="str">
        <f>IF('[1]Data 2026'!CE40="","",'[1]Data 2026'!CE40)</f>
        <v/>
      </c>
      <c r="CD28" s="685" t="str">
        <f>IF('[1]Data 2026'!CF40="","",'[1]Data 2026'!CF40)</f>
        <v/>
      </c>
      <c r="CE28" s="685">
        <f>IF('[1]Data 2026'!CG40="","",'[1]Data 2026'!CG40)</f>
        <v>46107</v>
      </c>
      <c r="CF28" s="685">
        <f>IF('[1]Data 2026'!CH40="","",'[1]Data 2026'!CH40)</f>
        <v>46128</v>
      </c>
      <c r="CG28" s="685" t="str">
        <f>IF('[1]Data 2026'!CI40="","",'[1]Data 2026'!CI40)</f>
        <v>E11853</v>
      </c>
      <c r="CH28" s="685" t="str">
        <f>IF('[1]Data 2026'!CJ40="","",'[1]Data 2026'!CJ40)</f>
        <v/>
      </c>
      <c r="CI28" s="685">
        <f>IF('[1]Data 2026'!CK40="","",'[1]Data 2026'!CK40)</f>
        <v>46140</v>
      </c>
      <c r="CJ28" s="685" t="str">
        <f>IF('[1]Data 2026'!CM40="","",'[1]Data 2026'!CM40)</f>
        <v/>
      </c>
      <c r="CK28" s="685" t="str">
        <f>IF('[1]Data 2026'!CN40="","",'[1]Data 2026'!CN40)</f>
        <v>Sugmaran</v>
      </c>
      <c r="CL28" s="691"/>
      <c r="CM28" s="691" t="str">
        <f>IF('[1]Data 2026'!CP40="","",'[1]Data 2026'!CP40)</f>
        <v/>
      </c>
      <c r="CN28" s="691"/>
      <c r="CO28" s="693"/>
      <c r="CP28" s="693"/>
      <c r="CQ28" s="693"/>
      <c r="CR28" s="686">
        <f t="shared" si="4"/>
        <v>-25</v>
      </c>
      <c r="CS28" s="686">
        <f t="shared" si="4"/>
        <v>0</v>
      </c>
      <c r="CT28" s="686">
        <f t="shared" si="4"/>
        <v>44</v>
      </c>
      <c r="CU28" s="686" t="str">
        <f t="shared" si="5"/>
        <v/>
      </c>
      <c r="CV28" s="686" t="str">
        <f t="shared" si="6"/>
        <v/>
      </c>
      <c r="CW28" s="685" t="str">
        <f t="shared" si="10"/>
        <v/>
      </c>
      <c r="CX28" s="685" t="str">
        <f t="shared" si="11"/>
        <v/>
      </c>
      <c r="CY28" s="693">
        <f t="shared" ca="1" si="7"/>
        <v>0</v>
      </c>
      <c r="CZ28" s="693" t="str">
        <f t="shared" si="8"/>
        <v/>
      </c>
      <c r="DB28"/>
      <c r="DC28"/>
    </row>
    <row r="29" spans="1:107" s="694" customFormat="1">
      <c r="A29" s="682" t="str">
        <f t="shared" si="0"/>
        <v>F. GATED IN, SAILING AWAITED</v>
      </c>
      <c r="B29" s="695" t="s">
        <v>1195</v>
      </c>
      <c r="C29" s="684" t="str">
        <f t="shared" si="1"/>
        <v>CLOSED POSITION</v>
      </c>
      <c r="D29" s="685" t="str">
        <f t="shared" si="9"/>
        <v/>
      </c>
      <c r="E29" s="685" t="str">
        <f t="shared" si="2"/>
        <v/>
      </c>
      <c r="F29" s="686">
        <f>IF('[1]Data 2026'!D41="","",'[1]Data 2026'!D41)</f>
        <v>47</v>
      </c>
      <c r="G29" s="686">
        <f>IF('[1]Data 2026'!E41="","",'[1]Data 2026'!E41)</f>
        <v>200</v>
      </c>
      <c r="H29" s="687" t="str">
        <f>IF('[1]Data 2026'!H41="","",'[1]Data 2026'!H41)</f>
        <v>32015968-5</v>
      </c>
      <c r="I29" s="688">
        <f>IF('[1]Data 2026'!AA41="","",'[1]Data 2026'!AA41)</f>
        <v>100</v>
      </c>
      <c r="J29" s="685" t="str">
        <f>IF('[1]Data 2026'!K41="","",'[1]Data 2026'!K41)</f>
        <v>APRIL</v>
      </c>
      <c r="K29" s="685">
        <v>46142</v>
      </c>
      <c r="L29" s="685" t="str">
        <f>IF('[1]Data 2026'!L41="","",'[1]Data 2026'!L41)</f>
        <v>VALENCY CI</v>
      </c>
      <c r="M29" s="685" t="str">
        <f>IF('[1]Data 2026'!M41="","",'[1]Data 2026'!M41)</f>
        <v>VALENCY AGRO INDIA UDUPI</v>
      </c>
      <c r="N29" s="685" t="s">
        <v>1198</v>
      </c>
      <c r="O29" s="689">
        <f>IF('[1]Data 2026'!N41="","",'[1]Data 2026'!N41)</f>
        <v>269658785</v>
      </c>
      <c r="P29" s="690" t="str">
        <f>IF('[1]Data 2026'!O41="","",'[1]Data 2026'!O41)</f>
        <v/>
      </c>
      <c r="Q29" s="685" t="str">
        <f>IF('[1]Data 2026'!P41="","",'[1]Data 2026'!P41)</f>
        <v/>
      </c>
      <c r="R29" s="685" t="str">
        <f>IF('[1]Data 2026'!Q41="","",'[1]Data 2026'!Q41)</f>
        <v>ABJ</v>
      </c>
      <c r="S29" s="685" t="s">
        <v>210</v>
      </c>
      <c r="T29" s="685" t="str">
        <f>IF('[1]Data 2026'!R41="","",'[1]Data 2026'!R41)</f>
        <v>MANGALORE, INDIA</v>
      </c>
      <c r="U29" s="685" t="str">
        <f>IF('[1]Data 2026'!S41="","",'[1]Data 2026'!S41)</f>
        <v>MAERSK CUANZA</v>
      </c>
      <c r="V29" s="685">
        <f>IF('[1]Data 2026'!T41="","",'[1]Data 2026'!T41)</f>
        <v>46141</v>
      </c>
      <c r="W29" s="685">
        <f>IF('[1]Data 2026'!U41="","",'[1]Data 2026'!U41)</f>
        <v>46118</v>
      </c>
      <c r="X29" s="685">
        <f>IF('[1]Data 2026'!V41="","",'[1]Data 2026'!V41)</f>
        <v>46118</v>
      </c>
      <c r="Y29" s="685">
        <f>IF('[1]Data 2026'!W41="","",'[1]Data 2026'!W41)</f>
        <v>46160</v>
      </c>
      <c r="Z29" s="685">
        <f>IF('[1]Data 2026'!X41="","",'[1]Data 2026'!X41)</f>
        <v>46202</v>
      </c>
      <c r="AA29" s="685"/>
      <c r="AB29" s="685">
        <f>IF('[1]Data 2026'!Y41="","",'[1]Data 2026'!Y41)</f>
        <v>46172</v>
      </c>
      <c r="AC29" s="685" t="str">
        <f>IF('[1]Data 2026'!Z41="","",'[1]Data 2026'!Z41)</f>
        <v/>
      </c>
      <c r="AD29" s="691">
        <f>IF('[1]Data 2026'!AA41="","",'[1]Data 2026'!AA41)</f>
        <v>100</v>
      </c>
      <c r="AE29" s="691">
        <f>IF('[1]Data 2026'!AB41="","",'[1]Data 2026'!AB41)</f>
        <v>100</v>
      </c>
      <c r="AF29" s="685">
        <f>IF('[1]Data 2026'!AC41="","",'[1]Data 2026'!AC41)</f>
        <v>45777</v>
      </c>
      <c r="AG29" s="685" t="str">
        <f>IF('[1]Data 2026'!AD41="","",'[1]Data 2026'!AD41)</f>
        <v>Ex-Olam</v>
      </c>
      <c r="AH29" s="686">
        <f>IF('[1]Data 2026'!AE41="","",'[1]Data 2026'!AE41)</f>
        <v>4</v>
      </c>
      <c r="AI29" s="685" t="str">
        <f>IF('[1]Data 2026'!AG41="","",'[1]Data 2026'!AG41)</f>
        <v xml:space="preserve">VALENCY SINGAPORE </v>
      </c>
      <c r="AJ29" s="685" t="str">
        <f>IF('[1]Data 2026'!AH41="","",'[1]Data 2026'!AH41)</f>
        <v>DUNAMIS/SITRACOM</v>
      </c>
      <c r="AK29" s="685" t="str">
        <f>IF('[1]Data 2026'!AI41="","",'[1]Data 2026'!AI41)</f>
        <v>MSK</v>
      </c>
      <c r="AL29" s="685" t="str">
        <f>IF('[1]Data 2026'!AJ41="","",'[1]Data 2026'!AJ41)</f>
        <v>40FT</v>
      </c>
      <c r="AM29" s="692">
        <f>IF('[1]Data 2026'!AK41="","",'[1]Data 2026'!AK41)</f>
        <v>0.1</v>
      </c>
      <c r="AN29" s="685" t="str">
        <f>IF('[1]Data 2026'!AL41="","",'[1]Data 2026'!AL41)</f>
        <v xml:space="preserve"> ( 1 x 100 MTS ) </v>
      </c>
      <c r="AO29" s="691">
        <f>IF('[1]Data 2026'!AM41="","",'[1]Data 2026'!AM41)</f>
        <v>110</v>
      </c>
      <c r="AP29" s="691" t="str">
        <f t="shared" si="3"/>
        <v/>
      </c>
      <c r="AQ29" s="685" t="str">
        <f>IF('[1]Data 2026'!AO41="","",'[1]Data 2026'!AO41)</f>
        <v/>
      </c>
      <c r="AR29" s="685" t="str">
        <f>IF('[1]Data 2026'!AP41="","",'[1]Data 2026'!AP41)</f>
        <v/>
      </c>
      <c r="AS29" s="685" t="str">
        <f>IF('[1]Data 2026'!AQ41="","",'[1]Data 2026'!AQ41)</f>
        <v/>
      </c>
      <c r="AT29" s="685" t="str">
        <f>IF('[1]Data 2026'!AR41="","",'[1]Data 2026'!AR41)</f>
        <v/>
      </c>
      <c r="AU29" s="685" t="str">
        <f>IF('[1]Data 2026'!AW41="","",'[1]Data 2026'!AW41)</f>
        <v/>
      </c>
      <c r="AV29" s="685" t="str">
        <f>IF('[1]Data 2026'!AX41="","",'[1]Data 2026'!AX41)</f>
        <v/>
      </c>
      <c r="AW29" s="685" t="str">
        <f>IF('[1]Data 2026'!AY41="","",'[1]Data 2026'!AY41)</f>
        <v/>
      </c>
      <c r="AX29" s="685" t="str">
        <f>IF('[1]Data 2026'!AZ41="","",'[1]Data 2026'!AZ41)</f>
        <v/>
      </c>
      <c r="AY29" s="685" t="str">
        <f>IF('[1]Data 2026'!BA41="","",'[1]Data 2026'!BA41)</f>
        <v/>
      </c>
      <c r="AZ29" s="685" t="str">
        <f>IF('[1]Data 2026'!AS41="","",'[1]Data 2026'!AS41)</f>
        <v/>
      </c>
      <c r="BA29" s="685" t="str">
        <f>IF('[1]Data 2026'!AT41="","",'[1]Data 2026'!AT41)</f>
        <v/>
      </c>
      <c r="BB29" s="685" t="str">
        <f>IF('[1]Data 2026'!AU41="","",'[1]Data 2026'!AU41)</f>
        <v/>
      </c>
      <c r="BC29" s="685" t="str">
        <f>IF('[1]Data 2026'!AV41="","",'[1]Data 2026'!AV41)</f>
        <v/>
      </c>
      <c r="BD29" s="685" t="str">
        <f>IF('[1]Data 2026'!AW41="","",'[1]Data 2026'!AW41)</f>
        <v/>
      </c>
      <c r="BE29" s="685" t="str">
        <f>IF('[1]Data 2026'!AX41="","",'[1]Data 2026'!AX41)</f>
        <v/>
      </c>
      <c r="BF29" s="685" t="str">
        <f>IF('[1]Data 2026'!BF41="","",'[1]Data 2026'!BF41)</f>
        <v xml:space="preserve">VALENCY SINGAPORE </v>
      </c>
      <c r="BG29" s="685" t="str">
        <f>IF('[1]Data 2026'!BG41="","",'[1]Data 2026'!BG41)</f>
        <v/>
      </c>
      <c r="BH29" s="685" t="str">
        <f>IF('[1]Data 2026'!BH41="","",'[1]Data 2026'!BH41)</f>
        <v/>
      </c>
      <c r="BI29" s="685" t="str">
        <f>IF('[1]Data 2026'!BI41="","",'[1]Data 2026'!BI41)</f>
        <v/>
      </c>
      <c r="BJ29" s="685" t="str">
        <f>IF('[1]Data 2026'!BJ41="","",'[1]Data 2026'!BJ41)</f>
        <v/>
      </c>
      <c r="BK29" s="685" t="str">
        <f>IF('[1]Data 2026'!BK41="","",'[1]Data 2026'!BK41)</f>
        <v/>
      </c>
      <c r="BL29" s="685" t="str">
        <f>IF('[1]Data 2026'!BL41="","",'[1]Data 2026'!BL41)</f>
        <v>DUNAMIS/SITRACOM</v>
      </c>
      <c r="BM29" s="685" t="str">
        <f>IF('[1]Data 2026'!BM41="","",'[1]Data 2026'!BM41)</f>
        <v/>
      </c>
      <c r="BN29" s="685" t="str">
        <f>IF('[1]Data 2026'!BN41="","",'[1]Data 2026'!BN41)</f>
        <v/>
      </c>
      <c r="BO29" s="685" t="str">
        <f>IF('[1]Data 2026'!BO41="","",'[1]Data 2026'!BO41)</f>
        <v/>
      </c>
      <c r="BP29" s="685" t="str">
        <f>IF('[1]Data 2026'!BP41="","",'[1]Data 2026'!BP41)</f>
        <v/>
      </c>
      <c r="BQ29" s="685" t="str">
        <f>IF('[1]Data 2026'!BQ41="","",'[1]Data 2026'!BQ41)</f>
        <v/>
      </c>
      <c r="BR29" s="685" t="str">
        <f>IF('[1]Data 2026'!BR41="","",'[1]Data 2026'!BR41)</f>
        <v/>
      </c>
      <c r="BS29" s="685" t="str">
        <f>IF('[1]Data 2026'!BS41="","",'[1]Data 2026'!BS41)</f>
        <v/>
      </c>
      <c r="BT29" s="685" t="str">
        <f>IF('[1]Data 2026'!BV41="","",'[1]Data 2026'!BV41)</f>
        <v>BOA/KTD</v>
      </c>
      <c r="BU29" s="685" t="str">
        <f>IF('[1]Data 2026'!BW41="","",'[1]Data 2026'!BW41)</f>
        <v/>
      </c>
      <c r="BV29" s="685" t="str">
        <f>IF('[1]Data 2026'!BX41="","",'[1]Data 2026'!BX41)</f>
        <v/>
      </c>
      <c r="BW29" s="685" t="str">
        <f>IF('[1]Data 2026'!BY41="","",'[1]Data 2026'!BY41)</f>
        <v/>
      </c>
      <c r="BX29" s="685" t="str">
        <f>IF('[1]Data 2026'!BZ41="","",'[1]Data 2026'!BZ41)</f>
        <v/>
      </c>
      <c r="BY29" s="685" t="str">
        <f>IF('[1]Data 2026'!CA41="","",'[1]Data 2026'!CA41)</f>
        <v>182610-14811</v>
      </c>
      <c r="BZ29" s="685">
        <f>IF('[1]Data 2026'!CB41="","",'[1]Data 2026'!CB41)</f>
        <v>46128</v>
      </c>
      <c r="CA29" s="685" t="str">
        <f>IF('[1]Data 2026'!CC41="","",'[1]Data 2026'!CC41)</f>
        <v>2026-0100</v>
      </c>
      <c r="CB29" s="685">
        <f>IF('[1]Data 2026'!CD41="","",'[1]Data 2026'!CD41)</f>
        <v>46128</v>
      </c>
      <c r="CC29" s="685" t="str">
        <f>IF('[1]Data 2026'!CE41="","",'[1]Data 2026'!CE41)</f>
        <v/>
      </c>
      <c r="CD29" s="685" t="str">
        <f>IF('[1]Data 2026'!CF41="","",'[1]Data 2026'!CF41)</f>
        <v/>
      </c>
      <c r="CE29" s="685">
        <f>IF('[1]Data 2026'!CG41="","",'[1]Data 2026'!CG41)</f>
        <v>46107</v>
      </c>
      <c r="CF29" s="685">
        <f>IF('[1]Data 2026'!CH41="","",'[1]Data 2026'!CH41)</f>
        <v>46128</v>
      </c>
      <c r="CG29" s="685" t="str">
        <f>IF('[1]Data 2026'!CI41="","",'[1]Data 2026'!CI41)</f>
        <v>E11853</v>
      </c>
      <c r="CH29" s="685" t="str">
        <f>IF('[1]Data 2026'!CJ41="","",'[1]Data 2026'!CJ41)</f>
        <v/>
      </c>
      <c r="CI29" s="685">
        <f>IF('[1]Data 2026'!CK41="","",'[1]Data 2026'!CK41)</f>
        <v>46140</v>
      </c>
      <c r="CJ29" s="685" t="str">
        <f>IF('[1]Data 2026'!CM41="","",'[1]Data 2026'!CM41)</f>
        <v/>
      </c>
      <c r="CK29" s="685" t="str">
        <f>IF('[1]Data 2026'!CN41="","",'[1]Data 2026'!CN41)</f>
        <v>Sugmaran</v>
      </c>
      <c r="CL29" s="691"/>
      <c r="CM29" s="691" t="str">
        <f>IF('[1]Data 2026'!CP41="","",'[1]Data 2026'!CP41)</f>
        <v/>
      </c>
      <c r="CN29" s="691"/>
      <c r="CO29" s="693"/>
      <c r="CP29" s="693"/>
      <c r="CQ29" s="693"/>
      <c r="CR29" s="686">
        <f t="shared" si="4"/>
        <v>-23</v>
      </c>
      <c r="CS29" s="686">
        <f t="shared" si="4"/>
        <v>0</v>
      </c>
      <c r="CT29" s="686">
        <f t="shared" si="4"/>
        <v>42</v>
      </c>
      <c r="CU29" s="686" t="str">
        <f t="shared" si="5"/>
        <v/>
      </c>
      <c r="CV29" s="686" t="str">
        <f t="shared" si="6"/>
        <v/>
      </c>
      <c r="CW29" s="685" t="str">
        <f t="shared" si="10"/>
        <v/>
      </c>
      <c r="CX29" s="685" t="str">
        <f t="shared" si="11"/>
        <v/>
      </c>
      <c r="CY29" s="693">
        <f t="shared" ca="1" si="7"/>
        <v>0</v>
      </c>
      <c r="CZ29" s="693" t="str">
        <f t="shared" si="8"/>
        <v/>
      </c>
      <c r="DB29"/>
      <c r="DC29"/>
    </row>
    <row r="30" spans="1:107" s="694" customFormat="1">
      <c r="A30" s="682" t="str">
        <f t="shared" si="0"/>
        <v>F. GATED IN, SAILING AWAITED</v>
      </c>
      <c r="B30" s="695" t="s">
        <v>1195</v>
      </c>
      <c r="C30" s="684" t="str">
        <f t="shared" si="1"/>
        <v>CLOSED POSITION</v>
      </c>
      <c r="D30" s="685" t="str">
        <f t="shared" si="9"/>
        <v/>
      </c>
      <c r="E30" s="685" t="str">
        <f t="shared" si="2"/>
        <v/>
      </c>
      <c r="F30" s="686">
        <f>IF('[1]Data 2026'!D42="","",'[1]Data 2026'!D42)</f>
        <v>49</v>
      </c>
      <c r="G30" s="686">
        <f>IF('[1]Data 2026'!E42="","",'[1]Data 2026'!E42)</f>
        <v>100</v>
      </c>
      <c r="H30" s="687">
        <f>IF('[1]Data 2026'!H42="","",'[1]Data 2026'!H42)</f>
        <v>32014482</v>
      </c>
      <c r="I30" s="688">
        <f>IF('[1]Data 2026'!AA42="","",'[1]Data 2026'!AA42)</f>
        <v>100</v>
      </c>
      <c r="J30" s="685" t="str">
        <f>IF('[1]Data 2026'!K42="","",'[1]Data 2026'!K42)</f>
        <v>APRIL</v>
      </c>
      <c r="K30" s="685">
        <v>46142</v>
      </c>
      <c r="L30" s="685" t="str">
        <f>IF('[1]Data 2026'!L42="","",'[1]Data 2026'!L42)</f>
        <v>VALENCY CI</v>
      </c>
      <c r="M30" s="685" t="str">
        <f>IF('[1]Data 2026'!M42="","",'[1]Data 2026'!M42)</f>
        <v>MADHAVARAYA PRABHU</v>
      </c>
      <c r="N30" s="685" t="s">
        <v>1198</v>
      </c>
      <c r="O30" s="689">
        <f>IF('[1]Data 2026'!N42="","",'[1]Data 2026'!N42)</f>
        <v>267489781</v>
      </c>
      <c r="P30" s="690">
        <f>IF('[1]Data 2026'!O42="","",'[1]Data 2026'!O42)</f>
        <v>267489781</v>
      </c>
      <c r="Q30" s="685" t="str">
        <f>IF('[1]Data 2026'!P42="","",'[1]Data 2026'!P42)</f>
        <v/>
      </c>
      <c r="R30" s="685" t="str">
        <f>IF('[1]Data 2026'!Q42="","",'[1]Data 2026'!Q42)</f>
        <v>ABJ</v>
      </c>
      <c r="S30" s="685" t="s">
        <v>210</v>
      </c>
      <c r="T30" s="685" t="str">
        <f>IF('[1]Data 2026'!R42="","",'[1]Data 2026'!R42)</f>
        <v>MANGALORE, INDIA</v>
      </c>
      <c r="U30" s="685" t="str">
        <f>IF('[1]Data 2026'!S42="","",'[1]Data 2026'!S42)</f>
        <v>MAERSK CUANZA</v>
      </c>
      <c r="V30" s="685">
        <f>IF('[1]Data 2026'!T42="","",'[1]Data 2026'!T42)</f>
        <v>46141</v>
      </c>
      <c r="W30" s="685">
        <f>IF('[1]Data 2026'!U42="","",'[1]Data 2026'!U42)</f>
        <v>46118</v>
      </c>
      <c r="X30" s="685">
        <f>IF('[1]Data 2026'!V42="","",'[1]Data 2026'!V42)</f>
        <v>46118</v>
      </c>
      <c r="Y30" s="685">
        <f>IF('[1]Data 2026'!W42="","",'[1]Data 2026'!W42)</f>
        <v>46160</v>
      </c>
      <c r="Z30" s="685">
        <f>IF('[1]Data 2026'!X42="","",'[1]Data 2026'!X42)</f>
        <v>46202</v>
      </c>
      <c r="AA30" s="685"/>
      <c r="AB30" s="685">
        <f>IF('[1]Data 2026'!Y42="","",'[1]Data 2026'!Y42)</f>
        <v>46172</v>
      </c>
      <c r="AC30" s="685" t="str">
        <f>IF('[1]Data 2026'!Z42="","",'[1]Data 2026'!Z42)</f>
        <v/>
      </c>
      <c r="AD30" s="691">
        <f>IF('[1]Data 2026'!AA42="","",'[1]Data 2026'!AA42)</f>
        <v>100</v>
      </c>
      <c r="AE30" s="691">
        <f>IF('[1]Data 2026'!AB42="","",'[1]Data 2026'!AB42)</f>
        <v>100</v>
      </c>
      <c r="AF30" s="685">
        <f>IF('[1]Data 2026'!AC42="","",'[1]Data 2026'!AC42)</f>
        <v>45777</v>
      </c>
      <c r="AG30" s="685" t="str">
        <f>IF('[1]Data 2026'!AD42="","",'[1]Data 2026'!AD42)</f>
        <v>Ex-Olam</v>
      </c>
      <c r="AH30" s="686">
        <f>IF('[1]Data 2026'!AE42="","",'[1]Data 2026'!AE42)</f>
        <v>4</v>
      </c>
      <c r="AI30" s="685" t="str">
        <f>IF('[1]Data 2026'!AG42="","",'[1]Data 2026'!AG42)</f>
        <v xml:space="preserve">VALENCY SINGAPORE </v>
      </c>
      <c r="AJ30" s="685" t="str">
        <f>IF('[1]Data 2026'!AH42="","",'[1]Data 2026'!AH42)</f>
        <v>DUNAMIS/SITRACOM</v>
      </c>
      <c r="AK30" s="685" t="str">
        <f>IF('[1]Data 2026'!AI42="","",'[1]Data 2026'!AI42)</f>
        <v>MSK</v>
      </c>
      <c r="AL30" s="685" t="str">
        <f>IF('[1]Data 2026'!AJ42="","",'[1]Data 2026'!AJ42)</f>
        <v>40FT</v>
      </c>
      <c r="AM30" s="692">
        <f>IF('[1]Data 2026'!AK42="","",'[1]Data 2026'!AK42)</f>
        <v>0.1</v>
      </c>
      <c r="AN30" s="685" t="str">
        <f>IF('[1]Data 2026'!AL42="","",'[1]Data 2026'!AL42)</f>
        <v xml:space="preserve"> ( 1 x 100 MTS ) </v>
      </c>
      <c r="AO30" s="691">
        <f>IF('[1]Data 2026'!AM42="","",'[1]Data 2026'!AM42)</f>
        <v>110</v>
      </c>
      <c r="AP30" s="691" t="str">
        <f t="shared" si="3"/>
        <v/>
      </c>
      <c r="AQ30" s="685" t="str">
        <f>IF('[1]Data 2026'!AO42="","",'[1]Data 2026'!AO42)</f>
        <v/>
      </c>
      <c r="AR30" s="685" t="str">
        <f>IF('[1]Data 2026'!AP42="","",'[1]Data 2026'!AP42)</f>
        <v/>
      </c>
      <c r="AS30" s="685" t="str">
        <f>IF('[1]Data 2026'!AQ42="","",'[1]Data 2026'!AQ42)</f>
        <v/>
      </c>
      <c r="AT30" s="685" t="str">
        <f>IF('[1]Data 2026'!AR42="","",'[1]Data 2026'!AR42)</f>
        <v/>
      </c>
      <c r="AU30" s="685" t="str">
        <f>IF('[1]Data 2026'!AW42="","",'[1]Data 2026'!AW42)</f>
        <v/>
      </c>
      <c r="AV30" s="685" t="str">
        <f>IF('[1]Data 2026'!AX42="","",'[1]Data 2026'!AX42)</f>
        <v/>
      </c>
      <c r="AW30" s="685" t="str">
        <f>IF('[1]Data 2026'!AY42="","",'[1]Data 2026'!AY42)</f>
        <v/>
      </c>
      <c r="AX30" s="685" t="str">
        <f>IF('[1]Data 2026'!AZ42="","",'[1]Data 2026'!AZ42)</f>
        <v/>
      </c>
      <c r="AY30" s="685" t="str">
        <f>IF('[1]Data 2026'!BA42="","",'[1]Data 2026'!BA42)</f>
        <v/>
      </c>
      <c r="AZ30" s="685" t="str">
        <f>IF('[1]Data 2026'!AS42="","",'[1]Data 2026'!AS42)</f>
        <v/>
      </c>
      <c r="BA30" s="685" t="str">
        <f>IF('[1]Data 2026'!AT42="","",'[1]Data 2026'!AT42)</f>
        <v/>
      </c>
      <c r="BB30" s="685" t="str">
        <f>IF('[1]Data 2026'!AU42="","",'[1]Data 2026'!AU42)</f>
        <v/>
      </c>
      <c r="BC30" s="685" t="str">
        <f>IF('[1]Data 2026'!AV42="","",'[1]Data 2026'!AV42)</f>
        <v/>
      </c>
      <c r="BD30" s="685" t="str">
        <f>IF('[1]Data 2026'!AW42="","",'[1]Data 2026'!AW42)</f>
        <v/>
      </c>
      <c r="BE30" s="685" t="str">
        <f>IF('[1]Data 2026'!AX42="","",'[1]Data 2026'!AX42)</f>
        <v/>
      </c>
      <c r="BF30" s="685" t="str">
        <f>IF('[1]Data 2026'!BF42="","",'[1]Data 2026'!BF42)</f>
        <v xml:space="preserve">VALENCY SINGAPORE </v>
      </c>
      <c r="BG30" s="685" t="str">
        <f>IF('[1]Data 2026'!BG42="","",'[1]Data 2026'!BG42)</f>
        <v/>
      </c>
      <c r="BH30" s="685" t="str">
        <f>IF('[1]Data 2026'!BH42="","",'[1]Data 2026'!BH42)</f>
        <v/>
      </c>
      <c r="BI30" s="685" t="str">
        <f>IF('[1]Data 2026'!BI42="","",'[1]Data 2026'!BI42)</f>
        <v/>
      </c>
      <c r="BJ30" s="685" t="str">
        <f>IF('[1]Data 2026'!BJ42="","",'[1]Data 2026'!BJ42)</f>
        <v/>
      </c>
      <c r="BK30" s="685" t="str">
        <f>IF('[1]Data 2026'!BK42="","",'[1]Data 2026'!BK42)</f>
        <v/>
      </c>
      <c r="BL30" s="685" t="str">
        <f>IF('[1]Data 2026'!BL42="","",'[1]Data 2026'!BL42)</f>
        <v>DUNAMIS/SITRACOM</v>
      </c>
      <c r="BM30" s="685" t="str">
        <f>IF('[1]Data 2026'!BM42="","",'[1]Data 2026'!BM42)</f>
        <v/>
      </c>
      <c r="BN30" s="685" t="str">
        <f>IF('[1]Data 2026'!BN42="","",'[1]Data 2026'!BN42)</f>
        <v/>
      </c>
      <c r="BO30" s="685" t="str">
        <f>IF('[1]Data 2026'!BO42="","",'[1]Data 2026'!BO42)</f>
        <v/>
      </c>
      <c r="BP30" s="685" t="str">
        <f>IF('[1]Data 2026'!BP42="","",'[1]Data 2026'!BP42)</f>
        <v/>
      </c>
      <c r="BQ30" s="685" t="str">
        <f>IF('[1]Data 2026'!BQ42="","",'[1]Data 2026'!BQ42)</f>
        <v/>
      </c>
      <c r="BR30" s="685" t="str">
        <f>IF('[1]Data 2026'!BR42="","",'[1]Data 2026'!BR42)</f>
        <v/>
      </c>
      <c r="BS30" s="685" t="str">
        <f>IF('[1]Data 2026'!BS42="","",'[1]Data 2026'!BS42)</f>
        <v/>
      </c>
      <c r="BT30" s="685" t="str">
        <f>IF('[1]Data 2026'!BV42="","",'[1]Data 2026'!BV42)</f>
        <v>BOA/KTD</v>
      </c>
      <c r="BU30" s="685" t="str">
        <f>IF('[1]Data 2026'!BW42="","",'[1]Data 2026'!BW42)</f>
        <v/>
      </c>
      <c r="BV30" s="685" t="str">
        <f>IF('[1]Data 2026'!BX42="","",'[1]Data 2026'!BX42)</f>
        <v/>
      </c>
      <c r="BW30" s="685" t="str">
        <f>IF('[1]Data 2026'!BY42="","",'[1]Data 2026'!BY42)</f>
        <v/>
      </c>
      <c r="BX30" s="685" t="str">
        <f>IF('[1]Data 2026'!BZ42="","",'[1]Data 2026'!BZ42)</f>
        <v/>
      </c>
      <c r="BY30" s="685" t="str">
        <f>IF('[1]Data 2026'!CA42="","",'[1]Data 2026'!CA42)</f>
        <v>182610-14865</v>
      </c>
      <c r="BZ30" s="685">
        <f>IF('[1]Data 2026'!CB42="","",'[1]Data 2026'!CB42)</f>
        <v>46129</v>
      </c>
      <c r="CA30" s="685" t="str">
        <f>IF('[1]Data 2026'!CC42="","",'[1]Data 2026'!CC42)</f>
        <v>2026-0181</v>
      </c>
      <c r="CB30" s="685">
        <f>IF('[1]Data 2026'!CD42="","",'[1]Data 2026'!CD42)</f>
        <v>46129</v>
      </c>
      <c r="CC30" s="685" t="str">
        <f>IF('[1]Data 2026'!CE42="","",'[1]Data 2026'!CE42)</f>
        <v/>
      </c>
      <c r="CD30" s="685" t="str">
        <f>IF('[1]Data 2026'!CF42="","",'[1]Data 2026'!CF42)</f>
        <v/>
      </c>
      <c r="CE30" s="685">
        <f>IF('[1]Data 2026'!CG42="","",'[1]Data 2026'!CG42)</f>
        <v>46107</v>
      </c>
      <c r="CF30" s="685">
        <f>IF('[1]Data 2026'!CH42="","",'[1]Data 2026'!CH42)</f>
        <v>46129</v>
      </c>
      <c r="CG30" s="685" t="str">
        <f>IF('[1]Data 2026'!CI42="","",'[1]Data 2026'!CI42)</f>
        <v>E11965</v>
      </c>
      <c r="CH30" s="685" t="str">
        <f>IF('[1]Data 2026'!CJ42="","",'[1]Data 2026'!CJ42)</f>
        <v/>
      </c>
      <c r="CI30" s="685">
        <f>IF('[1]Data 2026'!CK42="","",'[1]Data 2026'!CK42)</f>
        <v>46140</v>
      </c>
      <c r="CJ30" s="685" t="str">
        <f>IF('[1]Data 2026'!CM42="","",'[1]Data 2026'!CM42)</f>
        <v/>
      </c>
      <c r="CK30" s="685" t="str">
        <f>IF('[1]Data 2026'!CN42="","",'[1]Data 2026'!CN42)</f>
        <v>Sugmaran</v>
      </c>
      <c r="CL30" s="691"/>
      <c r="CM30" s="691" t="str">
        <f>IF('[1]Data 2026'!CP42="","",'[1]Data 2026'!CP42)</f>
        <v/>
      </c>
      <c r="CN30" s="691"/>
      <c r="CO30" s="693"/>
      <c r="CP30" s="693"/>
      <c r="CQ30" s="693"/>
      <c r="CR30" s="686">
        <f t="shared" si="4"/>
        <v>-23</v>
      </c>
      <c r="CS30" s="686">
        <f t="shared" si="4"/>
        <v>0</v>
      </c>
      <c r="CT30" s="686">
        <f t="shared" si="4"/>
        <v>42</v>
      </c>
      <c r="CU30" s="686" t="str">
        <f t="shared" si="5"/>
        <v/>
      </c>
      <c r="CV30" s="686" t="str">
        <f t="shared" si="6"/>
        <v/>
      </c>
      <c r="CW30" s="685" t="str">
        <f t="shared" si="10"/>
        <v/>
      </c>
      <c r="CX30" s="685" t="str">
        <f t="shared" si="11"/>
        <v/>
      </c>
      <c r="CY30" s="693">
        <f t="shared" ca="1" si="7"/>
        <v>0</v>
      </c>
      <c r="CZ30" s="693" t="str">
        <f t="shared" si="8"/>
        <v/>
      </c>
      <c r="DB30"/>
      <c r="DC30"/>
    </row>
    <row r="31" spans="1:107" s="694" customFormat="1">
      <c r="A31" s="682" t="str">
        <f t="shared" si="0"/>
        <v>F. GATED IN, SAILING AWAITED</v>
      </c>
      <c r="B31" s="695" t="s">
        <v>1195</v>
      </c>
      <c r="C31" s="684" t="str">
        <f t="shared" si="1"/>
        <v>CLOSED POSITION</v>
      </c>
      <c r="D31" s="685" t="str">
        <f t="shared" si="9"/>
        <v/>
      </c>
      <c r="E31" s="685" t="str">
        <f t="shared" si="2"/>
        <v/>
      </c>
      <c r="F31" s="686">
        <f>IF('[1]Data 2026'!D43="","",'[1]Data 2026'!D43)</f>
        <v>49</v>
      </c>
      <c r="G31" s="686">
        <f>IF('[1]Data 2026'!E43="","",'[1]Data 2026'!E43)</f>
        <v>100</v>
      </c>
      <c r="H31" s="687">
        <f>IF('[1]Data 2026'!H43="","",'[1]Data 2026'!H43)</f>
        <v>32014482</v>
      </c>
      <c r="I31" s="688">
        <f>IF('[1]Data 2026'!AA43="","",'[1]Data 2026'!AA43)</f>
        <v>100</v>
      </c>
      <c r="J31" s="685" t="str">
        <f>IF('[1]Data 2026'!K43="","",'[1]Data 2026'!K43)</f>
        <v>APRIL</v>
      </c>
      <c r="K31" s="685">
        <v>46142</v>
      </c>
      <c r="L31" s="685" t="str">
        <f>IF('[1]Data 2026'!L43="","",'[1]Data 2026'!L43)</f>
        <v>VALENCY CI</v>
      </c>
      <c r="M31" s="685" t="str">
        <f>IF('[1]Data 2026'!M43="","",'[1]Data 2026'!M43)</f>
        <v>MADHAVARAYA PRABHU</v>
      </c>
      <c r="N31" s="685" t="s">
        <v>1198</v>
      </c>
      <c r="O31" s="689" t="str">
        <f>IF('[1]Data 2026'!N43="","",'[1]Data 2026'!N43)</f>
        <v>267489781-1</v>
      </c>
      <c r="P31" s="690">
        <f>IF('[1]Data 2026'!O43="","",'[1]Data 2026'!O43)</f>
        <v>269656338</v>
      </c>
      <c r="Q31" s="685" t="str">
        <f>IF('[1]Data 2026'!P43="","",'[1]Data 2026'!P43)</f>
        <v/>
      </c>
      <c r="R31" s="685" t="str">
        <f>IF('[1]Data 2026'!Q43="","",'[1]Data 2026'!Q43)</f>
        <v>ABJ</v>
      </c>
      <c r="S31" s="685" t="s">
        <v>210</v>
      </c>
      <c r="T31" s="685" t="str">
        <f>IF('[1]Data 2026'!R43="","",'[1]Data 2026'!R43)</f>
        <v>MANGALORE, INDIA</v>
      </c>
      <c r="U31" s="685" t="str">
        <f>IF('[1]Data 2026'!S43="","",'[1]Data 2026'!S43)</f>
        <v>MAERSK CUANZA</v>
      </c>
      <c r="V31" s="685">
        <f>IF('[1]Data 2026'!T43="","",'[1]Data 2026'!T43)</f>
        <v>46107</v>
      </c>
      <c r="W31" s="685">
        <f>IF('[1]Data 2026'!U43="","",'[1]Data 2026'!U43)</f>
        <v>46118</v>
      </c>
      <c r="X31" s="685">
        <f>IF('[1]Data 2026'!V43="","",'[1]Data 2026'!V43)</f>
        <v>46118</v>
      </c>
      <c r="Y31" s="685">
        <f>IF('[1]Data 2026'!W43="","",'[1]Data 2026'!W43)</f>
        <v>46160</v>
      </c>
      <c r="Z31" s="685">
        <f>IF('[1]Data 2026'!X43="","",'[1]Data 2026'!X43)</f>
        <v>46202</v>
      </c>
      <c r="AA31" s="685"/>
      <c r="AB31" s="685">
        <f>IF('[1]Data 2026'!Y43="","",'[1]Data 2026'!Y43)</f>
        <v>46172</v>
      </c>
      <c r="AC31" s="685" t="str">
        <f>IF('[1]Data 2026'!Z43="","",'[1]Data 2026'!Z43)</f>
        <v/>
      </c>
      <c r="AD31" s="691">
        <f>IF('[1]Data 2026'!AA43="","",'[1]Data 2026'!AA43)</f>
        <v>100</v>
      </c>
      <c r="AE31" s="691">
        <f>IF('[1]Data 2026'!AB43="","",'[1]Data 2026'!AB43)</f>
        <v>100</v>
      </c>
      <c r="AF31" s="685">
        <f>IF('[1]Data 2026'!AC43="","",'[1]Data 2026'!AC43)</f>
        <v>45777</v>
      </c>
      <c r="AG31" s="685" t="str">
        <f>IF('[1]Data 2026'!AD43="","",'[1]Data 2026'!AD43)</f>
        <v>Ex-Olam</v>
      </c>
      <c r="AH31" s="686">
        <f>IF('[1]Data 2026'!AE43="","",'[1]Data 2026'!AE43)</f>
        <v>4</v>
      </c>
      <c r="AI31" s="685" t="str">
        <f>IF('[1]Data 2026'!AG43="","",'[1]Data 2026'!AG43)</f>
        <v xml:space="preserve">VALENCY SINGAPORE </v>
      </c>
      <c r="AJ31" s="685" t="str">
        <f>IF('[1]Data 2026'!AH43="","",'[1]Data 2026'!AH43)</f>
        <v>DUNAMIS/SITRACOM</v>
      </c>
      <c r="AK31" s="685" t="str">
        <f>IF('[1]Data 2026'!AI43="","",'[1]Data 2026'!AI43)</f>
        <v>MSK</v>
      </c>
      <c r="AL31" s="685" t="str">
        <f>IF('[1]Data 2026'!AJ43="","",'[1]Data 2026'!AJ43)</f>
        <v>40FT</v>
      </c>
      <c r="AM31" s="692">
        <f>IF('[1]Data 2026'!AK43="","",'[1]Data 2026'!AK43)</f>
        <v>0.1</v>
      </c>
      <c r="AN31" s="685" t="str">
        <f>IF('[1]Data 2026'!AL43="","",'[1]Data 2026'!AL43)</f>
        <v xml:space="preserve"> ( 1 x 100 MTS ) </v>
      </c>
      <c r="AO31" s="691">
        <f>IF('[1]Data 2026'!AM43="","",'[1]Data 2026'!AM43)</f>
        <v>110</v>
      </c>
      <c r="AP31" s="691" t="str">
        <f t="shared" si="3"/>
        <v/>
      </c>
      <c r="AQ31" s="685" t="str">
        <f>IF('[1]Data 2026'!AO43="","",'[1]Data 2026'!AO43)</f>
        <v/>
      </c>
      <c r="AR31" s="685" t="str">
        <f>IF('[1]Data 2026'!AP43="","",'[1]Data 2026'!AP43)</f>
        <v/>
      </c>
      <c r="AS31" s="685" t="str">
        <f>IF('[1]Data 2026'!AQ43="","",'[1]Data 2026'!AQ43)</f>
        <v/>
      </c>
      <c r="AT31" s="685" t="str">
        <f>IF('[1]Data 2026'!AR43="","",'[1]Data 2026'!AR43)</f>
        <v/>
      </c>
      <c r="AU31" s="685" t="str">
        <f>IF('[1]Data 2026'!AW43="","",'[1]Data 2026'!AW43)</f>
        <v/>
      </c>
      <c r="AV31" s="685" t="str">
        <f>IF('[1]Data 2026'!AX43="","",'[1]Data 2026'!AX43)</f>
        <v/>
      </c>
      <c r="AW31" s="685" t="str">
        <f>IF('[1]Data 2026'!AY43="","",'[1]Data 2026'!AY43)</f>
        <v/>
      </c>
      <c r="AX31" s="685" t="str">
        <f>IF('[1]Data 2026'!AZ43="","",'[1]Data 2026'!AZ43)</f>
        <v/>
      </c>
      <c r="AY31" s="685" t="str">
        <f>IF('[1]Data 2026'!BA43="","",'[1]Data 2026'!BA43)</f>
        <v/>
      </c>
      <c r="AZ31" s="685" t="str">
        <f>IF('[1]Data 2026'!AS43="","",'[1]Data 2026'!AS43)</f>
        <v/>
      </c>
      <c r="BA31" s="685" t="str">
        <f>IF('[1]Data 2026'!AT43="","",'[1]Data 2026'!AT43)</f>
        <v/>
      </c>
      <c r="BB31" s="685" t="str">
        <f>IF('[1]Data 2026'!AU43="","",'[1]Data 2026'!AU43)</f>
        <v/>
      </c>
      <c r="BC31" s="685" t="str">
        <f>IF('[1]Data 2026'!AV43="","",'[1]Data 2026'!AV43)</f>
        <v/>
      </c>
      <c r="BD31" s="685" t="str">
        <f>IF('[1]Data 2026'!AW43="","",'[1]Data 2026'!AW43)</f>
        <v/>
      </c>
      <c r="BE31" s="685" t="str">
        <f>IF('[1]Data 2026'!AX43="","",'[1]Data 2026'!AX43)</f>
        <v/>
      </c>
      <c r="BF31" s="685" t="str">
        <f>IF('[1]Data 2026'!BF43="","",'[1]Data 2026'!BF43)</f>
        <v xml:space="preserve">VALENCY SINGAPORE </v>
      </c>
      <c r="BG31" s="685" t="str">
        <f>IF('[1]Data 2026'!BG43="","",'[1]Data 2026'!BG43)</f>
        <v/>
      </c>
      <c r="BH31" s="685" t="str">
        <f>IF('[1]Data 2026'!BH43="","",'[1]Data 2026'!BH43)</f>
        <v/>
      </c>
      <c r="BI31" s="685" t="str">
        <f>IF('[1]Data 2026'!BI43="","",'[1]Data 2026'!BI43)</f>
        <v/>
      </c>
      <c r="BJ31" s="685" t="str">
        <f>IF('[1]Data 2026'!BJ43="","",'[1]Data 2026'!BJ43)</f>
        <v/>
      </c>
      <c r="BK31" s="685" t="str">
        <f>IF('[1]Data 2026'!BK43="","",'[1]Data 2026'!BK43)</f>
        <v/>
      </c>
      <c r="BL31" s="685" t="str">
        <f>IF('[1]Data 2026'!BL43="","",'[1]Data 2026'!BL43)</f>
        <v>DUNAMIS/SITRACOM</v>
      </c>
      <c r="BM31" s="685" t="str">
        <f>IF('[1]Data 2026'!BM43="","",'[1]Data 2026'!BM43)</f>
        <v/>
      </c>
      <c r="BN31" s="685" t="str">
        <f>IF('[1]Data 2026'!BN43="","",'[1]Data 2026'!BN43)</f>
        <v/>
      </c>
      <c r="BO31" s="685" t="str">
        <f>IF('[1]Data 2026'!BO43="","",'[1]Data 2026'!BO43)</f>
        <v/>
      </c>
      <c r="BP31" s="685" t="str">
        <f>IF('[1]Data 2026'!BP43="","",'[1]Data 2026'!BP43)</f>
        <v/>
      </c>
      <c r="BQ31" s="685" t="str">
        <f>IF('[1]Data 2026'!BQ43="","",'[1]Data 2026'!BQ43)</f>
        <v/>
      </c>
      <c r="BR31" s="685" t="str">
        <f>IF('[1]Data 2026'!BR43="","",'[1]Data 2026'!BR43)</f>
        <v/>
      </c>
      <c r="BS31" s="685" t="str">
        <f>IF('[1]Data 2026'!BS43="","",'[1]Data 2026'!BS43)</f>
        <v/>
      </c>
      <c r="BT31" s="685" t="str">
        <f>IF('[1]Data 2026'!BV43="","",'[1]Data 2026'!BV43)</f>
        <v>BOA/KTD</v>
      </c>
      <c r="BU31" s="685" t="str">
        <f>IF('[1]Data 2026'!BW43="","",'[1]Data 2026'!BW43)</f>
        <v/>
      </c>
      <c r="BV31" s="685" t="str">
        <f>IF('[1]Data 2026'!BX43="","",'[1]Data 2026'!BX43)</f>
        <v/>
      </c>
      <c r="BW31" s="685" t="str">
        <f>IF('[1]Data 2026'!BY43="","",'[1]Data 2026'!BY43)</f>
        <v/>
      </c>
      <c r="BX31" s="685" t="str">
        <f>IF('[1]Data 2026'!BZ43="","",'[1]Data 2026'!BZ43)</f>
        <v/>
      </c>
      <c r="BY31" s="685" t="str">
        <f>IF('[1]Data 2026'!CA43="","",'[1]Data 2026'!CA43)</f>
        <v>182610-14865</v>
      </c>
      <c r="BZ31" s="685">
        <f>IF('[1]Data 2026'!CB43="","",'[1]Data 2026'!CB43)</f>
        <v>46129</v>
      </c>
      <c r="CA31" s="685" t="str">
        <f>IF('[1]Data 2026'!CC43="","",'[1]Data 2026'!CC43)</f>
        <v>2026-0181</v>
      </c>
      <c r="CB31" s="685">
        <f>IF('[1]Data 2026'!CD43="","",'[1]Data 2026'!CD43)</f>
        <v>46129</v>
      </c>
      <c r="CC31" s="685" t="str">
        <f>IF('[1]Data 2026'!CE43="","",'[1]Data 2026'!CE43)</f>
        <v/>
      </c>
      <c r="CD31" s="685" t="str">
        <f>IF('[1]Data 2026'!CF43="","",'[1]Data 2026'!CF43)</f>
        <v/>
      </c>
      <c r="CE31" s="685">
        <f>IF('[1]Data 2026'!CG43="","",'[1]Data 2026'!CG43)</f>
        <v>46107</v>
      </c>
      <c r="CF31" s="685">
        <f>IF('[1]Data 2026'!CH43="","",'[1]Data 2026'!CH43)</f>
        <v>46129</v>
      </c>
      <c r="CG31" s="685" t="str">
        <f>IF('[1]Data 2026'!CI43="","",'[1]Data 2026'!CI43)</f>
        <v>E11965</v>
      </c>
      <c r="CH31" s="685" t="str">
        <f>IF('[1]Data 2026'!CJ43="","",'[1]Data 2026'!CJ43)</f>
        <v/>
      </c>
      <c r="CI31" s="685">
        <f>IF('[1]Data 2026'!CK43="","",'[1]Data 2026'!CK43)</f>
        <v>46140</v>
      </c>
      <c r="CJ31" s="685" t="str">
        <f>IF('[1]Data 2026'!CM43="","",'[1]Data 2026'!CM43)</f>
        <v/>
      </c>
      <c r="CK31" s="685" t="str">
        <f>IF('[1]Data 2026'!CN43="","",'[1]Data 2026'!CN43)</f>
        <v>Sugmaran</v>
      </c>
      <c r="CL31" s="691"/>
      <c r="CM31" s="691" t="str">
        <f>IF('[1]Data 2026'!CP43="","",'[1]Data 2026'!CP43)</f>
        <v/>
      </c>
      <c r="CN31" s="691"/>
      <c r="CO31" s="693"/>
      <c r="CP31" s="693"/>
      <c r="CQ31" s="693"/>
      <c r="CR31" s="686">
        <f t="shared" si="4"/>
        <v>11</v>
      </c>
      <c r="CS31" s="686">
        <f t="shared" si="4"/>
        <v>0</v>
      </c>
      <c r="CT31" s="686">
        <f t="shared" si="4"/>
        <v>42</v>
      </c>
      <c r="CU31" s="686" t="str">
        <f t="shared" si="5"/>
        <v/>
      </c>
      <c r="CV31" s="686" t="str">
        <f t="shared" si="6"/>
        <v/>
      </c>
      <c r="CW31" s="685" t="str">
        <f t="shared" si="10"/>
        <v/>
      </c>
      <c r="CX31" s="685" t="str">
        <f t="shared" si="11"/>
        <v/>
      </c>
      <c r="CY31" s="693">
        <f t="shared" ca="1" si="7"/>
        <v>0</v>
      </c>
      <c r="CZ31" s="693" t="str">
        <f t="shared" si="8"/>
        <v/>
      </c>
      <c r="DB31"/>
      <c r="DC31"/>
    </row>
    <row r="32" spans="1:107" s="694" customFormat="1">
      <c r="A32" s="682" t="str">
        <f t="shared" si="0"/>
        <v>F. GATED IN, SAILING AWAITED</v>
      </c>
      <c r="B32" s="695" t="s">
        <v>1195</v>
      </c>
      <c r="C32" s="684" t="str">
        <f t="shared" si="1"/>
        <v>CLOSED POSITION</v>
      </c>
      <c r="D32" s="685" t="str">
        <f t="shared" si="9"/>
        <v/>
      </c>
      <c r="E32" s="685" t="str">
        <f t="shared" si="2"/>
        <v/>
      </c>
      <c r="F32" s="686">
        <f>IF('[1]Data 2026'!D44="","",'[1]Data 2026'!D44)</f>
        <v>47</v>
      </c>
      <c r="G32" s="686">
        <f>IF('[1]Data 2026'!E44="","",'[1]Data 2026'!E44)</f>
        <v>200</v>
      </c>
      <c r="H32" s="687" t="str">
        <f>IF('[1]Data 2026'!H44="","",'[1]Data 2026'!H44)</f>
        <v>32015968-3/5</v>
      </c>
      <c r="I32" s="688">
        <f>IF('[1]Data 2026'!AA44="","",'[1]Data 2026'!AA44)</f>
        <v>100</v>
      </c>
      <c r="J32" s="685" t="str">
        <f>IF('[1]Data 2026'!K44="","",'[1]Data 2026'!K44)</f>
        <v>APRIL</v>
      </c>
      <c r="K32" s="685">
        <v>46142</v>
      </c>
      <c r="L32" s="685" t="str">
        <f>IF('[1]Data 2026'!L44="","",'[1]Data 2026'!L44)</f>
        <v>VALENCY CI</v>
      </c>
      <c r="M32" s="685" t="str">
        <f>IF('[1]Data 2026'!M44="","",'[1]Data 2026'!M44)</f>
        <v>VALENCY AGRO INDIA UDUPI</v>
      </c>
      <c r="N32" s="685" t="s">
        <v>1198</v>
      </c>
      <c r="O32" s="689">
        <f>IF('[1]Data 2026'!N44="","",'[1]Data 2026'!N44)</f>
        <v>267489832</v>
      </c>
      <c r="P32" s="690" t="str">
        <f>IF('[1]Data 2026'!O44="","",'[1]Data 2026'!O44)</f>
        <v/>
      </c>
      <c r="Q32" s="685" t="str">
        <f>IF('[1]Data 2026'!P44="","",'[1]Data 2026'!P44)</f>
        <v/>
      </c>
      <c r="R32" s="685" t="str">
        <f>IF('[1]Data 2026'!Q44="","",'[1]Data 2026'!Q44)</f>
        <v>ABJ</v>
      </c>
      <c r="S32" s="685" t="s">
        <v>210</v>
      </c>
      <c r="T32" s="685" t="str">
        <f>IF('[1]Data 2026'!R44="","",'[1]Data 2026'!R44)</f>
        <v>MANGALORE, INDIA</v>
      </c>
      <c r="U32" s="685" t="str">
        <f>IF('[1]Data 2026'!S44="","",'[1]Data 2026'!S44)</f>
        <v>MAERSK CUANZA</v>
      </c>
      <c r="V32" s="685">
        <f>IF('[1]Data 2026'!T44="","",'[1]Data 2026'!T44)</f>
        <v>46107</v>
      </c>
      <c r="W32" s="685">
        <f>IF('[1]Data 2026'!U44="","",'[1]Data 2026'!U44)</f>
        <v>46118</v>
      </c>
      <c r="X32" s="685">
        <f>IF('[1]Data 2026'!V44="","",'[1]Data 2026'!V44)</f>
        <v>46118</v>
      </c>
      <c r="Y32" s="685">
        <f>IF('[1]Data 2026'!W44="","",'[1]Data 2026'!W44)</f>
        <v>46160</v>
      </c>
      <c r="Z32" s="685">
        <f>IF('[1]Data 2026'!X44="","",'[1]Data 2026'!X44)</f>
        <v>46202</v>
      </c>
      <c r="AA32" s="685"/>
      <c r="AB32" s="685">
        <f>IF('[1]Data 2026'!Y44="","",'[1]Data 2026'!Y44)</f>
        <v>46172</v>
      </c>
      <c r="AC32" s="685" t="str">
        <f>IF('[1]Data 2026'!Z44="","",'[1]Data 2026'!Z44)</f>
        <v/>
      </c>
      <c r="AD32" s="691">
        <f>IF('[1]Data 2026'!AA44="","",'[1]Data 2026'!AA44)</f>
        <v>100</v>
      </c>
      <c r="AE32" s="691">
        <f>IF('[1]Data 2026'!AB44="","",'[1]Data 2026'!AB44)</f>
        <v>100</v>
      </c>
      <c r="AF32" s="685">
        <f>IF('[1]Data 2026'!AC44="","",'[1]Data 2026'!AC44)</f>
        <v>45777</v>
      </c>
      <c r="AG32" s="685" t="str">
        <f>IF('[1]Data 2026'!AD44="","",'[1]Data 2026'!AD44)</f>
        <v>Ex-Olam</v>
      </c>
      <c r="AH32" s="686">
        <f>IF('[1]Data 2026'!AE44="","",'[1]Data 2026'!AE44)</f>
        <v>4</v>
      </c>
      <c r="AI32" s="685" t="str">
        <f>IF('[1]Data 2026'!AG44="","",'[1]Data 2026'!AG44)</f>
        <v xml:space="preserve">VALENCY SINGAPORE </v>
      </c>
      <c r="AJ32" s="685" t="str">
        <f>IF('[1]Data 2026'!AH44="","",'[1]Data 2026'!AH44)</f>
        <v>DUNAMIS/SITRACOM</v>
      </c>
      <c r="AK32" s="685" t="str">
        <f>IF('[1]Data 2026'!AI44="","",'[1]Data 2026'!AI44)</f>
        <v>MSK</v>
      </c>
      <c r="AL32" s="685" t="str">
        <f>IF('[1]Data 2026'!AJ44="","",'[1]Data 2026'!AJ44)</f>
        <v>40FT</v>
      </c>
      <c r="AM32" s="692">
        <f>IF('[1]Data 2026'!AK44="","",'[1]Data 2026'!AK44)</f>
        <v>0.1</v>
      </c>
      <c r="AN32" s="685" t="str">
        <f>IF('[1]Data 2026'!AL44="","",'[1]Data 2026'!AL44)</f>
        <v xml:space="preserve"> ( 1 x 100 MTS ) </v>
      </c>
      <c r="AO32" s="691">
        <f>IF('[1]Data 2026'!AM44="","",'[1]Data 2026'!AM44)</f>
        <v>110</v>
      </c>
      <c r="AP32" s="691" t="str">
        <f t="shared" si="3"/>
        <v/>
      </c>
      <c r="AQ32" s="685" t="str">
        <f>IF('[1]Data 2026'!AO44="","",'[1]Data 2026'!AO44)</f>
        <v/>
      </c>
      <c r="AR32" s="685" t="str">
        <f>IF('[1]Data 2026'!AP44="","",'[1]Data 2026'!AP44)</f>
        <v/>
      </c>
      <c r="AS32" s="685" t="str">
        <f>IF('[1]Data 2026'!AQ44="","",'[1]Data 2026'!AQ44)</f>
        <v/>
      </c>
      <c r="AT32" s="685" t="str">
        <f>IF('[1]Data 2026'!AR44="","",'[1]Data 2026'!AR44)</f>
        <v/>
      </c>
      <c r="AU32" s="685" t="str">
        <f>IF('[1]Data 2026'!AW44="","",'[1]Data 2026'!AW44)</f>
        <v/>
      </c>
      <c r="AV32" s="685" t="str">
        <f>IF('[1]Data 2026'!AX44="","",'[1]Data 2026'!AX44)</f>
        <v/>
      </c>
      <c r="AW32" s="685" t="str">
        <f>IF('[1]Data 2026'!AY44="","",'[1]Data 2026'!AY44)</f>
        <v/>
      </c>
      <c r="AX32" s="685" t="str">
        <f>IF('[1]Data 2026'!AZ44="","",'[1]Data 2026'!AZ44)</f>
        <v/>
      </c>
      <c r="AY32" s="685" t="str">
        <f>IF('[1]Data 2026'!BA44="","",'[1]Data 2026'!BA44)</f>
        <v/>
      </c>
      <c r="AZ32" s="685" t="str">
        <f>IF('[1]Data 2026'!AS44="","",'[1]Data 2026'!AS44)</f>
        <v/>
      </c>
      <c r="BA32" s="685" t="str">
        <f>IF('[1]Data 2026'!AT44="","",'[1]Data 2026'!AT44)</f>
        <v/>
      </c>
      <c r="BB32" s="685" t="str">
        <f>IF('[1]Data 2026'!AU44="","",'[1]Data 2026'!AU44)</f>
        <v/>
      </c>
      <c r="BC32" s="685" t="str">
        <f>IF('[1]Data 2026'!AV44="","",'[1]Data 2026'!AV44)</f>
        <v/>
      </c>
      <c r="BD32" s="685" t="str">
        <f>IF('[1]Data 2026'!AW44="","",'[1]Data 2026'!AW44)</f>
        <v/>
      </c>
      <c r="BE32" s="685" t="str">
        <f>IF('[1]Data 2026'!AX44="","",'[1]Data 2026'!AX44)</f>
        <v/>
      </c>
      <c r="BF32" s="685" t="str">
        <f>IF('[1]Data 2026'!BF44="","",'[1]Data 2026'!BF44)</f>
        <v xml:space="preserve">VALENCY SINGAPORE </v>
      </c>
      <c r="BG32" s="685" t="str">
        <f>IF('[1]Data 2026'!BG44="","",'[1]Data 2026'!BG44)</f>
        <v/>
      </c>
      <c r="BH32" s="685" t="str">
        <f>IF('[1]Data 2026'!BH44="","",'[1]Data 2026'!BH44)</f>
        <v/>
      </c>
      <c r="BI32" s="685" t="str">
        <f>IF('[1]Data 2026'!BI44="","",'[1]Data 2026'!BI44)</f>
        <v/>
      </c>
      <c r="BJ32" s="685" t="str">
        <f>IF('[1]Data 2026'!BJ44="","",'[1]Data 2026'!BJ44)</f>
        <v/>
      </c>
      <c r="BK32" s="685" t="str">
        <f>IF('[1]Data 2026'!BK44="","",'[1]Data 2026'!BK44)</f>
        <v/>
      </c>
      <c r="BL32" s="685" t="str">
        <f>IF('[1]Data 2026'!BL44="","",'[1]Data 2026'!BL44)</f>
        <v>DUNAMIS/SITRACOM</v>
      </c>
      <c r="BM32" s="685" t="str">
        <f>IF('[1]Data 2026'!BM44="","",'[1]Data 2026'!BM44)</f>
        <v/>
      </c>
      <c r="BN32" s="685" t="str">
        <f>IF('[1]Data 2026'!BN44="","",'[1]Data 2026'!BN44)</f>
        <v/>
      </c>
      <c r="BO32" s="685" t="str">
        <f>IF('[1]Data 2026'!BO44="","",'[1]Data 2026'!BO44)</f>
        <v/>
      </c>
      <c r="BP32" s="685" t="str">
        <f>IF('[1]Data 2026'!BP44="","",'[1]Data 2026'!BP44)</f>
        <v/>
      </c>
      <c r="BQ32" s="685" t="str">
        <f>IF('[1]Data 2026'!BQ44="","",'[1]Data 2026'!BQ44)</f>
        <v/>
      </c>
      <c r="BR32" s="685" t="str">
        <f>IF('[1]Data 2026'!BR44="","",'[1]Data 2026'!BR44)</f>
        <v/>
      </c>
      <c r="BS32" s="685" t="str">
        <f>IF('[1]Data 2026'!BS44="","",'[1]Data 2026'!BS44)</f>
        <v/>
      </c>
      <c r="BT32" s="685" t="str">
        <f>IF('[1]Data 2026'!BV44="","",'[1]Data 2026'!BV44)</f>
        <v>BOA/KTD</v>
      </c>
      <c r="BU32" s="685" t="str">
        <f>IF('[1]Data 2026'!BW44="","",'[1]Data 2026'!BW44)</f>
        <v/>
      </c>
      <c r="BV32" s="685" t="str">
        <f>IF('[1]Data 2026'!BX44="","",'[1]Data 2026'!BX44)</f>
        <v/>
      </c>
      <c r="BW32" s="685" t="str">
        <f>IF('[1]Data 2026'!BY44="","",'[1]Data 2026'!BY44)</f>
        <v/>
      </c>
      <c r="BX32" s="685" t="str">
        <f>IF('[1]Data 2026'!BZ44="","",'[1]Data 2026'!BZ44)</f>
        <v/>
      </c>
      <c r="BY32" s="685" t="str">
        <f>IF('[1]Data 2026'!CA44="","",'[1]Data 2026'!CA44)</f>
        <v>182610-14865</v>
      </c>
      <c r="BZ32" s="685">
        <f>IF('[1]Data 2026'!CB44="","",'[1]Data 2026'!CB44)</f>
        <v>46129</v>
      </c>
      <c r="CA32" s="685" t="str">
        <f>IF('[1]Data 2026'!CC44="","",'[1]Data 2026'!CC44)</f>
        <v>2026-0181</v>
      </c>
      <c r="CB32" s="685">
        <f>IF('[1]Data 2026'!CD44="","",'[1]Data 2026'!CD44)</f>
        <v>46129</v>
      </c>
      <c r="CC32" s="685" t="str">
        <f>IF('[1]Data 2026'!CE44="","",'[1]Data 2026'!CE44)</f>
        <v/>
      </c>
      <c r="CD32" s="685" t="str">
        <f>IF('[1]Data 2026'!CF44="","",'[1]Data 2026'!CF44)</f>
        <v/>
      </c>
      <c r="CE32" s="685">
        <f>IF('[1]Data 2026'!CG44="","",'[1]Data 2026'!CG44)</f>
        <v>46107</v>
      </c>
      <c r="CF32" s="685">
        <f>IF('[1]Data 2026'!CH44="","",'[1]Data 2026'!CH44)</f>
        <v>46129</v>
      </c>
      <c r="CG32" s="685" t="str">
        <f>IF('[1]Data 2026'!CI44="","",'[1]Data 2026'!CI44)</f>
        <v>E11965</v>
      </c>
      <c r="CH32" s="685" t="str">
        <f>IF('[1]Data 2026'!CJ44="","",'[1]Data 2026'!CJ44)</f>
        <v/>
      </c>
      <c r="CI32" s="685">
        <f>IF('[1]Data 2026'!CK44="","",'[1]Data 2026'!CK44)</f>
        <v>46140</v>
      </c>
      <c r="CJ32" s="685" t="str">
        <f>IF('[1]Data 2026'!CM44="","",'[1]Data 2026'!CM44)</f>
        <v/>
      </c>
      <c r="CK32" s="685" t="str">
        <f>IF('[1]Data 2026'!CN44="","",'[1]Data 2026'!CN44)</f>
        <v>Sugmaran</v>
      </c>
      <c r="CL32" s="691"/>
      <c r="CM32" s="691" t="str">
        <f>IF('[1]Data 2026'!CP44="","",'[1]Data 2026'!CP44)</f>
        <v/>
      </c>
      <c r="CN32" s="691"/>
      <c r="CO32" s="693"/>
      <c r="CP32" s="693"/>
      <c r="CQ32" s="693"/>
      <c r="CR32" s="686">
        <f t="shared" si="4"/>
        <v>11</v>
      </c>
      <c r="CS32" s="686">
        <f t="shared" si="4"/>
        <v>0</v>
      </c>
      <c r="CT32" s="686">
        <f t="shared" si="4"/>
        <v>42</v>
      </c>
      <c r="CU32" s="686" t="str">
        <f t="shared" si="5"/>
        <v/>
      </c>
      <c r="CV32" s="686" t="str">
        <f t="shared" si="6"/>
        <v/>
      </c>
      <c r="CW32" s="685" t="str">
        <f t="shared" si="10"/>
        <v/>
      </c>
      <c r="CX32" s="685" t="str">
        <f t="shared" si="11"/>
        <v/>
      </c>
      <c r="CY32" s="693">
        <f t="shared" ca="1" si="7"/>
        <v>0</v>
      </c>
      <c r="CZ32" s="693" t="str">
        <f t="shared" si="8"/>
        <v/>
      </c>
      <c r="DB32"/>
      <c r="DC32"/>
    </row>
    <row r="33" spans="1:107" s="694" customFormat="1">
      <c r="A33" s="682" t="str">
        <f t="shared" si="0"/>
        <v>F. GATED IN, SAILING AWAITED</v>
      </c>
      <c r="B33" s="695" t="s">
        <v>1195</v>
      </c>
      <c r="C33" s="684" t="str">
        <f t="shared" si="1"/>
        <v>CLOSED POSITION</v>
      </c>
      <c r="D33" s="685" t="str">
        <f t="shared" si="9"/>
        <v/>
      </c>
      <c r="E33" s="685" t="str">
        <f t="shared" si="2"/>
        <v/>
      </c>
      <c r="F33" s="686">
        <f>IF('[1]Data 2026'!D45="","",'[1]Data 2026'!D45)</f>
        <v>49</v>
      </c>
      <c r="G33" s="686">
        <f>IF('[1]Data 2026'!E45="","",'[1]Data 2026'!E45)</f>
        <v>200</v>
      </c>
      <c r="H33" s="687">
        <f>IF('[1]Data 2026'!H45="","",'[1]Data 2026'!H45)</f>
        <v>32014492</v>
      </c>
      <c r="I33" s="688">
        <f>IF('[1]Data 2026'!AA45="","",'[1]Data 2026'!AA45)</f>
        <v>100</v>
      </c>
      <c r="J33" s="685" t="str">
        <f>IF('[1]Data 2026'!K45="","",'[1]Data 2026'!K45)</f>
        <v>APRIL</v>
      </c>
      <c r="K33" s="685">
        <v>46142</v>
      </c>
      <c r="L33" s="685" t="str">
        <f>IF('[1]Data 2026'!L45="","",'[1]Data 2026'!L45)</f>
        <v>VALENCY CI</v>
      </c>
      <c r="M33" s="685" t="str">
        <f>IF('[1]Data 2026'!M45="","",'[1]Data 2026'!M45)</f>
        <v>ST. GREGORIOUS CASHEW</v>
      </c>
      <c r="N33" s="685" t="s">
        <v>1198</v>
      </c>
      <c r="O33" s="689">
        <f>IF('[1]Data 2026'!N45="","",'[1]Data 2026'!N45)</f>
        <v>267465107</v>
      </c>
      <c r="P33" s="690">
        <f>IF('[1]Data 2026'!O45="","",'[1]Data 2026'!O45)</f>
        <v>270261409</v>
      </c>
      <c r="Q33" s="685" t="str">
        <f>IF('[1]Data 2026'!P45="","",'[1]Data 2026'!P45)</f>
        <v/>
      </c>
      <c r="R33" s="685" t="str">
        <f>IF('[1]Data 2026'!Q45="","",'[1]Data 2026'!Q45)</f>
        <v>ABJ</v>
      </c>
      <c r="S33" s="685" t="s">
        <v>210</v>
      </c>
      <c r="T33" s="685" t="str">
        <f>IF('[1]Data 2026'!R45="","",'[1]Data 2026'!R45)</f>
        <v>COCHIN, INDIA</v>
      </c>
      <c r="U33" s="685" t="str">
        <f>IF('[1]Data 2026'!S45="","",'[1]Data 2026'!S45)</f>
        <v>MAERSK CUANZA</v>
      </c>
      <c r="V33" s="685">
        <f>IF('[1]Data 2026'!T45="","",'[1]Data 2026'!T45)</f>
        <v>46109</v>
      </c>
      <c r="W33" s="685">
        <f>IF('[1]Data 2026'!U45="","",'[1]Data 2026'!U45)</f>
        <v>46132</v>
      </c>
      <c r="X33" s="685">
        <f>IF('[1]Data 2026'!V45="","",'[1]Data 2026'!V45)</f>
        <v>46132</v>
      </c>
      <c r="Y33" s="685">
        <f>IF('[1]Data 2026'!W45="","",'[1]Data 2026'!W45)</f>
        <v>46159</v>
      </c>
      <c r="Z33" s="685">
        <f>IF('[1]Data 2026'!X45="","",'[1]Data 2026'!X45)</f>
        <v>46178</v>
      </c>
      <c r="AA33" s="685"/>
      <c r="AB33" s="685">
        <f>IF('[1]Data 2026'!Y45="","",'[1]Data 2026'!Y45)</f>
        <v>46172</v>
      </c>
      <c r="AC33" s="685" t="str">
        <f>IF('[1]Data 2026'!Z45="","",'[1]Data 2026'!Z45)</f>
        <v/>
      </c>
      <c r="AD33" s="691">
        <f>IF('[1]Data 2026'!AA45="","",'[1]Data 2026'!AA45)</f>
        <v>100</v>
      </c>
      <c r="AE33" s="691">
        <f>IF('[1]Data 2026'!AB45="","",'[1]Data 2026'!AB45)</f>
        <v>100</v>
      </c>
      <c r="AF33" s="685">
        <f>IF('[1]Data 2026'!AC45="","",'[1]Data 2026'!AC45)</f>
        <v>45777</v>
      </c>
      <c r="AG33" s="685" t="str">
        <f>IF('[1]Data 2026'!AD45="","",'[1]Data 2026'!AD45)</f>
        <v>WH-I</v>
      </c>
      <c r="AH33" s="686">
        <f>IF('[1]Data 2026'!AE45="","",'[1]Data 2026'!AE45)</f>
        <v>4</v>
      </c>
      <c r="AI33" s="685" t="str">
        <f>IF('[1]Data 2026'!AG45="","",'[1]Data 2026'!AG45)</f>
        <v xml:space="preserve">VALENCY SINGAPORE </v>
      </c>
      <c r="AJ33" s="685" t="str">
        <f>IF('[1]Data 2026'!AH45="","",'[1]Data 2026'!AH45)</f>
        <v>DUNAMIS/SITRACOM</v>
      </c>
      <c r="AK33" s="685" t="str">
        <f>IF('[1]Data 2026'!AI45="","",'[1]Data 2026'!AI45)</f>
        <v>MSK</v>
      </c>
      <c r="AL33" s="685" t="str">
        <f>IF('[1]Data 2026'!AJ45="","",'[1]Data 2026'!AJ45)</f>
        <v>40FT</v>
      </c>
      <c r="AM33" s="692">
        <f>IF('[1]Data 2026'!AK45="","",'[1]Data 2026'!AK45)</f>
        <v>0.1</v>
      </c>
      <c r="AN33" s="685" t="str">
        <f>IF('[1]Data 2026'!AL45="","",'[1]Data 2026'!AL45)</f>
        <v xml:space="preserve"> ( 1 x 100 MTS ) </v>
      </c>
      <c r="AO33" s="691">
        <f>IF('[1]Data 2026'!AM45="","",'[1]Data 2026'!AM45)</f>
        <v>110</v>
      </c>
      <c r="AP33" s="691" t="str">
        <f t="shared" si="3"/>
        <v/>
      </c>
      <c r="AQ33" s="685" t="str">
        <f>IF('[1]Data 2026'!AO45="","",'[1]Data 2026'!AO45)</f>
        <v/>
      </c>
      <c r="AR33" s="685" t="str">
        <f>IF('[1]Data 2026'!AP45="","",'[1]Data 2026'!AP45)</f>
        <v/>
      </c>
      <c r="AS33" s="685" t="str">
        <f>IF('[1]Data 2026'!AQ45="","",'[1]Data 2026'!AQ45)</f>
        <v/>
      </c>
      <c r="AT33" s="685" t="str">
        <f>IF('[1]Data 2026'!AR45="","",'[1]Data 2026'!AR45)</f>
        <v/>
      </c>
      <c r="AU33" s="685" t="str">
        <f>IF('[1]Data 2026'!AW45="","",'[1]Data 2026'!AW45)</f>
        <v/>
      </c>
      <c r="AV33" s="685" t="str">
        <f>IF('[1]Data 2026'!AX45="","",'[1]Data 2026'!AX45)</f>
        <v/>
      </c>
      <c r="AW33" s="685" t="str">
        <f>IF('[1]Data 2026'!AY45="","",'[1]Data 2026'!AY45)</f>
        <v/>
      </c>
      <c r="AX33" s="685" t="str">
        <f>IF('[1]Data 2026'!AZ45="","",'[1]Data 2026'!AZ45)</f>
        <v/>
      </c>
      <c r="AY33" s="685" t="str">
        <f>IF('[1]Data 2026'!BA45="","",'[1]Data 2026'!BA45)</f>
        <v/>
      </c>
      <c r="AZ33" s="685" t="str">
        <f>IF('[1]Data 2026'!AS45="","",'[1]Data 2026'!AS45)</f>
        <v/>
      </c>
      <c r="BA33" s="685" t="str">
        <f>IF('[1]Data 2026'!AT45="","",'[1]Data 2026'!AT45)</f>
        <v/>
      </c>
      <c r="BB33" s="685" t="str">
        <f>IF('[1]Data 2026'!AU45="","",'[1]Data 2026'!AU45)</f>
        <v/>
      </c>
      <c r="BC33" s="685" t="str">
        <f>IF('[1]Data 2026'!AV45="","",'[1]Data 2026'!AV45)</f>
        <v/>
      </c>
      <c r="BD33" s="685" t="str">
        <f>IF('[1]Data 2026'!AW45="","",'[1]Data 2026'!AW45)</f>
        <v/>
      </c>
      <c r="BE33" s="685" t="str">
        <f>IF('[1]Data 2026'!AX45="","",'[1]Data 2026'!AX45)</f>
        <v/>
      </c>
      <c r="BF33" s="685" t="str">
        <f>IF('[1]Data 2026'!BF45="","",'[1]Data 2026'!BF45)</f>
        <v xml:space="preserve">VALENCY SINGAPORE </v>
      </c>
      <c r="BG33" s="685" t="str">
        <f>IF('[1]Data 2026'!BG45="","",'[1]Data 2026'!BG45)</f>
        <v/>
      </c>
      <c r="BH33" s="685" t="str">
        <f>IF('[1]Data 2026'!BH45="","",'[1]Data 2026'!BH45)</f>
        <v/>
      </c>
      <c r="BI33" s="685" t="str">
        <f>IF('[1]Data 2026'!BI45="","",'[1]Data 2026'!BI45)</f>
        <v/>
      </c>
      <c r="BJ33" s="685" t="str">
        <f>IF('[1]Data 2026'!BJ45="","",'[1]Data 2026'!BJ45)</f>
        <v/>
      </c>
      <c r="BK33" s="685" t="str">
        <f>IF('[1]Data 2026'!BK45="","",'[1]Data 2026'!BK45)</f>
        <v/>
      </c>
      <c r="BL33" s="685" t="str">
        <f>IF('[1]Data 2026'!BL45="","",'[1]Data 2026'!BL45)</f>
        <v>DUNAMIS/SITRACOM</v>
      </c>
      <c r="BM33" s="685" t="str">
        <f>IF('[1]Data 2026'!BM45="","",'[1]Data 2026'!BM45)</f>
        <v/>
      </c>
      <c r="BN33" s="685" t="str">
        <f>IF('[1]Data 2026'!BN45="","",'[1]Data 2026'!BN45)</f>
        <v/>
      </c>
      <c r="BO33" s="685" t="str">
        <f>IF('[1]Data 2026'!BO45="","",'[1]Data 2026'!BO45)</f>
        <v/>
      </c>
      <c r="BP33" s="685" t="str">
        <f>IF('[1]Data 2026'!BP45="","",'[1]Data 2026'!BP45)</f>
        <v/>
      </c>
      <c r="BQ33" s="685" t="str">
        <f>IF('[1]Data 2026'!BQ45="","",'[1]Data 2026'!BQ45)</f>
        <v/>
      </c>
      <c r="BR33" s="685" t="str">
        <f>IF('[1]Data 2026'!BR45="","",'[1]Data 2026'!BR45)</f>
        <v/>
      </c>
      <c r="BS33" s="685" t="str">
        <f>IF('[1]Data 2026'!BS45="","",'[1]Data 2026'!BS45)</f>
        <v/>
      </c>
      <c r="BT33" s="685" t="str">
        <f>IF('[1]Data 2026'!BV45="","",'[1]Data 2026'!BV45)</f>
        <v>ABSA/CMI</v>
      </c>
      <c r="BU33" s="685" t="str">
        <f>IF('[1]Data 2026'!BW45="","",'[1]Data 2026'!BW45)</f>
        <v/>
      </c>
      <c r="BV33" s="685" t="str">
        <f>IF('[1]Data 2026'!BX45="","",'[1]Data 2026'!BX45)</f>
        <v/>
      </c>
      <c r="BW33" s="685" t="str">
        <f>IF('[1]Data 2026'!BY45="","",'[1]Data 2026'!BY45)</f>
        <v/>
      </c>
      <c r="BX33" s="685" t="str">
        <f>IF('[1]Data 2026'!BZ45="","",'[1]Data 2026'!BZ45)</f>
        <v/>
      </c>
      <c r="BY33" s="685" t="str">
        <f>IF('[1]Data 2026'!CA45="","",'[1]Data 2026'!CA45)</f>
        <v>182610-14924</v>
      </c>
      <c r="BZ33" s="685">
        <f>IF('[1]Data 2026'!CB45="","",'[1]Data 2026'!CB45)</f>
        <v>46134</v>
      </c>
      <c r="CA33" s="685" t="str">
        <f>IF('[1]Data 2026'!CC45="","",'[1]Data 2026'!CC45)</f>
        <v/>
      </c>
      <c r="CB33" s="685" t="str">
        <f>IF('[1]Data 2026'!CD45="","",'[1]Data 2026'!CD45)</f>
        <v/>
      </c>
      <c r="CC33" s="685" t="str">
        <f>IF('[1]Data 2026'!CE45="","",'[1]Data 2026'!CE45)</f>
        <v/>
      </c>
      <c r="CD33" s="685" t="str">
        <f>IF('[1]Data 2026'!CF45="","",'[1]Data 2026'!CF45)</f>
        <v/>
      </c>
      <c r="CE33" s="685">
        <f>IF('[1]Data 2026'!CG45="","",'[1]Data 2026'!CG45)</f>
        <v>46109</v>
      </c>
      <c r="CF33" s="685">
        <f>IF('[1]Data 2026'!CH45="","",'[1]Data 2026'!CH45)</f>
        <v>46129</v>
      </c>
      <c r="CG33" s="685" t="str">
        <f>IF('[1]Data 2026'!CI45="","",'[1]Data 2026'!CI45)</f>
        <v>E12087</v>
      </c>
      <c r="CH33" s="685" t="str">
        <f>IF('[1]Data 2026'!CJ45="","",'[1]Data 2026'!CJ45)</f>
        <v/>
      </c>
      <c r="CI33" s="685">
        <f>IF('[1]Data 2026'!CK45="","",'[1]Data 2026'!CK45)</f>
        <v>46140</v>
      </c>
      <c r="CJ33" s="685" t="str">
        <f>IF('[1]Data 2026'!CM45="","",'[1]Data 2026'!CM45)</f>
        <v/>
      </c>
      <c r="CK33" s="685" t="str">
        <f>IF('[1]Data 2026'!CN45="","",'[1]Data 2026'!CN45)</f>
        <v>Ajeesh</v>
      </c>
      <c r="CL33" s="691"/>
      <c r="CM33" s="691" t="str">
        <f>IF('[1]Data 2026'!CP45="","",'[1]Data 2026'!CP45)</f>
        <v/>
      </c>
      <c r="CN33" s="691"/>
      <c r="CO33" s="693"/>
      <c r="CP33" s="693"/>
      <c r="CQ33" s="693"/>
      <c r="CR33" s="686">
        <f t="shared" si="4"/>
        <v>23</v>
      </c>
      <c r="CS33" s="686">
        <f t="shared" si="4"/>
        <v>0</v>
      </c>
      <c r="CT33" s="686">
        <f t="shared" si="4"/>
        <v>27</v>
      </c>
      <c r="CU33" s="686" t="str">
        <f t="shared" si="5"/>
        <v/>
      </c>
      <c r="CV33" s="686" t="str">
        <f t="shared" si="6"/>
        <v/>
      </c>
      <c r="CW33" s="685" t="str">
        <f t="shared" si="10"/>
        <v/>
      </c>
      <c r="CX33" s="685" t="str">
        <f t="shared" si="11"/>
        <v/>
      </c>
      <c r="CY33" s="693">
        <f t="shared" ca="1" si="7"/>
        <v>0</v>
      </c>
      <c r="CZ33" s="693" t="str">
        <f t="shared" si="8"/>
        <v/>
      </c>
      <c r="DB33"/>
      <c r="DC33"/>
    </row>
    <row r="34" spans="1:107" s="694" customFormat="1">
      <c r="A34" s="682" t="str">
        <f t="shared" si="0"/>
        <v>F. GATED IN, SAILING AWAITED</v>
      </c>
      <c r="B34" s="695" t="s">
        <v>1195</v>
      </c>
      <c r="C34" s="684" t="str">
        <f t="shared" si="1"/>
        <v>CLOSED POSITION</v>
      </c>
      <c r="D34" s="685" t="str">
        <f t="shared" si="9"/>
        <v/>
      </c>
      <c r="E34" s="685" t="str">
        <f t="shared" si="2"/>
        <v/>
      </c>
      <c r="F34" s="686">
        <f>IF('[1]Data 2026'!D46="","",'[1]Data 2026'!D46)</f>
        <v>48</v>
      </c>
      <c r="G34" s="686">
        <f>IF('[1]Data 2026'!E46="","",'[1]Data 2026'!E46)</f>
        <v>200</v>
      </c>
      <c r="H34" s="687">
        <f>IF('[1]Data 2026'!H46="","",'[1]Data 2026'!H46)</f>
        <v>32014537</v>
      </c>
      <c r="I34" s="688">
        <f>IF('[1]Data 2026'!AA46="","",'[1]Data 2026'!AA46)</f>
        <v>200</v>
      </c>
      <c r="J34" s="685" t="str">
        <f>IF('[1]Data 2026'!K46="","",'[1]Data 2026'!K46)</f>
        <v>APRIL</v>
      </c>
      <c r="K34" s="685">
        <v>46142</v>
      </c>
      <c r="L34" s="685" t="str">
        <f>IF('[1]Data 2026'!L46="","",'[1]Data 2026'!L46)</f>
        <v>VALENCY CI</v>
      </c>
      <c r="M34" s="685" t="str">
        <f>IF('[1]Data 2026'!M46="","",'[1]Data 2026'!M46)</f>
        <v>ST. GREGORIOUS CASHEW</v>
      </c>
      <c r="N34" s="685" t="s">
        <v>1198</v>
      </c>
      <c r="O34" s="689" t="str">
        <f>IF('[1]Data 2026'!N46="","",'[1]Data 2026'!N46)</f>
        <v>267465107-1</v>
      </c>
      <c r="P34" s="690">
        <f>IF('[1]Data 2026'!O46="","",'[1]Data 2026'!O46)</f>
        <v>267465107</v>
      </c>
      <c r="Q34" s="685" t="str">
        <f>IF('[1]Data 2026'!P46="","",'[1]Data 2026'!P46)</f>
        <v/>
      </c>
      <c r="R34" s="685" t="str">
        <f>IF('[1]Data 2026'!Q46="","",'[1]Data 2026'!Q46)</f>
        <v>ABJ</v>
      </c>
      <c r="S34" s="685" t="s">
        <v>210</v>
      </c>
      <c r="T34" s="685" t="str">
        <f>IF('[1]Data 2026'!R46="","",'[1]Data 2026'!R46)</f>
        <v>COCHIN, INDIA</v>
      </c>
      <c r="U34" s="685" t="str">
        <f>IF('[1]Data 2026'!S46="","",'[1]Data 2026'!S46)</f>
        <v>MAERSK CUANZA</v>
      </c>
      <c r="V34" s="685">
        <f>IF('[1]Data 2026'!T46="","",'[1]Data 2026'!T46)</f>
        <v>46109</v>
      </c>
      <c r="W34" s="685">
        <f>IF('[1]Data 2026'!U46="","",'[1]Data 2026'!U46)</f>
        <v>46121</v>
      </c>
      <c r="X34" s="685">
        <f>IF('[1]Data 2026'!V46="","",'[1]Data 2026'!V46)</f>
        <v>46123</v>
      </c>
      <c r="Y34" s="685">
        <f>IF('[1]Data 2026'!W46="","",'[1]Data 2026'!W46)</f>
        <v>46159</v>
      </c>
      <c r="Z34" s="685">
        <f>IF('[1]Data 2026'!X46="","",'[1]Data 2026'!X46)</f>
        <v>46178</v>
      </c>
      <c r="AA34" s="685"/>
      <c r="AB34" s="685">
        <f>IF('[1]Data 2026'!Y46="","",'[1]Data 2026'!Y46)</f>
        <v>46172</v>
      </c>
      <c r="AC34" s="685" t="str">
        <f>IF('[1]Data 2026'!Z46="","",'[1]Data 2026'!Z46)</f>
        <v/>
      </c>
      <c r="AD34" s="691">
        <f>IF('[1]Data 2026'!AA46="","",'[1]Data 2026'!AA46)</f>
        <v>200</v>
      </c>
      <c r="AE34" s="691">
        <f>IF('[1]Data 2026'!AB46="","",'[1]Data 2026'!AB46)</f>
        <v>200</v>
      </c>
      <c r="AF34" s="685">
        <f>IF('[1]Data 2026'!AC46="","",'[1]Data 2026'!AC46)</f>
        <v>45777</v>
      </c>
      <c r="AG34" s="685" t="str">
        <f>IF('[1]Data 2026'!AD46="","",'[1]Data 2026'!AD46)</f>
        <v>WH-I</v>
      </c>
      <c r="AH34" s="686">
        <f>IF('[1]Data 2026'!AE46="","",'[1]Data 2026'!AE46)</f>
        <v>8</v>
      </c>
      <c r="AI34" s="685" t="str">
        <f>IF('[1]Data 2026'!AG46="","",'[1]Data 2026'!AG46)</f>
        <v xml:space="preserve">VALENCY SINGAPORE </v>
      </c>
      <c r="AJ34" s="685" t="str">
        <f>IF('[1]Data 2026'!AH46="","",'[1]Data 2026'!AH46)</f>
        <v>DUNAMIS/SITRACOM</v>
      </c>
      <c r="AK34" s="685" t="str">
        <f>IF('[1]Data 2026'!AI46="","",'[1]Data 2026'!AI46)</f>
        <v>MSK</v>
      </c>
      <c r="AL34" s="685" t="str">
        <f>IF('[1]Data 2026'!AJ46="","",'[1]Data 2026'!AJ46)</f>
        <v>40FT</v>
      </c>
      <c r="AM34" s="692">
        <f>IF('[1]Data 2026'!AK46="","",'[1]Data 2026'!AK46)</f>
        <v>0.1</v>
      </c>
      <c r="AN34" s="685" t="str">
        <f>IF('[1]Data 2026'!AL46="","",'[1]Data 2026'!AL46)</f>
        <v xml:space="preserve"> ( 1 x 200 MTS ) </v>
      </c>
      <c r="AO34" s="691">
        <f>IF('[1]Data 2026'!AM46="","",'[1]Data 2026'!AM46)</f>
        <v>220</v>
      </c>
      <c r="AP34" s="691" t="str">
        <f t="shared" si="3"/>
        <v/>
      </c>
      <c r="AQ34" s="685" t="str">
        <f>IF('[1]Data 2026'!AO46="","",'[1]Data 2026'!AO46)</f>
        <v/>
      </c>
      <c r="AR34" s="685" t="str">
        <f>IF('[1]Data 2026'!AP46="","",'[1]Data 2026'!AP46)</f>
        <v/>
      </c>
      <c r="AS34" s="685" t="str">
        <f>IF('[1]Data 2026'!AQ46="","",'[1]Data 2026'!AQ46)</f>
        <v/>
      </c>
      <c r="AT34" s="685" t="str">
        <f>IF('[1]Data 2026'!AR46="","",'[1]Data 2026'!AR46)</f>
        <v/>
      </c>
      <c r="AU34" s="685" t="str">
        <f>IF('[1]Data 2026'!AW46="","",'[1]Data 2026'!AW46)</f>
        <v/>
      </c>
      <c r="AV34" s="685" t="str">
        <f>IF('[1]Data 2026'!AX46="","",'[1]Data 2026'!AX46)</f>
        <v/>
      </c>
      <c r="AW34" s="685" t="str">
        <f>IF('[1]Data 2026'!AY46="","",'[1]Data 2026'!AY46)</f>
        <v/>
      </c>
      <c r="AX34" s="685" t="str">
        <f>IF('[1]Data 2026'!AZ46="","",'[1]Data 2026'!AZ46)</f>
        <v/>
      </c>
      <c r="AY34" s="685" t="str">
        <f>IF('[1]Data 2026'!BA46="","",'[1]Data 2026'!BA46)</f>
        <v/>
      </c>
      <c r="AZ34" s="685" t="str">
        <f>IF('[1]Data 2026'!AS46="","",'[1]Data 2026'!AS46)</f>
        <v/>
      </c>
      <c r="BA34" s="685" t="str">
        <f>IF('[1]Data 2026'!AT46="","",'[1]Data 2026'!AT46)</f>
        <v/>
      </c>
      <c r="BB34" s="685" t="str">
        <f>IF('[1]Data 2026'!AU46="","",'[1]Data 2026'!AU46)</f>
        <v/>
      </c>
      <c r="BC34" s="685" t="str">
        <f>IF('[1]Data 2026'!AV46="","",'[1]Data 2026'!AV46)</f>
        <v/>
      </c>
      <c r="BD34" s="685" t="str">
        <f>IF('[1]Data 2026'!AW46="","",'[1]Data 2026'!AW46)</f>
        <v/>
      </c>
      <c r="BE34" s="685" t="str">
        <f>IF('[1]Data 2026'!AX46="","",'[1]Data 2026'!AX46)</f>
        <v/>
      </c>
      <c r="BF34" s="685" t="str">
        <f>IF('[1]Data 2026'!BF46="","",'[1]Data 2026'!BF46)</f>
        <v xml:space="preserve">VALENCY SINGAPORE </v>
      </c>
      <c r="BG34" s="685" t="str">
        <f>IF('[1]Data 2026'!BG46="","",'[1]Data 2026'!BG46)</f>
        <v/>
      </c>
      <c r="BH34" s="685" t="str">
        <f>IF('[1]Data 2026'!BH46="","",'[1]Data 2026'!BH46)</f>
        <v/>
      </c>
      <c r="BI34" s="685" t="str">
        <f>IF('[1]Data 2026'!BI46="","",'[1]Data 2026'!BI46)</f>
        <v/>
      </c>
      <c r="BJ34" s="685" t="str">
        <f>IF('[1]Data 2026'!BJ46="","",'[1]Data 2026'!BJ46)</f>
        <v/>
      </c>
      <c r="BK34" s="685" t="str">
        <f>IF('[1]Data 2026'!BK46="","",'[1]Data 2026'!BK46)</f>
        <v/>
      </c>
      <c r="BL34" s="685" t="str">
        <f>IF('[1]Data 2026'!BL46="","",'[1]Data 2026'!BL46)</f>
        <v>DUNAMIS/SITRACOM</v>
      </c>
      <c r="BM34" s="685" t="str">
        <f>IF('[1]Data 2026'!BM46="","",'[1]Data 2026'!BM46)</f>
        <v/>
      </c>
      <c r="BN34" s="685" t="str">
        <f>IF('[1]Data 2026'!BN46="","",'[1]Data 2026'!BN46)</f>
        <v/>
      </c>
      <c r="BO34" s="685" t="str">
        <f>IF('[1]Data 2026'!BO46="","",'[1]Data 2026'!BO46)</f>
        <v/>
      </c>
      <c r="BP34" s="685" t="str">
        <f>IF('[1]Data 2026'!BP46="","",'[1]Data 2026'!BP46)</f>
        <v/>
      </c>
      <c r="BQ34" s="685" t="str">
        <f>IF('[1]Data 2026'!BQ46="","",'[1]Data 2026'!BQ46)</f>
        <v/>
      </c>
      <c r="BR34" s="685" t="str">
        <f>IF('[1]Data 2026'!BR46="","",'[1]Data 2026'!BR46)</f>
        <v/>
      </c>
      <c r="BS34" s="685" t="str">
        <f>IF('[1]Data 2026'!BS46="","",'[1]Data 2026'!BS46)</f>
        <v/>
      </c>
      <c r="BT34" s="685" t="str">
        <f>IF('[1]Data 2026'!BV46="","",'[1]Data 2026'!BV46)</f>
        <v>ABSA/CMI</v>
      </c>
      <c r="BU34" s="685" t="str">
        <f>IF('[1]Data 2026'!BW46="","",'[1]Data 2026'!BW46)</f>
        <v/>
      </c>
      <c r="BV34" s="685" t="str">
        <f>IF('[1]Data 2026'!BX46="","",'[1]Data 2026'!BX46)</f>
        <v/>
      </c>
      <c r="BW34" s="685" t="str">
        <f>IF('[1]Data 2026'!BY46="","",'[1]Data 2026'!BY46)</f>
        <v/>
      </c>
      <c r="BX34" s="685" t="str">
        <f>IF('[1]Data 2026'!BZ46="","",'[1]Data 2026'!BZ46)</f>
        <v/>
      </c>
      <c r="BY34" s="685" t="str">
        <f>IF('[1]Data 2026'!CA46="","",'[1]Data 2026'!CA46)</f>
        <v>182610-14812</v>
      </c>
      <c r="BZ34" s="685">
        <f>IF('[1]Data 2026'!CB46="","",'[1]Data 2026'!CB46)</f>
        <v>46128</v>
      </c>
      <c r="CA34" s="685" t="str">
        <f>IF('[1]Data 2026'!CC46="","",'[1]Data 2026'!CC46)</f>
        <v>2026-0119</v>
      </c>
      <c r="CB34" s="685">
        <f>IF('[1]Data 2026'!CD46="","",'[1]Data 2026'!CD46)</f>
        <v>46128</v>
      </c>
      <c r="CC34" s="685" t="str">
        <f>IF('[1]Data 2026'!CE46="","",'[1]Data 2026'!CE46)</f>
        <v/>
      </c>
      <c r="CD34" s="685" t="str">
        <f>IF('[1]Data 2026'!CF46="","",'[1]Data 2026'!CF46)</f>
        <v/>
      </c>
      <c r="CE34" s="685">
        <f>IF('[1]Data 2026'!CG46="","",'[1]Data 2026'!CG46)</f>
        <v>46109</v>
      </c>
      <c r="CF34" s="685">
        <f>IF('[1]Data 2026'!CH46="","",'[1]Data 2026'!CH46)</f>
        <v>46128</v>
      </c>
      <c r="CG34" s="685" t="str">
        <f>IF('[1]Data 2026'!CI46="","",'[1]Data 2026'!CI46)</f>
        <v>E11856</v>
      </c>
      <c r="CH34" s="685" t="str">
        <f>IF('[1]Data 2026'!CJ46="","",'[1]Data 2026'!CJ46)</f>
        <v/>
      </c>
      <c r="CI34" s="685">
        <f>IF('[1]Data 2026'!CK46="","",'[1]Data 2026'!CK46)</f>
        <v>46140</v>
      </c>
      <c r="CJ34" s="685" t="str">
        <f>IF('[1]Data 2026'!CM46="","",'[1]Data 2026'!CM46)</f>
        <v/>
      </c>
      <c r="CK34" s="685" t="str">
        <f>IF('[1]Data 2026'!CN46="","",'[1]Data 2026'!CN46)</f>
        <v>Ajeesh</v>
      </c>
      <c r="CL34" s="691"/>
      <c r="CM34" s="691" t="str">
        <f>IF('[1]Data 2026'!CP46="","",'[1]Data 2026'!CP46)</f>
        <v/>
      </c>
      <c r="CN34" s="691"/>
      <c r="CO34" s="693"/>
      <c r="CP34" s="693"/>
      <c r="CQ34" s="693"/>
      <c r="CR34" s="686">
        <f t="shared" si="4"/>
        <v>12</v>
      </c>
      <c r="CS34" s="686">
        <f t="shared" si="4"/>
        <v>2</v>
      </c>
      <c r="CT34" s="686">
        <f t="shared" si="4"/>
        <v>36</v>
      </c>
      <c r="CU34" s="686" t="str">
        <f t="shared" si="5"/>
        <v/>
      </c>
      <c r="CV34" s="686" t="str">
        <f t="shared" si="6"/>
        <v/>
      </c>
      <c r="CW34" s="685" t="str">
        <f t="shared" si="10"/>
        <v/>
      </c>
      <c r="CX34" s="685" t="str">
        <f t="shared" si="11"/>
        <v/>
      </c>
      <c r="CY34" s="693">
        <f t="shared" ca="1" si="7"/>
        <v>0</v>
      </c>
      <c r="CZ34" s="693" t="str">
        <f t="shared" si="8"/>
        <v/>
      </c>
      <c r="DB34"/>
      <c r="DC34"/>
    </row>
    <row r="35" spans="1:107" s="694" customFormat="1">
      <c r="A35" s="682" t="str">
        <f t="shared" si="0"/>
        <v>E. STUFFED, GATE IN AWAITED</v>
      </c>
      <c r="B35" s="695" t="s">
        <v>1199</v>
      </c>
      <c r="C35" s="684" t="str">
        <f t="shared" si="1"/>
        <v>CLOSED POSITION</v>
      </c>
      <c r="D35" s="685" t="str">
        <f t="shared" si="9"/>
        <v/>
      </c>
      <c r="E35" s="685" t="str">
        <f t="shared" si="2"/>
        <v/>
      </c>
      <c r="F35" s="686">
        <f>IF('[1]Data 2026'!D47="","",'[1]Data 2026'!D47)</f>
        <v>48</v>
      </c>
      <c r="G35" s="686">
        <f>IF('[1]Data 2026'!E47="","",'[1]Data 2026'!E47)</f>
        <v>200</v>
      </c>
      <c r="H35" s="687">
        <f>IF('[1]Data 2026'!H47="","",'[1]Data 2026'!H47)</f>
        <v>32014572</v>
      </c>
      <c r="I35" s="688">
        <f>IF('[1]Data 2026'!AA47="","",'[1]Data 2026'!AA47)</f>
        <v>100</v>
      </c>
      <c r="J35" s="685" t="str">
        <f>IF('[1]Data 2026'!K47="","",'[1]Data 2026'!K47)</f>
        <v>APRIL</v>
      </c>
      <c r="K35" s="685">
        <v>46142</v>
      </c>
      <c r="L35" s="685" t="str">
        <f>IF('[1]Data 2026'!L47="","",'[1]Data 2026'!L47)</f>
        <v>VALENCY CI</v>
      </c>
      <c r="M35" s="685" t="str">
        <f>IF('[1]Data 2026'!M47="","",'[1]Data 2026'!M47)</f>
        <v>VALENCY AGRO INDIA UDUPI</v>
      </c>
      <c r="N35" s="685" t="s">
        <v>1198</v>
      </c>
      <c r="O35" s="689">
        <f>IF('[1]Data 2026'!N47="","",'[1]Data 2026'!N47)</f>
        <v>269062882</v>
      </c>
      <c r="P35" s="690" t="str">
        <f>IF('[1]Data 2026'!O47="","",'[1]Data 2026'!O47)</f>
        <v/>
      </c>
      <c r="Q35" s="685" t="str">
        <f>IF('[1]Data 2026'!P47="","",'[1]Data 2026'!P47)</f>
        <v/>
      </c>
      <c r="R35" s="685" t="str">
        <f>IF('[1]Data 2026'!Q47="","",'[1]Data 2026'!Q47)</f>
        <v>ABJ</v>
      </c>
      <c r="S35" s="685" t="s">
        <v>210</v>
      </c>
      <c r="T35" s="685" t="str">
        <f>IF('[1]Data 2026'!R47="","",'[1]Data 2026'!R47)</f>
        <v>KOLKATA, INDIA</v>
      </c>
      <c r="U35" s="685" t="str">
        <f>IF('[1]Data 2026'!S47="","",'[1]Data 2026'!S47)</f>
        <v>MAERSK CABO VERDE</v>
      </c>
      <c r="V35" s="685">
        <f>IF('[1]Data 2026'!T47="","",'[1]Data 2026'!T47)</f>
        <v>46141</v>
      </c>
      <c r="W35" s="685">
        <f>IF('[1]Data 2026'!U47="","",'[1]Data 2026'!U47)</f>
        <v>46135</v>
      </c>
      <c r="X35" s="685">
        <f>IF('[1]Data 2026'!V47="","",'[1]Data 2026'!V47)</f>
        <v>46141</v>
      </c>
      <c r="Y35" s="685" t="str">
        <f>IF('[1]Data 2026'!W47="","",'[1]Data 2026'!W47)</f>
        <v/>
      </c>
      <c r="Z35" s="685" t="str">
        <f>IF('[1]Data 2026'!X47="","",'[1]Data 2026'!X47)</f>
        <v/>
      </c>
      <c r="AA35" s="685"/>
      <c r="AB35" s="685">
        <f>IF('[1]Data 2026'!Y47="","",'[1]Data 2026'!Y47)</f>
        <v>46187</v>
      </c>
      <c r="AC35" s="685" t="str">
        <f>IF('[1]Data 2026'!Z47="","",'[1]Data 2026'!Z47)</f>
        <v/>
      </c>
      <c r="AD35" s="691">
        <f>IF('[1]Data 2026'!AA47="","",'[1]Data 2026'!AA47)</f>
        <v>100</v>
      </c>
      <c r="AE35" s="691">
        <f>IF('[1]Data 2026'!AB47="","",'[1]Data 2026'!AB47)</f>
        <v>100</v>
      </c>
      <c r="AF35" s="685">
        <f>IF('[1]Data 2026'!AC47="","",'[1]Data 2026'!AC47)</f>
        <v>45777</v>
      </c>
      <c r="AG35" s="685" t="str">
        <f>IF('[1]Data 2026'!AD47="","",'[1]Data 2026'!AD47)</f>
        <v>WH-I</v>
      </c>
      <c r="AH35" s="686">
        <f>IF('[1]Data 2026'!AE47="","",'[1]Data 2026'!AE47)</f>
        <v>4</v>
      </c>
      <c r="AI35" s="685" t="str">
        <f>IF('[1]Data 2026'!AG47="","",'[1]Data 2026'!AG47)</f>
        <v>MONTER GLOBAL</v>
      </c>
      <c r="AJ35" s="685" t="str">
        <f>IF('[1]Data 2026'!AH47="","",'[1]Data 2026'!AH47)</f>
        <v xml:space="preserve">MANTRA IVOIRE </v>
      </c>
      <c r="AK35" s="685" t="str">
        <f>IF('[1]Data 2026'!AI47="","",'[1]Data 2026'!AI47)</f>
        <v>MSK</v>
      </c>
      <c r="AL35" s="685" t="str">
        <f>IF('[1]Data 2026'!AJ47="","",'[1]Data 2026'!AJ47)</f>
        <v>40FT</v>
      </c>
      <c r="AM35" s="692">
        <f>IF('[1]Data 2026'!AK47="","",'[1]Data 2026'!AK47)</f>
        <v>0.05</v>
      </c>
      <c r="AN35" s="685" t="str">
        <f>IF('[1]Data 2026'!AL47="","",'[1]Data 2026'!AL47)</f>
        <v xml:space="preserve"> ( 1 x 100 MTS ) </v>
      </c>
      <c r="AO35" s="691">
        <f>IF('[1]Data 2026'!AM47="","",'[1]Data 2026'!AM47)</f>
        <v>105</v>
      </c>
      <c r="AP35" s="691" t="str">
        <f t="shared" si="3"/>
        <v/>
      </c>
      <c r="AQ35" s="685" t="str">
        <f>IF('[1]Data 2026'!AO47="","",'[1]Data 2026'!AO47)</f>
        <v/>
      </c>
      <c r="AR35" s="685" t="str">
        <f>IF('[1]Data 2026'!AP47="","",'[1]Data 2026'!AP47)</f>
        <v/>
      </c>
      <c r="AS35" s="685" t="str">
        <f>IF('[1]Data 2026'!AQ47="","",'[1]Data 2026'!AQ47)</f>
        <v/>
      </c>
      <c r="AT35" s="685" t="str">
        <f>IF('[1]Data 2026'!AR47="","",'[1]Data 2026'!AR47)</f>
        <v/>
      </c>
      <c r="AU35" s="685" t="str">
        <f>IF('[1]Data 2026'!AW47="","",'[1]Data 2026'!AW47)</f>
        <v/>
      </c>
      <c r="AV35" s="685" t="str">
        <f>IF('[1]Data 2026'!AX47="","",'[1]Data 2026'!AX47)</f>
        <v/>
      </c>
      <c r="AW35" s="685" t="str">
        <f>IF('[1]Data 2026'!AY47="","",'[1]Data 2026'!AY47)</f>
        <v/>
      </c>
      <c r="AX35" s="685" t="str">
        <f>IF('[1]Data 2026'!AZ47="","",'[1]Data 2026'!AZ47)</f>
        <v/>
      </c>
      <c r="AY35" s="685" t="str">
        <f>IF('[1]Data 2026'!BA47="","",'[1]Data 2026'!BA47)</f>
        <v/>
      </c>
      <c r="AZ35" s="685" t="str">
        <f>IF('[1]Data 2026'!AS47="","",'[1]Data 2026'!AS47)</f>
        <v/>
      </c>
      <c r="BA35" s="685" t="str">
        <f>IF('[1]Data 2026'!AT47="","",'[1]Data 2026'!AT47)</f>
        <v/>
      </c>
      <c r="BB35" s="685" t="str">
        <f>IF('[1]Data 2026'!AU47="","",'[1]Data 2026'!AU47)</f>
        <v/>
      </c>
      <c r="BC35" s="685" t="str">
        <f>IF('[1]Data 2026'!AV47="","",'[1]Data 2026'!AV47)</f>
        <v/>
      </c>
      <c r="BD35" s="685" t="str">
        <f>IF('[1]Data 2026'!AW47="","",'[1]Data 2026'!AW47)</f>
        <v/>
      </c>
      <c r="BE35" s="685" t="str">
        <f>IF('[1]Data 2026'!AX47="","",'[1]Data 2026'!AX47)</f>
        <v/>
      </c>
      <c r="BF35" s="685" t="str">
        <f>IF('[1]Data 2026'!BF47="","",'[1]Data 2026'!BF47)</f>
        <v>MONTER GLOBAL</v>
      </c>
      <c r="BG35" s="685" t="str">
        <f>IF('[1]Data 2026'!BG47="","",'[1]Data 2026'!BG47)</f>
        <v/>
      </c>
      <c r="BH35" s="685" t="str">
        <f>IF('[1]Data 2026'!BH47="","",'[1]Data 2026'!BH47)</f>
        <v/>
      </c>
      <c r="BI35" s="685" t="str">
        <f>IF('[1]Data 2026'!BI47="","",'[1]Data 2026'!BI47)</f>
        <v/>
      </c>
      <c r="BJ35" s="685" t="str">
        <f>IF('[1]Data 2026'!BJ47="","",'[1]Data 2026'!BJ47)</f>
        <v/>
      </c>
      <c r="BK35" s="685" t="str">
        <f>IF('[1]Data 2026'!BK47="","",'[1]Data 2026'!BK47)</f>
        <v/>
      </c>
      <c r="BL35" s="685" t="str">
        <f>IF('[1]Data 2026'!BL47="","",'[1]Data 2026'!BL47)</f>
        <v xml:space="preserve">MANTRA IVOIRE </v>
      </c>
      <c r="BM35" s="685" t="str">
        <f>IF('[1]Data 2026'!BM47="","",'[1]Data 2026'!BM47)</f>
        <v/>
      </c>
      <c r="BN35" s="685" t="str">
        <f>IF('[1]Data 2026'!BN47="","",'[1]Data 2026'!BN47)</f>
        <v/>
      </c>
      <c r="BO35" s="685" t="str">
        <f>IF('[1]Data 2026'!BO47="","",'[1]Data 2026'!BO47)</f>
        <v/>
      </c>
      <c r="BP35" s="685" t="str">
        <f>IF('[1]Data 2026'!BP47="","",'[1]Data 2026'!BP47)</f>
        <v/>
      </c>
      <c r="BQ35" s="685" t="str">
        <f>IF('[1]Data 2026'!BQ47="","",'[1]Data 2026'!BQ47)</f>
        <v/>
      </c>
      <c r="BR35" s="685" t="str">
        <f>IF('[1]Data 2026'!BR47="","",'[1]Data 2026'!BR47)</f>
        <v/>
      </c>
      <c r="BS35" s="685" t="str">
        <f>IF('[1]Data 2026'!BS47="","",'[1]Data 2026'!BS47)</f>
        <v/>
      </c>
      <c r="BT35" s="685" t="str">
        <f>IF('[1]Data 2026'!BV47="","",'[1]Data 2026'!BV47)</f>
        <v>ABSA/CMI</v>
      </c>
      <c r="BU35" s="685" t="str">
        <f>IF('[1]Data 2026'!BW47="","",'[1]Data 2026'!BW47)</f>
        <v/>
      </c>
      <c r="BV35" s="685" t="str">
        <f>IF('[1]Data 2026'!BX47="","",'[1]Data 2026'!BX47)</f>
        <v/>
      </c>
      <c r="BW35" s="685" t="str">
        <f>IF('[1]Data 2026'!BY47="","",'[1]Data 2026'!BY47)</f>
        <v/>
      </c>
      <c r="BX35" s="685" t="str">
        <f>IF('[1]Data 2026'!BZ47="","",'[1]Data 2026'!BZ47)</f>
        <v/>
      </c>
      <c r="BY35" s="685" t="str">
        <f>IF('[1]Data 2026'!CA47="","",'[1]Data 2026'!CA47)</f>
        <v>182610-15025</v>
      </c>
      <c r="BZ35" s="685">
        <f>IF('[1]Data 2026'!CB47="","",'[1]Data 2026'!CB47)</f>
        <v>46142</v>
      </c>
      <c r="CA35" s="685" t="str">
        <f>IF('[1]Data 2026'!CC47="","",'[1]Data 2026'!CC47)</f>
        <v/>
      </c>
      <c r="CB35" s="685" t="str">
        <f>IF('[1]Data 2026'!CD47="","",'[1]Data 2026'!CD47)</f>
        <v/>
      </c>
      <c r="CC35" s="685" t="str">
        <f>IF('[1]Data 2026'!CE47="","",'[1]Data 2026'!CE47)</f>
        <v/>
      </c>
      <c r="CD35" s="685" t="str">
        <f>IF('[1]Data 2026'!CF47="","",'[1]Data 2026'!CF47)</f>
        <v/>
      </c>
      <c r="CE35" s="685">
        <f>IF('[1]Data 2026'!CG47="","",'[1]Data 2026'!CG47)</f>
        <v>46135</v>
      </c>
      <c r="CF35" s="685">
        <f>IF('[1]Data 2026'!CH47="","",'[1]Data 2026'!CH47)</f>
        <v>46142</v>
      </c>
      <c r="CG35" s="685" t="str">
        <f>IF('[1]Data 2026'!CI47="","",'[1]Data 2026'!CI47)</f>
        <v>E13882</v>
      </c>
      <c r="CH35" s="685" t="str">
        <f>IF('[1]Data 2026'!CJ47="","",'[1]Data 2026'!CJ47)</f>
        <v/>
      </c>
      <c r="CI35" s="685">
        <f>IF('[1]Data 2026'!CK47="","",'[1]Data 2026'!CK47)</f>
        <v>46161</v>
      </c>
      <c r="CJ35" s="685" t="str">
        <f>IF('[1]Data 2026'!CM47="","",'[1]Data 2026'!CM47)</f>
        <v/>
      </c>
      <c r="CK35" s="685" t="str">
        <f>IF('[1]Data 2026'!CN47="","",'[1]Data 2026'!CN47)</f>
        <v>Ajeesh</v>
      </c>
      <c r="CL35" s="691"/>
      <c r="CM35" s="691" t="str">
        <f>IF('[1]Data 2026'!CP47="","",'[1]Data 2026'!CP47)</f>
        <v/>
      </c>
      <c r="CN35" s="691"/>
      <c r="CO35" s="693"/>
      <c r="CP35" s="693"/>
      <c r="CQ35" s="693"/>
      <c r="CR35" s="686">
        <f t="shared" si="4"/>
        <v>-6</v>
      </c>
      <c r="CS35" s="686">
        <f t="shared" si="4"/>
        <v>6</v>
      </c>
      <c r="CT35" s="686" t="str">
        <f t="shared" si="4"/>
        <v/>
      </c>
      <c r="CU35" s="686" t="str">
        <f t="shared" si="5"/>
        <v/>
      </c>
      <c r="CV35" s="686" t="str">
        <f t="shared" si="6"/>
        <v/>
      </c>
      <c r="CW35" s="685" t="str">
        <f t="shared" si="10"/>
        <v/>
      </c>
      <c r="CX35" s="685" t="str">
        <f t="shared" si="11"/>
        <v/>
      </c>
      <c r="CY35" s="693">
        <f t="shared" ca="1" si="7"/>
        <v>0</v>
      </c>
      <c r="CZ35" s="693" t="str">
        <f t="shared" si="8"/>
        <v/>
      </c>
      <c r="DB35"/>
      <c r="DC35"/>
    </row>
    <row r="36" spans="1:107" s="694" customFormat="1">
      <c r="A36" s="682" t="str">
        <f t="shared" si="0"/>
        <v>E. STUFFED, GATE IN AWAITED</v>
      </c>
      <c r="B36" s="695" t="s">
        <v>1199</v>
      </c>
      <c r="C36" s="684" t="str">
        <f t="shared" si="1"/>
        <v>CLOSED POSITION</v>
      </c>
      <c r="D36" s="685" t="str">
        <f t="shared" si="9"/>
        <v/>
      </c>
      <c r="E36" s="685" t="str">
        <f t="shared" si="2"/>
        <v/>
      </c>
      <c r="F36" s="686">
        <f>IF('[1]Data 2026'!D48="","",'[1]Data 2026'!D48)</f>
        <v>48</v>
      </c>
      <c r="G36" s="686">
        <f>IF('[1]Data 2026'!E48="","",'[1]Data 2026'!E48)</f>
        <v>200</v>
      </c>
      <c r="H36" s="687">
        <f>IF('[1]Data 2026'!H48="","",'[1]Data 2026'!H48)</f>
        <v>32014576</v>
      </c>
      <c r="I36" s="688">
        <f>IF('[1]Data 2026'!AA48="","",'[1]Data 2026'!AA48)</f>
        <v>100</v>
      </c>
      <c r="J36" s="685" t="str">
        <f>IF('[1]Data 2026'!K48="","",'[1]Data 2026'!K48)</f>
        <v>APRIL</v>
      </c>
      <c r="K36" s="685">
        <v>46142</v>
      </c>
      <c r="L36" s="685" t="str">
        <f>IF('[1]Data 2026'!L48="","",'[1]Data 2026'!L48)</f>
        <v>VALENCY CI</v>
      </c>
      <c r="M36" s="685" t="str">
        <f>IF('[1]Data 2026'!M48="","",'[1]Data 2026'!M48)</f>
        <v>VALENCY AGRO INDIA UDUPI</v>
      </c>
      <c r="N36" s="685" t="s">
        <v>1198</v>
      </c>
      <c r="O36" s="689">
        <f>IF('[1]Data 2026'!N48="","",'[1]Data 2026'!N48)</f>
        <v>269062523</v>
      </c>
      <c r="P36" s="690" t="str">
        <f>IF('[1]Data 2026'!O48="","",'[1]Data 2026'!O48)</f>
        <v/>
      </c>
      <c r="Q36" s="685" t="str">
        <f>IF('[1]Data 2026'!P48="","",'[1]Data 2026'!P48)</f>
        <v/>
      </c>
      <c r="R36" s="685" t="str">
        <f>IF('[1]Data 2026'!Q48="","",'[1]Data 2026'!Q48)</f>
        <v>ABJ</v>
      </c>
      <c r="S36" s="685" t="s">
        <v>210</v>
      </c>
      <c r="T36" s="685" t="str">
        <f>IF('[1]Data 2026'!R48="","",'[1]Data 2026'!R48)</f>
        <v>KOLKATA, INDIA</v>
      </c>
      <c r="U36" s="685" t="str">
        <f>IF('[1]Data 2026'!S48="","",'[1]Data 2026'!S48)</f>
        <v>MAERSK CABO VERDE</v>
      </c>
      <c r="V36" s="685">
        <f>IF('[1]Data 2026'!T48="","",'[1]Data 2026'!T48)</f>
        <v>46141</v>
      </c>
      <c r="W36" s="685">
        <f>IF('[1]Data 2026'!U48="","",'[1]Data 2026'!U48)</f>
        <v>46140</v>
      </c>
      <c r="X36" s="685">
        <f>IF('[1]Data 2026'!V48="","",'[1]Data 2026'!V48)</f>
        <v>46141</v>
      </c>
      <c r="Y36" s="685" t="str">
        <f>IF('[1]Data 2026'!W48="","",'[1]Data 2026'!W48)</f>
        <v/>
      </c>
      <c r="Z36" s="685" t="str">
        <f>IF('[1]Data 2026'!X48="","",'[1]Data 2026'!X48)</f>
        <v/>
      </c>
      <c r="AA36" s="685"/>
      <c r="AB36" s="685">
        <f>IF('[1]Data 2026'!Y48="","",'[1]Data 2026'!Y48)</f>
        <v>46187</v>
      </c>
      <c r="AC36" s="685" t="str">
        <f>IF('[1]Data 2026'!Z48="","",'[1]Data 2026'!Z48)</f>
        <v/>
      </c>
      <c r="AD36" s="691">
        <f>IF('[1]Data 2026'!AA48="","",'[1]Data 2026'!AA48)</f>
        <v>100</v>
      </c>
      <c r="AE36" s="691">
        <f>IF('[1]Data 2026'!AB48="","",'[1]Data 2026'!AB48)</f>
        <v>100</v>
      </c>
      <c r="AF36" s="685">
        <f>IF('[1]Data 2026'!AC48="","",'[1]Data 2026'!AC48)</f>
        <v>45777</v>
      </c>
      <c r="AG36" s="685" t="str">
        <f>IF('[1]Data 2026'!AD48="","",'[1]Data 2026'!AD48)</f>
        <v>WH-I</v>
      </c>
      <c r="AH36" s="686">
        <f>IF('[1]Data 2026'!AE48="","",'[1]Data 2026'!AE48)</f>
        <v>4</v>
      </c>
      <c r="AI36" s="685" t="str">
        <f>IF('[1]Data 2026'!AG48="","",'[1]Data 2026'!AG48)</f>
        <v>MONTER GLOBAL</v>
      </c>
      <c r="AJ36" s="685" t="str">
        <f>IF('[1]Data 2026'!AH48="","",'[1]Data 2026'!AH48)</f>
        <v xml:space="preserve">MANTRA IVOIRE </v>
      </c>
      <c r="AK36" s="685" t="str">
        <f>IF('[1]Data 2026'!AI48="","",'[1]Data 2026'!AI48)</f>
        <v>MSK</v>
      </c>
      <c r="AL36" s="685" t="str">
        <f>IF('[1]Data 2026'!AJ48="","",'[1]Data 2026'!AJ48)</f>
        <v>40FT</v>
      </c>
      <c r="AM36" s="692">
        <f>IF('[1]Data 2026'!AK48="","",'[1]Data 2026'!AK48)</f>
        <v>0.05</v>
      </c>
      <c r="AN36" s="685" t="str">
        <f>IF('[1]Data 2026'!AL48="","",'[1]Data 2026'!AL48)</f>
        <v xml:space="preserve"> ( 1 x 100 MTS ) </v>
      </c>
      <c r="AO36" s="691">
        <f>IF('[1]Data 2026'!AM48="","",'[1]Data 2026'!AM48)</f>
        <v>105</v>
      </c>
      <c r="AP36" s="691" t="str">
        <f t="shared" si="3"/>
        <v/>
      </c>
      <c r="AQ36" s="685" t="str">
        <f>IF('[1]Data 2026'!AO48="","",'[1]Data 2026'!AO48)</f>
        <v/>
      </c>
      <c r="AR36" s="685" t="str">
        <f>IF('[1]Data 2026'!AP48="","",'[1]Data 2026'!AP48)</f>
        <v/>
      </c>
      <c r="AS36" s="685" t="str">
        <f>IF('[1]Data 2026'!AQ48="","",'[1]Data 2026'!AQ48)</f>
        <v/>
      </c>
      <c r="AT36" s="685" t="str">
        <f>IF('[1]Data 2026'!AR48="","",'[1]Data 2026'!AR48)</f>
        <v/>
      </c>
      <c r="AU36" s="685" t="str">
        <f>IF('[1]Data 2026'!AW48="","",'[1]Data 2026'!AW48)</f>
        <v/>
      </c>
      <c r="AV36" s="685" t="str">
        <f>IF('[1]Data 2026'!AX48="","",'[1]Data 2026'!AX48)</f>
        <v/>
      </c>
      <c r="AW36" s="685" t="str">
        <f>IF('[1]Data 2026'!AY48="","",'[1]Data 2026'!AY48)</f>
        <v/>
      </c>
      <c r="AX36" s="685" t="str">
        <f>IF('[1]Data 2026'!AZ48="","",'[1]Data 2026'!AZ48)</f>
        <v/>
      </c>
      <c r="AY36" s="685" t="str">
        <f>IF('[1]Data 2026'!BA48="","",'[1]Data 2026'!BA48)</f>
        <v/>
      </c>
      <c r="AZ36" s="685" t="str">
        <f>IF('[1]Data 2026'!AS48="","",'[1]Data 2026'!AS48)</f>
        <v/>
      </c>
      <c r="BA36" s="685" t="str">
        <f>IF('[1]Data 2026'!AT48="","",'[1]Data 2026'!AT48)</f>
        <v/>
      </c>
      <c r="BB36" s="685" t="str">
        <f>IF('[1]Data 2026'!AU48="","",'[1]Data 2026'!AU48)</f>
        <v/>
      </c>
      <c r="BC36" s="685" t="str">
        <f>IF('[1]Data 2026'!AV48="","",'[1]Data 2026'!AV48)</f>
        <v/>
      </c>
      <c r="BD36" s="685" t="str">
        <f>IF('[1]Data 2026'!AW48="","",'[1]Data 2026'!AW48)</f>
        <v/>
      </c>
      <c r="BE36" s="685" t="str">
        <f>IF('[1]Data 2026'!AX48="","",'[1]Data 2026'!AX48)</f>
        <v/>
      </c>
      <c r="BF36" s="685" t="str">
        <f>IF('[1]Data 2026'!BF48="","",'[1]Data 2026'!BF48)</f>
        <v>MONTER GLOBAL</v>
      </c>
      <c r="BG36" s="685" t="str">
        <f>IF('[1]Data 2026'!BG48="","",'[1]Data 2026'!BG48)</f>
        <v/>
      </c>
      <c r="BH36" s="685" t="str">
        <f>IF('[1]Data 2026'!BH48="","",'[1]Data 2026'!BH48)</f>
        <v/>
      </c>
      <c r="BI36" s="685" t="str">
        <f>IF('[1]Data 2026'!BI48="","",'[1]Data 2026'!BI48)</f>
        <v/>
      </c>
      <c r="BJ36" s="685" t="str">
        <f>IF('[1]Data 2026'!BJ48="","",'[1]Data 2026'!BJ48)</f>
        <v/>
      </c>
      <c r="BK36" s="685" t="str">
        <f>IF('[1]Data 2026'!BK48="","",'[1]Data 2026'!BK48)</f>
        <v/>
      </c>
      <c r="BL36" s="685" t="str">
        <f>IF('[1]Data 2026'!BL48="","",'[1]Data 2026'!BL48)</f>
        <v xml:space="preserve">MANTRA IVOIRE </v>
      </c>
      <c r="BM36" s="685" t="str">
        <f>IF('[1]Data 2026'!BM48="","",'[1]Data 2026'!BM48)</f>
        <v/>
      </c>
      <c r="BN36" s="685" t="str">
        <f>IF('[1]Data 2026'!BN48="","",'[1]Data 2026'!BN48)</f>
        <v/>
      </c>
      <c r="BO36" s="685" t="str">
        <f>IF('[1]Data 2026'!BO48="","",'[1]Data 2026'!BO48)</f>
        <v/>
      </c>
      <c r="BP36" s="685" t="str">
        <f>IF('[1]Data 2026'!BP48="","",'[1]Data 2026'!BP48)</f>
        <v/>
      </c>
      <c r="BQ36" s="685" t="str">
        <f>IF('[1]Data 2026'!BQ48="","",'[1]Data 2026'!BQ48)</f>
        <v/>
      </c>
      <c r="BR36" s="685" t="str">
        <f>IF('[1]Data 2026'!BR48="","",'[1]Data 2026'!BR48)</f>
        <v/>
      </c>
      <c r="BS36" s="685" t="str">
        <f>IF('[1]Data 2026'!BS48="","",'[1]Data 2026'!BS48)</f>
        <v/>
      </c>
      <c r="BT36" s="685" t="str">
        <f>IF('[1]Data 2026'!BV48="","",'[1]Data 2026'!BV48)</f>
        <v>ABSA/CMI</v>
      </c>
      <c r="BU36" s="685" t="str">
        <f>IF('[1]Data 2026'!BW48="","",'[1]Data 2026'!BW48)</f>
        <v/>
      </c>
      <c r="BV36" s="685" t="str">
        <f>IF('[1]Data 2026'!BX48="","",'[1]Data 2026'!BX48)</f>
        <v/>
      </c>
      <c r="BW36" s="685" t="str">
        <f>IF('[1]Data 2026'!BY48="","",'[1]Data 2026'!BY48)</f>
        <v/>
      </c>
      <c r="BX36" s="685" t="str">
        <f>IF('[1]Data 2026'!BZ48="","",'[1]Data 2026'!BZ48)</f>
        <v/>
      </c>
      <c r="BY36" s="685" t="str">
        <f>IF('[1]Data 2026'!CA48="","",'[1]Data 2026'!CA48)</f>
        <v>182610-15025</v>
      </c>
      <c r="BZ36" s="685">
        <f>IF('[1]Data 2026'!CB48="","",'[1]Data 2026'!CB48)</f>
        <v>46142</v>
      </c>
      <c r="CA36" s="685" t="str">
        <f>IF('[1]Data 2026'!CC48="","",'[1]Data 2026'!CC48)</f>
        <v/>
      </c>
      <c r="CB36" s="685" t="str">
        <f>IF('[1]Data 2026'!CD48="","",'[1]Data 2026'!CD48)</f>
        <v/>
      </c>
      <c r="CC36" s="685" t="str">
        <f>IF('[1]Data 2026'!CE48="","",'[1]Data 2026'!CE48)</f>
        <v/>
      </c>
      <c r="CD36" s="685" t="str">
        <f>IF('[1]Data 2026'!CF48="","",'[1]Data 2026'!CF48)</f>
        <v/>
      </c>
      <c r="CE36" s="685">
        <f>IF('[1]Data 2026'!CG48="","",'[1]Data 2026'!CG48)</f>
        <v>46139</v>
      </c>
      <c r="CF36" s="685">
        <f>IF('[1]Data 2026'!CH48="","",'[1]Data 2026'!CH48)</f>
        <v>46142</v>
      </c>
      <c r="CG36" s="685" t="str">
        <f>IF('[1]Data 2026'!CI48="","",'[1]Data 2026'!CI48)</f>
        <v>E13882</v>
      </c>
      <c r="CH36" s="685" t="str">
        <f>IF('[1]Data 2026'!CJ48="","",'[1]Data 2026'!CJ48)</f>
        <v/>
      </c>
      <c r="CI36" s="685">
        <f>IF('[1]Data 2026'!CK48="","",'[1]Data 2026'!CK48)</f>
        <v>46161</v>
      </c>
      <c r="CJ36" s="685" t="str">
        <f>IF('[1]Data 2026'!CM48="","",'[1]Data 2026'!CM48)</f>
        <v/>
      </c>
      <c r="CK36" s="685" t="str">
        <f>IF('[1]Data 2026'!CN48="","",'[1]Data 2026'!CN48)</f>
        <v>Ajeesh</v>
      </c>
      <c r="CL36" s="691"/>
      <c r="CM36" s="691" t="str">
        <f>IF('[1]Data 2026'!CP48="","",'[1]Data 2026'!CP48)</f>
        <v/>
      </c>
      <c r="CN36" s="691"/>
      <c r="CO36" s="693"/>
      <c r="CP36" s="693"/>
      <c r="CQ36" s="693"/>
      <c r="CR36" s="686">
        <f t="shared" ref="CR36:CT67" si="12">IFERROR(W36-V36,"")</f>
        <v>-1</v>
      </c>
      <c r="CS36" s="686">
        <f t="shared" si="12"/>
        <v>1</v>
      </c>
      <c r="CT36" s="686" t="str">
        <f t="shared" si="12"/>
        <v/>
      </c>
      <c r="CU36" s="686" t="str">
        <f t="shared" si="5"/>
        <v/>
      </c>
      <c r="CV36" s="686" t="str">
        <f t="shared" si="6"/>
        <v/>
      </c>
      <c r="CW36" s="685" t="str">
        <f t="shared" si="10"/>
        <v/>
      </c>
      <c r="CX36" s="685" t="str">
        <f t="shared" si="11"/>
        <v/>
      </c>
      <c r="CY36" s="693">
        <f t="shared" ca="1" si="7"/>
        <v>0</v>
      </c>
      <c r="CZ36" s="693" t="str">
        <f t="shared" si="8"/>
        <v/>
      </c>
      <c r="DB36"/>
      <c r="DC36"/>
    </row>
    <row r="37" spans="1:107" s="694" customFormat="1">
      <c r="A37" s="682" t="str">
        <f t="shared" si="0"/>
        <v>E. STUFFED, GATE IN AWAITED</v>
      </c>
      <c r="B37" s="695" t="s">
        <v>1199</v>
      </c>
      <c r="C37" s="684" t="str">
        <f t="shared" si="1"/>
        <v>CLOSED POSITION</v>
      </c>
      <c r="D37" s="685" t="str">
        <f t="shared" si="9"/>
        <v/>
      </c>
      <c r="E37" s="685" t="str">
        <f t="shared" si="2"/>
        <v/>
      </c>
      <c r="F37" s="686">
        <f>IF('[1]Data 2026'!D49="","",'[1]Data 2026'!D49)</f>
        <v>48</v>
      </c>
      <c r="G37" s="686">
        <f>IF('[1]Data 2026'!E49="","",'[1]Data 2026'!E49)</f>
        <v>200</v>
      </c>
      <c r="H37" s="687">
        <f>IF('[1]Data 2026'!H49="","",'[1]Data 2026'!H49)</f>
        <v>32014577</v>
      </c>
      <c r="I37" s="688">
        <f>IF('[1]Data 2026'!AA49="","",'[1]Data 2026'!AA49)</f>
        <v>100</v>
      </c>
      <c r="J37" s="685" t="str">
        <f>IF('[1]Data 2026'!K49="","",'[1]Data 2026'!K49)</f>
        <v>APRIL</v>
      </c>
      <c r="K37" s="685">
        <v>46142</v>
      </c>
      <c r="L37" s="685" t="str">
        <f>IF('[1]Data 2026'!L49="","",'[1]Data 2026'!L49)</f>
        <v>VALENCY CI</v>
      </c>
      <c r="M37" s="685" t="str">
        <f>IF('[1]Data 2026'!M49="","",'[1]Data 2026'!M49)</f>
        <v>VALENCY AGRO INDIA UDUPI</v>
      </c>
      <c r="N37" s="685" t="s">
        <v>1198</v>
      </c>
      <c r="O37" s="689">
        <f>IF('[1]Data 2026'!N49="","",'[1]Data 2026'!N49)</f>
        <v>269062694</v>
      </c>
      <c r="P37" s="690" t="str">
        <f>IF('[1]Data 2026'!O49="","",'[1]Data 2026'!O49)</f>
        <v/>
      </c>
      <c r="Q37" s="685" t="str">
        <f>IF('[1]Data 2026'!P49="","",'[1]Data 2026'!P49)</f>
        <v/>
      </c>
      <c r="R37" s="685" t="str">
        <f>IF('[1]Data 2026'!Q49="","",'[1]Data 2026'!Q49)</f>
        <v>ABJ</v>
      </c>
      <c r="S37" s="685" t="s">
        <v>210</v>
      </c>
      <c r="T37" s="685" t="str">
        <f>IF('[1]Data 2026'!R49="","",'[1]Data 2026'!R49)</f>
        <v>KOLKATA, INDIA</v>
      </c>
      <c r="U37" s="685" t="str">
        <f>IF('[1]Data 2026'!S49="","",'[1]Data 2026'!S49)</f>
        <v>MAERSK CABO VERDE</v>
      </c>
      <c r="V37" s="685">
        <f>IF('[1]Data 2026'!T49="","",'[1]Data 2026'!T49)</f>
        <v>46142</v>
      </c>
      <c r="W37" s="685">
        <f>IF('[1]Data 2026'!U49="","",'[1]Data 2026'!U49)</f>
        <v>46142</v>
      </c>
      <c r="X37" s="685">
        <f>IF('[1]Data 2026'!V49="","",'[1]Data 2026'!V49)</f>
        <v>46142</v>
      </c>
      <c r="Y37" s="685" t="str">
        <f>IF('[1]Data 2026'!W49="","",'[1]Data 2026'!W49)</f>
        <v/>
      </c>
      <c r="Z37" s="685" t="str">
        <f>IF('[1]Data 2026'!X49="","",'[1]Data 2026'!X49)</f>
        <v/>
      </c>
      <c r="AA37" s="685"/>
      <c r="AB37" s="685">
        <f>IF('[1]Data 2026'!Y49="","",'[1]Data 2026'!Y49)</f>
        <v>46187</v>
      </c>
      <c r="AC37" s="685" t="str">
        <f>IF('[1]Data 2026'!Z49="","",'[1]Data 2026'!Z49)</f>
        <v/>
      </c>
      <c r="AD37" s="691">
        <f>IF('[1]Data 2026'!AA49="","",'[1]Data 2026'!AA49)</f>
        <v>100</v>
      </c>
      <c r="AE37" s="691">
        <f>IF('[1]Data 2026'!AB49="","",'[1]Data 2026'!AB49)</f>
        <v>100</v>
      </c>
      <c r="AF37" s="685">
        <f>IF('[1]Data 2026'!AC49="","",'[1]Data 2026'!AC49)</f>
        <v>45777</v>
      </c>
      <c r="AG37" s="685" t="str">
        <f>IF('[1]Data 2026'!AD49="","",'[1]Data 2026'!AD49)</f>
        <v>WH-I</v>
      </c>
      <c r="AH37" s="686">
        <f>IF('[1]Data 2026'!AE49="","",'[1]Data 2026'!AE49)</f>
        <v>4</v>
      </c>
      <c r="AI37" s="685" t="str">
        <f>IF('[1]Data 2026'!AG49="","",'[1]Data 2026'!AG49)</f>
        <v>MONTER GLOBAL</v>
      </c>
      <c r="AJ37" s="685" t="str">
        <f>IF('[1]Data 2026'!AH49="","",'[1]Data 2026'!AH49)</f>
        <v xml:space="preserve">MANTRA IVOIRE </v>
      </c>
      <c r="AK37" s="685" t="str">
        <f>IF('[1]Data 2026'!AI49="","",'[1]Data 2026'!AI49)</f>
        <v>MSK</v>
      </c>
      <c r="AL37" s="685" t="str">
        <f>IF('[1]Data 2026'!AJ49="","",'[1]Data 2026'!AJ49)</f>
        <v>40FT</v>
      </c>
      <c r="AM37" s="692">
        <f>IF('[1]Data 2026'!AK49="","",'[1]Data 2026'!AK49)</f>
        <v>0.05</v>
      </c>
      <c r="AN37" s="685" t="str">
        <f>IF('[1]Data 2026'!AL49="","",'[1]Data 2026'!AL49)</f>
        <v xml:space="preserve"> ( 1 x 100 MTS ) </v>
      </c>
      <c r="AO37" s="691">
        <f>IF('[1]Data 2026'!AM49="","",'[1]Data 2026'!AM49)</f>
        <v>105</v>
      </c>
      <c r="AP37" s="691" t="str">
        <f t="shared" si="3"/>
        <v/>
      </c>
      <c r="AQ37" s="685" t="str">
        <f>IF('[1]Data 2026'!AO49="","",'[1]Data 2026'!AO49)</f>
        <v/>
      </c>
      <c r="AR37" s="685" t="str">
        <f>IF('[1]Data 2026'!AP49="","",'[1]Data 2026'!AP49)</f>
        <v/>
      </c>
      <c r="AS37" s="685" t="str">
        <f>IF('[1]Data 2026'!AQ49="","",'[1]Data 2026'!AQ49)</f>
        <v/>
      </c>
      <c r="AT37" s="685" t="str">
        <f>IF('[1]Data 2026'!AR49="","",'[1]Data 2026'!AR49)</f>
        <v/>
      </c>
      <c r="AU37" s="685" t="str">
        <f>IF('[1]Data 2026'!AW49="","",'[1]Data 2026'!AW49)</f>
        <v/>
      </c>
      <c r="AV37" s="685" t="str">
        <f>IF('[1]Data 2026'!AX49="","",'[1]Data 2026'!AX49)</f>
        <v/>
      </c>
      <c r="AW37" s="685" t="str">
        <f>IF('[1]Data 2026'!AY49="","",'[1]Data 2026'!AY49)</f>
        <v/>
      </c>
      <c r="AX37" s="685" t="str">
        <f>IF('[1]Data 2026'!AZ49="","",'[1]Data 2026'!AZ49)</f>
        <v/>
      </c>
      <c r="AY37" s="685" t="str">
        <f>IF('[1]Data 2026'!BA49="","",'[1]Data 2026'!BA49)</f>
        <v/>
      </c>
      <c r="AZ37" s="685" t="str">
        <f>IF('[1]Data 2026'!AS49="","",'[1]Data 2026'!AS49)</f>
        <v/>
      </c>
      <c r="BA37" s="685" t="str">
        <f>IF('[1]Data 2026'!AT49="","",'[1]Data 2026'!AT49)</f>
        <v/>
      </c>
      <c r="BB37" s="685" t="str">
        <f>IF('[1]Data 2026'!AU49="","",'[1]Data 2026'!AU49)</f>
        <v/>
      </c>
      <c r="BC37" s="685" t="str">
        <f>IF('[1]Data 2026'!AV49="","",'[1]Data 2026'!AV49)</f>
        <v/>
      </c>
      <c r="BD37" s="685" t="str">
        <f>IF('[1]Data 2026'!AW49="","",'[1]Data 2026'!AW49)</f>
        <v/>
      </c>
      <c r="BE37" s="685" t="str">
        <f>IF('[1]Data 2026'!AX49="","",'[1]Data 2026'!AX49)</f>
        <v/>
      </c>
      <c r="BF37" s="685" t="str">
        <f>IF('[1]Data 2026'!BF49="","",'[1]Data 2026'!BF49)</f>
        <v>MONTER GLOBAL</v>
      </c>
      <c r="BG37" s="685" t="str">
        <f>IF('[1]Data 2026'!BG49="","",'[1]Data 2026'!BG49)</f>
        <v/>
      </c>
      <c r="BH37" s="685" t="str">
        <f>IF('[1]Data 2026'!BH49="","",'[1]Data 2026'!BH49)</f>
        <v/>
      </c>
      <c r="BI37" s="685" t="str">
        <f>IF('[1]Data 2026'!BI49="","",'[1]Data 2026'!BI49)</f>
        <v/>
      </c>
      <c r="BJ37" s="685" t="str">
        <f>IF('[1]Data 2026'!BJ49="","",'[1]Data 2026'!BJ49)</f>
        <v/>
      </c>
      <c r="BK37" s="685" t="str">
        <f>IF('[1]Data 2026'!BK49="","",'[1]Data 2026'!BK49)</f>
        <v/>
      </c>
      <c r="BL37" s="685" t="str">
        <f>IF('[1]Data 2026'!BL49="","",'[1]Data 2026'!BL49)</f>
        <v xml:space="preserve">MANTRA IVOIRE </v>
      </c>
      <c r="BM37" s="685" t="str">
        <f>IF('[1]Data 2026'!BM49="","",'[1]Data 2026'!BM49)</f>
        <v/>
      </c>
      <c r="BN37" s="685" t="str">
        <f>IF('[1]Data 2026'!BN49="","",'[1]Data 2026'!BN49)</f>
        <v/>
      </c>
      <c r="BO37" s="685" t="str">
        <f>IF('[1]Data 2026'!BO49="","",'[1]Data 2026'!BO49)</f>
        <v/>
      </c>
      <c r="BP37" s="685" t="str">
        <f>IF('[1]Data 2026'!BP49="","",'[1]Data 2026'!BP49)</f>
        <v/>
      </c>
      <c r="BQ37" s="685" t="str">
        <f>IF('[1]Data 2026'!BQ49="","",'[1]Data 2026'!BQ49)</f>
        <v/>
      </c>
      <c r="BR37" s="685" t="str">
        <f>IF('[1]Data 2026'!BR49="","",'[1]Data 2026'!BR49)</f>
        <v/>
      </c>
      <c r="BS37" s="685" t="str">
        <f>IF('[1]Data 2026'!BS49="","",'[1]Data 2026'!BS49)</f>
        <v/>
      </c>
      <c r="BT37" s="685" t="str">
        <f>IF('[1]Data 2026'!BV49="","",'[1]Data 2026'!BV49)</f>
        <v>ABSA/CMI</v>
      </c>
      <c r="BU37" s="685" t="str">
        <f>IF('[1]Data 2026'!BW49="","",'[1]Data 2026'!BW49)</f>
        <v/>
      </c>
      <c r="BV37" s="685" t="str">
        <f>IF('[1]Data 2026'!BX49="","",'[1]Data 2026'!BX49)</f>
        <v/>
      </c>
      <c r="BW37" s="685" t="str">
        <f>IF('[1]Data 2026'!BY49="","",'[1]Data 2026'!BY49)</f>
        <v/>
      </c>
      <c r="BX37" s="685" t="str">
        <f>IF('[1]Data 2026'!BZ49="","",'[1]Data 2026'!BZ49)</f>
        <v/>
      </c>
      <c r="BY37" s="685" t="str">
        <f>IF('[1]Data 2026'!CA49="","",'[1]Data 2026'!CA49)</f>
        <v>182610-15025</v>
      </c>
      <c r="BZ37" s="685">
        <f>IF('[1]Data 2026'!CB49="","",'[1]Data 2026'!CB49)</f>
        <v>46142</v>
      </c>
      <c r="CA37" s="685" t="str">
        <f>IF('[1]Data 2026'!CC49="","",'[1]Data 2026'!CC49)</f>
        <v/>
      </c>
      <c r="CB37" s="685" t="str">
        <f>IF('[1]Data 2026'!CD49="","",'[1]Data 2026'!CD49)</f>
        <v/>
      </c>
      <c r="CC37" s="685" t="str">
        <f>IF('[1]Data 2026'!CE49="","",'[1]Data 2026'!CE49)</f>
        <v/>
      </c>
      <c r="CD37" s="685" t="str">
        <f>IF('[1]Data 2026'!CF49="","",'[1]Data 2026'!CF49)</f>
        <v/>
      </c>
      <c r="CE37" s="685">
        <f>IF('[1]Data 2026'!CG49="","",'[1]Data 2026'!CG49)</f>
        <v>46135</v>
      </c>
      <c r="CF37" s="685">
        <f>IF('[1]Data 2026'!CH49="","",'[1]Data 2026'!CH49)</f>
        <v>46142</v>
      </c>
      <c r="CG37" s="685" t="str">
        <f>IF('[1]Data 2026'!CI49="","",'[1]Data 2026'!CI49)</f>
        <v>E13882</v>
      </c>
      <c r="CH37" s="685" t="str">
        <f>IF('[1]Data 2026'!CJ49="","",'[1]Data 2026'!CJ49)</f>
        <v/>
      </c>
      <c r="CI37" s="685">
        <f>IF('[1]Data 2026'!CK49="","",'[1]Data 2026'!CK49)</f>
        <v>46161</v>
      </c>
      <c r="CJ37" s="685" t="str">
        <f>IF('[1]Data 2026'!CM49="","",'[1]Data 2026'!CM49)</f>
        <v/>
      </c>
      <c r="CK37" s="685" t="str">
        <f>IF('[1]Data 2026'!CN49="","",'[1]Data 2026'!CN49)</f>
        <v>Ajeesh</v>
      </c>
      <c r="CL37" s="691"/>
      <c r="CM37" s="691" t="str">
        <f>IF('[1]Data 2026'!CP49="","",'[1]Data 2026'!CP49)</f>
        <v/>
      </c>
      <c r="CN37" s="691"/>
      <c r="CO37" s="693"/>
      <c r="CP37" s="693"/>
      <c r="CQ37" s="693"/>
      <c r="CR37" s="686">
        <f t="shared" si="12"/>
        <v>0</v>
      </c>
      <c r="CS37" s="686">
        <f t="shared" si="12"/>
        <v>0</v>
      </c>
      <c r="CT37" s="686" t="str">
        <f t="shared" si="12"/>
        <v/>
      </c>
      <c r="CU37" s="686" t="str">
        <f t="shared" si="5"/>
        <v/>
      </c>
      <c r="CV37" s="686" t="str">
        <f t="shared" si="6"/>
        <v/>
      </c>
      <c r="CW37" s="685" t="str">
        <f t="shared" si="10"/>
        <v/>
      </c>
      <c r="CX37" s="685" t="str">
        <f t="shared" si="11"/>
        <v/>
      </c>
      <c r="CY37" s="693">
        <f t="shared" ca="1" si="7"/>
        <v>0</v>
      </c>
      <c r="CZ37" s="693" t="str">
        <f t="shared" si="8"/>
        <v/>
      </c>
      <c r="DB37"/>
      <c r="DC37"/>
    </row>
    <row r="38" spans="1:107" s="694" customFormat="1">
      <c r="A38" s="682" t="str">
        <f t="shared" si="0"/>
        <v>F. GATED IN, SAILING AWAITED</v>
      </c>
      <c r="B38" s="695" t="s">
        <v>1195</v>
      </c>
      <c r="C38" s="684" t="str">
        <f t="shared" si="1"/>
        <v>CLOSED POSITION</v>
      </c>
      <c r="D38" s="685" t="str">
        <f t="shared" si="9"/>
        <v/>
      </c>
      <c r="E38" s="685" t="str">
        <f t="shared" si="2"/>
        <v/>
      </c>
      <c r="F38" s="686">
        <f>IF('[1]Data 2026'!D50="","",'[1]Data 2026'!D50)</f>
        <v>48</v>
      </c>
      <c r="G38" s="686">
        <f>IF('[1]Data 2026'!E50="","",'[1]Data 2026'!E50)</f>
        <v>200</v>
      </c>
      <c r="H38" s="687">
        <f>IF('[1]Data 2026'!H50="","",'[1]Data 2026'!H50)</f>
        <v>32014537</v>
      </c>
      <c r="I38" s="688">
        <f>IF('[1]Data 2026'!AA50="","",'[1]Data 2026'!AA50)</f>
        <v>200</v>
      </c>
      <c r="J38" s="685" t="str">
        <f>IF('[1]Data 2026'!K50="","",'[1]Data 2026'!K50)</f>
        <v>APRIL</v>
      </c>
      <c r="K38" s="685">
        <v>46142</v>
      </c>
      <c r="L38" s="685" t="str">
        <f>IF('[1]Data 2026'!L50="","",'[1]Data 2026'!L50)</f>
        <v>VALENCY CI</v>
      </c>
      <c r="M38" s="685" t="str">
        <f>IF('[1]Data 2026'!M50="","",'[1]Data 2026'!M50)</f>
        <v>ST. GREGORIOUS CASHEW</v>
      </c>
      <c r="N38" s="685" t="s">
        <v>1198</v>
      </c>
      <c r="O38" s="689" t="str">
        <f>IF('[1]Data 2026'!N50="","",'[1]Data 2026'!N50)</f>
        <v>267465107-2</v>
      </c>
      <c r="P38" s="690">
        <f>IF('[1]Data 2026'!O50="","",'[1]Data 2026'!O50)</f>
        <v>270261368</v>
      </c>
      <c r="Q38" s="685" t="str">
        <f>IF('[1]Data 2026'!P50="","",'[1]Data 2026'!P50)</f>
        <v/>
      </c>
      <c r="R38" s="685" t="str">
        <f>IF('[1]Data 2026'!Q50="","",'[1]Data 2026'!Q50)</f>
        <v>ABJ</v>
      </c>
      <c r="S38" s="685" t="s">
        <v>210</v>
      </c>
      <c r="T38" s="685" t="str">
        <f>IF('[1]Data 2026'!R50="","",'[1]Data 2026'!R50)</f>
        <v>COCHIN, INDIA</v>
      </c>
      <c r="U38" s="685" t="str">
        <f>IF('[1]Data 2026'!S50="","",'[1]Data 2026'!S50)</f>
        <v>MAERSK CUANZA</v>
      </c>
      <c r="V38" s="685">
        <f>IF('[1]Data 2026'!T50="","",'[1]Data 2026'!T50)</f>
        <v>46141</v>
      </c>
      <c r="W38" s="685">
        <f>IF('[1]Data 2026'!U50="","",'[1]Data 2026'!U50)</f>
        <v>46121</v>
      </c>
      <c r="X38" s="685">
        <f>IF('[1]Data 2026'!V50="","",'[1]Data 2026'!V50)</f>
        <v>46123</v>
      </c>
      <c r="Y38" s="685">
        <f>IF('[1]Data 2026'!W50="","",'[1]Data 2026'!W50)</f>
        <v>46160</v>
      </c>
      <c r="Z38" s="685">
        <f>IF('[1]Data 2026'!X50="","",'[1]Data 2026'!X50)</f>
        <v>46178</v>
      </c>
      <c r="AA38" s="685"/>
      <c r="AB38" s="685">
        <f>IF('[1]Data 2026'!Y50="","",'[1]Data 2026'!Y50)</f>
        <v>46172</v>
      </c>
      <c r="AC38" s="685" t="str">
        <f>IF('[1]Data 2026'!Z50="","",'[1]Data 2026'!Z50)</f>
        <v/>
      </c>
      <c r="AD38" s="691">
        <f>IF('[1]Data 2026'!AA50="","",'[1]Data 2026'!AA50)</f>
        <v>200</v>
      </c>
      <c r="AE38" s="691">
        <f>IF('[1]Data 2026'!AB50="","",'[1]Data 2026'!AB50)</f>
        <v>200</v>
      </c>
      <c r="AF38" s="685">
        <f>IF('[1]Data 2026'!AC50="","",'[1]Data 2026'!AC50)</f>
        <v>45777</v>
      </c>
      <c r="AG38" s="685" t="str">
        <f>IF('[1]Data 2026'!AD50="","",'[1]Data 2026'!AD50)</f>
        <v>WH-I</v>
      </c>
      <c r="AH38" s="686">
        <f>IF('[1]Data 2026'!AE50="","",'[1]Data 2026'!AE50)</f>
        <v>8</v>
      </c>
      <c r="AI38" s="685" t="str">
        <f>IF('[1]Data 2026'!AG50="","",'[1]Data 2026'!AG50)</f>
        <v xml:space="preserve">VALENCY SINGAPORE </v>
      </c>
      <c r="AJ38" s="685" t="str">
        <f>IF('[1]Data 2026'!AH50="","",'[1]Data 2026'!AH50)</f>
        <v>DUNAMIS/SITRACOM</v>
      </c>
      <c r="AK38" s="685" t="str">
        <f>IF('[1]Data 2026'!AI50="","",'[1]Data 2026'!AI50)</f>
        <v>MSK</v>
      </c>
      <c r="AL38" s="685" t="str">
        <f>IF('[1]Data 2026'!AJ50="","",'[1]Data 2026'!AJ50)</f>
        <v>40FT</v>
      </c>
      <c r="AM38" s="692">
        <f>IF('[1]Data 2026'!AK50="","",'[1]Data 2026'!AK50)</f>
        <v>0.1</v>
      </c>
      <c r="AN38" s="685" t="str">
        <f>IF('[1]Data 2026'!AL50="","",'[1]Data 2026'!AL50)</f>
        <v xml:space="preserve"> ( 1 x 200 MTS ) </v>
      </c>
      <c r="AO38" s="691">
        <f>IF('[1]Data 2026'!AM50="","",'[1]Data 2026'!AM50)</f>
        <v>220</v>
      </c>
      <c r="AP38" s="691" t="str">
        <f t="shared" si="3"/>
        <v/>
      </c>
      <c r="AQ38" s="685" t="str">
        <f>IF('[1]Data 2026'!AO50="","",'[1]Data 2026'!AO50)</f>
        <v/>
      </c>
      <c r="AR38" s="685" t="str">
        <f>IF('[1]Data 2026'!AP50="","",'[1]Data 2026'!AP50)</f>
        <v/>
      </c>
      <c r="AS38" s="685" t="str">
        <f>IF('[1]Data 2026'!AQ50="","",'[1]Data 2026'!AQ50)</f>
        <v/>
      </c>
      <c r="AT38" s="685" t="str">
        <f>IF('[1]Data 2026'!AR50="","",'[1]Data 2026'!AR50)</f>
        <v/>
      </c>
      <c r="AU38" s="685" t="str">
        <f>IF('[1]Data 2026'!AW50="","",'[1]Data 2026'!AW50)</f>
        <v/>
      </c>
      <c r="AV38" s="685" t="str">
        <f>IF('[1]Data 2026'!AX50="","",'[1]Data 2026'!AX50)</f>
        <v/>
      </c>
      <c r="AW38" s="685" t="str">
        <f>IF('[1]Data 2026'!AY50="","",'[1]Data 2026'!AY50)</f>
        <v/>
      </c>
      <c r="AX38" s="685" t="str">
        <f>IF('[1]Data 2026'!AZ50="","",'[1]Data 2026'!AZ50)</f>
        <v/>
      </c>
      <c r="AY38" s="685" t="str">
        <f>IF('[1]Data 2026'!BA50="","",'[1]Data 2026'!BA50)</f>
        <v/>
      </c>
      <c r="AZ38" s="685" t="str">
        <f>IF('[1]Data 2026'!AS50="","",'[1]Data 2026'!AS50)</f>
        <v/>
      </c>
      <c r="BA38" s="685" t="str">
        <f>IF('[1]Data 2026'!AT50="","",'[1]Data 2026'!AT50)</f>
        <v/>
      </c>
      <c r="BB38" s="685" t="str">
        <f>IF('[1]Data 2026'!AU50="","",'[1]Data 2026'!AU50)</f>
        <v/>
      </c>
      <c r="BC38" s="685" t="str">
        <f>IF('[1]Data 2026'!AV50="","",'[1]Data 2026'!AV50)</f>
        <v/>
      </c>
      <c r="BD38" s="685" t="str">
        <f>IF('[1]Data 2026'!AW50="","",'[1]Data 2026'!AW50)</f>
        <v/>
      </c>
      <c r="BE38" s="685" t="str">
        <f>IF('[1]Data 2026'!AX50="","",'[1]Data 2026'!AX50)</f>
        <v/>
      </c>
      <c r="BF38" s="685" t="str">
        <f>IF('[1]Data 2026'!BF50="","",'[1]Data 2026'!BF50)</f>
        <v xml:space="preserve">VALENCY SINGAPORE </v>
      </c>
      <c r="BG38" s="685" t="str">
        <f>IF('[1]Data 2026'!BG50="","",'[1]Data 2026'!BG50)</f>
        <v/>
      </c>
      <c r="BH38" s="685" t="str">
        <f>IF('[1]Data 2026'!BH50="","",'[1]Data 2026'!BH50)</f>
        <v/>
      </c>
      <c r="BI38" s="685" t="str">
        <f>IF('[1]Data 2026'!BI50="","",'[1]Data 2026'!BI50)</f>
        <v/>
      </c>
      <c r="BJ38" s="685" t="str">
        <f>IF('[1]Data 2026'!BJ50="","",'[1]Data 2026'!BJ50)</f>
        <v/>
      </c>
      <c r="BK38" s="685" t="str">
        <f>IF('[1]Data 2026'!BK50="","",'[1]Data 2026'!BK50)</f>
        <v/>
      </c>
      <c r="BL38" s="685" t="str">
        <f>IF('[1]Data 2026'!BL50="","",'[1]Data 2026'!BL50)</f>
        <v>DUNAMIS/SITRACOM</v>
      </c>
      <c r="BM38" s="685" t="str">
        <f>IF('[1]Data 2026'!BM50="","",'[1]Data 2026'!BM50)</f>
        <v/>
      </c>
      <c r="BN38" s="685" t="str">
        <f>IF('[1]Data 2026'!BN50="","",'[1]Data 2026'!BN50)</f>
        <v/>
      </c>
      <c r="BO38" s="685" t="str">
        <f>IF('[1]Data 2026'!BO50="","",'[1]Data 2026'!BO50)</f>
        <v/>
      </c>
      <c r="BP38" s="685" t="str">
        <f>IF('[1]Data 2026'!BP50="","",'[1]Data 2026'!BP50)</f>
        <v/>
      </c>
      <c r="BQ38" s="685" t="str">
        <f>IF('[1]Data 2026'!BQ50="","",'[1]Data 2026'!BQ50)</f>
        <v/>
      </c>
      <c r="BR38" s="685" t="str">
        <f>IF('[1]Data 2026'!BR50="","",'[1]Data 2026'!BR50)</f>
        <v/>
      </c>
      <c r="BS38" s="685" t="str">
        <f>IF('[1]Data 2026'!BS50="","",'[1]Data 2026'!BS50)</f>
        <v/>
      </c>
      <c r="BT38" s="685" t="str">
        <f>IF('[1]Data 2026'!BV50="","",'[1]Data 2026'!BV50)</f>
        <v>ABSA/CMI</v>
      </c>
      <c r="BU38" s="685" t="str">
        <f>IF('[1]Data 2026'!BW50="","",'[1]Data 2026'!BW50)</f>
        <v/>
      </c>
      <c r="BV38" s="685" t="str">
        <f>IF('[1]Data 2026'!BX50="","",'[1]Data 2026'!BX50)</f>
        <v/>
      </c>
      <c r="BW38" s="685" t="str">
        <f>IF('[1]Data 2026'!BY50="","",'[1]Data 2026'!BY50)</f>
        <v/>
      </c>
      <c r="BX38" s="685" t="str">
        <f>IF('[1]Data 2026'!BZ50="","",'[1]Data 2026'!BZ50)</f>
        <v/>
      </c>
      <c r="BY38" s="685" t="str">
        <f>IF('[1]Data 2026'!CA50="","",'[1]Data 2026'!CA50)</f>
        <v>182610-14812</v>
      </c>
      <c r="BZ38" s="685">
        <f>IF('[1]Data 2026'!CB50="","",'[1]Data 2026'!CB50)</f>
        <v>46128</v>
      </c>
      <c r="CA38" s="685" t="str">
        <f>IF('[1]Data 2026'!CC50="","",'[1]Data 2026'!CC50)</f>
        <v>2026-0119</v>
      </c>
      <c r="CB38" s="685">
        <f>IF('[1]Data 2026'!CD50="","",'[1]Data 2026'!CD50)</f>
        <v>46128</v>
      </c>
      <c r="CC38" s="685" t="str">
        <f>IF('[1]Data 2026'!CE50="","",'[1]Data 2026'!CE50)</f>
        <v/>
      </c>
      <c r="CD38" s="685" t="str">
        <f>IF('[1]Data 2026'!CF50="","",'[1]Data 2026'!CF50)</f>
        <v/>
      </c>
      <c r="CE38" s="685">
        <f>IF('[1]Data 2026'!CG50="","",'[1]Data 2026'!CG50)</f>
        <v>46107</v>
      </c>
      <c r="CF38" s="685">
        <f>IF('[1]Data 2026'!CH50="","",'[1]Data 2026'!CH50)</f>
        <v>46128</v>
      </c>
      <c r="CG38" s="685" t="str">
        <f>IF('[1]Data 2026'!CI50="","",'[1]Data 2026'!CI50)</f>
        <v>E11856</v>
      </c>
      <c r="CH38" s="685" t="str">
        <f>IF('[1]Data 2026'!CJ50="","",'[1]Data 2026'!CJ50)</f>
        <v/>
      </c>
      <c r="CI38" s="685">
        <f>IF('[1]Data 2026'!CK50="","",'[1]Data 2026'!CK50)</f>
        <v>46140</v>
      </c>
      <c r="CJ38" s="685" t="str">
        <f>IF('[1]Data 2026'!CM50="","",'[1]Data 2026'!CM50)</f>
        <v/>
      </c>
      <c r="CK38" s="685" t="str">
        <f>IF('[1]Data 2026'!CN50="","",'[1]Data 2026'!CN50)</f>
        <v>Ajeesh</v>
      </c>
      <c r="CL38" s="691"/>
      <c r="CM38" s="691" t="str">
        <f>IF('[1]Data 2026'!CP50="","",'[1]Data 2026'!CP50)</f>
        <v/>
      </c>
      <c r="CN38" s="691"/>
      <c r="CO38" s="693"/>
      <c r="CP38" s="693"/>
      <c r="CQ38" s="693"/>
      <c r="CR38" s="686">
        <f t="shared" si="12"/>
        <v>-20</v>
      </c>
      <c r="CS38" s="686">
        <f t="shared" si="12"/>
        <v>2</v>
      </c>
      <c r="CT38" s="686">
        <f t="shared" si="12"/>
        <v>37</v>
      </c>
      <c r="CU38" s="686" t="str">
        <f t="shared" si="5"/>
        <v/>
      </c>
      <c r="CV38" s="686" t="str">
        <f t="shared" si="6"/>
        <v/>
      </c>
      <c r="CW38" s="685" t="str">
        <f t="shared" si="10"/>
        <v/>
      </c>
      <c r="CX38" s="685" t="str">
        <f t="shared" si="11"/>
        <v/>
      </c>
      <c r="CY38" s="693">
        <f t="shared" ca="1" si="7"/>
        <v>0</v>
      </c>
      <c r="CZ38" s="693" t="str">
        <f t="shared" si="8"/>
        <v/>
      </c>
      <c r="DB38"/>
      <c r="DC38"/>
    </row>
    <row r="39" spans="1:107" s="694" customFormat="1">
      <c r="A39" s="682" t="str">
        <f t="shared" si="0"/>
        <v>G. SAILED, OBL AWAITED</v>
      </c>
      <c r="B39" s="696" t="s">
        <v>1200</v>
      </c>
      <c r="C39" s="684" t="str">
        <f t="shared" si="1"/>
        <v>CLOSED POSITION</v>
      </c>
      <c r="D39" s="685" t="str">
        <f t="shared" si="9"/>
        <v>HBL AWAITED</v>
      </c>
      <c r="E39" s="685" t="str">
        <f t="shared" si="2"/>
        <v/>
      </c>
      <c r="F39" s="686">
        <f>IF('[1]Data 2026'!D51="","",'[1]Data 2026'!D51)</f>
        <v>48</v>
      </c>
      <c r="G39" s="686">
        <f>IF('[1]Data 2026'!E51="","",'[1]Data 2026'!E51)</f>
        <v>200</v>
      </c>
      <c r="H39" s="687">
        <f>IF('[1]Data 2026'!H51="","",'[1]Data 2026'!H51)</f>
        <v>32015058</v>
      </c>
      <c r="I39" s="688">
        <f>IF('[1]Data 2026'!AA51="","",'[1]Data 2026'!AA51)</f>
        <v>250</v>
      </c>
      <c r="J39" s="685" t="str">
        <f>IF('[1]Data 2026'!K51="","",'[1]Data 2026'!K51)</f>
        <v>April/May - 26</v>
      </c>
      <c r="K39" s="685">
        <v>46173</v>
      </c>
      <c r="L39" s="685" t="str">
        <f>IF('[1]Data 2026'!L51="","",'[1]Data 2026'!L51)</f>
        <v>VALENCY CI</v>
      </c>
      <c r="M39" s="685" t="str">
        <f>IF('[1]Data 2026'!M51="","",'[1]Data 2026'!M51)</f>
        <v xml:space="preserve">THAO NGUYEN COMPANY LIMITED  </v>
      </c>
      <c r="N39" s="685" t="s">
        <v>1194</v>
      </c>
      <c r="O39" s="689" t="str">
        <f>IF('[1]Data 2026'!N51="","",'[1]Data 2026'!N51)</f>
        <v>ABJG00281500</v>
      </c>
      <c r="P39" s="690" t="str">
        <f>IF('[1]Data 2026'!O51="","",'[1]Data 2026'!O51)</f>
        <v>ONEYABJG00281500</v>
      </c>
      <c r="Q39" s="685" t="str">
        <f>IF('[1]Data 2026'!P51="","",'[1]Data 2026'!P51)</f>
        <v/>
      </c>
      <c r="R39" s="685" t="str">
        <f>IF('[1]Data 2026'!Q51="","",'[1]Data 2026'!Q51)</f>
        <v>ABJ</v>
      </c>
      <c r="S39" s="685" t="s">
        <v>347</v>
      </c>
      <c r="T39" s="685" t="str">
        <f>IF('[1]Data 2026'!R51="","",'[1]Data 2026'!R51)</f>
        <v>CAI MEP ,VIETNAM</v>
      </c>
      <c r="U39" s="685" t="str">
        <f>IF('[1]Data 2026'!S51="","",'[1]Data 2026'!S51)</f>
        <v>EA CETUS</v>
      </c>
      <c r="V39" s="685">
        <f>IF('[1]Data 2026'!T51="","",'[1]Data 2026'!T51)</f>
        <v>46105</v>
      </c>
      <c r="W39" s="685">
        <f>IF('[1]Data 2026'!U51="","",'[1]Data 2026'!U51)</f>
        <v>46119</v>
      </c>
      <c r="X39" s="685">
        <f>IF('[1]Data 2026'!V51="","",'[1]Data 2026'!V51)</f>
        <v>46120</v>
      </c>
      <c r="Y39" s="685">
        <f>IF('[1]Data 2026'!W51="","",'[1]Data 2026'!W51)</f>
        <v>46149</v>
      </c>
      <c r="Z39" s="685">
        <f>IF('[1]Data 2026'!X51="","",'[1]Data 2026'!X51)</f>
        <v>46177</v>
      </c>
      <c r="AA39" s="685"/>
      <c r="AB39" s="685">
        <f>IF('[1]Data 2026'!Y51="","",'[1]Data 2026'!Y51)</f>
        <v>46159</v>
      </c>
      <c r="AC39" s="685">
        <f>IF('[1]Data 2026'!Z51="","",'[1]Data 2026'!Z51)</f>
        <v>46159</v>
      </c>
      <c r="AD39" s="691">
        <f>IF('[1]Data 2026'!AA51="","",'[1]Data 2026'!AA51)</f>
        <v>250</v>
      </c>
      <c r="AE39" s="691">
        <f>IF('[1]Data 2026'!AB51="","",'[1]Data 2026'!AB51)</f>
        <v>247.8</v>
      </c>
      <c r="AF39" s="685">
        <f>IF('[1]Data 2026'!AC51="","",'[1]Data 2026'!AC51)</f>
        <v>45808</v>
      </c>
      <c r="AG39" s="685" t="str">
        <f>IF('[1]Data 2026'!AD51="","",'[1]Data 2026'!AD51)</f>
        <v>Ex-Olam</v>
      </c>
      <c r="AH39" s="686">
        <f>IF('[1]Data 2026'!AE51="","",'[1]Data 2026'!AE51)</f>
        <v>10</v>
      </c>
      <c r="AI39" s="685" t="str">
        <f>IF('[1]Data 2026'!AG51="","",'[1]Data 2026'!AG51)</f>
        <v xml:space="preserve">GRAVIR LOGISTIQUE SARL </v>
      </c>
      <c r="AJ39" s="685" t="str">
        <f>IF('[1]Data 2026'!AH51="","",'[1]Data 2026'!AH51)</f>
        <v>DUNAMIS/SITRACOM</v>
      </c>
      <c r="AK39" s="685" t="str">
        <f>IF('[1]Data 2026'!AI51="","",'[1]Data 2026'!AI51)</f>
        <v>ONE</v>
      </c>
      <c r="AL39" s="685" t="str">
        <f>IF('[1]Data 2026'!AJ51="","",'[1]Data 2026'!AJ51)</f>
        <v>40FT</v>
      </c>
      <c r="AM39" s="692">
        <f>IF('[1]Data 2026'!AK51="","",'[1]Data 2026'!AK51)</f>
        <v>0.1</v>
      </c>
      <c r="AN39" s="685" t="str">
        <f>IF('[1]Data 2026'!AL51="","",'[1]Data 2026'!AL51)</f>
        <v xml:space="preserve"> ( 1 x 250 MTS ) </v>
      </c>
      <c r="AO39" s="691">
        <f>IF('[1]Data 2026'!AM51="","",'[1]Data 2026'!AM51)</f>
        <v>275</v>
      </c>
      <c r="AP39" s="691">
        <f t="shared" si="3"/>
        <v>-2.1999999999999886</v>
      </c>
      <c r="AQ39" s="685" t="str">
        <f>IF('[1]Data 2026'!AO51="","",'[1]Data 2026'!AO51)</f>
        <v/>
      </c>
      <c r="AR39" s="685">
        <f>IF('[1]Data 2026'!AP51="","",'[1]Data 2026'!AP51)</f>
        <v>46160</v>
      </c>
      <c r="AS39" s="685">
        <f>IF('[1]Data 2026'!AQ51="","",'[1]Data 2026'!AQ51)</f>
        <v>46157</v>
      </c>
      <c r="AT39" s="685" t="str">
        <f>IF('[1]Data 2026'!AR51="","",'[1]Data 2026'!AR51)</f>
        <v/>
      </c>
      <c r="AU39" s="685" t="str">
        <f>IF('[1]Data 2026'!AW51="","",'[1]Data 2026'!AW51)</f>
        <v/>
      </c>
      <c r="AV39" s="685" t="str">
        <f>IF('[1]Data 2026'!AX51="","",'[1]Data 2026'!AX51)</f>
        <v/>
      </c>
      <c r="AW39" s="685" t="str">
        <f>IF('[1]Data 2026'!AY51="","",'[1]Data 2026'!AY51)</f>
        <v/>
      </c>
      <c r="AX39" s="685" t="str">
        <f>IF('[1]Data 2026'!AZ51="","",'[1]Data 2026'!AZ51)</f>
        <v/>
      </c>
      <c r="AY39" s="685" t="str">
        <f>IF('[1]Data 2026'!BA51="","",'[1]Data 2026'!BA51)</f>
        <v/>
      </c>
      <c r="AZ39" s="685" t="str">
        <f>IF('[1]Data 2026'!AS51="","",'[1]Data 2026'!AS51)</f>
        <v/>
      </c>
      <c r="BA39" s="685" t="str">
        <f>IF('[1]Data 2026'!AT51="","",'[1]Data 2026'!AT51)</f>
        <v/>
      </c>
      <c r="BB39" s="685" t="str">
        <f>IF('[1]Data 2026'!AU51="","",'[1]Data 2026'!AU51)</f>
        <v/>
      </c>
      <c r="BC39" s="685" t="str">
        <f>IF('[1]Data 2026'!AV51="","",'[1]Data 2026'!AV51)</f>
        <v xml:space="preserve">Ms. Than VALENCY INTERNATIONAL TRADING VIETNAM CO., LTD </v>
      </c>
      <c r="BD39" s="685" t="str">
        <f>IF('[1]Data 2026'!AW51="","",'[1]Data 2026'!AW51)</f>
        <v/>
      </c>
      <c r="BE39" s="685" t="str">
        <f>IF('[1]Data 2026'!AX51="","",'[1]Data 2026'!AX51)</f>
        <v/>
      </c>
      <c r="BF39" s="685" t="str">
        <f>IF('[1]Data 2026'!BF51="","",'[1]Data 2026'!BF51)</f>
        <v xml:space="preserve">GRAVIR LOGISTIQUE SARL </v>
      </c>
      <c r="BG39" s="685" t="str">
        <f>IF('[1]Data 2026'!BG51="","",'[1]Data 2026'!BG51)</f>
        <v/>
      </c>
      <c r="BH39" s="685" t="str">
        <f>IF('[1]Data 2026'!BH51="","",'[1]Data 2026'!BH51)</f>
        <v/>
      </c>
      <c r="BI39" s="685" t="str">
        <f>IF('[1]Data 2026'!BI51="","",'[1]Data 2026'!BI51)</f>
        <v/>
      </c>
      <c r="BJ39" s="685" t="str">
        <f>IF('[1]Data 2026'!BJ51="","",'[1]Data 2026'!BJ51)</f>
        <v/>
      </c>
      <c r="BK39" s="685" t="str">
        <f>IF('[1]Data 2026'!BK51="","",'[1]Data 2026'!BK51)</f>
        <v/>
      </c>
      <c r="BL39" s="685" t="str">
        <f>IF('[1]Data 2026'!BL51="","",'[1]Data 2026'!BL51)</f>
        <v>DUNAMIS/SITRACOM</v>
      </c>
      <c r="BM39" s="685" t="str">
        <f>IF('[1]Data 2026'!BM51="","",'[1]Data 2026'!BM51)</f>
        <v/>
      </c>
      <c r="BN39" s="685" t="str">
        <f>IF('[1]Data 2026'!BN51="","",'[1]Data 2026'!BN51)</f>
        <v/>
      </c>
      <c r="BO39" s="685" t="str">
        <f>IF('[1]Data 2026'!BO51="","",'[1]Data 2026'!BO51)</f>
        <v/>
      </c>
      <c r="BP39" s="685" t="str">
        <f>IF('[1]Data 2026'!BP51="","",'[1]Data 2026'!BP51)</f>
        <v/>
      </c>
      <c r="BQ39" s="685" t="str">
        <f>IF('[1]Data 2026'!BQ51="","",'[1]Data 2026'!BQ51)</f>
        <v/>
      </c>
      <c r="BR39" s="685">
        <f>IF('[1]Data 2026'!BR51="","",'[1]Data 2026'!BR51)</f>
        <v>46159</v>
      </c>
      <c r="BS39" s="685" t="str">
        <f>IF('[1]Data 2026'!BS51="","",'[1]Data 2026'!BS51)</f>
        <v>IVC-RCN2026-CI0007</v>
      </c>
      <c r="BT39" s="685" t="str">
        <f>IF('[1]Data 2026'!BV51="","",'[1]Data 2026'!BV51)</f>
        <v>BOA/KTD</v>
      </c>
      <c r="BU39" s="685" t="str">
        <f>IF('[1]Data 2026'!BW51="","",'[1]Data 2026'!BW51)</f>
        <v/>
      </c>
      <c r="BV39" s="685" t="str">
        <f>IF('[1]Data 2026'!BX51="","",'[1]Data 2026'!BX51)</f>
        <v/>
      </c>
      <c r="BW39" s="685" t="str">
        <f>IF('[1]Data 2026'!BY51="","",'[1]Data 2026'!BY51)</f>
        <v/>
      </c>
      <c r="BX39" s="685" t="str">
        <f>IF('[1]Data 2026'!BZ51="","",'[1]Data 2026'!BZ51)</f>
        <v/>
      </c>
      <c r="BY39" s="685" t="str">
        <f>IF('[1]Data 2026'!CA51="","",'[1]Data 2026'!CA51)</f>
        <v>182610-14815</v>
      </c>
      <c r="BZ39" s="685">
        <f>IF('[1]Data 2026'!CB51="","",'[1]Data 2026'!CB51)</f>
        <v>46128</v>
      </c>
      <c r="CA39" s="685" t="str">
        <f>IF('[1]Data 2026'!CC51="","",'[1]Data 2026'!CC51)</f>
        <v>2026-0110</v>
      </c>
      <c r="CB39" s="685">
        <f>IF('[1]Data 2026'!CD51="","",'[1]Data 2026'!CD51)</f>
        <v>46128</v>
      </c>
      <c r="CC39" s="685" t="str">
        <f>IF('[1]Data 2026'!CE51="","",'[1]Data 2026'!CE51)</f>
        <v/>
      </c>
      <c r="CD39" s="685" t="str">
        <f>IF('[1]Data 2026'!CF51="","",'[1]Data 2026'!CF51)</f>
        <v/>
      </c>
      <c r="CE39" s="685">
        <f>IF('[1]Data 2026'!CG51="","",'[1]Data 2026'!CG51)</f>
        <v>46105</v>
      </c>
      <c r="CF39" s="685">
        <f>IF('[1]Data 2026'!CH51="","",'[1]Data 2026'!CH51)</f>
        <v>46127</v>
      </c>
      <c r="CG39" s="685" t="str">
        <f>IF('[1]Data 2026'!CI51="","",'[1]Data 2026'!CI51)</f>
        <v>E11674</v>
      </c>
      <c r="CH39" s="685" t="str">
        <f>IF('[1]Data 2026'!CJ51="","",'[1]Data 2026'!CJ51)</f>
        <v/>
      </c>
      <c r="CI39" s="685">
        <f>IF('[1]Data 2026'!CK51="","",'[1]Data 2026'!CK51)</f>
        <v>46123</v>
      </c>
      <c r="CJ39" s="685" t="str">
        <f>IF('[1]Data 2026'!CM51="","",'[1]Data 2026'!CM51)</f>
        <v/>
      </c>
      <c r="CK39" s="685" t="str">
        <f>IF('[1]Data 2026'!CN51="","",'[1]Data 2026'!CN51)</f>
        <v>Sugmaran</v>
      </c>
      <c r="CL39" s="691"/>
      <c r="CM39" s="691" t="str">
        <f>IF('[1]Data 2026'!CP51="","",'[1]Data 2026'!CP51)</f>
        <v/>
      </c>
      <c r="CN39" s="691"/>
      <c r="CO39" s="693"/>
      <c r="CP39" s="693"/>
      <c r="CQ39" s="693"/>
      <c r="CR39" s="686">
        <f t="shared" si="12"/>
        <v>14</v>
      </c>
      <c r="CS39" s="686">
        <f t="shared" si="12"/>
        <v>1</v>
      </c>
      <c r="CT39" s="686">
        <f t="shared" si="12"/>
        <v>29</v>
      </c>
      <c r="CU39" s="686">
        <f t="shared" si="5"/>
        <v>39</v>
      </c>
      <c r="CV39" s="686" t="str">
        <f t="shared" si="6"/>
        <v/>
      </c>
      <c r="CW39" s="685" t="str">
        <f t="shared" si="10"/>
        <v/>
      </c>
      <c r="CX39" s="685" t="str">
        <f t="shared" si="11"/>
        <v/>
      </c>
      <c r="CY39" s="693">
        <f t="shared" ca="1" si="7"/>
        <v>70</v>
      </c>
      <c r="CZ39" s="693" t="str">
        <f t="shared" si="8"/>
        <v/>
      </c>
      <c r="DB39"/>
      <c r="DC39"/>
    </row>
    <row r="40" spans="1:107" s="694" customFormat="1">
      <c r="A40" s="682" t="str">
        <f t="shared" si="0"/>
        <v>G. SAILED, OBL AWAITED</v>
      </c>
      <c r="B40" s="696" t="s">
        <v>1200</v>
      </c>
      <c r="C40" s="684" t="str">
        <f t="shared" si="1"/>
        <v>CLOSED POSITION</v>
      </c>
      <c r="D40" s="685" t="str">
        <f t="shared" si="9"/>
        <v>HBL AWAITED</v>
      </c>
      <c r="E40" s="685" t="str">
        <f t="shared" si="2"/>
        <v/>
      </c>
      <c r="F40" s="686">
        <f>IF('[1]Data 2026'!D52="","",'[1]Data 2026'!D52)</f>
        <v>48</v>
      </c>
      <c r="G40" s="686">
        <f>IF('[1]Data 2026'!E52="","",'[1]Data 2026'!E52)</f>
        <v>200</v>
      </c>
      <c r="H40" s="687">
        <f>IF('[1]Data 2026'!H52="","",'[1]Data 2026'!H52)</f>
        <v>32014998</v>
      </c>
      <c r="I40" s="688">
        <f>IF('[1]Data 2026'!AA52="","",'[1]Data 2026'!AA52)</f>
        <v>250</v>
      </c>
      <c r="J40" s="685" t="str">
        <f>IF('[1]Data 2026'!K52="","",'[1]Data 2026'!K52)</f>
        <v>April/May - 26</v>
      </c>
      <c r="K40" s="685">
        <v>46173</v>
      </c>
      <c r="L40" s="685" t="str">
        <f>IF('[1]Data 2026'!L52="","",'[1]Data 2026'!L52)</f>
        <v>VALENCY CI</v>
      </c>
      <c r="M40" s="685" t="str">
        <f>IF('[1]Data 2026'!M52="","",'[1]Data 2026'!M52)</f>
        <v xml:space="preserve">THAO NGUYEN COMPANY LIMITED  </v>
      </c>
      <c r="N40" s="685" t="s">
        <v>1194</v>
      </c>
      <c r="O40" s="689" t="str">
        <f>IF('[1]Data 2026'!N52="","",'[1]Data 2026'!N52)</f>
        <v>ABJG00282600</v>
      </c>
      <c r="P40" s="690" t="str">
        <f>IF('[1]Data 2026'!O52="","",'[1]Data 2026'!O52)</f>
        <v>ONEYABJG00282600</v>
      </c>
      <c r="Q40" s="685" t="str">
        <f>IF('[1]Data 2026'!P52="","",'[1]Data 2026'!P52)</f>
        <v/>
      </c>
      <c r="R40" s="685" t="str">
        <f>IF('[1]Data 2026'!Q52="","",'[1]Data 2026'!Q52)</f>
        <v>ABJ</v>
      </c>
      <c r="S40" s="685" t="s">
        <v>347</v>
      </c>
      <c r="T40" s="685" t="str">
        <f>IF('[1]Data 2026'!R52="","",'[1]Data 2026'!R52)</f>
        <v>CAI MEP ,VIETNAM</v>
      </c>
      <c r="U40" s="685" t="str">
        <f>IF('[1]Data 2026'!S52="","",'[1]Data 2026'!S52)</f>
        <v>EA CETUS</v>
      </c>
      <c r="V40" s="685">
        <f>IF('[1]Data 2026'!T52="","",'[1]Data 2026'!T52)</f>
        <v>46107</v>
      </c>
      <c r="W40" s="685">
        <f>IF('[1]Data 2026'!U52="","",'[1]Data 2026'!U52)</f>
        <v>46119</v>
      </c>
      <c r="X40" s="685">
        <f>IF('[1]Data 2026'!V52="","",'[1]Data 2026'!V52)</f>
        <v>46120</v>
      </c>
      <c r="Y40" s="685">
        <f>IF('[1]Data 2026'!W52="","",'[1]Data 2026'!W52)</f>
        <v>46149</v>
      </c>
      <c r="Z40" s="685">
        <f>IF('[1]Data 2026'!X52="","",'[1]Data 2026'!X52)</f>
        <v>46177</v>
      </c>
      <c r="AA40" s="685"/>
      <c r="AB40" s="685">
        <f>IF('[1]Data 2026'!Y52="","",'[1]Data 2026'!Y52)</f>
        <v>46159</v>
      </c>
      <c r="AC40" s="685">
        <f>IF('[1]Data 2026'!Z52="","",'[1]Data 2026'!Z52)</f>
        <v>46159</v>
      </c>
      <c r="AD40" s="691">
        <f>IF('[1]Data 2026'!AA52="","",'[1]Data 2026'!AA52)</f>
        <v>250</v>
      </c>
      <c r="AE40" s="691">
        <f>IF('[1]Data 2026'!AB52="","",'[1]Data 2026'!AB52)</f>
        <v>240.26</v>
      </c>
      <c r="AF40" s="685">
        <f>IF('[1]Data 2026'!AC52="","",'[1]Data 2026'!AC52)</f>
        <v>45808</v>
      </c>
      <c r="AG40" s="685" t="str">
        <f>IF('[1]Data 2026'!AD52="","",'[1]Data 2026'!AD52)</f>
        <v>Ex-Olam</v>
      </c>
      <c r="AH40" s="686">
        <f>IF('[1]Data 2026'!AE52="","",'[1]Data 2026'!AE52)</f>
        <v>10</v>
      </c>
      <c r="AI40" s="685" t="str">
        <f>IF('[1]Data 2026'!AG52="","",'[1]Data 2026'!AG52)</f>
        <v xml:space="preserve">GRAVIR LOGISTIQUE SARL </v>
      </c>
      <c r="AJ40" s="685" t="str">
        <f>IF('[1]Data 2026'!AH52="","",'[1]Data 2026'!AH52)</f>
        <v>DUNAMIS/SITRACOM</v>
      </c>
      <c r="AK40" s="685" t="str">
        <f>IF('[1]Data 2026'!AI52="","",'[1]Data 2026'!AI52)</f>
        <v>ONE</v>
      </c>
      <c r="AL40" s="685" t="str">
        <f>IF('[1]Data 2026'!AJ52="","",'[1]Data 2026'!AJ52)</f>
        <v>40FT</v>
      </c>
      <c r="AM40" s="692">
        <f>IF('[1]Data 2026'!AK52="","",'[1]Data 2026'!AK52)</f>
        <v>0.1</v>
      </c>
      <c r="AN40" s="685" t="str">
        <f>IF('[1]Data 2026'!AL52="","",'[1]Data 2026'!AL52)</f>
        <v xml:space="preserve"> ( 1 x 250 MTS ) </v>
      </c>
      <c r="AO40" s="691">
        <f>IF('[1]Data 2026'!AM52="","",'[1]Data 2026'!AM52)</f>
        <v>275</v>
      </c>
      <c r="AP40" s="691">
        <f t="shared" si="3"/>
        <v>-9.7400000000000091</v>
      </c>
      <c r="AQ40" s="685" t="str">
        <f>IF('[1]Data 2026'!AO52="","",'[1]Data 2026'!AO52)</f>
        <v/>
      </c>
      <c r="AR40" s="685">
        <f>IF('[1]Data 2026'!AP52="","",'[1]Data 2026'!AP52)</f>
        <v>46160</v>
      </c>
      <c r="AS40" s="685">
        <f>IF('[1]Data 2026'!AQ52="","",'[1]Data 2026'!AQ52)</f>
        <v>46157</v>
      </c>
      <c r="AT40" s="685" t="str">
        <f>IF('[1]Data 2026'!AR52="","",'[1]Data 2026'!AR52)</f>
        <v/>
      </c>
      <c r="AU40" s="685" t="str">
        <f>IF('[1]Data 2026'!AW52="","",'[1]Data 2026'!AW52)</f>
        <v/>
      </c>
      <c r="AV40" s="685" t="str">
        <f>IF('[1]Data 2026'!AX52="","",'[1]Data 2026'!AX52)</f>
        <v/>
      </c>
      <c r="AW40" s="685" t="str">
        <f>IF('[1]Data 2026'!AY52="","",'[1]Data 2026'!AY52)</f>
        <v/>
      </c>
      <c r="AX40" s="685" t="str">
        <f>IF('[1]Data 2026'!AZ52="","",'[1]Data 2026'!AZ52)</f>
        <v/>
      </c>
      <c r="AY40" s="685" t="str">
        <f>IF('[1]Data 2026'!BA52="","",'[1]Data 2026'!BA52)</f>
        <v/>
      </c>
      <c r="AZ40" s="685" t="str">
        <f>IF('[1]Data 2026'!AS52="","",'[1]Data 2026'!AS52)</f>
        <v/>
      </c>
      <c r="BA40" s="685" t="str">
        <f>IF('[1]Data 2026'!AT52="","",'[1]Data 2026'!AT52)</f>
        <v/>
      </c>
      <c r="BB40" s="685" t="str">
        <f>IF('[1]Data 2026'!AU52="","",'[1]Data 2026'!AU52)</f>
        <v/>
      </c>
      <c r="BC40" s="685" t="str">
        <f>IF('[1]Data 2026'!AV52="","",'[1]Data 2026'!AV52)</f>
        <v/>
      </c>
      <c r="BD40" s="685" t="str">
        <f>IF('[1]Data 2026'!AW52="","",'[1]Data 2026'!AW52)</f>
        <v/>
      </c>
      <c r="BE40" s="685" t="str">
        <f>IF('[1]Data 2026'!AX52="","",'[1]Data 2026'!AX52)</f>
        <v/>
      </c>
      <c r="BF40" s="685" t="str">
        <f>IF('[1]Data 2026'!BF52="","",'[1]Data 2026'!BF52)</f>
        <v xml:space="preserve">GRAVIR LOGISTIQUE SARL </v>
      </c>
      <c r="BG40" s="685" t="str">
        <f>IF('[1]Data 2026'!BG52="","",'[1]Data 2026'!BG52)</f>
        <v/>
      </c>
      <c r="BH40" s="685" t="str">
        <f>IF('[1]Data 2026'!BH52="","",'[1]Data 2026'!BH52)</f>
        <v/>
      </c>
      <c r="BI40" s="685" t="str">
        <f>IF('[1]Data 2026'!BI52="","",'[1]Data 2026'!BI52)</f>
        <v/>
      </c>
      <c r="BJ40" s="685" t="str">
        <f>IF('[1]Data 2026'!BJ52="","",'[1]Data 2026'!BJ52)</f>
        <v/>
      </c>
      <c r="BK40" s="685" t="str">
        <f>IF('[1]Data 2026'!BK52="","",'[1]Data 2026'!BK52)</f>
        <v/>
      </c>
      <c r="BL40" s="685" t="str">
        <f>IF('[1]Data 2026'!BL52="","",'[1]Data 2026'!BL52)</f>
        <v>DUNAMIS/SITRACOM</v>
      </c>
      <c r="BM40" s="685" t="str">
        <f>IF('[1]Data 2026'!BM52="","",'[1]Data 2026'!BM52)</f>
        <v/>
      </c>
      <c r="BN40" s="685" t="str">
        <f>IF('[1]Data 2026'!BN52="","",'[1]Data 2026'!BN52)</f>
        <v/>
      </c>
      <c r="BO40" s="685" t="str">
        <f>IF('[1]Data 2026'!BO52="","",'[1]Data 2026'!BO52)</f>
        <v/>
      </c>
      <c r="BP40" s="685" t="str">
        <f>IF('[1]Data 2026'!BP52="","",'[1]Data 2026'!BP52)</f>
        <v/>
      </c>
      <c r="BQ40" s="685" t="str">
        <f>IF('[1]Data 2026'!BQ52="","",'[1]Data 2026'!BQ52)</f>
        <v/>
      </c>
      <c r="BR40" s="685">
        <f>IF('[1]Data 2026'!BR52="","",'[1]Data 2026'!BR52)</f>
        <v>46159</v>
      </c>
      <c r="BS40" s="685" t="str">
        <f>IF('[1]Data 2026'!BS52="","",'[1]Data 2026'!BS52)</f>
        <v>IVC-RCN2026-CI0008</v>
      </c>
      <c r="BT40" s="685" t="str">
        <f>IF('[1]Data 2026'!BV52="","",'[1]Data 2026'!BV52)</f>
        <v>BOA/KTD</v>
      </c>
      <c r="BU40" s="685" t="str">
        <f>IF('[1]Data 2026'!BW52="","",'[1]Data 2026'!BW52)</f>
        <v/>
      </c>
      <c r="BV40" s="685" t="str">
        <f>IF('[1]Data 2026'!BX52="","",'[1]Data 2026'!BX52)</f>
        <v/>
      </c>
      <c r="BW40" s="685" t="str">
        <f>IF('[1]Data 2026'!BY52="","",'[1]Data 2026'!BY52)</f>
        <v/>
      </c>
      <c r="BX40" s="685" t="str">
        <f>IF('[1]Data 2026'!BZ52="","",'[1]Data 2026'!BZ52)</f>
        <v/>
      </c>
      <c r="BY40" s="685" t="str">
        <f>IF('[1]Data 2026'!CA52="","",'[1]Data 2026'!CA52)</f>
        <v>182610-14815</v>
      </c>
      <c r="BZ40" s="685">
        <f>IF('[1]Data 2026'!CB52="","",'[1]Data 2026'!CB52)</f>
        <v>46128</v>
      </c>
      <c r="CA40" s="685" t="str">
        <f>IF('[1]Data 2026'!CC52="","",'[1]Data 2026'!CC52)</f>
        <v>2026-0110</v>
      </c>
      <c r="CB40" s="685">
        <f>IF('[1]Data 2026'!CD52="","",'[1]Data 2026'!CD52)</f>
        <v>46128</v>
      </c>
      <c r="CC40" s="685" t="str">
        <f>IF('[1]Data 2026'!CE52="","",'[1]Data 2026'!CE52)</f>
        <v/>
      </c>
      <c r="CD40" s="685" t="str">
        <f>IF('[1]Data 2026'!CF52="","",'[1]Data 2026'!CF52)</f>
        <v/>
      </c>
      <c r="CE40" s="685">
        <f>IF('[1]Data 2026'!CG52="","",'[1]Data 2026'!CG52)</f>
        <v>46107</v>
      </c>
      <c r="CF40" s="685">
        <f>IF('[1]Data 2026'!CH52="","",'[1]Data 2026'!CH52)</f>
        <v>46127</v>
      </c>
      <c r="CG40" s="685" t="str">
        <f>IF('[1]Data 2026'!CI52="","",'[1]Data 2026'!CI52)</f>
        <v>E11674</v>
      </c>
      <c r="CH40" s="685" t="str">
        <f>IF('[1]Data 2026'!CJ52="","",'[1]Data 2026'!CJ52)</f>
        <v/>
      </c>
      <c r="CI40" s="685">
        <f>IF('[1]Data 2026'!CK52="","",'[1]Data 2026'!CK52)</f>
        <v>46123</v>
      </c>
      <c r="CJ40" s="685" t="str">
        <f>IF('[1]Data 2026'!CM52="","",'[1]Data 2026'!CM52)</f>
        <v/>
      </c>
      <c r="CK40" s="685" t="str">
        <f>IF('[1]Data 2026'!CN52="","",'[1]Data 2026'!CN52)</f>
        <v>Sugmaran</v>
      </c>
      <c r="CL40" s="691"/>
      <c r="CM40" s="691" t="str">
        <f>IF('[1]Data 2026'!CP52="","",'[1]Data 2026'!CP52)</f>
        <v/>
      </c>
      <c r="CN40" s="691"/>
      <c r="CO40" s="693"/>
      <c r="CP40" s="693"/>
      <c r="CQ40" s="693"/>
      <c r="CR40" s="686">
        <f t="shared" si="12"/>
        <v>12</v>
      </c>
      <c r="CS40" s="686">
        <f t="shared" si="12"/>
        <v>1</v>
      </c>
      <c r="CT40" s="686">
        <f t="shared" si="12"/>
        <v>29</v>
      </c>
      <c r="CU40" s="686">
        <f t="shared" si="5"/>
        <v>39</v>
      </c>
      <c r="CV40" s="686" t="str">
        <f t="shared" si="6"/>
        <v/>
      </c>
      <c r="CW40" s="685" t="str">
        <f t="shared" si="10"/>
        <v/>
      </c>
      <c r="CX40" s="685" t="str">
        <f t="shared" si="11"/>
        <v/>
      </c>
      <c r="CY40" s="693">
        <f t="shared" ca="1" si="7"/>
        <v>70</v>
      </c>
      <c r="CZ40" s="693" t="str">
        <f t="shared" si="8"/>
        <v/>
      </c>
      <c r="DB40"/>
      <c r="DC40"/>
    </row>
    <row r="41" spans="1:107" s="694" customFormat="1">
      <c r="A41" s="682" t="str">
        <f t="shared" si="0"/>
        <v>F. GATED IN, SAILING AWAITED</v>
      </c>
      <c r="B41" s="695" t="s">
        <v>1195</v>
      </c>
      <c r="C41" s="684" t="str">
        <f t="shared" si="1"/>
        <v>CLOSED POSITION</v>
      </c>
      <c r="D41" s="685" t="str">
        <f t="shared" si="9"/>
        <v/>
      </c>
      <c r="E41" s="685" t="str">
        <f t="shared" si="2"/>
        <v/>
      </c>
      <c r="F41" s="686">
        <f>IF('[1]Data 2026'!D53="","",'[1]Data 2026'!D53)</f>
        <v>49</v>
      </c>
      <c r="G41" s="686">
        <f>IF('[1]Data 2026'!E53="","",'[1]Data 2026'!E53)</f>
        <v>200</v>
      </c>
      <c r="H41" s="687">
        <f>IF('[1]Data 2026'!H53="","",'[1]Data 2026'!H53)</f>
        <v>32014493</v>
      </c>
      <c r="I41" s="688">
        <f>IF('[1]Data 2026'!AA53="","",'[1]Data 2026'!AA53)</f>
        <v>100</v>
      </c>
      <c r="J41" s="685" t="str">
        <f>IF('[1]Data 2026'!K53="","",'[1]Data 2026'!K53)</f>
        <v>APRIL</v>
      </c>
      <c r="K41" s="685">
        <v>46142</v>
      </c>
      <c r="L41" s="685" t="str">
        <f>IF('[1]Data 2026'!L53="","",'[1]Data 2026'!L53)</f>
        <v>VALENCY CI</v>
      </c>
      <c r="M41" s="685" t="str">
        <f>IF('[1]Data 2026'!M53="","",'[1]Data 2026'!M53)</f>
        <v>ST. PAULS CASHEW FACTORY</v>
      </c>
      <c r="N41" s="685" t="s">
        <v>1198</v>
      </c>
      <c r="O41" s="689">
        <f>IF('[1]Data 2026'!N53="","",'[1]Data 2026'!N53)</f>
        <v>268716048</v>
      </c>
      <c r="P41" s="690">
        <f>IF('[1]Data 2026'!O53="","",'[1]Data 2026'!O53)</f>
        <v>268716048</v>
      </c>
      <c r="Q41" s="685" t="str">
        <f>IF('[1]Data 2026'!P53="","",'[1]Data 2026'!P53)</f>
        <v/>
      </c>
      <c r="R41" s="685" t="str">
        <f>IF('[1]Data 2026'!Q53="","",'[1]Data 2026'!Q53)</f>
        <v>ABJ</v>
      </c>
      <c r="S41" s="685" t="s">
        <v>210</v>
      </c>
      <c r="T41" s="685" t="str">
        <f>IF('[1]Data 2026'!R53="","",'[1]Data 2026'!R53)</f>
        <v>TUTICORIN, INDIA</v>
      </c>
      <c r="U41" s="685" t="str">
        <f>IF('[1]Data 2026'!S53="","",'[1]Data 2026'!S53)</f>
        <v>MAERSK CUANZA</v>
      </c>
      <c r="V41" s="685">
        <f>IF('[1]Data 2026'!T53="","",'[1]Data 2026'!T53)</f>
        <v>46109</v>
      </c>
      <c r="W41" s="685">
        <f>IF('[1]Data 2026'!U53="","",'[1]Data 2026'!U53)</f>
        <v>46132</v>
      </c>
      <c r="X41" s="685">
        <f>IF('[1]Data 2026'!V53="","",'[1]Data 2026'!V53)</f>
        <v>46132</v>
      </c>
      <c r="Y41" s="685">
        <f>IF('[1]Data 2026'!W53="","",'[1]Data 2026'!W53)</f>
        <v>46159</v>
      </c>
      <c r="Z41" s="685">
        <f>IF('[1]Data 2026'!X53="","",'[1]Data 2026'!X53)</f>
        <v>46189</v>
      </c>
      <c r="AA41" s="685"/>
      <c r="AB41" s="685">
        <f>IF('[1]Data 2026'!Y53="","",'[1]Data 2026'!Y53)</f>
        <v>46172</v>
      </c>
      <c r="AC41" s="685" t="str">
        <f>IF('[1]Data 2026'!Z53="","",'[1]Data 2026'!Z53)</f>
        <v/>
      </c>
      <c r="AD41" s="691">
        <f>IF('[1]Data 2026'!AA53="","",'[1]Data 2026'!AA53)</f>
        <v>100</v>
      </c>
      <c r="AE41" s="691">
        <f>IF('[1]Data 2026'!AB53="","",'[1]Data 2026'!AB53)</f>
        <v>100</v>
      </c>
      <c r="AF41" s="685">
        <f>IF('[1]Data 2026'!AC53="","",'[1]Data 2026'!AC53)</f>
        <v>45777</v>
      </c>
      <c r="AG41" s="685" t="str">
        <f>IF('[1]Data 2026'!AD53="","",'[1]Data 2026'!AD53)</f>
        <v>WH-I</v>
      </c>
      <c r="AH41" s="686">
        <f>IF('[1]Data 2026'!AE53="","",'[1]Data 2026'!AE53)</f>
        <v>4</v>
      </c>
      <c r="AI41" s="685" t="str">
        <f>IF('[1]Data 2026'!AG53="","",'[1]Data 2026'!AG53)</f>
        <v xml:space="preserve">REUDAN INTERNATIONAL CI </v>
      </c>
      <c r="AJ41" s="685" t="str">
        <f>IF('[1]Data 2026'!AH53="","",'[1]Data 2026'!AH53)</f>
        <v>DUNAMIS/SITRACOM</v>
      </c>
      <c r="AK41" s="685" t="str">
        <f>IF('[1]Data 2026'!AI53="","",'[1]Data 2026'!AI53)</f>
        <v>MSK</v>
      </c>
      <c r="AL41" s="685" t="str">
        <f>IF('[1]Data 2026'!AJ53="","",'[1]Data 2026'!AJ53)</f>
        <v>40FT</v>
      </c>
      <c r="AM41" s="692">
        <f>IF('[1]Data 2026'!AK53="","",'[1]Data 2026'!AK53)</f>
        <v>0.1</v>
      </c>
      <c r="AN41" s="685" t="str">
        <f>IF('[1]Data 2026'!AL53="","",'[1]Data 2026'!AL53)</f>
        <v xml:space="preserve"> ( 1 x 100 MTS ) </v>
      </c>
      <c r="AO41" s="691">
        <f>IF('[1]Data 2026'!AM53="","",'[1]Data 2026'!AM53)</f>
        <v>110</v>
      </c>
      <c r="AP41" s="691" t="str">
        <f t="shared" si="3"/>
        <v/>
      </c>
      <c r="AQ41" s="685" t="str">
        <f>IF('[1]Data 2026'!AO53="","",'[1]Data 2026'!AO53)</f>
        <v/>
      </c>
      <c r="AR41" s="685" t="str">
        <f>IF('[1]Data 2026'!AP53="","",'[1]Data 2026'!AP53)</f>
        <v/>
      </c>
      <c r="AS41" s="685" t="str">
        <f>IF('[1]Data 2026'!AQ53="","",'[1]Data 2026'!AQ53)</f>
        <v/>
      </c>
      <c r="AT41" s="685" t="str">
        <f>IF('[1]Data 2026'!AR53="","",'[1]Data 2026'!AR53)</f>
        <v/>
      </c>
      <c r="AU41" s="685" t="str">
        <f>IF('[1]Data 2026'!AW53="","",'[1]Data 2026'!AW53)</f>
        <v/>
      </c>
      <c r="AV41" s="685" t="str">
        <f>IF('[1]Data 2026'!AX53="","",'[1]Data 2026'!AX53)</f>
        <v/>
      </c>
      <c r="AW41" s="685" t="str">
        <f>IF('[1]Data 2026'!AY53="","",'[1]Data 2026'!AY53)</f>
        <v/>
      </c>
      <c r="AX41" s="685" t="str">
        <f>IF('[1]Data 2026'!AZ53="","",'[1]Data 2026'!AZ53)</f>
        <v/>
      </c>
      <c r="AY41" s="685" t="str">
        <f>IF('[1]Data 2026'!BA53="","",'[1]Data 2026'!BA53)</f>
        <v/>
      </c>
      <c r="AZ41" s="685" t="str">
        <f>IF('[1]Data 2026'!AS53="","",'[1]Data 2026'!AS53)</f>
        <v/>
      </c>
      <c r="BA41" s="685" t="str">
        <f>IF('[1]Data 2026'!AT53="","",'[1]Data 2026'!AT53)</f>
        <v/>
      </c>
      <c r="BB41" s="685" t="str">
        <f>IF('[1]Data 2026'!AU53="","",'[1]Data 2026'!AU53)</f>
        <v/>
      </c>
      <c r="BC41" s="685" t="str">
        <f>IF('[1]Data 2026'!AV53="","",'[1]Data 2026'!AV53)</f>
        <v/>
      </c>
      <c r="BD41" s="685" t="str">
        <f>IF('[1]Data 2026'!AW53="","",'[1]Data 2026'!AW53)</f>
        <v/>
      </c>
      <c r="BE41" s="685" t="str">
        <f>IF('[1]Data 2026'!AX53="","",'[1]Data 2026'!AX53)</f>
        <v/>
      </c>
      <c r="BF41" s="685" t="str">
        <f>IF('[1]Data 2026'!BF53="","",'[1]Data 2026'!BF53)</f>
        <v xml:space="preserve">REUDAN INTERNATIONAL CI </v>
      </c>
      <c r="BG41" s="685" t="str">
        <f>IF('[1]Data 2026'!BG53="","",'[1]Data 2026'!BG53)</f>
        <v/>
      </c>
      <c r="BH41" s="685" t="str">
        <f>IF('[1]Data 2026'!BH53="","",'[1]Data 2026'!BH53)</f>
        <v/>
      </c>
      <c r="BI41" s="685" t="str">
        <f>IF('[1]Data 2026'!BI53="","",'[1]Data 2026'!BI53)</f>
        <v/>
      </c>
      <c r="BJ41" s="685" t="str">
        <f>IF('[1]Data 2026'!BJ53="","",'[1]Data 2026'!BJ53)</f>
        <v/>
      </c>
      <c r="BK41" s="685" t="str">
        <f>IF('[1]Data 2026'!BK53="","",'[1]Data 2026'!BK53)</f>
        <v/>
      </c>
      <c r="BL41" s="685" t="str">
        <f>IF('[1]Data 2026'!BL53="","",'[1]Data 2026'!BL53)</f>
        <v>DUNAMIS/SITRACOM</v>
      </c>
      <c r="BM41" s="685" t="str">
        <f>IF('[1]Data 2026'!BM53="","",'[1]Data 2026'!BM53)</f>
        <v/>
      </c>
      <c r="BN41" s="685" t="str">
        <f>IF('[1]Data 2026'!BN53="","",'[1]Data 2026'!BN53)</f>
        <v/>
      </c>
      <c r="BO41" s="685" t="str">
        <f>IF('[1]Data 2026'!BO53="","",'[1]Data 2026'!BO53)</f>
        <v/>
      </c>
      <c r="BP41" s="685" t="str">
        <f>IF('[1]Data 2026'!BP53="","",'[1]Data 2026'!BP53)</f>
        <v/>
      </c>
      <c r="BQ41" s="685" t="str">
        <f>IF('[1]Data 2026'!BQ53="","",'[1]Data 2026'!BQ53)</f>
        <v/>
      </c>
      <c r="BR41" s="685" t="str">
        <f>IF('[1]Data 2026'!BR53="","",'[1]Data 2026'!BR53)</f>
        <v/>
      </c>
      <c r="BS41" s="685" t="str">
        <f>IF('[1]Data 2026'!BS53="","",'[1]Data 2026'!BS53)</f>
        <v/>
      </c>
      <c r="BT41" s="685" t="str">
        <f>IF('[1]Data 2026'!BV53="","",'[1]Data 2026'!BV53)</f>
        <v>ABSA/CMI</v>
      </c>
      <c r="BU41" s="685" t="str">
        <f>IF('[1]Data 2026'!BW53="","",'[1]Data 2026'!BW53)</f>
        <v/>
      </c>
      <c r="BV41" s="685" t="str">
        <f>IF('[1]Data 2026'!BX53="","",'[1]Data 2026'!BX53)</f>
        <v/>
      </c>
      <c r="BW41" s="685" t="str">
        <f>IF('[1]Data 2026'!BY53="","",'[1]Data 2026'!BY53)</f>
        <v/>
      </c>
      <c r="BX41" s="685" t="str">
        <f>IF('[1]Data 2026'!BZ53="","",'[1]Data 2026'!BZ53)</f>
        <v/>
      </c>
      <c r="BY41" s="685" t="str">
        <f>IF('[1]Data 2026'!CA53="","",'[1]Data 2026'!CA53)</f>
        <v>182610-14850</v>
      </c>
      <c r="BZ41" s="685">
        <f>IF('[1]Data 2026'!CB53="","",'[1]Data 2026'!CB53)</f>
        <v>46129</v>
      </c>
      <c r="CA41" s="685" t="str">
        <f>IF('[1]Data 2026'!CC53="","",'[1]Data 2026'!CC53)</f>
        <v>2026-0166</v>
      </c>
      <c r="CB41" s="685">
        <f>IF('[1]Data 2026'!CD53="","",'[1]Data 2026'!CD53)</f>
        <v>46129</v>
      </c>
      <c r="CC41" s="685" t="str">
        <f>IF('[1]Data 2026'!CE53="","",'[1]Data 2026'!CE53)</f>
        <v/>
      </c>
      <c r="CD41" s="685" t="str">
        <f>IF('[1]Data 2026'!CF53="","",'[1]Data 2026'!CF53)</f>
        <v/>
      </c>
      <c r="CE41" s="685">
        <f>IF('[1]Data 2026'!CG53="","",'[1]Data 2026'!CG53)</f>
        <v>46109</v>
      </c>
      <c r="CF41" s="685">
        <f>IF('[1]Data 2026'!CH53="","",'[1]Data 2026'!CH53)</f>
        <v>46129</v>
      </c>
      <c r="CG41" s="685" t="str">
        <f>IF('[1]Data 2026'!CI53="","",'[1]Data 2026'!CI53)</f>
        <v>E12052</v>
      </c>
      <c r="CH41" s="685" t="str">
        <f>IF('[1]Data 2026'!CJ53="","",'[1]Data 2026'!CJ53)</f>
        <v/>
      </c>
      <c r="CI41" s="685">
        <f>IF('[1]Data 2026'!CK53="","",'[1]Data 2026'!CK53)</f>
        <v>46140</v>
      </c>
      <c r="CJ41" s="685" t="str">
        <f>IF('[1]Data 2026'!CM53="","",'[1]Data 2026'!CM53)</f>
        <v/>
      </c>
      <c r="CK41" s="685" t="str">
        <f>IF('[1]Data 2026'!CN53="","",'[1]Data 2026'!CN53)</f>
        <v>Ajeesh</v>
      </c>
      <c r="CL41" s="691"/>
      <c r="CM41" s="691" t="str">
        <f>IF('[1]Data 2026'!CP53="","",'[1]Data 2026'!CP53)</f>
        <v/>
      </c>
      <c r="CN41" s="691"/>
      <c r="CO41" s="693"/>
      <c r="CP41" s="693"/>
      <c r="CQ41" s="693"/>
      <c r="CR41" s="686">
        <f t="shared" si="12"/>
        <v>23</v>
      </c>
      <c r="CS41" s="686">
        <f t="shared" si="12"/>
        <v>0</v>
      </c>
      <c r="CT41" s="686">
        <f t="shared" si="12"/>
        <v>27</v>
      </c>
      <c r="CU41" s="686" t="str">
        <f t="shared" si="5"/>
        <v/>
      </c>
      <c r="CV41" s="686" t="str">
        <f t="shared" si="6"/>
        <v/>
      </c>
      <c r="CW41" s="685" t="str">
        <f t="shared" si="10"/>
        <v/>
      </c>
      <c r="CX41" s="685" t="str">
        <f t="shared" si="11"/>
        <v/>
      </c>
      <c r="CY41" s="693">
        <f t="shared" ca="1" si="7"/>
        <v>0</v>
      </c>
      <c r="CZ41" s="693" t="str">
        <f t="shared" si="8"/>
        <v/>
      </c>
      <c r="DB41"/>
      <c r="DC41"/>
    </row>
    <row r="42" spans="1:107" s="694" customFormat="1">
      <c r="A42" s="682" t="str">
        <f t="shared" si="0"/>
        <v>E. STUFFED, GATE IN AWAITED</v>
      </c>
      <c r="B42" s="695" t="s">
        <v>1199</v>
      </c>
      <c r="C42" s="684" t="str">
        <f t="shared" si="1"/>
        <v>CLOSED POSITION</v>
      </c>
      <c r="D42" s="685" t="str">
        <f t="shared" si="9"/>
        <v/>
      </c>
      <c r="E42" s="685" t="str">
        <f t="shared" si="2"/>
        <v/>
      </c>
      <c r="F42" s="686">
        <f>IF('[1]Data 2026'!D54="","",'[1]Data 2026'!D54)</f>
        <v>48</v>
      </c>
      <c r="G42" s="686">
        <f>IF('[1]Data 2026'!E54="","",'[1]Data 2026'!E54)</f>
        <v>200</v>
      </c>
      <c r="H42" s="687">
        <f>IF('[1]Data 2026'!H54="","",'[1]Data 2026'!H54)</f>
        <v>32014539</v>
      </c>
      <c r="I42" s="688">
        <f>IF('[1]Data 2026'!AA54="","",'[1]Data 2026'!AA54)</f>
        <v>100</v>
      </c>
      <c r="J42" s="685" t="str">
        <f>IF('[1]Data 2026'!K54="","",'[1]Data 2026'!K54)</f>
        <v>APRIL</v>
      </c>
      <c r="K42" s="685">
        <v>46142</v>
      </c>
      <c r="L42" s="685" t="str">
        <f>IF('[1]Data 2026'!L54="","",'[1]Data 2026'!L54)</f>
        <v>VALENCY CI</v>
      </c>
      <c r="M42" s="685" t="str">
        <f>IF('[1]Data 2026'!M54="","",'[1]Data 2026'!M54)</f>
        <v>ST. PAULS CASHEW FACTORY</v>
      </c>
      <c r="N42" s="685" t="s">
        <v>1198</v>
      </c>
      <c r="O42" s="689">
        <f>IF('[1]Data 2026'!N54="","",'[1]Data 2026'!N54)</f>
        <v>268715910</v>
      </c>
      <c r="P42" s="690" t="str">
        <f>IF('[1]Data 2026'!O54="","",'[1]Data 2026'!O54)</f>
        <v/>
      </c>
      <c r="Q42" s="685" t="str">
        <f>IF('[1]Data 2026'!P54="","",'[1]Data 2026'!P54)</f>
        <v/>
      </c>
      <c r="R42" s="685" t="str">
        <f>IF('[1]Data 2026'!Q54="","",'[1]Data 2026'!Q54)</f>
        <v>ABJ</v>
      </c>
      <c r="S42" s="685" t="s">
        <v>210</v>
      </c>
      <c r="T42" s="685" t="str">
        <f>IF('[1]Data 2026'!R54="","",'[1]Data 2026'!R54)</f>
        <v>TUTICORIN, INDIA</v>
      </c>
      <c r="U42" s="685" t="str">
        <f>IF('[1]Data 2026'!S54="","",'[1]Data 2026'!S54)</f>
        <v>MAERSK CABO VERDE</v>
      </c>
      <c r="V42" s="685">
        <f>IF('[1]Data 2026'!T54="","",'[1]Data 2026'!T54)</f>
        <v>46109</v>
      </c>
      <c r="W42" s="685">
        <f>IF('[1]Data 2026'!U54="","",'[1]Data 2026'!U54)</f>
        <v>46132</v>
      </c>
      <c r="X42" s="685">
        <f>IF('[1]Data 2026'!V54="","",'[1]Data 2026'!V54)</f>
        <v>46132</v>
      </c>
      <c r="Y42" s="685" t="str">
        <f>IF('[1]Data 2026'!W54="","",'[1]Data 2026'!W54)</f>
        <v/>
      </c>
      <c r="Z42" s="685" t="str">
        <f>IF('[1]Data 2026'!X54="","",'[1]Data 2026'!X54)</f>
        <v/>
      </c>
      <c r="AA42" s="685"/>
      <c r="AB42" s="685">
        <f>IF('[1]Data 2026'!Y54="","",'[1]Data 2026'!Y54)</f>
        <v>46178</v>
      </c>
      <c r="AC42" s="685" t="str">
        <f>IF('[1]Data 2026'!Z54="","",'[1]Data 2026'!Z54)</f>
        <v/>
      </c>
      <c r="AD42" s="691">
        <f>IF('[1]Data 2026'!AA54="","",'[1]Data 2026'!AA54)</f>
        <v>100</v>
      </c>
      <c r="AE42" s="691">
        <f>IF('[1]Data 2026'!AB54="","",'[1]Data 2026'!AB54)</f>
        <v>100</v>
      </c>
      <c r="AF42" s="685">
        <f>IF('[1]Data 2026'!AC54="","",'[1]Data 2026'!AC54)</f>
        <v>45777</v>
      </c>
      <c r="AG42" s="685" t="str">
        <f>IF('[1]Data 2026'!AD54="","",'[1]Data 2026'!AD54)</f>
        <v>WH-I</v>
      </c>
      <c r="AH42" s="686">
        <f>IF('[1]Data 2026'!AE54="","",'[1]Data 2026'!AE54)</f>
        <v>4</v>
      </c>
      <c r="AI42" s="685" t="str">
        <f>IF('[1]Data 2026'!AG54="","",'[1]Data 2026'!AG54)</f>
        <v xml:space="preserve">REUDAN INTERNATIONAL CI </v>
      </c>
      <c r="AJ42" s="685" t="str">
        <f>IF('[1]Data 2026'!AH54="","",'[1]Data 2026'!AH54)</f>
        <v>DUNAMIS/SITRACOM</v>
      </c>
      <c r="AK42" s="685" t="str">
        <f>IF('[1]Data 2026'!AI54="","",'[1]Data 2026'!AI54)</f>
        <v>MSK</v>
      </c>
      <c r="AL42" s="685" t="str">
        <f>IF('[1]Data 2026'!AJ54="","",'[1]Data 2026'!AJ54)</f>
        <v>40FT</v>
      </c>
      <c r="AM42" s="692">
        <f>IF('[1]Data 2026'!AK54="","",'[1]Data 2026'!AK54)</f>
        <v>0.1</v>
      </c>
      <c r="AN42" s="685" t="str">
        <f>IF('[1]Data 2026'!AL54="","",'[1]Data 2026'!AL54)</f>
        <v xml:space="preserve"> ( 1 x 100 MTS ) </v>
      </c>
      <c r="AO42" s="691">
        <f>IF('[1]Data 2026'!AM54="","",'[1]Data 2026'!AM54)</f>
        <v>110</v>
      </c>
      <c r="AP42" s="691" t="str">
        <f t="shared" si="3"/>
        <v/>
      </c>
      <c r="AQ42" s="685" t="str">
        <f>IF('[1]Data 2026'!AO54="","",'[1]Data 2026'!AO54)</f>
        <v/>
      </c>
      <c r="AR42" s="685" t="str">
        <f>IF('[1]Data 2026'!AP54="","",'[1]Data 2026'!AP54)</f>
        <v/>
      </c>
      <c r="AS42" s="685" t="str">
        <f>IF('[1]Data 2026'!AQ54="","",'[1]Data 2026'!AQ54)</f>
        <v/>
      </c>
      <c r="AT42" s="685" t="str">
        <f>IF('[1]Data 2026'!AR54="","",'[1]Data 2026'!AR54)</f>
        <v/>
      </c>
      <c r="AU42" s="685" t="str">
        <f>IF('[1]Data 2026'!AW54="","",'[1]Data 2026'!AW54)</f>
        <v/>
      </c>
      <c r="AV42" s="685" t="str">
        <f>IF('[1]Data 2026'!AX54="","",'[1]Data 2026'!AX54)</f>
        <v/>
      </c>
      <c r="AW42" s="685" t="str">
        <f>IF('[1]Data 2026'!AY54="","",'[1]Data 2026'!AY54)</f>
        <v/>
      </c>
      <c r="AX42" s="685" t="str">
        <f>IF('[1]Data 2026'!AZ54="","",'[1]Data 2026'!AZ54)</f>
        <v/>
      </c>
      <c r="AY42" s="685" t="str">
        <f>IF('[1]Data 2026'!BA54="","",'[1]Data 2026'!BA54)</f>
        <v/>
      </c>
      <c r="AZ42" s="685" t="str">
        <f>IF('[1]Data 2026'!AS54="","",'[1]Data 2026'!AS54)</f>
        <v/>
      </c>
      <c r="BA42" s="685" t="str">
        <f>IF('[1]Data 2026'!AT54="","",'[1]Data 2026'!AT54)</f>
        <v/>
      </c>
      <c r="BB42" s="685" t="str">
        <f>IF('[1]Data 2026'!AU54="","",'[1]Data 2026'!AU54)</f>
        <v/>
      </c>
      <c r="BC42" s="685" t="str">
        <f>IF('[1]Data 2026'!AV54="","",'[1]Data 2026'!AV54)</f>
        <v/>
      </c>
      <c r="BD42" s="685" t="str">
        <f>IF('[1]Data 2026'!AW54="","",'[1]Data 2026'!AW54)</f>
        <v/>
      </c>
      <c r="BE42" s="685" t="str">
        <f>IF('[1]Data 2026'!AX54="","",'[1]Data 2026'!AX54)</f>
        <v/>
      </c>
      <c r="BF42" s="685" t="str">
        <f>IF('[1]Data 2026'!BF54="","",'[1]Data 2026'!BF54)</f>
        <v xml:space="preserve">REUDAN INTERNATIONAL CI </v>
      </c>
      <c r="BG42" s="685" t="str">
        <f>IF('[1]Data 2026'!BG54="","",'[1]Data 2026'!BG54)</f>
        <v/>
      </c>
      <c r="BH42" s="685" t="str">
        <f>IF('[1]Data 2026'!BH54="","",'[1]Data 2026'!BH54)</f>
        <v/>
      </c>
      <c r="BI42" s="685" t="str">
        <f>IF('[1]Data 2026'!BI54="","",'[1]Data 2026'!BI54)</f>
        <v/>
      </c>
      <c r="BJ42" s="685" t="str">
        <f>IF('[1]Data 2026'!BJ54="","",'[1]Data 2026'!BJ54)</f>
        <v/>
      </c>
      <c r="BK42" s="685" t="str">
        <f>IF('[1]Data 2026'!BK54="","",'[1]Data 2026'!BK54)</f>
        <v/>
      </c>
      <c r="BL42" s="685" t="str">
        <f>IF('[1]Data 2026'!BL54="","",'[1]Data 2026'!BL54)</f>
        <v>DUNAMIS/SITRACOM</v>
      </c>
      <c r="BM42" s="685" t="str">
        <f>IF('[1]Data 2026'!BM54="","",'[1]Data 2026'!BM54)</f>
        <v/>
      </c>
      <c r="BN42" s="685" t="str">
        <f>IF('[1]Data 2026'!BN54="","",'[1]Data 2026'!BN54)</f>
        <v/>
      </c>
      <c r="BO42" s="685" t="str">
        <f>IF('[1]Data 2026'!BO54="","",'[1]Data 2026'!BO54)</f>
        <v/>
      </c>
      <c r="BP42" s="685" t="str">
        <f>IF('[1]Data 2026'!BP54="","",'[1]Data 2026'!BP54)</f>
        <v/>
      </c>
      <c r="BQ42" s="685" t="str">
        <f>IF('[1]Data 2026'!BQ54="","",'[1]Data 2026'!BQ54)</f>
        <v/>
      </c>
      <c r="BR42" s="685" t="str">
        <f>IF('[1]Data 2026'!BR54="","",'[1]Data 2026'!BR54)</f>
        <v/>
      </c>
      <c r="BS42" s="685" t="str">
        <f>IF('[1]Data 2026'!BS54="","",'[1]Data 2026'!BS54)</f>
        <v/>
      </c>
      <c r="BT42" s="685" t="str">
        <f>IF('[1]Data 2026'!BV54="","",'[1]Data 2026'!BV54)</f>
        <v>ABSA/CMI</v>
      </c>
      <c r="BU42" s="685" t="str">
        <f>IF('[1]Data 2026'!BW54="","",'[1]Data 2026'!BW54)</f>
        <v/>
      </c>
      <c r="BV42" s="685" t="str">
        <f>IF('[1]Data 2026'!BX54="","",'[1]Data 2026'!BX54)</f>
        <v/>
      </c>
      <c r="BW42" s="685" t="str">
        <f>IF('[1]Data 2026'!BY54="","",'[1]Data 2026'!BY54)</f>
        <v/>
      </c>
      <c r="BX42" s="685" t="str">
        <f>IF('[1]Data 2026'!BZ54="","",'[1]Data 2026'!BZ54)</f>
        <v/>
      </c>
      <c r="BY42" s="685" t="str">
        <f>IF('[1]Data 2026'!CA54="","",'[1]Data 2026'!CA54)</f>
        <v>182610-14928</v>
      </c>
      <c r="BZ42" s="685">
        <f>IF('[1]Data 2026'!CB54="","",'[1]Data 2026'!CB54)</f>
        <v>46134</v>
      </c>
      <c r="CA42" s="685" t="str">
        <f>IF('[1]Data 2026'!CC54="","",'[1]Data 2026'!CC54)</f>
        <v>2026-0240</v>
      </c>
      <c r="CB42" s="685">
        <f>IF('[1]Data 2026'!CD54="","",'[1]Data 2026'!CD54)</f>
        <v>46134</v>
      </c>
      <c r="CC42" s="685" t="str">
        <f>IF('[1]Data 2026'!CE54="","",'[1]Data 2026'!CE54)</f>
        <v/>
      </c>
      <c r="CD42" s="685" t="str">
        <f>IF('[1]Data 2026'!CF54="","",'[1]Data 2026'!CF54)</f>
        <v/>
      </c>
      <c r="CE42" s="685">
        <f>IF('[1]Data 2026'!CG54="","",'[1]Data 2026'!CG54)</f>
        <v>46109</v>
      </c>
      <c r="CF42" s="685">
        <f>IF('[1]Data 2026'!CH54="","",'[1]Data 2026'!CH54)</f>
        <v>46129</v>
      </c>
      <c r="CG42" s="685" t="str">
        <f>IF('[1]Data 2026'!CI54="","",'[1]Data 2026'!CI54)</f>
        <v>E12039</v>
      </c>
      <c r="CH42" s="685" t="str">
        <f>IF('[1]Data 2026'!CJ54="","",'[1]Data 2026'!CJ54)</f>
        <v/>
      </c>
      <c r="CI42" s="685">
        <f>IF('[1]Data 2026'!CK54="","",'[1]Data 2026'!CK54)</f>
        <v>46140</v>
      </c>
      <c r="CJ42" s="685" t="str">
        <f>IF('[1]Data 2026'!CM54="","",'[1]Data 2026'!CM54)</f>
        <v/>
      </c>
      <c r="CK42" s="685" t="str">
        <f>IF('[1]Data 2026'!CN54="","",'[1]Data 2026'!CN54)</f>
        <v>Ajeesh</v>
      </c>
      <c r="CL42" s="691"/>
      <c r="CM42" s="691" t="str">
        <f>IF('[1]Data 2026'!CP54="","",'[1]Data 2026'!CP54)</f>
        <v/>
      </c>
      <c r="CN42" s="691"/>
      <c r="CO42" s="693"/>
      <c r="CP42" s="693"/>
      <c r="CQ42" s="693"/>
      <c r="CR42" s="686">
        <f t="shared" si="12"/>
        <v>23</v>
      </c>
      <c r="CS42" s="686">
        <f t="shared" si="12"/>
        <v>0</v>
      </c>
      <c r="CT42" s="686" t="str">
        <f t="shared" si="12"/>
        <v/>
      </c>
      <c r="CU42" s="686" t="str">
        <f t="shared" si="5"/>
        <v/>
      </c>
      <c r="CV42" s="686" t="str">
        <f t="shared" si="6"/>
        <v/>
      </c>
      <c r="CW42" s="685" t="str">
        <f t="shared" si="10"/>
        <v/>
      </c>
      <c r="CX42" s="685" t="str">
        <f t="shared" si="11"/>
        <v/>
      </c>
      <c r="CY42" s="693">
        <f t="shared" ca="1" si="7"/>
        <v>0</v>
      </c>
      <c r="CZ42" s="693" t="str">
        <f t="shared" si="8"/>
        <v/>
      </c>
      <c r="DB42"/>
      <c r="DC42"/>
    </row>
    <row r="43" spans="1:107" s="694" customFormat="1">
      <c r="A43" s="682" t="str">
        <f t="shared" si="0"/>
        <v>H. PHYSICAL OBL RCVD</v>
      </c>
      <c r="B43" s="697" t="s">
        <v>1193</v>
      </c>
      <c r="C43" s="684" t="str">
        <f t="shared" si="1"/>
        <v>CLOSED POSITION</v>
      </c>
      <c r="D43" s="685" t="str">
        <f t="shared" si="9"/>
        <v>HBL RECEIVED, SURRENDER IS DUE</v>
      </c>
      <c r="E43" s="685" t="str">
        <f t="shared" si="2"/>
        <v>ALL CERT COURIERED</v>
      </c>
      <c r="F43" s="686">
        <f>IF('[1]Data 2026'!D55="","",'[1]Data 2026'!D55)</f>
        <v>48</v>
      </c>
      <c r="G43" s="686">
        <f>IF('[1]Data 2026'!E55="","",'[1]Data 2026'!E55)</f>
        <v>200</v>
      </c>
      <c r="H43" s="687">
        <f>IF('[1]Data 2026'!H55="","",'[1]Data 2026'!H55)</f>
        <v>32014539</v>
      </c>
      <c r="I43" s="688">
        <f>IF('[1]Data 2026'!AA55="","",'[1]Data 2026'!AA55)</f>
        <v>100</v>
      </c>
      <c r="J43" s="685" t="str">
        <f>IF('[1]Data 2026'!K55="","",'[1]Data 2026'!K55)</f>
        <v>APRIL</v>
      </c>
      <c r="K43" s="685">
        <v>46142</v>
      </c>
      <c r="L43" s="685" t="str">
        <f>IF('[1]Data 2026'!L55="","",'[1]Data 2026'!L55)</f>
        <v>VALENCY CI</v>
      </c>
      <c r="M43" s="685" t="str">
        <f>IF('[1]Data 2026'!M55="","",'[1]Data 2026'!M55)</f>
        <v>ST. PAULS CASHEW FACTORY</v>
      </c>
      <c r="N43" s="685" t="s">
        <v>1198</v>
      </c>
      <c r="O43" s="689">
        <f>IF('[1]Data 2026'!N55="","",'[1]Data 2026'!N55)</f>
        <v>268715714</v>
      </c>
      <c r="P43" s="690">
        <f>IF('[1]Data 2026'!O55="","",'[1]Data 2026'!O55)</f>
        <v>268715714</v>
      </c>
      <c r="Q43" s="685" t="str">
        <f>IF('[1]Data 2026'!P55="","",'[1]Data 2026'!P55)</f>
        <v>TPSCR26010621</v>
      </c>
      <c r="R43" s="685" t="str">
        <f>IF('[1]Data 2026'!Q55="","",'[1]Data 2026'!Q55)</f>
        <v>ABJ</v>
      </c>
      <c r="S43" s="685" t="s">
        <v>210</v>
      </c>
      <c r="T43" s="685" t="str">
        <f>IF('[1]Data 2026'!R55="","",'[1]Data 2026'!R55)</f>
        <v>TUTICORIN, INDIA</v>
      </c>
      <c r="U43" s="685" t="str">
        <f>IF('[1]Data 2026'!S55="","",'[1]Data 2026'!S55)</f>
        <v>MAERSK CARDIFF</v>
      </c>
      <c r="V43" s="685">
        <f>IF('[1]Data 2026'!T55="","",'[1]Data 2026'!T55)</f>
        <v>46109</v>
      </c>
      <c r="W43" s="685">
        <f>IF('[1]Data 2026'!U55="","",'[1]Data 2026'!U55)</f>
        <v>46130</v>
      </c>
      <c r="X43" s="685">
        <f>IF('[1]Data 2026'!V55="","",'[1]Data 2026'!V55)</f>
        <v>46132</v>
      </c>
      <c r="Y43" s="685">
        <f>IF('[1]Data 2026'!W55="","",'[1]Data 2026'!W55)</f>
        <v>46143</v>
      </c>
      <c r="Z43" s="685">
        <f>IF('[1]Data 2026'!X55="","",'[1]Data 2026'!X55)</f>
        <v>46175</v>
      </c>
      <c r="AA43" s="685"/>
      <c r="AB43" s="685">
        <f>IF('[1]Data 2026'!Y55="","",'[1]Data 2026'!Y55)</f>
        <v>46152</v>
      </c>
      <c r="AC43" s="685">
        <f>IF('[1]Data 2026'!Z55="","",'[1]Data 2026'!Z55)</f>
        <v>46152</v>
      </c>
      <c r="AD43" s="691">
        <f>IF('[1]Data 2026'!AA55="","",'[1]Data 2026'!AA55)</f>
        <v>100</v>
      </c>
      <c r="AE43" s="691">
        <f>IF('[1]Data 2026'!AB55="","",'[1]Data 2026'!AB55)</f>
        <v>100.84</v>
      </c>
      <c r="AF43" s="685">
        <f>IF('[1]Data 2026'!AC55="","",'[1]Data 2026'!AC55)</f>
        <v>45777</v>
      </c>
      <c r="AG43" s="685" t="str">
        <f>IF('[1]Data 2026'!AD55="","",'[1]Data 2026'!AD55)</f>
        <v>WH-I</v>
      </c>
      <c r="AH43" s="686">
        <f>IF('[1]Data 2026'!AE55="","",'[1]Data 2026'!AE55)</f>
        <v>4</v>
      </c>
      <c r="AI43" s="685" t="str">
        <f>IF('[1]Data 2026'!AG55="","",'[1]Data 2026'!AG55)</f>
        <v xml:space="preserve">REUDAN INTERNATIONAL CI </v>
      </c>
      <c r="AJ43" s="685" t="str">
        <f>IF('[1]Data 2026'!AH55="","",'[1]Data 2026'!AH55)</f>
        <v>DUNAMIS/SITRACOM</v>
      </c>
      <c r="AK43" s="685" t="str">
        <f>IF('[1]Data 2026'!AI55="","",'[1]Data 2026'!AI55)</f>
        <v>MSK</v>
      </c>
      <c r="AL43" s="685" t="str">
        <f>IF('[1]Data 2026'!AJ55="","",'[1]Data 2026'!AJ55)</f>
        <v>40FT</v>
      </c>
      <c r="AM43" s="692">
        <f>IF('[1]Data 2026'!AK55="","",'[1]Data 2026'!AK55)</f>
        <v>0.1</v>
      </c>
      <c r="AN43" s="685" t="str">
        <f>IF('[1]Data 2026'!AL55="","",'[1]Data 2026'!AL55)</f>
        <v xml:space="preserve"> ( 1 x 100 MTS ) </v>
      </c>
      <c r="AO43" s="691">
        <f>IF('[1]Data 2026'!AM55="","",'[1]Data 2026'!AM55)</f>
        <v>110</v>
      </c>
      <c r="AP43" s="691">
        <f t="shared" si="3"/>
        <v>0.84000000000000341</v>
      </c>
      <c r="AQ43" s="685" t="str">
        <f>IF('[1]Data 2026'!AO55="","",'[1]Data 2026'!AO55)</f>
        <v/>
      </c>
      <c r="AR43" s="685">
        <f>IF('[1]Data 2026'!AP55="","",'[1]Data 2026'!AP55)</f>
        <v>46150</v>
      </c>
      <c r="AS43" s="685">
        <f>IF('[1]Data 2026'!AQ55="","",'[1]Data 2026'!AQ55)</f>
        <v>46153</v>
      </c>
      <c r="AT43" s="685">
        <f>IF('[1]Data 2026'!AR55="","",'[1]Data 2026'!AR55)</f>
        <v>46163</v>
      </c>
      <c r="AU43" s="685">
        <f>IF('[1]Data 2026'!AW55="","",'[1]Data 2026'!AW55)</f>
        <v>46161</v>
      </c>
      <c r="AV43" s="685">
        <f>IF('[1]Data 2026'!AX55="","",'[1]Data 2026'!AX55)</f>
        <v>6171900372</v>
      </c>
      <c r="AW43" s="685" t="str">
        <f>IF('[1]Data 2026'!AY55="","",'[1]Data 2026'!AY55)</f>
        <v xml:space="preserve">BL printing Singapore </v>
      </c>
      <c r="AX43" s="685">
        <f>IF('[1]Data 2026'!AZ55="","",'[1]Data 2026'!AZ55)</f>
        <v>46163</v>
      </c>
      <c r="AY43" s="685" t="str">
        <f>IF('[1]Data 2026'!BA55="","",'[1]Data 2026'!BA55)</f>
        <v/>
      </c>
      <c r="AZ43" s="685">
        <f>IF('[1]Data 2026'!AS55="","",'[1]Data 2026'!AS55)</f>
        <v>46153</v>
      </c>
      <c r="BA43" s="685">
        <f>IF('[1]Data 2026'!AT55="","",'[1]Data 2026'!AT55)</f>
        <v>46153</v>
      </c>
      <c r="BB43" s="685">
        <f>IF('[1]Data 2026'!AU55="","",'[1]Data 2026'!AU55)</f>
        <v>46153</v>
      </c>
      <c r="BC43" s="685" t="str">
        <f>IF('[1]Data 2026'!AV55="","",'[1]Data 2026'!AV55)</f>
        <v>M/s. DIVYA IMPEX</v>
      </c>
      <c r="BD43" s="685">
        <f>IF('[1]Data 2026'!AW55="","",'[1]Data 2026'!AW55)</f>
        <v>46161</v>
      </c>
      <c r="BE43" s="685">
        <f>IF('[1]Data 2026'!AX55="","",'[1]Data 2026'!AX55)</f>
        <v>6171900372</v>
      </c>
      <c r="BF43" s="685" t="str">
        <f>IF('[1]Data 2026'!BF55="","",'[1]Data 2026'!BF55)</f>
        <v xml:space="preserve">REUDAN INTERNATIONAL CI </v>
      </c>
      <c r="BG43" s="685" t="str">
        <f>IF('[1]Data 2026'!BG55="","",'[1]Data 2026'!BG55)</f>
        <v/>
      </c>
      <c r="BH43" s="685" t="str">
        <f>IF('[1]Data 2026'!BH55="","",'[1]Data 2026'!BH55)</f>
        <v/>
      </c>
      <c r="BI43" s="685" t="str">
        <f>IF('[1]Data 2026'!BI55="","",'[1]Data 2026'!BI55)</f>
        <v/>
      </c>
      <c r="BJ43" s="685" t="str">
        <f>IF('[1]Data 2026'!BJ55="","",'[1]Data 2026'!BJ55)</f>
        <v/>
      </c>
      <c r="BK43" s="685" t="str">
        <f>IF('[1]Data 2026'!BK55="","",'[1]Data 2026'!BK55)</f>
        <v/>
      </c>
      <c r="BL43" s="685" t="str">
        <f>IF('[1]Data 2026'!BL55="","",'[1]Data 2026'!BL55)</f>
        <v>DUNAMIS/SITRACOM</v>
      </c>
      <c r="BM43" s="685" t="str">
        <f>IF('[1]Data 2026'!BM55="","",'[1]Data 2026'!BM55)</f>
        <v/>
      </c>
      <c r="BN43" s="685" t="str">
        <f>IF('[1]Data 2026'!BN55="","",'[1]Data 2026'!BN55)</f>
        <v/>
      </c>
      <c r="BO43" s="685" t="str">
        <f>IF('[1]Data 2026'!BO55="","",'[1]Data 2026'!BO55)</f>
        <v/>
      </c>
      <c r="BP43" s="685" t="str">
        <f>IF('[1]Data 2026'!BP55="","",'[1]Data 2026'!BP55)</f>
        <v/>
      </c>
      <c r="BQ43" s="685" t="str">
        <f>IF('[1]Data 2026'!BQ55="","",'[1]Data 2026'!BQ55)</f>
        <v/>
      </c>
      <c r="BR43" s="685">
        <f>IF('[1]Data 2026'!BR55="","",'[1]Data 2026'!BR55)</f>
        <v>46152</v>
      </c>
      <c r="BS43" s="685" t="str">
        <f>IF('[1]Data 2026'!BS55="","",'[1]Data 2026'!BS55)</f>
        <v>IVC-RCN2026-CI0005</v>
      </c>
      <c r="BT43" s="685" t="str">
        <f>IF('[1]Data 2026'!BV55="","",'[1]Data 2026'!BV55)</f>
        <v>ABSA/CMI</v>
      </c>
      <c r="BU43" s="685">
        <f>IF('[1]Data 2026'!BW55="","",'[1]Data 2026'!BW55)</f>
        <v>46160</v>
      </c>
      <c r="BV43" s="685" t="str">
        <f>IF('[1]Data 2026'!BX55="","",'[1]Data 2026'!BX55)</f>
        <v/>
      </c>
      <c r="BW43" s="685" t="str">
        <f>IF('[1]Data 2026'!BY55="","",'[1]Data 2026'!BY55)</f>
        <v/>
      </c>
      <c r="BX43" s="685" t="str">
        <f>IF('[1]Data 2026'!BZ55="","",'[1]Data 2026'!BZ55)</f>
        <v/>
      </c>
      <c r="BY43" s="685" t="str">
        <f>IF('[1]Data 2026'!CA55="","",'[1]Data 2026'!CA55)</f>
        <v>182610-14928</v>
      </c>
      <c r="BZ43" s="685">
        <f>IF('[1]Data 2026'!CB55="","",'[1]Data 2026'!CB55)</f>
        <v>46134</v>
      </c>
      <c r="CA43" s="685" t="str">
        <f>IF('[1]Data 2026'!CC55="","",'[1]Data 2026'!CC55)</f>
        <v>2026-0240</v>
      </c>
      <c r="CB43" s="685">
        <f>IF('[1]Data 2026'!CD55="","",'[1]Data 2026'!CD55)</f>
        <v>46134</v>
      </c>
      <c r="CC43" s="685" t="str">
        <f>IF('[1]Data 2026'!CE55="","",'[1]Data 2026'!CE55)</f>
        <v/>
      </c>
      <c r="CD43" s="685" t="str">
        <f>IF('[1]Data 2026'!CF55="","",'[1]Data 2026'!CF55)</f>
        <v/>
      </c>
      <c r="CE43" s="685">
        <f>IF('[1]Data 2026'!CG55="","",'[1]Data 2026'!CG55)</f>
        <v>46109</v>
      </c>
      <c r="CF43" s="685">
        <f>IF('[1]Data 2026'!CH55="","",'[1]Data 2026'!CH55)</f>
        <v>46129</v>
      </c>
      <c r="CG43" s="685" t="str">
        <f>IF('[1]Data 2026'!CI55="","",'[1]Data 2026'!CI55)</f>
        <v>E12039</v>
      </c>
      <c r="CH43" s="685" t="str">
        <f>IF('[1]Data 2026'!CJ55="","",'[1]Data 2026'!CJ55)</f>
        <v/>
      </c>
      <c r="CI43" s="685">
        <f>IF('[1]Data 2026'!CK55="","",'[1]Data 2026'!CK55)</f>
        <v>46139</v>
      </c>
      <c r="CJ43" s="685" t="str">
        <f>IF('[1]Data 2026'!CM55="","",'[1]Data 2026'!CM55)</f>
        <v/>
      </c>
      <c r="CK43" s="685" t="str">
        <f>IF('[1]Data 2026'!CN55="","",'[1]Data 2026'!CN55)</f>
        <v>Ajeesh</v>
      </c>
      <c r="CL43" s="691"/>
      <c r="CM43" s="691" t="str">
        <f>IF('[1]Data 2026'!CP55="","",'[1]Data 2026'!CP55)</f>
        <v/>
      </c>
      <c r="CN43" s="691"/>
      <c r="CO43" s="693"/>
      <c r="CP43" s="693"/>
      <c r="CQ43" s="693"/>
      <c r="CR43" s="686">
        <f t="shared" si="12"/>
        <v>21</v>
      </c>
      <c r="CS43" s="686">
        <f t="shared" si="12"/>
        <v>2</v>
      </c>
      <c r="CT43" s="686">
        <f t="shared" si="12"/>
        <v>11</v>
      </c>
      <c r="CU43" s="686">
        <f t="shared" si="5"/>
        <v>20</v>
      </c>
      <c r="CV43" s="686">
        <f t="shared" si="6"/>
        <v>8</v>
      </c>
      <c r="CW43" s="685">
        <f t="shared" si="10"/>
        <v>11</v>
      </c>
      <c r="CX43" s="685">
        <f t="shared" si="11"/>
        <v>0</v>
      </c>
      <c r="CY43" s="693">
        <f t="shared" ca="1" si="7"/>
        <v>100</v>
      </c>
      <c r="CZ43" s="693" t="str">
        <f t="shared" si="8"/>
        <v/>
      </c>
      <c r="DB43"/>
      <c r="DC43"/>
    </row>
    <row r="44" spans="1:107" s="694" customFormat="1">
      <c r="A44" s="682" t="str">
        <f t="shared" si="0"/>
        <v>F. GATED IN, SAILING AWAITED</v>
      </c>
      <c r="B44" s="695" t="s">
        <v>1195</v>
      </c>
      <c r="C44" s="684" t="str">
        <f t="shared" si="1"/>
        <v>CLOSED POSITION</v>
      </c>
      <c r="D44" s="685" t="str">
        <f t="shared" si="9"/>
        <v/>
      </c>
      <c r="E44" s="685" t="str">
        <f t="shared" si="2"/>
        <v/>
      </c>
      <c r="F44" s="686">
        <f>IF('[1]Data 2026'!D56="","",'[1]Data 2026'!D56)</f>
        <v>48</v>
      </c>
      <c r="G44" s="686">
        <f>IF('[1]Data 2026'!E56="","",'[1]Data 2026'!E56)</f>
        <v>200</v>
      </c>
      <c r="H44" s="687">
        <f>IF('[1]Data 2026'!H56="","",'[1]Data 2026'!H56)</f>
        <v>32014497</v>
      </c>
      <c r="I44" s="688">
        <f>IF('[1]Data 2026'!AA56="","",'[1]Data 2026'!AA56)</f>
        <v>200</v>
      </c>
      <c r="J44" s="685" t="str">
        <f>IF('[1]Data 2026'!K56="","",'[1]Data 2026'!K56)</f>
        <v>APRIL</v>
      </c>
      <c r="K44" s="685">
        <v>46142</v>
      </c>
      <c r="L44" s="685" t="str">
        <f>IF('[1]Data 2026'!L56="","",'[1]Data 2026'!L56)</f>
        <v>VALENCY CI</v>
      </c>
      <c r="M44" s="685" t="str">
        <f>IF('[1]Data 2026'!M56="","",'[1]Data 2026'!M56)</f>
        <v>FAVOURITE CASHEWS</v>
      </c>
      <c r="N44" s="685" t="s">
        <v>1198</v>
      </c>
      <c r="O44" s="689">
        <f>IF('[1]Data 2026'!N56="","",'[1]Data 2026'!N56)</f>
        <v>267489852</v>
      </c>
      <c r="P44" s="690" t="str">
        <f>IF('[1]Data 2026'!O56="","",'[1]Data 2026'!O56)</f>
        <v/>
      </c>
      <c r="Q44" s="685" t="str">
        <f>IF('[1]Data 2026'!P56="","",'[1]Data 2026'!P56)</f>
        <v/>
      </c>
      <c r="R44" s="685" t="str">
        <f>IF('[1]Data 2026'!Q56="","",'[1]Data 2026'!Q56)</f>
        <v>ABJ</v>
      </c>
      <c r="S44" s="685" t="s">
        <v>210</v>
      </c>
      <c r="T44" s="685" t="str">
        <f>IF('[1]Data 2026'!R56="","",'[1]Data 2026'!R56)</f>
        <v>MANGALORE, INDIA</v>
      </c>
      <c r="U44" s="685" t="str">
        <f>IF('[1]Data 2026'!S56="","",'[1]Data 2026'!S56)</f>
        <v>MAERSK CUANZA</v>
      </c>
      <c r="V44" s="685">
        <f>IF('[1]Data 2026'!T56="","",'[1]Data 2026'!T56)</f>
        <v>46107</v>
      </c>
      <c r="W44" s="685">
        <f>IF('[1]Data 2026'!U56="","",'[1]Data 2026'!U56)</f>
        <v>46119</v>
      </c>
      <c r="X44" s="685">
        <f>IF('[1]Data 2026'!V56="","",'[1]Data 2026'!V56)</f>
        <v>46119</v>
      </c>
      <c r="Y44" s="685">
        <f>IF('[1]Data 2026'!W56="","",'[1]Data 2026'!W56)</f>
        <v>46160</v>
      </c>
      <c r="Z44" s="685">
        <f>IF('[1]Data 2026'!X56="","",'[1]Data 2026'!X56)</f>
        <v>46202</v>
      </c>
      <c r="AA44" s="685"/>
      <c r="AB44" s="685">
        <f>IF('[1]Data 2026'!Y56="","",'[1]Data 2026'!Y56)</f>
        <v>46172</v>
      </c>
      <c r="AC44" s="685" t="str">
        <f>IF('[1]Data 2026'!Z56="","",'[1]Data 2026'!Z56)</f>
        <v/>
      </c>
      <c r="AD44" s="691">
        <f>IF('[1]Data 2026'!AA56="","",'[1]Data 2026'!AA56)</f>
        <v>200</v>
      </c>
      <c r="AE44" s="691">
        <f>IF('[1]Data 2026'!AB56="","",'[1]Data 2026'!AB56)</f>
        <v>200</v>
      </c>
      <c r="AF44" s="685">
        <f>IF('[1]Data 2026'!AC56="","",'[1]Data 2026'!AC56)</f>
        <v>45777</v>
      </c>
      <c r="AG44" s="685" t="str">
        <f>IF('[1]Data 2026'!AD56="","",'[1]Data 2026'!AD56)</f>
        <v>Ex-Olam</v>
      </c>
      <c r="AH44" s="686">
        <f>IF('[1]Data 2026'!AE56="","",'[1]Data 2026'!AE56)</f>
        <v>8</v>
      </c>
      <c r="AI44" s="685" t="str">
        <f>IF('[1]Data 2026'!AG56="","",'[1]Data 2026'!AG56)</f>
        <v xml:space="preserve">VALENCY SINGAPORE </v>
      </c>
      <c r="AJ44" s="685" t="str">
        <f>IF('[1]Data 2026'!AH56="","",'[1]Data 2026'!AH56)</f>
        <v>DUNAMIS/SITRACOM</v>
      </c>
      <c r="AK44" s="685" t="str">
        <f>IF('[1]Data 2026'!AI56="","",'[1]Data 2026'!AI56)</f>
        <v>MSK</v>
      </c>
      <c r="AL44" s="685" t="str">
        <f>IF('[1]Data 2026'!AJ56="","",'[1]Data 2026'!AJ56)</f>
        <v>40FT</v>
      </c>
      <c r="AM44" s="692">
        <f>IF('[1]Data 2026'!AK56="","",'[1]Data 2026'!AK56)</f>
        <v>0.1</v>
      </c>
      <c r="AN44" s="685" t="str">
        <f>IF('[1]Data 2026'!AL56="","",'[1]Data 2026'!AL56)</f>
        <v xml:space="preserve"> ( 1 x 200 MTS ) </v>
      </c>
      <c r="AO44" s="691">
        <f>IF('[1]Data 2026'!AM56="","",'[1]Data 2026'!AM56)</f>
        <v>220</v>
      </c>
      <c r="AP44" s="691" t="str">
        <f t="shared" si="3"/>
        <v/>
      </c>
      <c r="AQ44" s="685" t="str">
        <f>IF('[1]Data 2026'!AO56="","",'[1]Data 2026'!AO56)</f>
        <v/>
      </c>
      <c r="AR44" s="685" t="str">
        <f>IF('[1]Data 2026'!AP56="","",'[1]Data 2026'!AP56)</f>
        <v/>
      </c>
      <c r="AS44" s="685" t="str">
        <f>IF('[1]Data 2026'!AQ56="","",'[1]Data 2026'!AQ56)</f>
        <v/>
      </c>
      <c r="AT44" s="685" t="str">
        <f>IF('[1]Data 2026'!AR56="","",'[1]Data 2026'!AR56)</f>
        <v/>
      </c>
      <c r="AU44" s="685" t="str">
        <f>IF('[1]Data 2026'!AW56="","",'[1]Data 2026'!AW56)</f>
        <v/>
      </c>
      <c r="AV44" s="685" t="str">
        <f>IF('[1]Data 2026'!AX56="","",'[1]Data 2026'!AX56)</f>
        <v/>
      </c>
      <c r="AW44" s="685" t="str">
        <f>IF('[1]Data 2026'!AY56="","",'[1]Data 2026'!AY56)</f>
        <v/>
      </c>
      <c r="AX44" s="685" t="str">
        <f>IF('[1]Data 2026'!AZ56="","",'[1]Data 2026'!AZ56)</f>
        <v/>
      </c>
      <c r="AY44" s="685" t="str">
        <f>IF('[1]Data 2026'!BA56="","",'[1]Data 2026'!BA56)</f>
        <v/>
      </c>
      <c r="AZ44" s="685" t="str">
        <f>IF('[1]Data 2026'!AS56="","",'[1]Data 2026'!AS56)</f>
        <v/>
      </c>
      <c r="BA44" s="685" t="str">
        <f>IF('[1]Data 2026'!AT56="","",'[1]Data 2026'!AT56)</f>
        <v/>
      </c>
      <c r="BB44" s="685" t="str">
        <f>IF('[1]Data 2026'!AU56="","",'[1]Data 2026'!AU56)</f>
        <v/>
      </c>
      <c r="BC44" s="685" t="str">
        <f>IF('[1]Data 2026'!AV56="","",'[1]Data 2026'!AV56)</f>
        <v/>
      </c>
      <c r="BD44" s="685" t="str">
        <f>IF('[1]Data 2026'!AW56="","",'[1]Data 2026'!AW56)</f>
        <v/>
      </c>
      <c r="BE44" s="685" t="str">
        <f>IF('[1]Data 2026'!AX56="","",'[1]Data 2026'!AX56)</f>
        <v/>
      </c>
      <c r="BF44" s="685" t="str">
        <f>IF('[1]Data 2026'!BF56="","",'[1]Data 2026'!BF56)</f>
        <v xml:space="preserve">VALENCY SINGAPORE </v>
      </c>
      <c r="BG44" s="685" t="str">
        <f>IF('[1]Data 2026'!BG56="","",'[1]Data 2026'!BG56)</f>
        <v/>
      </c>
      <c r="BH44" s="685" t="str">
        <f>IF('[1]Data 2026'!BH56="","",'[1]Data 2026'!BH56)</f>
        <v/>
      </c>
      <c r="BI44" s="685" t="str">
        <f>IF('[1]Data 2026'!BI56="","",'[1]Data 2026'!BI56)</f>
        <v/>
      </c>
      <c r="BJ44" s="685" t="str">
        <f>IF('[1]Data 2026'!BJ56="","",'[1]Data 2026'!BJ56)</f>
        <v/>
      </c>
      <c r="BK44" s="685" t="str">
        <f>IF('[1]Data 2026'!BK56="","",'[1]Data 2026'!BK56)</f>
        <v/>
      </c>
      <c r="BL44" s="685" t="str">
        <f>IF('[1]Data 2026'!BL56="","",'[1]Data 2026'!BL56)</f>
        <v>DUNAMIS/SITRACOM</v>
      </c>
      <c r="BM44" s="685" t="str">
        <f>IF('[1]Data 2026'!BM56="","",'[1]Data 2026'!BM56)</f>
        <v/>
      </c>
      <c r="BN44" s="685" t="str">
        <f>IF('[1]Data 2026'!BN56="","",'[1]Data 2026'!BN56)</f>
        <v/>
      </c>
      <c r="BO44" s="685" t="str">
        <f>IF('[1]Data 2026'!BO56="","",'[1]Data 2026'!BO56)</f>
        <v/>
      </c>
      <c r="BP44" s="685" t="str">
        <f>IF('[1]Data 2026'!BP56="","",'[1]Data 2026'!BP56)</f>
        <v/>
      </c>
      <c r="BQ44" s="685" t="str">
        <f>IF('[1]Data 2026'!BQ56="","",'[1]Data 2026'!BQ56)</f>
        <v/>
      </c>
      <c r="BR44" s="685" t="str">
        <f>IF('[1]Data 2026'!BR56="","",'[1]Data 2026'!BR56)</f>
        <v/>
      </c>
      <c r="BS44" s="685" t="str">
        <f>IF('[1]Data 2026'!BS56="","",'[1]Data 2026'!BS56)</f>
        <v/>
      </c>
      <c r="BT44" s="685" t="str">
        <f>IF('[1]Data 2026'!BV56="","",'[1]Data 2026'!BV56)</f>
        <v>BOA/KTD</v>
      </c>
      <c r="BU44" s="685" t="str">
        <f>IF('[1]Data 2026'!BW56="","",'[1]Data 2026'!BW56)</f>
        <v/>
      </c>
      <c r="BV44" s="685" t="str">
        <f>IF('[1]Data 2026'!BX56="","",'[1]Data 2026'!BX56)</f>
        <v/>
      </c>
      <c r="BW44" s="685" t="str">
        <f>IF('[1]Data 2026'!BY56="","",'[1]Data 2026'!BY56)</f>
        <v/>
      </c>
      <c r="BX44" s="685" t="str">
        <f>IF('[1]Data 2026'!BZ56="","",'[1]Data 2026'!BZ56)</f>
        <v/>
      </c>
      <c r="BY44" s="685" t="str">
        <f>IF('[1]Data 2026'!CA56="","",'[1]Data 2026'!CA56)</f>
        <v>182610-14813</v>
      </c>
      <c r="BZ44" s="685">
        <f>IF('[1]Data 2026'!CB56="","",'[1]Data 2026'!CB56)</f>
        <v>46128</v>
      </c>
      <c r="CA44" s="685" t="str">
        <f>IF('[1]Data 2026'!CC56="","",'[1]Data 2026'!CC56)</f>
        <v>2026-0122</v>
      </c>
      <c r="CB44" s="685">
        <f>IF('[1]Data 2026'!CD56="","",'[1]Data 2026'!CD56)</f>
        <v>46128</v>
      </c>
      <c r="CC44" s="685" t="str">
        <f>IF('[1]Data 2026'!CE56="","",'[1]Data 2026'!CE56)</f>
        <v/>
      </c>
      <c r="CD44" s="685" t="str">
        <f>IF('[1]Data 2026'!CF56="","",'[1]Data 2026'!CF56)</f>
        <v/>
      </c>
      <c r="CE44" s="685">
        <f>IF('[1]Data 2026'!CG56="","",'[1]Data 2026'!CG56)</f>
        <v>46107</v>
      </c>
      <c r="CF44" s="685">
        <f>IF('[1]Data 2026'!CH56="","",'[1]Data 2026'!CH56)</f>
        <v>46128</v>
      </c>
      <c r="CG44" s="685" t="str">
        <f>IF('[1]Data 2026'!CI56="","",'[1]Data 2026'!CI56)</f>
        <v>E11861</v>
      </c>
      <c r="CH44" s="685" t="str">
        <f>IF('[1]Data 2026'!CJ56="","",'[1]Data 2026'!CJ56)</f>
        <v/>
      </c>
      <c r="CI44" s="685">
        <f>IF('[1]Data 2026'!CK56="","",'[1]Data 2026'!CK56)</f>
        <v>46140</v>
      </c>
      <c r="CJ44" s="685" t="str">
        <f>IF('[1]Data 2026'!CM56="","",'[1]Data 2026'!CM56)</f>
        <v/>
      </c>
      <c r="CK44" s="685" t="str">
        <f>IF('[1]Data 2026'!CN56="","",'[1]Data 2026'!CN56)</f>
        <v>Sugmaran</v>
      </c>
      <c r="CL44" s="691"/>
      <c r="CM44" s="691" t="str">
        <f>IF('[1]Data 2026'!CP56="","",'[1]Data 2026'!CP56)</f>
        <v/>
      </c>
      <c r="CN44" s="691"/>
      <c r="CO44" s="693"/>
      <c r="CP44" s="693"/>
      <c r="CQ44" s="693"/>
      <c r="CR44" s="686">
        <f t="shared" si="12"/>
        <v>12</v>
      </c>
      <c r="CS44" s="686">
        <f t="shared" si="12"/>
        <v>0</v>
      </c>
      <c r="CT44" s="686">
        <f t="shared" si="12"/>
        <v>41</v>
      </c>
      <c r="CU44" s="686" t="str">
        <f t="shared" si="5"/>
        <v/>
      </c>
      <c r="CV44" s="686" t="str">
        <f t="shared" si="6"/>
        <v/>
      </c>
      <c r="CW44" s="685" t="str">
        <f t="shared" si="10"/>
        <v/>
      </c>
      <c r="CX44" s="685" t="str">
        <f t="shared" si="11"/>
        <v/>
      </c>
      <c r="CY44" s="693">
        <f t="shared" ca="1" si="7"/>
        <v>0</v>
      </c>
      <c r="CZ44" s="693" t="str">
        <f t="shared" si="8"/>
        <v/>
      </c>
      <c r="DB44"/>
      <c r="DC44"/>
    </row>
    <row r="45" spans="1:107" s="694" customFormat="1">
      <c r="A45" s="682" t="str">
        <f t="shared" si="0"/>
        <v>F. GATED IN, SAILING AWAITED</v>
      </c>
      <c r="B45" s="695" t="s">
        <v>1195</v>
      </c>
      <c r="C45" s="684" t="str">
        <f t="shared" si="1"/>
        <v>CLOSED POSITION</v>
      </c>
      <c r="D45" s="685" t="str">
        <f t="shared" si="9"/>
        <v/>
      </c>
      <c r="E45" s="685" t="str">
        <f t="shared" si="2"/>
        <v/>
      </c>
      <c r="F45" s="686">
        <f>IF('[1]Data 2026'!D57="","",'[1]Data 2026'!D57)</f>
        <v>48</v>
      </c>
      <c r="G45" s="686">
        <f>IF('[1]Data 2026'!E57="","",'[1]Data 2026'!E57)</f>
        <v>200</v>
      </c>
      <c r="H45" s="687">
        <f>IF('[1]Data 2026'!H57="","",'[1]Data 2026'!H57)</f>
        <v>32014495</v>
      </c>
      <c r="I45" s="688">
        <f>IF('[1]Data 2026'!AA57="","",'[1]Data 2026'!AA57)</f>
        <v>100</v>
      </c>
      <c r="J45" s="685" t="str">
        <f>IF('[1]Data 2026'!K57="","",'[1]Data 2026'!K57)</f>
        <v>APRIL</v>
      </c>
      <c r="K45" s="685">
        <v>46142</v>
      </c>
      <c r="L45" s="685" t="str">
        <f>IF('[1]Data 2026'!L57="","",'[1]Data 2026'!L57)</f>
        <v>VALENCY CI</v>
      </c>
      <c r="M45" s="685" t="str">
        <f>IF('[1]Data 2026'!M57="","",'[1]Data 2026'!M57)</f>
        <v>MAHALASA EXPORTS</v>
      </c>
      <c r="N45" s="685" t="s">
        <v>1198</v>
      </c>
      <c r="O45" s="689">
        <f>IF('[1]Data 2026'!N57="","",'[1]Data 2026'!N57)</f>
        <v>267489886</v>
      </c>
      <c r="P45" s="690" t="str">
        <f>IF('[1]Data 2026'!O57="","",'[1]Data 2026'!O57)</f>
        <v/>
      </c>
      <c r="Q45" s="685" t="str">
        <f>IF('[1]Data 2026'!P57="","",'[1]Data 2026'!P57)</f>
        <v/>
      </c>
      <c r="R45" s="685" t="str">
        <f>IF('[1]Data 2026'!Q57="","",'[1]Data 2026'!Q57)</f>
        <v>ABJ</v>
      </c>
      <c r="S45" s="685" t="s">
        <v>210</v>
      </c>
      <c r="T45" s="685" t="str">
        <f>IF('[1]Data 2026'!R57="","",'[1]Data 2026'!R57)</f>
        <v>MANGALORE, INDIA</v>
      </c>
      <c r="U45" s="685" t="str">
        <f>IF('[1]Data 2026'!S57="","",'[1]Data 2026'!S57)</f>
        <v>MAERSK CUANZA</v>
      </c>
      <c r="V45" s="685">
        <f>IF('[1]Data 2026'!T57="","",'[1]Data 2026'!T57)</f>
        <v>46107</v>
      </c>
      <c r="W45" s="685">
        <f>IF('[1]Data 2026'!U57="","",'[1]Data 2026'!U57)</f>
        <v>46119</v>
      </c>
      <c r="X45" s="685">
        <f>IF('[1]Data 2026'!V57="","",'[1]Data 2026'!V57)</f>
        <v>46119</v>
      </c>
      <c r="Y45" s="685">
        <f>IF('[1]Data 2026'!W57="","",'[1]Data 2026'!W57)</f>
        <v>46161</v>
      </c>
      <c r="Z45" s="685">
        <f>IF('[1]Data 2026'!X57="","",'[1]Data 2026'!X57)</f>
        <v>46202</v>
      </c>
      <c r="AA45" s="685"/>
      <c r="AB45" s="685">
        <f>IF('[1]Data 2026'!Y57="","",'[1]Data 2026'!Y57)</f>
        <v>46172</v>
      </c>
      <c r="AC45" s="685" t="str">
        <f>IF('[1]Data 2026'!Z57="","",'[1]Data 2026'!Z57)</f>
        <v/>
      </c>
      <c r="AD45" s="691">
        <f>IF('[1]Data 2026'!AA57="","",'[1]Data 2026'!AA57)</f>
        <v>100</v>
      </c>
      <c r="AE45" s="691">
        <f>IF('[1]Data 2026'!AB57="","",'[1]Data 2026'!AB57)</f>
        <v>100</v>
      </c>
      <c r="AF45" s="685">
        <f>IF('[1]Data 2026'!AC57="","",'[1]Data 2026'!AC57)</f>
        <v>45777</v>
      </c>
      <c r="AG45" s="685" t="str">
        <f>IF('[1]Data 2026'!AD57="","",'[1]Data 2026'!AD57)</f>
        <v>Ex-Olam</v>
      </c>
      <c r="AH45" s="686">
        <f>IF('[1]Data 2026'!AE57="","",'[1]Data 2026'!AE57)</f>
        <v>4</v>
      </c>
      <c r="AI45" s="685" t="str">
        <f>IF('[1]Data 2026'!AG57="","",'[1]Data 2026'!AG57)</f>
        <v xml:space="preserve">VALENCY SINGAPORE </v>
      </c>
      <c r="AJ45" s="685" t="str">
        <f>IF('[1]Data 2026'!AH57="","",'[1]Data 2026'!AH57)</f>
        <v>DUNAMIS/SITRACOM</v>
      </c>
      <c r="AK45" s="685" t="str">
        <f>IF('[1]Data 2026'!AI57="","",'[1]Data 2026'!AI57)</f>
        <v>MSK</v>
      </c>
      <c r="AL45" s="685" t="str">
        <f>IF('[1]Data 2026'!AJ57="","",'[1]Data 2026'!AJ57)</f>
        <v>40FT</v>
      </c>
      <c r="AM45" s="692">
        <f>IF('[1]Data 2026'!AK57="","",'[1]Data 2026'!AK57)</f>
        <v>0.1</v>
      </c>
      <c r="AN45" s="685" t="str">
        <f>IF('[1]Data 2026'!AL57="","",'[1]Data 2026'!AL57)</f>
        <v xml:space="preserve"> ( 1 x 100 MTS ) </v>
      </c>
      <c r="AO45" s="691">
        <f>IF('[1]Data 2026'!AM57="","",'[1]Data 2026'!AM57)</f>
        <v>110</v>
      </c>
      <c r="AP45" s="691" t="str">
        <f t="shared" si="3"/>
        <v/>
      </c>
      <c r="AQ45" s="685" t="str">
        <f>IF('[1]Data 2026'!AO57="","",'[1]Data 2026'!AO57)</f>
        <v/>
      </c>
      <c r="AR45" s="685" t="str">
        <f>IF('[1]Data 2026'!AP57="","",'[1]Data 2026'!AP57)</f>
        <v/>
      </c>
      <c r="AS45" s="685" t="str">
        <f>IF('[1]Data 2026'!AQ57="","",'[1]Data 2026'!AQ57)</f>
        <v/>
      </c>
      <c r="AT45" s="685" t="str">
        <f>IF('[1]Data 2026'!AR57="","",'[1]Data 2026'!AR57)</f>
        <v/>
      </c>
      <c r="AU45" s="685" t="str">
        <f>IF('[1]Data 2026'!AW57="","",'[1]Data 2026'!AW57)</f>
        <v/>
      </c>
      <c r="AV45" s="685" t="str">
        <f>IF('[1]Data 2026'!AX57="","",'[1]Data 2026'!AX57)</f>
        <v/>
      </c>
      <c r="AW45" s="685" t="str">
        <f>IF('[1]Data 2026'!AY57="","",'[1]Data 2026'!AY57)</f>
        <v/>
      </c>
      <c r="AX45" s="685" t="str">
        <f>IF('[1]Data 2026'!AZ57="","",'[1]Data 2026'!AZ57)</f>
        <v/>
      </c>
      <c r="AY45" s="685" t="str">
        <f>IF('[1]Data 2026'!BA57="","",'[1]Data 2026'!BA57)</f>
        <v/>
      </c>
      <c r="AZ45" s="685" t="str">
        <f>IF('[1]Data 2026'!AS57="","",'[1]Data 2026'!AS57)</f>
        <v/>
      </c>
      <c r="BA45" s="685" t="str">
        <f>IF('[1]Data 2026'!AT57="","",'[1]Data 2026'!AT57)</f>
        <v/>
      </c>
      <c r="BB45" s="685" t="str">
        <f>IF('[1]Data 2026'!AU57="","",'[1]Data 2026'!AU57)</f>
        <v/>
      </c>
      <c r="BC45" s="685" t="str">
        <f>IF('[1]Data 2026'!AV57="","",'[1]Data 2026'!AV57)</f>
        <v/>
      </c>
      <c r="BD45" s="685" t="str">
        <f>IF('[1]Data 2026'!AW57="","",'[1]Data 2026'!AW57)</f>
        <v/>
      </c>
      <c r="BE45" s="685" t="str">
        <f>IF('[1]Data 2026'!AX57="","",'[1]Data 2026'!AX57)</f>
        <v/>
      </c>
      <c r="BF45" s="685" t="str">
        <f>IF('[1]Data 2026'!BF57="","",'[1]Data 2026'!BF57)</f>
        <v xml:space="preserve">VALENCY SINGAPORE </v>
      </c>
      <c r="BG45" s="685" t="str">
        <f>IF('[1]Data 2026'!BG57="","",'[1]Data 2026'!BG57)</f>
        <v/>
      </c>
      <c r="BH45" s="685" t="str">
        <f>IF('[1]Data 2026'!BH57="","",'[1]Data 2026'!BH57)</f>
        <v/>
      </c>
      <c r="BI45" s="685" t="str">
        <f>IF('[1]Data 2026'!BI57="","",'[1]Data 2026'!BI57)</f>
        <v/>
      </c>
      <c r="BJ45" s="685" t="str">
        <f>IF('[1]Data 2026'!BJ57="","",'[1]Data 2026'!BJ57)</f>
        <v/>
      </c>
      <c r="BK45" s="685" t="str">
        <f>IF('[1]Data 2026'!BK57="","",'[1]Data 2026'!BK57)</f>
        <v/>
      </c>
      <c r="BL45" s="685" t="str">
        <f>IF('[1]Data 2026'!BL57="","",'[1]Data 2026'!BL57)</f>
        <v>DUNAMIS/SITRACOM</v>
      </c>
      <c r="BM45" s="685" t="str">
        <f>IF('[1]Data 2026'!BM57="","",'[1]Data 2026'!BM57)</f>
        <v/>
      </c>
      <c r="BN45" s="685" t="str">
        <f>IF('[1]Data 2026'!BN57="","",'[1]Data 2026'!BN57)</f>
        <v/>
      </c>
      <c r="BO45" s="685" t="str">
        <f>IF('[1]Data 2026'!BO57="","",'[1]Data 2026'!BO57)</f>
        <v/>
      </c>
      <c r="BP45" s="685" t="str">
        <f>IF('[1]Data 2026'!BP57="","",'[1]Data 2026'!BP57)</f>
        <v/>
      </c>
      <c r="BQ45" s="685" t="str">
        <f>IF('[1]Data 2026'!BQ57="","",'[1]Data 2026'!BQ57)</f>
        <v/>
      </c>
      <c r="BR45" s="685" t="str">
        <f>IF('[1]Data 2026'!BR57="","",'[1]Data 2026'!BR57)</f>
        <v/>
      </c>
      <c r="BS45" s="685" t="str">
        <f>IF('[1]Data 2026'!BS57="","",'[1]Data 2026'!BS57)</f>
        <v/>
      </c>
      <c r="BT45" s="685" t="str">
        <f>IF('[1]Data 2026'!BV57="","",'[1]Data 2026'!BV57)</f>
        <v>BOA/KTD</v>
      </c>
      <c r="BU45" s="685" t="str">
        <f>IF('[1]Data 2026'!BW57="","",'[1]Data 2026'!BW57)</f>
        <v/>
      </c>
      <c r="BV45" s="685" t="str">
        <f>IF('[1]Data 2026'!BX57="","",'[1]Data 2026'!BX57)</f>
        <v/>
      </c>
      <c r="BW45" s="685" t="str">
        <f>IF('[1]Data 2026'!BY57="","",'[1]Data 2026'!BY57)</f>
        <v/>
      </c>
      <c r="BX45" s="685" t="str">
        <f>IF('[1]Data 2026'!BZ57="","",'[1]Data 2026'!BZ57)</f>
        <v/>
      </c>
      <c r="BY45" s="685" t="str">
        <f>IF('[1]Data 2026'!CA57="","",'[1]Data 2026'!CA57)</f>
        <v>182610-14813</v>
      </c>
      <c r="BZ45" s="685">
        <f>IF('[1]Data 2026'!CB57="","",'[1]Data 2026'!CB57)</f>
        <v>46128</v>
      </c>
      <c r="CA45" s="685" t="str">
        <f>IF('[1]Data 2026'!CC57="","",'[1]Data 2026'!CC57)</f>
        <v>2026-0122</v>
      </c>
      <c r="CB45" s="685">
        <f>IF('[1]Data 2026'!CD57="","",'[1]Data 2026'!CD57)</f>
        <v>46128</v>
      </c>
      <c r="CC45" s="685" t="str">
        <f>IF('[1]Data 2026'!CE57="","",'[1]Data 2026'!CE57)</f>
        <v/>
      </c>
      <c r="CD45" s="685" t="str">
        <f>IF('[1]Data 2026'!CF57="","",'[1]Data 2026'!CF57)</f>
        <v/>
      </c>
      <c r="CE45" s="685">
        <f>IF('[1]Data 2026'!CG57="","",'[1]Data 2026'!CG57)</f>
        <v>46107</v>
      </c>
      <c r="CF45" s="685">
        <f>IF('[1]Data 2026'!CH57="","",'[1]Data 2026'!CH57)</f>
        <v>46128</v>
      </c>
      <c r="CG45" s="685" t="str">
        <f>IF('[1]Data 2026'!CI57="","",'[1]Data 2026'!CI57)</f>
        <v>E11861</v>
      </c>
      <c r="CH45" s="685" t="str">
        <f>IF('[1]Data 2026'!CJ57="","",'[1]Data 2026'!CJ57)</f>
        <v/>
      </c>
      <c r="CI45" s="685">
        <f>IF('[1]Data 2026'!CK57="","",'[1]Data 2026'!CK57)</f>
        <v>46140</v>
      </c>
      <c r="CJ45" s="685" t="str">
        <f>IF('[1]Data 2026'!CM57="","",'[1]Data 2026'!CM57)</f>
        <v/>
      </c>
      <c r="CK45" s="685" t="str">
        <f>IF('[1]Data 2026'!CN57="","",'[1]Data 2026'!CN57)</f>
        <v>Sugmaran</v>
      </c>
      <c r="CL45" s="691"/>
      <c r="CM45" s="691" t="str">
        <f>IF('[1]Data 2026'!CP57="","",'[1]Data 2026'!CP57)</f>
        <v/>
      </c>
      <c r="CN45" s="691"/>
      <c r="CO45" s="693"/>
      <c r="CP45" s="693"/>
      <c r="CQ45" s="693"/>
      <c r="CR45" s="686">
        <f t="shared" si="12"/>
        <v>12</v>
      </c>
      <c r="CS45" s="686">
        <f t="shared" si="12"/>
        <v>0</v>
      </c>
      <c r="CT45" s="686">
        <f t="shared" si="12"/>
        <v>42</v>
      </c>
      <c r="CU45" s="686" t="str">
        <f t="shared" si="5"/>
        <v/>
      </c>
      <c r="CV45" s="686" t="str">
        <f t="shared" si="6"/>
        <v/>
      </c>
      <c r="CW45" s="685" t="str">
        <f t="shared" si="10"/>
        <v/>
      </c>
      <c r="CX45" s="685" t="str">
        <f t="shared" si="11"/>
        <v/>
      </c>
      <c r="CY45" s="693">
        <f t="shared" ca="1" si="7"/>
        <v>0</v>
      </c>
      <c r="CZ45" s="693" t="str">
        <f t="shared" si="8"/>
        <v/>
      </c>
      <c r="DB45"/>
      <c r="DC45"/>
    </row>
    <row r="46" spans="1:107" s="694" customFormat="1">
      <c r="A46" s="682" t="str">
        <f t="shared" si="0"/>
        <v>F. GATED IN, SAILING AWAITED</v>
      </c>
      <c r="B46" s="695" t="s">
        <v>1195</v>
      </c>
      <c r="C46" s="684" t="str">
        <f t="shared" si="1"/>
        <v>CLOSED POSITION</v>
      </c>
      <c r="D46" s="685" t="str">
        <f t="shared" si="9"/>
        <v/>
      </c>
      <c r="E46" s="685" t="str">
        <f t="shared" si="2"/>
        <v/>
      </c>
      <c r="F46" s="686">
        <f>IF('[1]Data 2026'!D58="","",'[1]Data 2026'!D58)</f>
        <v>48</v>
      </c>
      <c r="G46" s="686">
        <f>IF('[1]Data 2026'!E58="","",'[1]Data 2026'!E58)</f>
        <v>200</v>
      </c>
      <c r="H46" s="687">
        <f>IF('[1]Data 2026'!H58="","",'[1]Data 2026'!H58)</f>
        <v>32014540</v>
      </c>
      <c r="I46" s="688">
        <f>IF('[1]Data 2026'!AA58="","",'[1]Data 2026'!AA58)</f>
        <v>250</v>
      </c>
      <c r="J46" s="685" t="str">
        <f>IF('[1]Data 2026'!K58="","",'[1]Data 2026'!K58)</f>
        <v>APRIL</v>
      </c>
      <c r="K46" s="685">
        <v>46142</v>
      </c>
      <c r="L46" s="685" t="str">
        <f>IF('[1]Data 2026'!L58="","",'[1]Data 2026'!L58)</f>
        <v>VALENCY CI</v>
      </c>
      <c r="M46" s="685" t="str">
        <f>IF('[1]Data 2026'!M58="","",'[1]Data 2026'!M58)</f>
        <v xml:space="preserve">SHREE KRISHNAPRASAD CASHEWS </v>
      </c>
      <c r="N46" s="685" t="s">
        <v>1198</v>
      </c>
      <c r="O46" s="689">
        <f>IF('[1]Data 2026'!N58="","",'[1]Data 2026'!N58)</f>
        <v>267455386</v>
      </c>
      <c r="P46" s="690">
        <f>IF('[1]Data 2026'!O58="","",'[1]Data 2026'!O58)</f>
        <v>267455386</v>
      </c>
      <c r="Q46" s="685" t="str">
        <f>IF('[1]Data 2026'!P58="","",'[1]Data 2026'!P58)</f>
        <v/>
      </c>
      <c r="R46" s="685" t="str">
        <f>IF('[1]Data 2026'!Q58="","",'[1]Data 2026'!Q58)</f>
        <v>ABJ</v>
      </c>
      <c r="S46" s="685" t="s">
        <v>210</v>
      </c>
      <c r="T46" s="685" t="str">
        <f>IF('[1]Data 2026'!R58="","",'[1]Data 2026'!R58)</f>
        <v>MANGALORE, INDIA</v>
      </c>
      <c r="U46" s="685" t="str">
        <f>IF('[1]Data 2026'!S58="","",'[1]Data 2026'!S58)</f>
        <v>MAERSK CUANZA</v>
      </c>
      <c r="V46" s="685">
        <f>IF('[1]Data 2026'!T58="","",'[1]Data 2026'!T58)</f>
        <v>46107</v>
      </c>
      <c r="W46" s="685">
        <f>IF('[1]Data 2026'!U58="","",'[1]Data 2026'!U58)</f>
        <v>46121</v>
      </c>
      <c r="X46" s="685">
        <f>IF('[1]Data 2026'!V58="","",'[1]Data 2026'!V58)</f>
        <v>46123</v>
      </c>
      <c r="Y46" s="685">
        <f>IF('[1]Data 2026'!W58="","",'[1]Data 2026'!W58)</f>
        <v>46159</v>
      </c>
      <c r="Z46" s="685">
        <f>IF('[1]Data 2026'!X58="","",'[1]Data 2026'!X58)</f>
        <v>46202</v>
      </c>
      <c r="AA46" s="685"/>
      <c r="AB46" s="685">
        <f>IF('[1]Data 2026'!Y58="","",'[1]Data 2026'!Y58)</f>
        <v>46172</v>
      </c>
      <c r="AC46" s="685" t="str">
        <f>IF('[1]Data 2026'!Z58="","",'[1]Data 2026'!Z58)</f>
        <v/>
      </c>
      <c r="AD46" s="691">
        <f>IF('[1]Data 2026'!AA58="","",'[1]Data 2026'!AA58)</f>
        <v>250</v>
      </c>
      <c r="AE46" s="691">
        <f>IF('[1]Data 2026'!AB58="","",'[1]Data 2026'!AB58)</f>
        <v>250</v>
      </c>
      <c r="AF46" s="685">
        <f>IF('[1]Data 2026'!AC58="","",'[1]Data 2026'!AC58)</f>
        <v>45777</v>
      </c>
      <c r="AG46" s="685" t="str">
        <f>IF('[1]Data 2026'!AD58="","",'[1]Data 2026'!AD58)</f>
        <v>WH-I</v>
      </c>
      <c r="AH46" s="686">
        <f>IF('[1]Data 2026'!AE58="","",'[1]Data 2026'!AE58)</f>
        <v>10</v>
      </c>
      <c r="AI46" s="685" t="str">
        <f>IF('[1]Data 2026'!AG58="","",'[1]Data 2026'!AG58)</f>
        <v xml:space="preserve">VALENCY SINGAPORE </v>
      </c>
      <c r="AJ46" s="685" t="str">
        <f>IF('[1]Data 2026'!AH58="","",'[1]Data 2026'!AH58)</f>
        <v>DUNAMIS/SITRACOM</v>
      </c>
      <c r="AK46" s="685" t="str">
        <f>IF('[1]Data 2026'!AI58="","",'[1]Data 2026'!AI58)</f>
        <v>MSK</v>
      </c>
      <c r="AL46" s="685" t="str">
        <f>IF('[1]Data 2026'!AJ58="","",'[1]Data 2026'!AJ58)</f>
        <v>40FT</v>
      </c>
      <c r="AM46" s="692">
        <f>IF('[1]Data 2026'!AK58="","",'[1]Data 2026'!AK58)</f>
        <v>0.1</v>
      </c>
      <c r="AN46" s="685" t="str">
        <f>IF('[1]Data 2026'!AL58="","",'[1]Data 2026'!AL58)</f>
        <v xml:space="preserve"> ( 1 x 250 MTS ) </v>
      </c>
      <c r="AO46" s="691">
        <f>IF('[1]Data 2026'!AM58="","",'[1]Data 2026'!AM58)</f>
        <v>275</v>
      </c>
      <c r="AP46" s="691" t="str">
        <f t="shared" si="3"/>
        <v/>
      </c>
      <c r="AQ46" s="685" t="str">
        <f>IF('[1]Data 2026'!AO58="","",'[1]Data 2026'!AO58)</f>
        <v/>
      </c>
      <c r="AR46" s="685" t="str">
        <f>IF('[1]Data 2026'!AP58="","",'[1]Data 2026'!AP58)</f>
        <v/>
      </c>
      <c r="AS46" s="685" t="str">
        <f>IF('[1]Data 2026'!AQ58="","",'[1]Data 2026'!AQ58)</f>
        <v/>
      </c>
      <c r="AT46" s="685" t="str">
        <f>IF('[1]Data 2026'!AR58="","",'[1]Data 2026'!AR58)</f>
        <v/>
      </c>
      <c r="AU46" s="685" t="str">
        <f>IF('[1]Data 2026'!AW58="","",'[1]Data 2026'!AW58)</f>
        <v/>
      </c>
      <c r="AV46" s="685" t="str">
        <f>IF('[1]Data 2026'!AX58="","",'[1]Data 2026'!AX58)</f>
        <v/>
      </c>
      <c r="AW46" s="685" t="str">
        <f>IF('[1]Data 2026'!AY58="","",'[1]Data 2026'!AY58)</f>
        <v/>
      </c>
      <c r="AX46" s="685" t="str">
        <f>IF('[1]Data 2026'!AZ58="","",'[1]Data 2026'!AZ58)</f>
        <v/>
      </c>
      <c r="AY46" s="685" t="str">
        <f>IF('[1]Data 2026'!BA58="","",'[1]Data 2026'!BA58)</f>
        <v/>
      </c>
      <c r="AZ46" s="685" t="str">
        <f>IF('[1]Data 2026'!AS58="","",'[1]Data 2026'!AS58)</f>
        <v/>
      </c>
      <c r="BA46" s="685" t="str">
        <f>IF('[1]Data 2026'!AT58="","",'[1]Data 2026'!AT58)</f>
        <v/>
      </c>
      <c r="BB46" s="685" t="str">
        <f>IF('[1]Data 2026'!AU58="","",'[1]Data 2026'!AU58)</f>
        <v/>
      </c>
      <c r="BC46" s="685" t="str">
        <f>IF('[1]Data 2026'!AV58="","",'[1]Data 2026'!AV58)</f>
        <v/>
      </c>
      <c r="BD46" s="685" t="str">
        <f>IF('[1]Data 2026'!AW58="","",'[1]Data 2026'!AW58)</f>
        <v/>
      </c>
      <c r="BE46" s="685" t="str">
        <f>IF('[1]Data 2026'!AX58="","",'[1]Data 2026'!AX58)</f>
        <v/>
      </c>
      <c r="BF46" s="685" t="str">
        <f>IF('[1]Data 2026'!BF58="","",'[1]Data 2026'!BF58)</f>
        <v xml:space="preserve">VALENCY SINGAPORE </v>
      </c>
      <c r="BG46" s="685" t="str">
        <f>IF('[1]Data 2026'!BG58="","",'[1]Data 2026'!BG58)</f>
        <v/>
      </c>
      <c r="BH46" s="685" t="str">
        <f>IF('[1]Data 2026'!BH58="","",'[1]Data 2026'!BH58)</f>
        <v/>
      </c>
      <c r="BI46" s="685" t="str">
        <f>IF('[1]Data 2026'!BI58="","",'[1]Data 2026'!BI58)</f>
        <v/>
      </c>
      <c r="BJ46" s="685" t="str">
        <f>IF('[1]Data 2026'!BJ58="","",'[1]Data 2026'!BJ58)</f>
        <v/>
      </c>
      <c r="BK46" s="685" t="str">
        <f>IF('[1]Data 2026'!BK58="","",'[1]Data 2026'!BK58)</f>
        <v/>
      </c>
      <c r="BL46" s="685" t="str">
        <f>IF('[1]Data 2026'!BL58="","",'[1]Data 2026'!BL58)</f>
        <v>DUNAMIS/SITRACOM</v>
      </c>
      <c r="BM46" s="685" t="str">
        <f>IF('[1]Data 2026'!BM58="","",'[1]Data 2026'!BM58)</f>
        <v/>
      </c>
      <c r="BN46" s="685" t="str">
        <f>IF('[1]Data 2026'!BN58="","",'[1]Data 2026'!BN58)</f>
        <v/>
      </c>
      <c r="BO46" s="685" t="str">
        <f>IF('[1]Data 2026'!BO58="","",'[1]Data 2026'!BO58)</f>
        <v/>
      </c>
      <c r="BP46" s="685" t="str">
        <f>IF('[1]Data 2026'!BP58="","",'[1]Data 2026'!BP58)</f>
        <v/>
      </c>
      <c r="BQ46" s="685" t="str">
        <f>IF('[1]Data 2026'!BQ58="","",'[1]Data 2026'!BQ58)</f>
        <v/>
      </c>
      <c r="BR46" s="685" t="str">
        <f>IF('[1]Data 2026'!BR58="","",'[1]Data 2026'!BR58)</f>
        <v/>
      </c>
      <c r="BS46" s="685" t="str">
        <f>IF('[1]Data 2026'!BS58="","",'[1]Data 2026'!BS58)</f>
        <v/>
      </c>
      <c r="BT46" s="685" t="str">
        <f>IF('[1]Data 2026'!BV58="","",'[1]Data 2026'!BV58)</f>
        <v>ABSA/CMI</v>
      </c>
      <c r="BU46" s="685" t="str">
        <f>IF('[1]Data 2026'!BW58="","",'[1]Data 2026'!BW58)</f>
        <v/>
      </c>
      <c r="BV46" s="685" t="str">
        <f>IF('[1]Data 2026'!BX58="","",'[1]Data 2026'!BX58)</f>
        <v/>
      </c>
      <c r="BW46" s="685" t="str">
        <f>IF('[1]Data 2026'!BY58="","",'[1]Data 2026'!BY58)</f>
        <v/>
      </c>
      <c r="BX46" s="685" t="str">
        <f>IF('[1]Data 2026'!BZ58="","",'[1]Data 2026'!BZ58)</f>
        <v/>
      </c>
      <c r="BY46" s="685" t="str">
        <f>IF('[1]Data 2026'!CA58="","",'[1]Data 2026'!CA58)</f>
        <v>182610-14839</v>
      </c>
      <c r="BZ46" s="685">
        <f>IF('[1]Data 2026'!CB58="","",'[1]Data 2026'!CB58)</f>
        <v>46128</v>
      </c>
      <c r="CA46" s="685" t="str">
        <f>IF('[1]Data 2026'!CC58="","",'[1]Data 2026'!CC58)</f>
        <v>2026-0111</v>
      </c>
      <c r="CB46" s="685">
        <f>IF('[1]Data 2026'!CD58="","",'[1]Data 2026'!CD58)</f>
        <v>46128</v>
      </c>
      <c r="CC46" s="685" t="str">
        <f>IF('[1]Data 2026'!CE58="","",'[1]Data 2026'!CE58)</f>
        <v/>
      </c>
      <c r="CD46" s="685" t="str">
        <f>IF('[1]Data 2026'!CF58="","",'[1]Data 2026'!CF58)</f>
        <v/>
      </c>
      <c r="CE46" s="685">
        <f>IF('[1]Data 2026'!CG58="","",'[1]Data 2026'!CG58)</f>
        <v>46107</v>
      </c>
      <c r="CF46" s="685">
        <f>IF('[1]Data 2026'!CH58="","",'[1]Data 2026'!CH58)</f>
        <v>46127</v>
      </c>
      <c r="CG46" s="685" t="str">
        <f>IF('[1]Data 2026'!CI58="","",'[1]Data 2026'!CI58)</f>
        <v>E11701</v>
      </c>
      <c r="CH46" s="685" t="str">
        <f>IF('[1]Data 2026'!CJ58="","",'[1]Data 2026'!CJ58)</f>
        <v/>
      </c>
      <c r="CI46" s="685">
        <f>IF('[1]Data 2026'!CK58="","",'[1]Data 2026'!CK58)</f>
        <v>46140</v>
      </c>
      <c r="CJ46" s="685" t="str">
        <f>IF('[1]Data 2026'!CM58="","",'[1]Data 2026'!CM58)</f>
        <v/>
      </c>
      <c r="CK46" s="685" t="str">
        <f>IF('[1]Data 2026'!CN58="","",'[1]Data 2026'!CN58)</f>
        <v>Ajeesh</v>
      </c>
      <c r="CL46" s="691"/>
      <c r="CM46" s="691" t="str">
        <f>IF('[1]Data 2026'!CP58="","",'[1]Data 2026'!CP58)</f>
        <v/>
      </c>
      <c r="CN46" s="691"/>
      <c r="CO46" s="693"/>
      <c r="CP46" s="693"/>
      <c r="CQ46" s="693"/>
      <c r="CR46" s="686">
        <f t="shared" si="12"/>
        <v>14</v>
      </c>
      <c r="CS46" s="686">
        <f t="shared" si="12"/>
        <v>2</v>
      </c>
      <c r="CT46" s="686">
        <f t="shared" si="12"/>
        <v>36</v>
      </c>
      <c r="CU46" s="686" t="str">
        <f t="shared" si="5"/>
        <v/>
      </c>
      <c r="CV46" s="686" t="str">
        <f t="shared" si="6"/>
        <v/>
      </c>
      <c r="CW46" s="685" t="str">
        <f t="shared" si="10"/>
        <v/>
      </c>
      <c r="CX46" s="685" t="str">
        <f t="shared" si="11"/>
        <v/>
      </c>
      <c r="CY46" s="693">
        <f t="shared" ca="1" si="7"/>
        <v>0</v>
      </c>
      <c r="CZ46" s="693" t="str">
        <f t="shared" si="8"/>
        <v/>
      </c>
      <c r="DB46"/>
      <c r="DC46"/>
    </row>
    <row r="47" spans="1:107" s="694" customFormat="1">
      <c r="A47" s="682" t="str">
        <f t="shared" si="0"/>
        <v>F. GATED IN, SAILING AWAITED</v>
      </c>
      <c r="B47" s="695" t="s">
        <v>1195</v>
      </c>
      <c r="C47" s="684" t="str">
        <f t="shared" si="1"/>
        <v>CLOSED POSITION</v>
      </c>
      <c r="D47" s="685" t="str">
        <f t="shared" si="9"/>
        <v/>
      </c>
      <c r="E47" s="685" t="str">
        <f t="shared" si="2"/>
        <v/>
      </c>
      <c r="F47" s="686">
        <f>IF('[1]Data 2026'!D59="","",'[1]Data 2026'!D59)</f>
        <v>48</v>
      </c>
      <c r="G47" s="686">
        <f>IF('[1]Data 2026'!E59="","",'[1]Data 2026'!E59)</f>
        <v>200</v>
      </c>
      <c r="H47" s="687">
        <f>IF('[1]Data 2026'!H59="","",'[1]Data 2026'!H59)</f>
        <v>32014540</v>
      </c>
      <c r="I47" s="688">
        <f>IF('[1]Data 2026'!AA59="","",'[1]Data 2026'!AA59)</f>
        <v>250</v>
      </c>
      <c r="J47" s="685" t="str">
        <f>IF('[1]Data 2026'!K59="","",'[1]Data 2026'!K59)</f>
        <v>APRIL</v>
      </c>
      <c r="K47" s="685">
        <v>46142</v>
      </c>
      <c r="L47" s="685" t="str">
        <f>IF('[1]Data 2026'!L59="","",'[1]Data 2026'!L59)</f>
        <v>VALENCY CI</v>
      </c>
      <c r="M47" s="685" t="str">
        <f>IF('[1]Data 2026'!M59="","",'[1]Data 2026'!M59)</f>
        <v xml:space="preserve">SHREE KRISHNAPRASAD CASHEWS </v>
      </c>
      <c r="N47" s="685" t="s">
        <v>1198</v>
      </c>
      <c r="O47" s="689">
        <f>IF('[1]Data 2026'!N59="","",'[1]Data 2026'!N59)</f>
        <v>267455386</v>
      </c>
      <c r="P47" s="690">
        <f>IF('[1]Data 2026'!O59="","",'[1]Data 2026'!O59)</f>
        <v>269636234</v>
      </c>
      <c r="Q47" s="685" t="str">
        <f>IF('[1]Data 2026'!P59="","",'[1]Data 2026'!P59)</f>
        <v/>
      </c>
      <c r="R47" s="685" t="str">
        <f>IF('[1]Data 2026'!Q59="","",'[1]Data 2026'!Q59)</f>
        <v>ABJ</v>
      </c>
      <c r="S47" s="685" t="s">
        <v>210</v>
      </c>
      <c r="T47" s="685" t="str">
        <f>IF('[1]Data 2026'!R59="","",'[1]Data 2026'!R59)</f>
        <v>MANGALORE, INDIA</v>
      </c>
      <c r="U47" s="685" t="str">
        <f>IF('[1]Data 2026'!S59="","",'[1]Data 2026'!S59)</f>
        <v>MAERSK CUANZA</v>
      </c>
      <c r="V47" s="685">
        <f>IF('[1]Data 2026'!T59="","",'[1]Data 2026'!T59)</f>
        <v>46107</v>
      </c>
      <c r="W47" s="685">
        <f>IF('[1]Data 2026'!U59="","",'[1]Data 2026'!U59)</f>
        <v>46121</v>
      </c>
      <c r="X47" s="685">
        <f>IF('[1]Data 2026'!V59="","",'[1]Data 2026'!V59)</f>
        <v>46123</v>
      </c>
      <c r="Y47" s="685">
        <f>IF('[1]Data 2026'!W59="","",'[1]Data 2026'!W59)</f>
        <v>46160</v>
      </c>
      <c r="Z47" s="685">
        <f>IF('[1]Data 2026'!X59="","",'[1]Data 2026'!X59)</f>
        <v>46202</v>
      </c>
      <c r="AA47" s="685"/>
      <c r="AB47" s="685">
        <f>IF('[1]Data 2026'!Y59="","",'[1]Data 2026'!Y59)</f>
        <v>46172</v>
      </c>
      <c r="AC47" s="685" t="str">
        <f>IF('[1]Data 2026'!Z59="","",'[1]Data 2026'!Z59)</f>
        <v/>
      </c>
      <c r="AD47" s="691">
        <f>IF('[1]Data 2026'!AA59="","",'[1]Data 2026'!AA59)</f>
        <v>250</v>
      </c>
      <c r="AE47" s="691">
        <f>IF('[1]Data 2026'!AB59="","",'[1]Data 2026'!AB59)</f>
        <v>250</v>
      </c>
      <c r="AF47" s="685">
        <f>IF('[1]Data 2026'!AC59="","",'[1]Data 2026'!AC59)</f>
        <v>45777</v>
      </c>
      <c r="AG47" s="685" t="str">
        <f>IF('[1]Data 2026'!AD59="","",'[1]Data 2026'!AD59)</f>
        <v>WH-I</v>
      </c>
      <c r="AH47" s="686">
        <f>IF('[1]Data 2026'!AE59="","",'[1]Data 2026'!AE59)</f>
        <v>10</v>
      </c>
      <c r="AI47" s="685" t="str">
        <f>IF('[1]Data 2026'!AG59="","",'[1]Data 2026'!AG59)</f>
        <v xml:space="preserve">VALENCY SINGAPORE </v>
      </c>
      <c r="AJ47" s="685" t="str">
        <f>IF('[1]Data 2026'!AH59="","",'[1]Data 2026'!AH59)</f>
        <v>DUNAMIS/SITRACOM</v>
      </c>
      <c r="AK47" s="685" t="str">
        <f>IF('[1]Data 2026'!AI59="","",'[1]Data 2026'!AI59)</f>
        <v>MSK</v>
      </c>
      <c r="AL47" s="685" t="str">
        <f>IF('[1]Data 2026'!AJ59="","",'[1]Data 2026'!AJ59)</f>
        <v>40FT</v>
      </c>
      <c r="AM47" s="692">
        <f>IF('[1]Data 2026'!AK59="","",'[1]Data 2026'!AK59)</f>
        <v>0.1</v>
      </c>
      <c r="AN47" s="685" t="str">
        <f>IF('[1]Data 2026'!AL59="","",'[1]Data 2026'!AL59)</f>
        <v xml:space="preserve"> ( 1 x 250 MTS ) </v>
      </c>
      <c r="AO47" s="691">
        <f>IF('[1]Data 2026'!AM59="","",'[1]Data 2026'!AM59)</f>
        <v>275</v>
      </c>
      <c r="AP47" s="691" t="str">
        <f t="shared" si="3"/>
        <v/>
      </c>
      <c r="AQ47" s="685" t="str">
        <f>IF('[1]Data 2026'!AO59="","",'[1]Data 2026'!AO59)</f>
        <v/>
      </c>
      <c r="AR47" s="685" t="str">
        <f>IF('[1]Data 2026'!AP59="","",'[1]Data 2026'!AP59)</f>
        <v/>
      </c>
      <c r="AS47" s="685" t="str">
        <f>IF('[1]Data 2026'!AQ59="","",'[1]Data 2026'!AQ59)</f>
        <v/>
      </c>
      <c r="AT47" s="685" t="str">
        <f>IF('[1]Data 2026'!AR59="","",'[1]Data 2026'!AR59)</f>
        <v/>
      </c>
      <c r="AU47" s="685" t="str">
        <f>IF('[1]Data 2026'!AW59="","",'[1]Data 2026'!AW59)</f>
        <v/>
      </c>
      <c r="AV47" s="685" t="str">
        <f>IF('[1]Data 2026'!AX59="","",'[1]Data 2026'!AX59)</f>
        <v/>
      </c>
      <c r="AW47" s="685" t="str">
        <f>IF('[1]Data 2026'!AY59="","",'[1]Data 2026'!AY59)</f>
        <v/>
      </c>
      <c r="AX47" s="685" t="str">
        <f>IF('[1]Data 2026'!AZ59="","",'[1]Data 2026'!AZ59)</f>
        <v/>
      </c>
      <c r="AY47" s="685" t="str">
        <f>IF('[1]Data 2026'!BA59="","",'[1]Data 2026'!BA59)</f>
        <v/>
      </c>
      <c r="AZ47" s="685" t="str">
        <f>IF('[1]Data 2026'!AS59="","",'[1]Data 2026'!AS59)</f>
        <v/>
      </c>
      <c r="BA47" s="685" t="str">
        <f>IF('[1]Data 2026'!AT59="","",'[1]Data 2026'!AT59)</f>
        <v/>
      </c>
      <c r="BB47" s="685" t="str">
        <f>IF('[1]Data 2026'!AU59="","",'[1]Data 2026'!AU59)</f>
        <v/>
      </c>
      <c r="BC47" s="685" t="str">
        <f>IF('[1]Data 2026'!AV59="","",'[1]Data 2026'!AV59)</f>
        <v/>
      </c>
      <c r="BD47" s="685" t="str">
        <f>IF('[1]Data 2026'!AW59="","",'[1]Data 2026'!AW59)</f>
        <v/>
      </c>
      <c r="BE47" s="685" t="str">
        <f>IF('[1]Data 2026'!AX59="","",'[1]Data 2026'!AX59)</f>
        <v/>
      </c>
      <c r="BF47" s="685" t="str">
        <f>IF('[1]Data 2026'!BF59="","",'[1]Data 2026'!BF59)</f>
        <v xml:space="preserve">VALENCY SINGAPORE </v>
      </c>
      <c r="BG47" s="685" t="str">
        <f>IF('[1]Data 2026'!BG59="","",'[1]Data 2026'!BG59)</f>
        <v/>
      </c>
      <c r="BH47" s="685" t="str">
        <f>IF('[1]Data 2026'!BH59="","",'[1]Data 2026'!BH59)</f>
        <v/>
      </c>
      <c r="BI47" s="685" t="str">
        <f>IF('[1]Data 2026'!BI59="","",'[1]Data 2026'!BI59)</f>
        <v/>
      </c>
      <c r="BJ47" s="685" t="str">
        <f>IF('[1]Data 2026'!BJ59="","",'[1]Data 2026'!BJ59)</f>
        <v/>
      </c>
      <c r="BK47" s="685" t="str">
        <f>IF('[1]Data 2026'!BK59="","",'[1]Data 2026'!BK59)</f>
        <v/>
      </c>
      <c r="BL47" s="685" t="str">
        <f>IF('[1]Data 2026'!BL59="","",'[1]Data 2026'!BL59)</f>
        <v>DUNAMIS/SITRACOM</v>
      </c>
      <c r="BM47" s="685" t="str">
        <f>IF('[1]Data 2026'!BM59="","",'[1]Data 2026'!BM59)</f>
        <v/>
      </c>
      <c r="BN47" s="685" t="str">
        <f>IF('[1]Data 2026'!BN59="","",'[1]Data 2026'!BN59)</f>
        <v/>
      </c>
      <c r="BO47" s="685" t="str">
        <f>IF('[1]Data 2026'!BO59="","",'[1]Data 2026'!BO59)</f>
        <v/>
      </c>
      <c r="BP47" s="685" t="str">
        <f>IF('[1]Data 2026'!BP59="","",'[1]Data 2026'!BP59)</f>
        <v/>
      </c>
      <c r="BQ47" s="685" t="str">
        <f>IF('[1]Data 2026'!BQ59="","",'[1]Data 2026'!BQ59)</f>
        <v/>
      </c>
      <c r="BR47" s="685" t="str">
        <f>IF('[1]Data 2026'!BR59="","",'[1]Data 2026'!BR59)</f>
        <v/>
      </c>
      <c r="BS47" s="685" t="str">
        <f>IF('[1]Data 2026'!BS59="","",'[1]Data 2026'!BS59)</f>
        <v/>
      </c>
      <c r="BT47" s="685" t="str">
        <f>IF('[1]Data 2026'!BV59="","",'[1]Data 2026'!BV59)</f>
        <v>ABSA/CMI</v>
      </c>
      <c r="BU47" s="685" t="str">
        <f>IF('[1]Data 2026'!BW59="","",'[1]Data 2026'!BW59)</f>
        <v/>
      </c>
      <c r="BV47" s="685" t="str">
        <f>IF('[1]Data 2026'!BX59="","",'[1]Data 2026'!BX59)</f>
        <v/>
      </c>
      <c r="BW47" s="685" t="str">
        <f>IF('[1]Data 2026'!BY59="","",'[1]Data 2026'!BY59)</f>
        <v/>
      </c>
      <c r="BX47" s="685" t="str">
        <f>IF('[1]Data 2026'!BZ59="","",'[1]Data 2026'!BZ59)</f>
        <v/>
      </c>
      <c r="BY47" s="685" t="str">
        <f>IF('[1]Data 2026'!CA59="","",'[1]Data 2026'!CA59)</f>
        <v>182610-14839</v>
      </c>
      <c r="BZ47" s="685">
        <f>IF('[1]Data 2026'!CB59="","",'[1]Data 2026'!CB59)</f>
        <v>46128</v>
      </c>
      <c r="CA47" s="685" t="str">
        <f>IF('[1]Data 2026'!CC59="","",'[1]Data 2026'!CC59)</f>
        <v>2026-0111</v>
      </c>
      <c r="CB47" s="685">
        <f>IF('[1]Data 2026'!CD59="","",'[1]Data 2026'!CD59)</f>
        <v>46128</v>
      </c>
      <c r="CC47" s="685" t="str">
        <f>IF('[1]Data 2026'!CE59="","",'[1]Data 2026'!CE59)</f>
        <v/>
      </c>
      <c r="CD47" s="685" t="str">
        <f>IF('[1]Data 2026'!CF59="","",'[1]Data 2026'!CF59)</f>
        <v/>
      </c>
      <c r="CE47" s="685">
        <f>IF('[1]Data 2026'!CG59="","",'[1]Data 2026'!CG59)</f>
        <v>46107</v>
      </c>
      <c r="CF47" s="685">
        <f>IF('[1]Data 2026'!CH59="","",'[1]Data 2026'!CH59)</f>
        <v>46127</v>
      </c>
      <c r="CG47" s="685" t="str">
        <f>IF('[1]Data 2026'!CI59="","",'[1]Data 2026'!CI59)</f>
        <v>E11701</v>
      </c>
      <c r="CH47" s="685" t="str">
        <f>IF('[1]Data 2026'!CJ59="","",'[1]Data 2026'!CJ59)</f>
        <v/>
      </c>
      <c r="CI47" s="685">
        <f>IF('[1]Data 2026'!CK59="","",'[1]Data 2026'!CK59)</f>
        <v>46140</v>
      </c>
      <c r="CJ47" s="685" t="str">
        <f>IF('[1]Data 2026'!CM59="","",'[1]Data 2026'!CM59)</f>
        <v/>
      </c>
      <c r="CK47" s="685" t="str">
        <f>IF('[1]Data 2026'!CN59="","",'[1]Data 2026'!CN59)</f>
        <v>Ajeesh</v>
      </c>
      <c r="CL47" s="691"/>
      <c r="CM47" s="691" t="str">
        <f>IF('[1]Data 2026'!CP59="","",'[1]Data 2026'!CP59)</f>
        <v/>
      </c>
      <c r="CN47" s="691"/>
      <c r="CO47" s="693"/>
      <c r="CP47" s="693"/>
      <c r="CQ47" s="693"/>
      <c r="CR47" s="686">
        <f t="shared" si="12"/>
        <v>14</v>
      </c>
      <c r="CS47" s="686">
        <f t="shared" si="12"/>
        <v>2</v>
      </c>
      <c r="CT47" s="686">
        <f t="shared" si="12"/>
        <v>37</v>
      </c>
      <c r="CU47" s="686" t="str">
        <f t="shared" si="5"/>
        <v/>
      </c>
      <c r="CV47" s="686" t="str">
        <f t="shared" si="6"/>
        <v/>
      </c>
      <c r="CW47" s="685" t="str">
        <f t="shared" si="10"/>
        <v/>
      </c>
      <c r="CX47" s="685" t="str">
        <f t="shared" si="11"/>
        <v/>
      </c>
      <c r="CY47" s="693">
        <f t="shared" ca="1" si="7"/>
        <v>0</v>
      </c>
      <c r="CZ47" s="693" t="str">
        <f t="shared" si="8"/>
        <v/>
      </c>
      <c r="DB47"/>
      <c r="DC47"/>
    </row>
    <row r="48" spans="1:107" s="694" customFormat="1">
      <c r="A48" s="682" t="str">
        <f t="shared" si="0"/>
        <v>F. GATED IN, SAILING AWAITED</v>
      </c>
      <c r="B48" s="695" t="s">
        <v>1195</v>
      </c>
      <c r="C48" s="684" t="str">
        <f t="shared" si="1"/>
        <v>CLOSED POSITION</v>
      </c>
      <c r="D48" s="685" t="str">
        <f t="shared" si="9"/>
        <v/>
      </c>
      <c r="E48" s="685" t="str">
        <f t="shared" si="2"/>
        <v/>
      </c>
      <c r="F48" s="686">
        <f>IF('[1]Data 2026'!D60="","",'[1]Data 2026'!D60)</f>
        <v>48</v>
      </c>
      <c r="G48" s="686">
        <f>IF('[1]Data 2026'!E60="","",'[1]Data 2026'!E60)</f>
        <v>200</v>
      </c>
      <c r="H48" s="687">
        <f>IF('[1]Data 2026'!H60="","",'[1]Data 2026'!H60)</f>
        <v>32014499</v>
      </c>
      <c r="I48" s="688">
        <f>IF('[1]Data 2026'!AA60="","",'[1]Data 2026'!AA60)</f>
        <v>100</v>
      </c>
      <c r="J48" s="685" t="str">
        <f>IF('[1]Data 2026'!K60="","",'[1]Data 2026'!K60)</f>
        <v>APRIL</v>
      </c>
      <c r="K48" s="685">
        <v>46142</v>
      </c>
      <c r="L48" s="685" t="str">
        <f>IF('[1]Data 2026'!L60="","",'[1]Data 2026'!L60)</f>
        <v>VALENCY CI</v>
      </c>
      <c r="M48" s="685" t="str">
        <f>IF('[1]Data 2026'!M60="","",'[1]Data 2026'!M60)</f>
        <v>SHANKARNARAYANA CASHEWS</v>
      </c>
      <c r="N48" s="685" t="s">
        <v>1198</v>
      </c>
      <c r="O48" s="689">
        <f>IF('[1]Data 2026'!N60="","",'[1]Data 2026'!N60)</f>
        <v>267489943</v>
      </c>
      <c r="P48" s="690">
        <f>IF('[1]Data 2026'!O60="","",'[1]Data 2026'!O60)</f>
        <v>267489943</v>
      </c>
      <c r="Q48" s="685" t="str">
        <f>IF('[1]Data 2026'!P60="","",'[1]Data 2026'!P60)</f>
        <v/>
      </c>
      <c r="R48" s="685" t="str">
        <f>IF('[1]Data 2026'!Q60="","",'[1]Data 2026'!Q60)</f>
        <v>ABJ</v>
      </c>
      <c r="S48" s="685" t="s">
        <v>210</v>
      </c>
      <c r="T48" s="685" t="str">
        <f>IF('[1]Data 2026'!R60="","",'[1]Data 2026'!R60)</f>
        <v>MANGALORE, INDIA</v>
      </c>
      <c r="U48" s="685" t="str">
        <f>IF('[1]Data 2026'!S60="","",'[1]Data 2026'!S60)</f>
        <v>MAERSK CUANZA</v>
      </c>
      <c r="V48" s="685">
        <f>IF('[1]Data 2026'!T60="","",'[1]Data 2026'!T60)</f>
        <v>46107</v>
      </c>
      <c r="W48" s="685">
        <f>IF('[1]Data 2026'!U60="","",'[1]Data 2026'!U60)</f>
        <v>46119</v>
      </c>
      <c r="X48" s="685">
        <f>IF('[1]Data 2026'!V60="","",'[1]Data 2026'!V60)</f>
        <v>46119</v>
      </c>
      <c r="Y48" s="685">
        <f>IF('[1]Data 2026'!W60="","",'[1]Data 2026'!W60)</f>
        <v>46161</v>
      </c>
      <c r="Z48" s="685">
        <f>IF('[1]Data 2026'!X60="","",'[1]Data 2026'!X60)</f>
        <v>46202</v>
      </c>
      <c r="AA48" s="685"/>
      <c r="AB48" s="685">
        <f>IF('[1]Data 2026'!Y60="","",'[1]Data 2026'!Y60)</f>
        <v>46172</v>
      </c>
      <c r="AC48" s="685" t="str">
        <f>IF('[1]Data 2026'!Z60="","",'[1]Data 2026'!Z60)</f>
        <v/>
      </c>
      <c r="AD48" s="691">
        <f>IF('[1]Data 2026'!AA60="","",'[1]Data 2026'!AA60)</f>
        <v>100</v>
      </c>
      <c r="AE48" s="691">
        <f>IF('[1]Data 2026'!AB60="","",'[1]Data 2026'!AB60)</f>
        <v>100</v>
      </c>
      <c r="AF48" s="685">
        <f>IF('[1]Data 2026'!AC60="","",'[1]Data 2026'!AC60)</f>
        <v>45777</v>
      </c>
      <c r="AG48" s="685" t="str">
        <f>IF('[1]Data 2026'!AD60="","",'[1]Data 2026'!AD60)</f>
        <v>Ex-Olam</v>
      </c>
      <c r="AH48" s="686">
        <f>IF('[1]Data 2026'!AE60="","",'[1]Data 2026'!AE60)</f>
        <v>4</v>
      </c>
      <c r="AI48" s="685" t="str">
        <f>IF('[1]Data 2026'!AG60="","",'[1]Data 2026'!AG60)</f>
        <v xml:space="preserve">VALENCY SINGAPORE </v>
      </c>
      <c r="AJ48" s="685" t="str">
        <f>IF('[1]Data 2026'!AH60="","",'[1]Data 2026'!AH60)</f>
        <v>DUNAMIS/SITRACOM</v>
      </c>
      <c r="AK48" s="685" t="str">
        <f>IF('[1]Data 2026'!AI60="","",'[1]Data 2026'!AI60)</f>
        <v>MSK</v>
      </c>
      <c r="AL48" s="685" t="str">
        <f>IF('[1]Data 2026'!AJ60="","",'[1]Data 2026'!AJ60)</f>
        <v>40FT</v>
      </c>
      <c r="AM48" s="692">
        <f>IF('[1]Data 2026'!AK60="","",'[1]Data 2026'!AK60)</f>
        <v>0.1</v>
      </c>
      <c r="AN48" s="685" t="str">
        <f>IF('[1]Data 2026'!AL60="","",'[1]Data 2026'!AL60)</f>
        <v xml:space="preserve"> ( 1 x 100 MTS ) </v>
      </c>
      <c r="AO48" s="691">
        <f>IF('[1]Data 2026'!AM60="","",'[1]Data 2026'!AM60)</f>
        <v>110</v>
      </c>
      <c r="AP48" s="691" t="str">
        <f t="shared" si="3"/>
        <v/>
      </c>
      <c r="AQ48" s="685" t="str">
        <f>IF('[1]Data 2026'!AO60="","",'[1]Data 2026'!AO60)</f>
        <v/>
      </c>
      <c r="AR48" s="685" t="str">
        <f>IF('[1]Data 2026'!AP60="","",'[1]Data 2026'!AP60)</f>
        <v/>
      </c>
      <c r="AS48" s="685" t="str">
        <f>IF('[1]Data 2026'!AQ60="","",'[1]Data 2026'!AQ60)</f>
        <v/>
      </c>
      <c r="AT48" s="685" t="str">
        <f>IF('[1]Data 2026'!AR60="","",'[1]Data 2026'!AR60)</f>
        <v/>
      </c>
      <c r="AU48" s="685" t="str">
        <f>IF('[1]Data 2026'!AW60="","",'[1]Data 2026'!AW60)</f>
        <v/>
      </c>
      <c r="AV48" s="685" t="str">
        <f>IF('[1]Data 2026'!AX60="","",'[1]Data 2026'!AX60)</f>
        <v/>
      </c>
      <c r="AW48" s="685" t="str">
        <f>IF('[1]Data 2026'!AY60="","",'[1]Data 2026'!AY60)</f>
        <v/>
      </c>
      <c r="AX48" s="685" t="str">
        <f>IF('[1]Data 2026'!AZ60="","",'[1]Data 2026'!AZ60)</f>
        <v/>
      </c>
      <c r="AY48" s="685" t="str">
        <f>IF('[1]Data 2026'!BA60="","",'[1]Data 2026'!BA60)</f>
        <v/>
      </c>
      <c r="AZ48" s="685" t="str">
        <f>IF('[1]Data 2026'!AS60="","",'[1]Data 2026'!AS60)</f>
        <v/>
      </c>
      <c r="BA48" s="685" t="str">
        <f>IF('[1]Data 2026'!AT60="","",'[1]Data 2026'!AT60)</f>
        <v/>
      </c>
      <c r="BB48" s="685" t="str">
        <f>IF('[1]Data 2026'!AU60="","",'[1]Data 2026'!AU60)</f>
        <v/>
      </c>
      <c r="BC48" s="685" t="str">
        <f>IF('[1]Data 2026'!AV60="","",'[1]Data 2026'!AV60)</f>
        <v/>
      </c>
      <c r="BD48" s="685" t="str">
        <f>IF('[1]Data 2026'!AW60="","",'[1]Data 2026'!AW60)</f>
        <v/>
      </c>
      <c r="BE48" s="685" t="str">
        <f>IF('[1]Data 2026'!AX60="","",'[1]Data 2026'!AX60)</f>
        <v/>
      </c>
      <c r="BF48" s="685" t="str">
        <f>IF('[1]Data 2026'!BF60="","",'[1]Data 2026'!BF60)</f>
        <v xml:space="preserve">VALENCY SINGAPORE </v>
      </c>
      <c r="BG48" s="685" t="str">
        <f>IF('[1]Data 2026'!BG60="","",'[1]Data 2026'!BG60)</f>
        <v/>
      </c>
      <c r="BH48" s="685" t="str">
        <f>IF('[1]Data 2026'!BH60="","",'[1]Data 2026'!BH60)</f>
        <v/>
      </c>
      <c r="BI48" s="685" t="str">
        <f>IF('[1]Data 2026'!BI60="","",'[1]Data 2026'!BI60)</f>
        <v/>
      </c>
      <c r="BJ48" s="685" t="str">
        <f>IF('[1]Data 2026'!BJ60="","",'[1]Data 2026'!BJ60)</f>
        <v/>
      </c>
      <c r="BK48" s="685" t="str">
        <f>IF('[1]Data 2026'!BK60="","",'[1]Data 2026'!BK60)</f>
        <v/>
      </c>
      <c r="BL48" s="685" t="str">
        <f>IF('[1]Data 2026'!BL60="","",'[1]Data 2026'!BL60)</f>
        <v>DUNAMIS/SITRACOM</v>
      </c>
      <c r="BM48" s="685" t="str">
        <f>IF('[1]Data 2026'!BM60="","",'[1]Data 2026'!BM60)</f>
        <v/>
      </c>
      <c r="BN48" s="685" t="str">
        <f>IF('[1]Data 2026'!BN60="","",'[1]Data 2026'!BN60)</f>
        <v/>
      </c>
      <c r="BO48" s="685" t="str">
        <f>IF('[1]Data 2026'!BO60="","",'[1]Data 2026'!BO60)</f>
        <v/>
      </c>
      <c r="BP48" s="685" t="str">
        <f>IF('[1]Data 2026'!BP60="","",'[1]Data 2026'!BP60)</f>
        <v/>
      </c>
      <c r="BQ48" s="685" t="str">
        <f>IF('[1]Data 2026'!BQ60="","",'[1]Data 2026'!BQ60)</f>
        <v/>
      </c>
      <c r="BR48" s="685" t="str">
        <f>IF('[1]Data 2026'!BR60="","",'[1]Data 2026'!BR60)</f>
        <v/>
      </c>
      <c r="BS48" s="685" t="str">
        <f>IF('[1]Data 2026'!BS60="","",'[1]Data 2026'!BS60)</f>
        <v/>
      </c>
      <c r="BT48" s="685" t="str">
        <f>IF('[1]Data 2026'!BV60="","",'[1]Data 2026'!BV60)</f>
        <v>BOA/KTD</v>
      </c>
      <c r="BU48" s="685" t="str">
        <f>IF('[1]Data 2026'!BW60="","",'[1]Data 2026'!BW60)</f>
        <v/>
      </c>
      <c r="BV48" s="685" t="str">
        <f>IF('[1]Data 2026'!BX60="","",'[1]Data 2026'!BX60)</f>
        <v/>
      </c>
      <c r="BW48" s="685" t="str">
        <f>IF('[1]Data 2026'!BY60="","",'[1]Data 2026'!BY60)</f>
        <v/>
      </c>
      <c r="BX48" s="685" t="str">
        <f>IF('[1]Data 2026'!BZ60="","",'[1]Data 2026'!BZ60)</f>
        <v/>
      </c>
      <c r="BY48" s="685" t="str">
        <f>IF('[1]Data 2026'!CA60="","",'[1]Data 2026'!CA60)</f>
        <v>182610-14813</v>
      </c>
      <c r="BZ48" s="685">
        <f>IF('[1]Data 2026'!CB60="","",'[1]Data 2026'!CB60)</f>
        <v>46128</v>
      </c>
      <c r="CA48" s="685" t="str">
        <f>IF('[1]Data 2026'!CC60="","",'[1]Data 2026'!CC60)</f>
        <v>2026-0122</v>
      </c>
      <c r="CB48" s="685">
        <f>IF('[1]Data 2026'!CD60="","",'[1]Data 2026'!CD60)</f>
        <v>46128</v>
      </c>
      <c r="CC48" s="685" t="str">
        <f>IF('[1]Data 2026'!CE60="","",'[1]Data 2026'!CE60)</f>
        <v/>
      </c>
      <c r="CD48" s="685" t="str">
        <f>IF('[1]Data 2026'!CF60="","",'[1]Data 2026'!CF60)</f>
        <v/>
      </c>
      <c r="CE48" s="685">
        <f>IF('[1]Data 2026'!CG60="","",'[1]Data 2026'!CG60)</f>
        <v>46107</v>
      </c>
      <c r="CF48" s="685">
        <f>IF('[1]Data 2026'!CH60="","",'[1]Data 2026'!CH60)</f>
        <v>46128</v>
      </c>
      <c r="CG48" s="685" t="str">
        <f>IF('[1]Data 2026'!CI60="","",'[1]Data 2026'!CI60)</f>
        <v>E11861</v>
      </c>
      <c r="CH48" s="685" t="str">
        <f>IF('[1]Data 2026'!CJ60="","",'[1]Data 2026'!CJ60)</f>
        <v/>
      </c>
      <c r="CI48" s="685">
        <f>IF('[1]Data 2026'!CK60="","",'[1]Data 2026'!CK60)</f>
        <v>46140</v>
      </c>
      <c r="CJ48" s="685" t="str">
        <f>IF('[1]Data 2026'!CM60="","",'[1]Data 2026'!CM60)</f>
        <v/>
      </c>
      <c r="CK48" s="685" t="str">
        <f>IF('[1]Data 2026'!CN60="","",'[1]Data 2026'!CN60)</f>
        <v>Sugmaran</v>
      </c>
      <c r="CL48" s="691"/>
      <c r="CM48" s="691" t="str">
        <f>IF('[1]Data 2026'!CP60="","",'[1]Data 2026'!CP60)</f>
        <v/>
      </c>
      <c r="CN48" s="691"/>
      <c r="CO48" s="693"/>
      <c r="CP48" s="693"/>
      <c r="CQ48" s="693"/>
      <c r="CR48" s="686">
        <f t="shared" si="12"/>
        <v>12</v>
      </c>
      <c r="CS48" s="686">
        <f t="shared" si="12"/>
        <v>0</v>
      </c>
      <c r="CT48" s="686">
        <f t="shared" si="12"/>
        <v>42</v>
      </c>
      <c r="CU48" s="686" t="str">
        <f t="shared" si="5"/>
        <v/>
      </c>
      <c r="CV48" s="686" t="str">
        <f t="shared" si="6"/>
        <v/>
      </c>
      <c r="CW48" s="685" t="str">
        <f t="shared" si="10"/>
        <v/>
      </c>
      <c r="CX48" s="685" t="str">
        <f t="shared" si="11"/>
        <v/>
      </c>
      <c r="CY48" s="693">
        <f t="shared" ca="1" si="7"/>
        <v>0</v>
      </c>
      <c r="CZ48" s="693" t="str">
        <f t="shared" si="8"/>
        <v/>
      </c>
      <c r="DB48"/>
      <c r="DC48"/>
    </row>
    <row r="49" spans="1:107" s="694" customFormat="1">
      <c r="A49" s="682" t="str">
        <f t="shared" si="0"/>
        <v>F. GATED IN, SAILING AWAITED</v>
      </c>
      <c r="B49" s="695" t="s">
        <v>1195</v>
      </c>
      <c r="C49" s="684" t="str">
        <f t="shared" si="1"/>
        <v>CLOSED POSITION</v>
      </c>
      <c r="D49" s="685" t="str">
        <f t="shared" si="9"/>
        <v/>
      </c>
      <c r="E49" s="685" t="str">
        <f t="shared" si="2"/>
        <v/>
      </c>
      <c r="F49" s="686">
        <f>IF('[1]Data 2026'!D61="","",'[1]Data 2026'!D61)</f>
        <v>48</v>
      </c>
      <c r="G49" s="686">
        <f>IF('[1]Data 2026'!E61="","",'[1]Data 2026'!E61)</f>
        <v>200</v>
      </c>
      <c r="H49" s="687">
        <f>IF('[1]Data 2026'!H61="","",'[1]Data 2026'!H61)</f>
        <v>32014498</v>
      </c>
      <c r="I49" s="688">
        <f>IF('[1]Data 2026'!AA61="","",'[1]Data 2026'!AA61)</f>
        <v>100</v>
      </c>
      <c r="J49" s="685" t="str">
        <f>IF('[1]Data 2026'!K61="","",'[1]Data 2026'!K61)</f>
        <v>APRIL</v>
      </c>
      <c r="K49" s="685">
        <v>46142</v>
      </c>
      <c r="L49" s="685" t="str">
        <f>IF('[1]Data 2026'!L61="","",'[1]Data 2026'!L61)</f>
        <v>VALENCY CI</v>
      </c>
      <c r="M49" s="685" t="str">
        <f>IF('[1]Data 2026'!M61="","",'[1]Data 2026'!M61)</f>
        <v>SRI VIJAYALAXMI CASHEW INDUSTRIES</v>
      </c>
      <c r="N49" s="685" t="s">
        <v>1198</v>
      </c>
      <c r="O49" s="689">
        <f>IF('[1]Data 2026'!N61="","",'[1]Data 2026'!N61)</f>
        <v>267490003</v>
      </c>
      <c r="P49" s="690" t="str">
        <f>IF('[1]Data 2026'!O61="","",'[1]Data 2026'!O61)</f>
        <v/>
      </c>
      <c r="Q49" s="685" t="str">
        <f>IF('[1]Data 2026'!P61="","",'[1]Data 2026'!P61)</f>
        <v/>
      </c>
      <c r="R49" s="685" t="str">
        <f>IF('[1]Data 2026'!Q61="","",'[1]Data 2026'!Q61)</f>
        <v>ABJ</v>
      </c>
      <c r="S49" s="685" t="s">
        <v>210</v>
      </c>
      <c r="T49" s="685" t="str">
        <f>IF('[1]Data 2026'!R61="","",'[1]Data 2026'!R61)</f>
        <v>MANGALORE, INDIA</v>
      </c>
      <c r="U49" s="685" t="str">
        <f>IF('[1]Data 2026'!S61="","",'[1]Data 2026'!S61)</f>
        <v>MAERSK CUANZA</v>
      </c>
      <c r="V49" s="685">
        <f>IF('[1]Data 2026'!T61="","",'[1]Data 2026'!T61)</f>
        <v>46107</v>
      </c>
      <c r="W49" s="685">
        <f>IF('[1]Data 2026'!U61="","",'[1]Data 2026'!U61)</f>
        <v>46119</v>
      </c>
      <c r="X49" s="685">
        <f>IF('[1]Data 2026'!V61="","",'[1]Data 2026'!V61)</f>
        <v>46119</v>
      </c>
      <c r="Y49" s="685">
        <f>IF('[1]Data 2026'!W61="","",'[1]Data 2026'!W61)</f>
        <v>46161</v>
      </c>
      <c r="Z49" s="685">
        <f>IF('[1]Data 2026'!X61="","",'[1]Data 2026'!X61)</f>
        <v>46202</v>
      </c>
      <c r="AA49" s="685"/>
      <c r="AB49" s="685">
        <f>IF('[1]Data 2026'!Y61="","",'[1]Data 2026'!Y61)</f>
        <v>46172</v>
      </c>
      <c r="AC49" s="685" t="str">
        <f>IF('[1]Data 2026'!Z61="","",'[1]Data 2026'!Z61)</f>
        <v/>
      </c>
      <c r="AD49" s="691">
        <f>IF('[1]Data 2026'!AA61="","",'[1]Data 2026'!AA61)</f>
        <v>100</v>
      </c>
      <c r="AE49" s="691">
        <f>IF('[1]Data 2026'!AB61="","",'[1]Data 2026'!AB61)</f>
        <v>100</v>
      </c>
      <c r="AF49" s="685">
        <f>IF('[1]Data 2026'!AC61="","",'[1]Data 2026'!AC61)</f>
        <v>45777</v>
      </c>
      <c r="AG49" s="685" t="str">
        <f>IF('[1]Data 2026'!AD61="","",'[1]Data 2026'!AD61)</f>
        <v>Ex-Olam</v>
      </c>
      <c r="AH49" s="686">
        <f>IF('[1]Data 2026'!AE61="","",'[1]Data 2026'!AE61)</f>
        <v>4</v>
      </c>
      <c r="AI49" s="685" t="str">
        <f>IF('[1]Data 2026'!AG61="","",'[1]Data 2026'!AG61)</f>
        <v xml:space="preserve">VALENCY SINGAPORE </v>
      </c>
      <c r="AJ49" s="685" t="str">
        <f>IF('[1]Data 2026'!AH61="","",'[1]Data 2026'!AH61)</f>
        <v>DUNAMIS/SITRACOM</v>
      </c>
      <c r="AK49" s="685" t="str">
        <f>IF('[1]Data 2026'!AI61="","",'[1]Data 2026'!AI61)</f>
        <v>MSK</v>
      </c>
      <c r="AL49" s="685" t="str">
        <f>IF('[1]Data 2026'!AJ61="","",'[1]Data 2026'!AJ61)</f>
        <v>40FT</v>
      </c>
      <c r="AM49" s="692">
        <f>IF('[1]Data 2026'!AK61="","",'[1]Data 2026'!AK61)</f>
        <v>0.1</v>
      </c>
      <c r="AN49" s="685" t="str">
        <f>IF('[1]Data 2026'!AL61="","",'[1]Data 2026'!AL61)</f>
        <v xml:space="preserve"> ( 1 x 100 MTS ) </v>
      </c>
      <c r="AO49" s="691">
        <f>IF('[1]Data 2026'!AM61="","",'[1]Data 2026'!AM61)</f>
        <v>110</v>
      </c>
      <c r="AP49" s="691" t="str">
        <f t="shared" si="3"/>
        <v/>
      </c>
      <c r="AQ49" s="685" t="str">
        <f>IF('[1]Data 2026'!AO61="","",'[1]Data 2026'!AO61)</f>
        <v/>
      </c>
      <c r="AR49" s="685" t="str">
        <f>IF('[1]Data 2026'!AP61="","",'[1]Data 2026'!AP61)</f>
        <v/>
      </c>
      <c r="AS49" s="685" t="str">
        <f>IF('[1]Data 2026'!AQ61="","",'[1]Data 2026'!AQ61)</f>
        <v/>
      </c>
      <c r="AT49" s="685" t="str">
        <f>IF('[1]Data 2026'!AR61="","",'[1]Data 2026'!AR61)</f>
        <v/>
      </c>
      <c r="AU49" s="685" t="str">
        <f>IF('[1]Data 2026'!AW61="","",'[1]Data 2026'!AW61)</f>
        <v/>
      </c>
      <c r="AV49" s="685" t="str">
        <f>IF('[1]Data 2026'!AX61="","",'[1]Data 2026'!AX61)</f>
        <v/>
      </c>
      <c r="AW49" s="685" t="str">
        <f>IF('[1]Data 2026'!AY61="","",'[1]Data 2026'!AY61)</f>
        <v/>
      </c>
      <c r="AX49" s="685" t="str">
        <f>IF('[1]Data 2026'!AZ61="","",'[1]Data 2026'!AZ61)</f>
        <v/>
      </c>
      <c r="AY49" s="685" t="str">
        <f>IF('[1]Data 2026'!BA61="","",'[1]Data 2026'!BA61)</f>
        <v/>
      </c>
      <c r="AZ49" s="685" t="str">
        <f>IF('[1]Data 2026'!AS61="","",'[1]Data 2026'!AS61)</f>
        <v/>
      </c>
      <c r="BA49" s="685" t="str">
        <f>IF('[1]Data 2026'!AT61="","",'[1]Data 2026'!AT61)</f>
        <v/>
      </c>
      <c r="BB49" s="685" t="str">
        <f>IF('[1]Data 2026'!AU61="","",'[1]Data 2026'!AU61)</f>
        <v/>
      </c>
      <c r="BC49" s="685" t="str">
        <f>IF('[1]Data 2026'!AV61="","",'[1]Data 2026'!AV61)</f>
        <v/>
      </c>
      <c r="BD49" s="685" t="str">
        <f>IF('[1]Data 2026'!AW61="","",'[1]Data 2026'!AW61)</f>
        <v/>
      </c>
      <c r="BE49" s="685" t="str">
        <f>IF('[1]Data 2026'!AX61="","",'[1]Data 2026'!AX61)</f>
        <v/>
      </c>
      <c r="BF49" s="685" t="str">
        <f>IF('[1]Data 2026'!BF61="","",'[1]Data 2026'!BF61)</f>
        <v xml:space="preserve">VALENCY SINGAPORE </v>
      </c>
      <c r="BG49" s="685" t="str">
        <f>IF('[1]Data 2026'!BG61="","",'[1]Data 2026'!BG61)</f>
        <v/>
      </c>
      <c r="BH49" s="685" t="str">
        <f>IF('[1]Data 2026'!BH61="","",'[1]Data 2026'!BH61)</f>
        <v/>
      </c>
      <c r="BI49" s="685" t="str">
        <f>IF('[1]Data 2026'!BI61="","",'[1]Data 2026'!BI61)</f>
        <v/>
      </c>
      <c r="BJ49" s="685" t="str">
        <f>IF('[1]Data 2026'!BJ61="","",'[1]Data 2026'!BJ61)</f>
        <v/>
      </c>
      <c r="BK49" s="685" t="str">
        <f>IF('[1]Data 2026'!BK61="","",'[1]Data 2026'!BK61)</f>
        <v/>
      </c>
      <c r="BL49" s="685" t="str">
        <f>IF('[1]Data 2026'!BL61="","",'[1]Data 2026'!BL61)</f>
        <v>DUNAMIS/SITRACOM</v>
      </c>
      <c r="BM49" s="685" t="str">
        <f>IF('[1]Data 2026'!BM61="","",'[1]Data 2026'!BM61)</f>
        <v/>
      </c>
      <c r="BN49" s="685" t="str">
        <f>IF('[1]Data 2026'!BN61="","",'[1]Data 2026'!BN61)</f>
        <v/>
      </c>
      <c r="BO49" s="685" t="str">
        <f>IF('[1]Data 2026'!BO61="","",'[1]Data 2026'!BO61)</f>
        <v/>
      </c>
      <c r="BP49" s="685" t="str">
        <f>IF('[1]Data 2026'!BP61="","",'[1]Data 2026'!BP61)</f>
        <v/>
      </c>
      <c r="BQ49" s="685" t="str">
        <f>IF('[1]Data 2026'!BQ61="","",'[1]Data 2026'!BQ61)</f>
        <v/>
      </c>
      <c r="BR49" s="685" t="str">
        <f>IF('[1]Data 2026'!BR61="","",'[1]Data 2026'!BR61)</f>
        <v/>
      </c>
      <c r="BS49" s="685" t="str">
        <f>IF('[1]Data 2026'!BS61="","",'[1]Data 2026'!BS61)</f>
        <v/>
      </c>
      <c r="BT49" s="685" t="str">
        <f>IF('[1]Data 2026'!BV61="","",'[1]Data 2026'!BV61)</f>
        <v>BOA/KTD</v>
      </c>
      <c r="BU49" s="685" t="str">
        <f>IF('[1]Data 2026'!BW61="","",'[1]Data 2026'!BW61)</f>
        <v/>
      </c>
      <c r="BV49" s="685" t="str">
        <f>IF('[1]Data 2026'!BX61="","",'[1]Data 2026'!BX61)</f>
        <v/>
      </c>
      <c r="BW49" s="685" t="str">
        <f>IF('[1]Data 2026'!BY61="","",'[1]Data 2026'!BY61)</f>
        <v/>
      </c>
      <c r="BX49" s="685" t="str">
        <f>IF('[1]Data 2026'!BZ61="","",'[1]Data 2026'!BZ61)</f>
        <v/>
      </c>
      <c r="BY49" s="685" t="str">
        <f>IF('[1]Data 2026'!CA61="","",'[1]Data 2026'!CA61)</f>
        <v>182610-14813</v>
      </c>
      <c r="BZ49" s="685">
        <f>IF('[1]Data 2026'!CB61="","",'[1]Data 2026'!CB61)</f>
        <v>46128</v>
      </c>
      <c r="CA49" s="685" t="str">
        <f>IF('[1]Data 2026'!CC61="","",'[1]Data 2026'!CC61)</f>
        <v>2026-0122</v>
      </c>
      <c r="CB49" s="685">
        <f>IF('[1]Data 2026'!CD61="","",'[1]Data 2026'!CD61)</f>
        <v>46128</v>
      </c>
      <c r="CC49" s="685" t="str">
        <f>IF('[1]Data 2026'!CE61="","",'[1]Data 2026'!CE61)</f>
        <v/>
      </c>
      <c r="CD49" s="685" t="str">
        <f>IF('[1]Data 2026'!CF61="","",'[1]Data 2026'!CF61)</f>
        <v/>
      </c>
      <c r="CE49" s="685">
        <f>IF('[1]Data 2026'!CG61="","",'[1]Data 2026'!CG61)</f>
        <v>46107</v>
      </c>
      <c r="CF49" s="685">
        <f>IF('[1]Data 2026'!CH61="","",'[1]Data 2026'!CH61)</f>
        <v>46128</v>
      </c>
      <c r="CG49" s="685" t="str">
        <f>IF('[1]Data 2026'!CI61="","",'[1]Data 2026'!CI61)</f>
        <v>E11861</v>
      </c>
      <c r="CH49" s="685" t="str">
        <f>IF('[1]Data 2026'!CJ61="","",'[1]Data 2026'!CJ61)</f>
        <v/>
      </c>
      <c r="CI49" s="685">
        <f>IF('[1]Data 2026'!CK61="","",'[1]Data 2026'!CK61)</f>
        <v>46140</v>
      </c>
      <c r="CJ49" s="685" t="str">
        <f>IF('[1]Data 2026'!CM61="","",'[1]Data 2026'!CM61)</f>
        <v/>
      </c>
      <c r="CK49" s="685" t="str">
        <f>IF('[1]Data 2026'!CN61="","",'[1]Data 2026'!CN61)</f>
        <v>Sugmaran</v>
      </c>
      <c r="CL49" s="691"/>
      <c r="CM49" s="691" t="str">
        <f>IF('[1]Data 2026'!CP61="","",'[1]Data 2026'!CP61)</f>
        <v/>
      </c>
      <c r="CN49" s="691"/>
      <c r="CO49" s="693"/>
      <c r="CP49" s="693"/>
      <c r="CQ49" s="693"/>
      <c r="CR49" s="686">
        <f t="shared" si="12"/>
        <v>12</v>
      </c>
      <c r="CS49" s="686">
        <f t="shared" si="12"/>
        <v>0</v>
      </c>
      <c r="CT49" s="686">
        <f t="shared" si="12"/>
        <v>42</v>
      </c>
      <c r="CU49" s="686" t="str">
        <f t="shared" si="5"/>
        <v/>
      </c>
      <c r="CV49" s="686" t="str">
        <f t="shared" si="6"/>
        <v/>
      </c>
      <c r="CW49" s="685" t="str">
        <f t="shared" si="10"/>
        <v/>
      </c>
      <c r="CX49" s="685" t="str">
        <f t="shared" si="11"/>
        <v/>
      </c>
      <c r="CY49" s="693">
        <f t="shared" ca="1" si="7"/>
        <v>0</v>
      </c>
      <c r="CZ49" s="693" t="str">
        <f t="shared" si="8"/>
        <v/>
      </c>
      <c r="DB49"/>
      <c r="DC49"/>
    </row>
    <row r="50" spans="1:107" s="694" customFormat="1">
      <c r="A50" s="682" t="str">
        <f t="shared" si="0"/>
        <v>F. GATED IN, SAILING AWAITED</v>
      </c>
      <c r="B50" s="695" t="s">
        <v>1195</v>
      </c>
      <c r="C50" s="684" t="str">
        <f t="shared" si="1"/>
        <v>CLOSED POSITION</v>
      </c>
      <c r="D50" s="685" t="str">
        <f t="shared" si="9"/>
        <v/>
      </c>
      <c r="E50" s="685" t="str">
        <f t="shared" si="2"/>
        <v/>
      </c>
      <c r="F50" s="686">
        <f>IF('[1]Data 2026'!D62="","",'[1]Data 2026'!D62)</f>
        <v>48</v>
      </c>
      <c r="G50" s="686">
        <f>IF('[1]Data 2026'!E62="","",'[1]Data 2026'!E62)</f>
        <v>200</v>
      </c>
      <c r="H50" s="687">
        <f>IF('[1]Data 2026'!H62="","",'[1]Data 2026'!H62)</f>
        <v>32014588</v>
      </c>
      <c r="I50" s="688">
        <f>IF('[1]Data 2026'!AA62="","",'[1]Data 2026'!AA62)</f>
        <v>100</v>
      </c>
      <c r="J50" s="685" t="str">
        <f>IF('[1]Data 2026'!K62="","",'[1]Data 2026'!K62)</f>
        <v>APRIL</v>
      </c>
      <c r="K50" s="685">
        <v>46142</v>
      </c>
      <c r="L50" s="685" t="str">
        <f>IF('[1]Data 2026'!L62="","",'[1]Data 2026'!L62)</f>
        <v>VALENCY CI</v>
      </c>
      <c r="M50" s="685" t="str">
        <f>IF('[1]Data 2026'!M62="","",'[1]Data 2026'!M62)</f>
        <v>SHREE KRISHNAKRUPA CASHEWS PVT LTD</v>
      </c>
      <c r="N50" s="685" t="s">
        <v>1198</v>
      </c>
      <c r="O50" s="689">
        <f>IF('[1]Data 2026'!N62="","",'[1]Data 2026'!N62)</f>
        <v>267490043</v>
      </c>
      <c r="P50" s="690">
        <f>IF('[1]Data 2026'!O62="","",'[1]Data 2026'!O62)</f>
        <v>267490043</v>
      </c>
      <c r="Q50" s="685" t="str">
        <f>IF('[1]Data 2026'!P62="","",'[1]Data 2026'!P62)</f>
        <v/>
      </c>
      <c r="R50" s="685" t="str">
        <f>IF('[1]Data 2026'!Q62="","",'[1]Data 2026'!Q62)</f>
        <v>ABJ</v>
      </c>
      <c r="S50" s="685" t="s">
        <v>210</v>
      </c>
      <c r="T50" s="685" t="str">
        <f>IF('[1]Data 2026'!R62="","",'[1]Data 2026'!R62)</f>
        <v>MANGALORE, INDIA</v>
      </c>
      <c r="U50" s="685" t="str">
        <f>IF('[1]Data 2026'!S62="","",'[1]Data 2026'!S62)</f>
        <v>MAERSK CUANZA</v>
      </c>
      <c r="V50" s="685">
        <f>IF('[1]Data 2026'!T62="","",'[1]Data 2026'!T62)</f>
        <v>46107</v>
      </c>
      <c r="W50" s="685">
        <f>IF('[1]Data 2026'!U62="","",'[1]Data 2026'!U62)</f>
        <v>46119</v>
      </c>
      <c r="X50" s="685">
        <f>IF('[1]Data 2026'!V62="","",'[1]Data 2026'!V62)</f>
        <v>46119</v>
      </c>
      <c r="Y50" s="685">
        <f>IF('[1]Data 2026'!W62="","",'[1]Data 2026'!W62)</f>
        <v>46161</v>
      </c>
      <c r="Z50" s="685">
        <f>IF('[1]Data 2026'!X62="","",'[1]Data 2026'!X62)</f>
        <v>46202</v>
      </c>
      <c r="AA50" s="685"/>
      <c r="AB50" s="685">
        <f>IF('[1]Data 2026'!Y62="","",'[1]Data 2026'!Y62)</f>
        <v>46172</v>
      </c>
      <c r="AC50" s="685" t="str">
        <f>IF('[1]Data 2026'!Z62="","",'[1]Data 2026'!Z62)</f>
        <v/>
      </c>
      <c r="AD50" s="691">
        <f>IF('[1]Data 2026'!AA62="","",'[1]Data 2026'!AA62)</f>
        <v>100</v>
      </c>
      <c r="AE50" s="691">
        <f>IF('[1]Data 2026'!AB62="","",'[1]Data 2026'!AB62)</f>
        <v>100</v>
      </c>
      <c r="AF50" s="685">
        <f>IF('[1]Data 2026'!AC62="","",'[1]Data 2026'!AC62)</f>
        <v>45777</v>
      </c>
      <c r="AG50" s="685" t="str">
        <f>IF('[1]Data 2026'!AD62="","",'[1]Data 2026'!AD62)</f>
        <v>Ex-Olam</v>
      </c>
      <c r="AH50" s="686">
        <f>IF('[1]Data 2026'!AE62="","",'[1]Data 2026'!AE62)</f>
        <v>4</v>
      </c>
      <c r="AI50" s="685" t="str">
        <f>IF('[1]Data 2026'!AG62="","",'[1]Data 2026'!AG62)</f>
        <v xml:space="preserve">VALENCY SINGAPORE </v>
      </c>
      <c r="AJ50" s="685" t="str">
        <f>IF('[1]Data 2026'!AH62="","",'[1]Data 2026'!AH62)</f>
        <v>DUNAMIS/SITRACOM</v>
      </c>
      <c r="AK50" s="685" t="str">
        <f>IF('[1]Data 2026'!AI62="","",'[1]Data 2026'!AI62)</f>
        <v>MSK</v>
      </c>
      <c r="AL50" s="685" t="str">
        <f>IF('[1]Data 2026'!AJ62="","",'[1]Data 2026'!AJ62)</f>
        <v>40FT</v>
      </c>
      <c r="AM50" s="692">
        <f>IF('[1]Data 2026'!AK62="","",'[1]Data 2026'!AK62)</f>
        <v>0.1</v>
      </c>
      <c r="AN50" s="685" t="str">
        <f>IF('[1]Data 2026'!AL62="","",'[1]Data 2026'!AL62)</f>
        <v xml:space="preserve"> ( 1 x 100 MTS ) </v>
      </c>
      <c r="AO50" s="691">
        <f>IF('[1]Data 2026'!AM62="","",'[1]Data 2026'!AM62)</f>
        <v>110</v>
      </c>
      <c r="AP50" s="691" t="str">
        <f t="shared" si="3"/>
        <v/>
      </c>
      <c r="AQ50" s="685" t="str">
        <f>IF('[1]Data 2026'!AO62="","",'[1]Data 2026'!AO62)</f>
        <v/>
      </c>
      <c r="AR50" s="685" t="str">
        <f>IF('[1]Data 2026'!AP62="","",'[1]Data 2026'!AP62)</f>
        <v/>
      </c>
      <c r="AS50" s="685" t="str">
        <f>IF('[1]Data 2026'!AQ62="","",'[1]Data 2026'!AQ62)</f>
        <v/>
      </c>
      <c r="AT50" s="685" t="str">
        <f>IF('[1]Data 2026'!AR62="","",'[1]Data 2026'!AR62)</f>
        <v/>
      </c>
      <c r="AU50" s="685" t="str">
        <f>IF('[1]Data 2026'!AW62="","",'[1]Data 2026'!AW62)</f>
        <v/>
      </c>
      <c r="AV50" s="685" t="str">
        <f>IF('[1]Data 2026'!AX62="","",'[1]Data 2026'!AX62)</f>
        <v/>
      </c>
      <c r="AW50" s="685" t="str">
        <f>IF('[1]Data 2026'!AY62="","",'[1]Data 2026'!AY62)</f>
        <v/>
      </c>
      <c r="AX50" s="685" t="str">
        <f>IF('[1]Data 2026'!AZ62="","",'[1]Data 2026'!AZ62)</f>
        <v/>
      </c>
      <c r="AY50" s="685" t="str">
        <f>IF('[1]Data 2026'!BA62="","",'[1]Data 2026'!BA62)</f>
        <v/>
      </c>
      <c r="AZ50" s="685" t="str">
        <f>IF('[1]Data 2026'!AS62="","",'[1]Data 2026'!AS62)</f>
        <v/>
      </c>
      <c r="BA50" s="685" t="str">
        <f>IF('[1]Data 2026'!AT62="","",'[1]Data 2026'!AT62)</f>
        <v/>
      </c>
      <c r="BB50" s="685" t="str">
        <f>IF('[1]Data 2026'!AU62="","",'[1]Data 2026'!AU62)</f>
        <v/>
      </c>
      <c r="BC50" s="685" t="str">
        <f>IF('[1]Data 2026'!AV62="","",'[1]Data 2026'!AV62)</f>
        <v/>
      </c>
      <c r="BD50" s="685" t="str">
        <f>IF('[1]Data 2026'!AW62="","",'[1]Data 2026'!AW62)</f>
        <v/>
      </c>
      <c r="BE50" s="685" t="str">
        <f>IF('[1]Data 2026'!AX62="","",'[1]Data 2026'!AX62)</f>
        <v/>
      </c>
      <c r="BF50" s="685" t="str">
        <f>IF('[1]Data 2026'!BF62="","",'[1]Data 2026'!BF62)</f>
        <v xml:space="preserve">VALENCY SINGAPORE </v>
      </c>
      <c r="BG50" s="685" t="str">
        <f>IF('[1]Data 2026'!BG62="","",'[1]Data 2026'!BG62)</f>
        <v/>
      </c>
      <c r="BH50" s="685" t="str">
        <f>IF('[1]Data 2026'!BH62="","",'[1]Data 2026'!BH62)</f>
        <v/>
      </c>
      <c r="BI50" s="685" t="str">
        <f>IF('[1]Data 2026'!BI62="","",'[1]Data 2026'!BI62)</f>
        <v/>
      </c>
      <c r="BJ50" s="685" t="str">
        <f>IF('[1]Data 2026'!BJ62="","",'[1]Data 2026'!BJ62)</f>
        <v/>
      </c>
      <c r="BK50" s="685" t="str">
        <f>IF('[1]Data 2026'!BK62="","",'[1]Data 2026'!BK62)</f>
        <v/>
      </c>
      <c r="BL50" s="685" t="str">
        <f>IF('[1]Data 2026'!BL62="","",'[1]Data 2026'!BL62)</f>
        <v>DUNAMIS/SITRACOM</v>
      </c>
      <c r="BM50" s="685" t="str">
        <f>IF('[1]Data 2026'!BM62="","",'[1]Data 2026'!BM62)</f>
        <v/>
      </c>
      <c r="BN50" s="685" t="str">
        <f>IF('[1]Data 2026'!BN62="","",'[1]Data 2026'!BN62)</f>
        <v/>
      </c>
      <c r="BO50" s="685" t="str">
        <f>IF('[1]Data 2026'!BO62="","",'[1]Data 2026'!BO62)</f>
        <v/>
      </c>
      <c r="BP50" s="685" t="str">
        <f>IF('[1]Data 2026'!BP62="","",'[1]Data 2026'!BP62)</f>
        <v/>
      </c>
      <c r="BQ50" s="685" t="str">
        <f>IF('[1]Data 2026'!BQ62="","",'[1]Data 2026'!BQ62)</f>
        <v/>
      </c>
      <c r="BR50" s="685" t="str">
        <f>IF('[1]Data 2026'!BR62="","",'[1]Data 2026'!BR62)</f>
        <v/>
      </c>
      <c r="BS50" s="685" t="str">
        <f>IF('[1]Data 2026'!BS62="","",'[1]Data 2026'!BS62)</f>
        <v/>
      </c>
      <c r="BT50" s="685" t="str">
        <f>IF('[1]Data 2026'!BV62="","",'[1]Data 2026'!BV62)</f>
        <v>BOA/KTD</v>
      </c>
      <c r="BU50" s="685" t="str">
        <f>IF('[1]Data 2026'!BW62="","",'[1]Data 2026'!BW62)</f>
        <v/>
      </c>
      <c r="BV50" s="685" t="str">
        <f>IF('[1]Data 2026'!BX62="","",'[1]Data 2026'!BX62)</f>
        <v/>
      </c>
      <c r="BW50" s="685" t="str">
        <f>IF('[1]Data 2026'!BY62="","",'[1]Data 2026'!BY62)</f>
        <v/>
      </c>
      <c r="BX50" s="685" t="str">
        <f>IF('[1]Data 2026'!BZ62="","",'[1]Data 2026'!BZ62)</f>
        <v/>
      </c>
      <c r="BY50" s="685" t="str">
        <f>IF('[1]Data 2026'!CA62="","",'[1]Data 2026'!CA62)</f>
        <v>182610-14863</v>
      </c>
      <c r="BZ50" s="685">
        <f>IF('[1]Data 2026'!CB62="","",'[1]Data 2026'!CB62)</f>
        <v>46129</v>
      </c>
      <c r="CA50" s="685" t="str">
        <f>IF('[1]Data 2026'!CC62="","",'[1]Data 2026'!CC62)</f>
        <v>2026-0180</v>
      </c>
      <c r="CB50" s="685">
        <f>IF('[1]Data 2026'!CD62="","",'[1]Data 2026'!CD62)</f>
        <v>46129</v>
      </c>
      <c r="CC50" s="685" t="str">
        <f>IF('[1]Data 2026'!CE62="","",'[1]Data 2026'!CE62)</f>
        <v/>
      </c>
      <c r="CD50" s="685" t="str">
        <f>IF('[1]Data 2026'!CF62="","",'[1]Data 2026'!CF62)</f>
        <v/>
      </c>
      <c r="CE50" s="685">
        <f>IF('[1]Data 2026'!CG62="","",'[1]Data 2026'!CG62)</f>
        <v>46107</v>
      </c>
      <c r="CF50" s="685">
        <f>IF('[1]Data 2026'!CH62="","",'[1]Data 2026'!CH62)</f>
        <v>46128</v>
      </c>
      <c r="CG50" s="685" t="str">
        <f>IF('[1]Data 2026'!CI62="","",'[1]Data 2026'!CI62)</f>
        <v>E11870</v>
      </c>
      <c r="CH50" s="685" t="str">
        <f>IF('[1]Data 2026'!CJ62="","",'[1]Data 2026'!CJ62)</f>
        <v/>
      </c>
      <c r="CI50" s="685">
        <f>IF('[1]Data 2026'!CK62="","",'[1]Data 2026'!CK62)</f>
        <v>46140</v>
      </c>
      <c r="CJ50" s="685" t="str">
        <f>IF('[1]Data 2026'!CM62="","",'[1]Data 2026'!CM62)</f>
        <v/>
      </c>
      <c r="CK50" s="685" t="str">
        <f>IF('[1]Data 2026'!CN62="","",'[1]Data 2026'!CN62)</f>
        <v>Sugmaran</v>
      </c>
      <c r="CL50" s="691"/>
      <c r="CM50" s="691" t="str">
        <f>IF('[1]Data 2026'!CP62="","",'[1]Data 2026'!CP62)</f>
        <v/>
      </c>
      <c r="CN50" s="691"/>
      <c r="CO50" s="693"/>
      <c r="CP50" s="693"/>
      <c r="CQ50" s="693"/>
      <c r="CR50" s="686">
        <f t="shared" si="12"/>
        <v>12</v>
      </c>
      <c r="CS50" s="686">
        <f t="shared" si="12"/>
        <v>0</v>
      </c>
      <c r="CT50" s="686">
        <f t="shared" si="12"/>
        <v>42</v>
      </c>
      <c r="CU50" s="686" t="str">
        <f t="shared" si="5"/>
        <v/>
      </c>
      <c r="CV50" s="686" t="str">
        <f t="shared" si="6"/>
        <v/>
      </c>
      <c r="CW50" s="685" t="str">
        <f t="shared" si="10"/>
        <v/>
      </c>
      <c r="CX50" s="685" t="str">
        <f t="shared" si="11"/>
        <v/>
      </c>
      <c r="CY50" s="693">
        <f t="shared" ca="1" si="7"/>
        <v>0</v>
      </c>
      <c r="CZ50" s="693" t="str">
        <f t="shared" si="8"/>
        <v/>
      </c>
      <c r="DB50"/>
      <c r="DC50"/>
    </row>
    <row r="51" spans="1:107" s="694" customFormat="1">
      <c r="A51" s="682" t="str">
        <f t="shared" si="0"/>
        <v>F. GATED IN, SAILING AWAITED</v>
      </c>
      <c r="B51" s="695" t="s">
        <v>1195</v>
      </c>
      <c r="C51" s="684" t="str">
        <f t="shared" si="1"/>
        <v>CLOSED POSITION</v>
      </c>
      <c r="D51" s="685" t="str">
        <f t="shared" si="9"/>
        <v/>
      </c>
      <c r="E51" s="685" t="str">
        <f t="shared" si="2"/>
        <v/>
      </c>
      <c r="F51" s="686">
        <f>IF('[1]Data 2026'!D63="","",'[1]Data 2026'!D63)</f>
        <v>48</v>
      </c>
      <c r="G51" s="686">
        <f>IF('[1]Data 2026'!E63="","",'[1]Data 2026'!E63)</f>
        <v>200</v>
      </c>
      <c r="H51" s="687">
        <f>IF('[1]Data 2026'!H63="","",'[1]Data 2026'!H63)</f>
        <v>32014496</v>
      </c>
      <c r="I51" s="688">
        <f>IF('[1]Data 2026'!AA63="","",'[1]Data 2026'!AA63)</f>
        <v>100</v>
      </c>
      <c r="J51" s="685" t="str">
        <f>IF('[1]Data 2026'!K63="","",'[1]Data 2026'!K63)</f>
        <v>APRIL</v>
      </c>
      <c r="K51" s="685">
        <v>46142</v>
      </c>
      <c r="L51" s="685" t="str">
        <f>IF('[1]Data 2026'!L63="","",'[1]Data 2026'!L63)</f>
        <v>VALENCY CI</v>
      </c>
      <c r="M51" s="685" t="str">
        <f>IF('[1]Data 2026'!M63="","",'[1]Data 2026'!M63)</f>
        <v>MALNAD CASHEWS</v>
      </c>
      <c r="N51" s="685" t="s">
        <v>1198</v>
      </c>
      <c r="O51" s="689">
        <f>IF('[1]Data 2026'!N63="","",'[1]Data 2026'!N63)</f>
        <v>267490071</v>
      </c>
      <c r="P51" s="690">
        <f>IF('[1]Data 2026'!O63="","",'[1]Data 2026'!O63)</f>
        <v>267490071</v>
      </c>
      <c r="Q51" s="685" t="str">
        <f>IF('[1]Data 2026'!P63="","",'[1]Data 2026'!P63)</f>
        <v/>
      </c>
      <c r="R51" s="685" t="str">
        <f>IF('[1]Data 2026'!Q63="","",'[1]Data 2026'!Q63)</f>
        <v>ABJ</v>
      </c>
      <c r="S51" s="685" t="s">
        <v>210</v>
      </c>
      <c r="T51" s="685" t="str">
        <f>IF('[1]Data 2026'!R63="","",'[1]Data 2026'!R63)</f>
        <v>MANGALORE, INDIA</v>
      </c>
      <c r="U51" s="685" t="str">
        <f>IF('[1]Data 2026'!S63="","",'[1]Data 2026'!S63)</f>
        <v>MAERSK CUANZA</v>
      </c>
      <c r="V51" s="685">
        <f>IF('[1]Data 2026'!T63="","",'[1]Data 2026'!T63)</f>
        <v>46110</v>
      </c>
      <c r="W51" s="685">
        <f>IF('[1]Data 2026'!U63="","",'[1]Data 2026'!U63)</f>
        <v>46126</v>
      </c>
      <c r="X51" s="685">
        <f>IF('[1]Data 2026'!V63="","",'[1]Data 2026'!V63)</f>
        <v>46132</v>
      </c>
      <c r="Y51" s="685">
        <f>IF('[1]Data 2026'!W63="","",'[1]Data 2026'!W63)</f>
        <v>46161</v>
      </c>
      <c r="Z51" s="685">
        <f>IF('[1]Data 2026'!X63="","",'[1]Data 2026'!X63)</f>
        <v>46202</v>
      </c>
      <c r="AA51" s="685"/>
      <c r="AB51" s="685">
        <f>IF('[1]Data 2026'!Y63="","",'[1]Data 2026'!Y63)</f>
        <v>46172</v>
      </c>
      <c r="AC51" s="685" t="str">
        <f>IF('[1]Data 2026'!Z63="","",'[1]Data 2026'!Z63)</f>
        <v/>
      </c>
      <c r="AD51" s="691">
        <f>IF('[1]Data 2026'!AA63="","",'[1]Data 2026'!AA63)</f>
        <v>100</v>
      </c>
      <c r="AE51" s="691">
        <f>IF('[1]Data 2026'!AB63="","",'[1]Data 2026'!AB63)</f>
        <v>100</v>
      </c>
      <c r="AF51" s="685">
        <f>IF('[1]Data 2026'!AC63="","",'[1]Data 2026'!AC63)</f>
        <v>45777</v>
      </c>
      <c r="AG51" s="685" t="str">
        <f>IF('[1]Data 2026'!AD63="","",'[1]Data 2026'!AD63)</f>
        <v>Ex-Olam</v>
      </c>
      <c r="AH51" s="686">
        <f>IF('[1]Data 2026'!AE63="","",'[1]Data 2026'!AE63)</f>
        <v>4</v>
      </c>
      <c r="AI51" s="685" t="str">
        <f>IF('[1]Data 2026'!AG63="","",'[1]Data 2026'!AG63)</f>
        <v xml:space="preserve">VALENCY SINGAPORE </v>
      </c>
      <c r="AJ51" s="685" t="str">
        <f>IF('[1]Data 2026'!AH63="","",'[1]Data 2026'!AH63)</f>
        <v>DUNAMIS/SITRACOM</v>
      </c>
      <c r="AK51" s="685" t="str">
        <f>IF('[1]Data 2026'!AI63="","",'[1]Data 2026'!AI63)</f>
        <v>MSK</v>
      </c>
      <c r="AL51" s="685" t="str">
        <f>IF('[1]Data 2026'!AJ63="","",'[1]Data 2026'!AJ63)</f>
        <v>40FT</v>
      </c>
      <c r="AM51" s="692">
        <f>IF('[1]Data 2026'!AK63="","",'[1]Data 2026'!AK63)</f>
        <v>0.1</v>
      </c>
      <c r="AN51" s="685" t="str">
        <f>IF('[1]Data 2026'!AL63="","",'[1]Data 2026'!AL63)</f>
        <v xml:space="preserve"> ( 1 x 100 MTS ) </v>
      </c>
      <c r="AO51" s="691">
        <f>IF('[1]Data 2026'!AM63="","",'[1]Data 2026'!AM63)</f>
        <v>110</v>
      </c>
      <c r="AP51" s="691" t="str">
        <f t="shared" si="3"/>
        <v/>
      </c>
      <c r="AQ51" s="685" t="str">
        <f>IF('[1]Data 2026'!AO63="","",'[1]Data 2026'!AO63)</f>
        <v/>
      </c>
      <c r="AR51" s="685" t="str">
        <f>IF('[1]Data 2026'!AP63="","",'[1]Data 2026'!AP63)</f>
        <v/>
      </c>
      <c r="AS51" s="685" t="str">
        <f>IF('[1]Data 2026'!AQ63="","",'[1]Data 2026'!AQ63)</f>
        <v/>
      </c>
      <c r="AT51" s="685" t="str">
        <f>IF('[1]Data 2026'!AR63="","",'[1]Data 2026'!AR63)</f>
        <v/>
      </c>
      <c r="AU51" s="685" t="str">
        <f>IF('[1]Data 2026'!AW63="","",'[1]Data 2026'!AW63)</f>
        <v/>
      </c>
      <c r="AV51" s="685" t="str">
        <f>IF('[1]Data 2026'!AX63="","",'[1]Data 2026'!AX63)</f>
        <v/>
      </c>
      <c r="AW51" s="685" t="str">
        <f>IF('[1]Data 2026'!AY63="","",'[1]Data 2026'!AY63)</f>
        <v/>
      </c>
      <c r="AX51" s="685" t="str">
        <f>IF('[1]Data 2026'!AZ63="","",'[1]Data 2026'!AZ63)</f>
        <v/>
      </c>
      <c r="AY51" s="685" t="str">
        <f>IF('[1]Data 2026'!BA63="","",'[1]Data 2026'!BA63)</f>
        <v/>
      </c>
      <c r="AZ51" s="685" t="str">
        <f>IF('[1]Data 2026'!AS63="","",'[1]Data 2026'!AS63)</f>
        <v/>
      </c>
      <c r="BA51" s="685" t="str">
        <f>IF('[1]Data 2026'!AT63="","",'[1]Data 2026'!AT63)</f>
        <v/>
      </c>
      <c r="BB51" s="685" t="str">
        <f>IF('[1]Data 2026'!AU63="","",'[1]Data 2026'!AU63)</f>
        <v/>
      </c>
      <c r="BC51" s="685" t="str">
        <f>IF('[1]Data 2026'!AV63="","",'[1]Data 2026'!AV63)</f>
        <v/>
      </c>
      <c r="BD51" s="685" t="str">
        <f>IF('[1]Data 2026'!AW63="","",'[1]Data 2026'!AW63)</f>
        <v/>
      </c>
      <c r="BE51" s="685" t="str">
        <f>IF('[1]Data 2026'!AX63="","",'[1]Data 2026'!AX63)</f>
        <v/>
      </c>
      <c r="BF51" s="685" t="str">
        <f>IF('[1]Data 2026'!BF63="","",'[1]Data 2026'!BF63)</f>
        <v xml:space="preserve">VALENCY SINGAPORE </v>
      </c>
      <c r="BG51" s="685" t="str">
        <f>IF('[1]Data 2026'!BG63="","",'[1]Data 2026'!BG63)</f>
        <v/>
      </c>
      <c r="BH51" s="685" t="str">
        <f>IF('[1]Data 2026'!BH63="","",'[1]Data 2026'!BH63)</f>
        <v/>
      </c>
      <c r="BI51" s="685" t="str">
        <f>IF('[1]Data 2026'!BI63="","",'[1]Data 2026'!BI63)</f>
        <v/>
      </c>
      <c r="BJ51" s="685" t="str">
        <f>IF('[1]Data 2026'!BJ63="","",'[1]Data 2026'!BJ63)</f>
        <v/>
      </c>
      <c r="BK51" s="685" t="str">
        <f>IF('[1]Data 2026'!BK63="","",'[1]Data 2026'!BK63)</f>
        <v/>
      </c>
      <c r="BL51" s="685" t="str">
        <f>IF('[1]Data 2026'!BL63="","",'[1]Data 2026'!BL63)</f>
        <v>DUNAMIS/SITRACOM</v>
      </c>
      <c r="BM51" s="685" t="str">
        <f>IF('[1]Data 2026'!BM63="","",'[1]Data 2026'!BM63)</f>
        <v/>
      </c>
      <c r="BN51" s="685" t="str">
        <f>IF('[1]Data 2026'!BN63="","",'[1]Data 2026'!BN63)</f>
        <v/>
      </c>
      <c r="BO51" s="685" t="str">
        <f>IF('[1]Data 2026'!BO63="","",'[1]Data 2026'!BO63)</f>
        <v/>
      </c>
      <c r="BP51" s="685" t="str">
        <f>IF('[1]Data 2026'!BP63="","",'[1]Data 2026'!BP63)</f>
        <v/>
      </c>
      <c r="BQ51" s="685" t="str">
        <f>IF('[1]Data 2026'!BQ63="","",'[1]Data 2026'!BQ63)</f>
        <v/>
      </c>
      <c r="BR51" s="685" t="str">
        <f>IF('[1]Data 2026'!BR63="","",'[1]Data 2026'!BR63)</f>
        <v/>
      </c>
      <c r="BS51" s="685" t="str">
        <f>IF('[1]Data 2026'!BS63="","",'[1]Data 2026'!BS63)</f>
        <v/>
      </c>
      <c r="BT51" s="685" t="str">
        <f>IF('[1]Data 2026'!BV63="","",'[1]Data 2026'!BV63)</f>
        <v>BOA/KTD</v>
      </c>
      <c r="BU51" s="685" t="str">
        <f>IF('[1]Data 2026'!BW63="","",'[1]Data 2026'!BW63)</f>
        <v/>
      </c>
      <c r="BV51" s="685" t="str">
        <f>IF('[1]Data 2026'!BX63="","",'[1]Data 2026'!BX63)</f>
        <v/>
      </c>
      <c r="BW51" s="685" t="str">
        <f>IF('[1]Data 2026'!BY63="","",'[1]Data 2026'!BY63)</f>
        <v/>
      </c>
      <c r="BX51" s="685" t="str">
        <f>IF('[1]Data 2026'!BZ63="","",'[1]Data 2026'!BZ63)</f>
        <v/>
      </c>
      <c r="BY51" s="685" t="str">
        <f>IF('[1]Data 2026'!CA63="","",'[1]Data 2026'!CA63)</f>
        <v>182610-14851</v>
      </c>
      <c r="BZ51" s="685">
        <f>IF('[1]Data 2026'!CB63="","",'[1]Data 2026'!CB63)</f>
        <v>46129</v>
      </c>
      <c r="CA51" s="685" t="str">
        <f>IF('[1]Data 2026'!CC63="","",'[1]Data 2026'!CC63)</f>
        <v>2026-0158</v>
      </c>
      <c r="CB51" s="685">
        <f>IF('[1]Data 2026'!CD63="","",'[1]Data 2026'!CD63)</f>
        <v>46129</v>
      </c>
      <c r="CC51" s="685" t="str">
        <f>IF('[1]Data 2026'!CE63="","",'[1]Data 2026'!CE63)</f>
        <v/>
      </c>
      <c r="CD51" s="685" t="str">
        <f>IF('[1]Data 2026'!CF63="","",'[1]Data 2026'!CF63)</f>
        <v/>
      </c>
      <c r="CE51" s="685">
        <f>IF('[1]Data 2026'!CG63="","",'[1]Data 2026'!CG63)</f>
        <v>46110</v>
      </c>
      <c r="CF51" s="685">
        <f>IF('[1]Data 2026'!CH63="","",'[1]Data 2026'!CH63)</f>
        <v>46129</v>
      </c>
      <c r="CG51" s="685" t="str">
        <f>IF('[1]Data 2026'!CI63="","",'[1]Data 2026'!CI63)</f>
        <v>E12044</v>
      </c>
      <c r="CH51" s="685" t="str">
        <f>IF('[1]Data 2026'!CJ63="","",'[1]Data 2026'!CJ63)</f>
        <v/>
      </c>
      <c r="CI51" s="685">
        <f>IF('[1]Data 2026'!CK63="","",'[1]Data 2026'!CK63)</f>
        <v>46140</v>
      </c>
      <c r="CJ51" s="685" t="str">
        <f>IF('[1]Data 2026'!CM63="","",'[1]Data 2026'!CM63)</f>
        <v/>
      </c>
      <c r="CK51" s="685" t="str">
        <f>IF('[1]Data 2026'!CN63="","",'[1]Data 2026'!CN63)</f>
        <v>Sugmaran</v>
      </c>
      <c r="CL51" s="691"/>
      <c r="CM51" s="691" t="str">
        <f>IF('[1]Data 2026'!CP63="","",'[1]Data 2026'!CP63)</f>
        <v/>
      </c>
      <c r="CN51" s="691"/>
      <c r="CO51" s="693"/>
      <c r="CP51" s="693"/>
      <c r="CQ51" s="693"/>
      <c r="CR51" s="686">
        <f t="shared" si="12"/>
        <v>16</v>
      </c>
      <c r="CS51" s="686">
        <f t="shared" si="12"/>
        <v>6</v>
      </c>
      <c r="CT51" s="686">
        <f t="shared" si="12"/>
        <v>29</v>
      </c>
      <c r="CU51" s="686" t="str">
        <f t="shared" si="5"/>
        <v/>
      </c>
      <c r="CV51" s="686" t="str">
        <f t="shared" si="6"/>
        <v/>
      </c>
      <c r="CW51" s="685" t="str">
        <f t="shared" si="10"/>
        <v/>
      </c>
      <c r="CX51" s="685" t="str">
        <f t="shared" si="11"/>
        <v/>
      </c>
      <c r="CY51" s="693">
        <f t="shared" ca="1" si="7"/>
        <v>0</v>
      </c>
      <c r="CZ51" s="693" t="str">
        <f t="shared" si="8"/>
        <v/>
      </c>
      <c r="DB51"/>
      <c r="DC51"/>
    </row>
    <row r="52" spans="1:107" s="694" customFormat="1">
      <c r="A52" s="682" t="str">
        <f t="shared" si="0"/>
        <v>F. GATED IN, SAILING AWAITED</v>
      </c>
      <c r="B52" s="695" t="s">
        <v>1195</v>
      </c>
      <c r="C52" s="684" t="str">
        <f t="shared" si="1"/>
        <v>CLOSED POSITION</v>
      </c>
      <c r="D52" s="685" t="str">
        <f t="shared" si="9"/>
        <v/>
      </c>
      <c r="E52" s="685" t="str">
        <f t="shared" si="2"/>
        <v/>
      </c>
      <c r="F52" s="686">
        <f>IF('[1]Data 2026'!D64="","",'[1]Data 2026'!D64)</f>
        <v>48</v>
      </c>
      <c r="G52" s="686">
        <f>IF('[1]Data 2026'!E64="","",'[1]Data 2026'!E64)</f>
        <v>200</v>
      </c>
      <c r="H52" s="687">
        <f>IF('[1]Data 2026'!H64="","",'[1]Data 2026'!H64)</f>
        <v>32014591</v>
      </c>
      <c r="I52" s="688">
        <f>IF('[1]Data 2026'!AA64="","",'[1]Data 2026'!AA64)</f>
        <v>100</v>
      </c>
      <c r="J52" s="685" t="str">
        <f>IF('[1]Data 2026'!K64="","",'[1]Data 2026'!K64)</f>
        <v>APRIL</v>
      </c>
      <c r="K52" s="685">
        <v>46142</v>
      </c>
      <c r="L52" s="685" t="str">
        <f>IF('[1]Data 2026'!L64="","",'[1]Data 2026'!L64)</f>
        <v>VALENCY CI</v>
      </c>
      <c r="M52" s="685" t="str">
        <f>IF('[1]Data 2026'!M64="","",'[1]Data 2026'!M64)</f>
        <v>SIDDHI VINAYAKA CASHEW INDUSTRIES</v>
      </c>
      <c r="N52" s="685" t="s">
        <v>1198</v>
      </c>
      <c r="O52" s="689">
        <f>IF('[1]Data 2026'!N64="","",'[1]Data 2026'!N64)</f>
        <v>267490088</v>
      </c>
      <c r="P52" s="690" t="str">
        <f>IF('[1]Data 2026'!O64="","",'[1]Data 2026'!O64)</f>
        <v/>
      </c>
      <c r="Q52" s="685" t="str">
        <f>IF('[1]Data 2026'!P64="","",'[1]Data 2026'!P64)</f>
        <v/>
      </c>
      <c r="R52" s="685" t="str">
        <f>IF('[1]Data 2026'!Q64="","",'[1]Data 2026'!Q64)</f>
        <v>ABJ</v>
      </c>
      <c r="S52" s="685" t="s">
        <v>210</v>
      </c>
      <c r="T52" s="685" t="str">
        <f>IF('[1]Data 2026'!R64="","",'[1]Data 2026'!R64)</f>
        <v>MANGALORE, INDIA</v>
      </c>
      <c r="U52" s="685" t="str">
        <f>IF('[1]Data 2026'!S64="","",'[1]Data 2026'!S64)</f>
        <v>MAERSK CUANZA</v>
      </c>
      <c r="V52" s="685">
        <f>IF('[1]Data 2026'!T64="","",'[1]Data 2026'!T64)</f>
        <v>46107</v>
      </c>
      <c r="W52" s="685">
        <f>IF('[1]Data 2026'!U64="","",'[1]Data 2026'!U64)</f>
        <v>46121</v>
      </c>
      <c r="X52" s="685">
        <f>IF('[1]Data 2026'!V64="","",'[1]Data 2026'!V64)</f>
        <v>46121</v>
      </c>
      <c r="Y52" s="685">
        <f>IF('[1]Data 2026'!W64="","",'[1]Data 2026'!W64)</f>
        <v>46159</v>
      </c>
      <c r="Z52" s="685">
        <f>IF('[1]Data 2026'!X64="","",'[1]Data 2026'!X64)</f>
        <v>46202</v>
      </c>
      <c r="AA52" s="685"/>
      <c r="AB52" s="685">
        <f>IF('[1]Data 2026'!Y64="","",'[1]Data 2026'!Y64)</f>
        <v>46172</v>
      </c>
      <c r="AC52" s="685" t="str">
        <f>IF('[1]Data 2026'!Z64="","",'[1]Data 2026'!Z64)</f>
        <v/>
      </c>
      <c r="AD52" s="691">
        <f>IF('[1]Data 2026'!AA64="","",'[1]Data 2026'!AA64)</f>
        <v>100</v>
      </c>
      <c r="AE52" s="691">
        <f>IF('[1]Data 2026'!AB64="","",'[1]Data 2026'!AB64)</f>
        <v>100</v>
      </c>
      <c r="AF52" s="685">
        <f>IF('[1]Data 2026'!AC64="","",'[1]Data 2026'!AC64)</f>
        <v>45777</v>
      </c>
      <c r="AG52" s="685" t="str">
        <f>IF('[1]Data 2026'!AD64="","",'[1]Data 2026'!AD64)</f>
        <v>WH-I</v>
      </c>
      <c r="AH52" s="686">
        <f>IF('[1]Data 2026'!AE64="","",'[1]Data 2026'!AE64)</f>
        <v>4</v>
      </c>
      <c r="AI52" s="685" t="str">
        <f>IF('[1]Data 2026'!AG64="","",'[1]Data 2026'!AG64)</f>
        <v xml:space="preserve">VALENCY SINGAPORE </v>
      </c>
      <c r="AJ52" s="685" t="str">
        <f>IF('[1]Data 2026'!AH64="","",'[1]Data 2026'!AH64)</f>
        <v>DUNAMIS/SITRACOM</v>
      </c>
      <c r="AK52" s="685" t="str">
        <f>IF('[1]Data 2026'!AI64="","",'[1]Data 2026'!AI64)</f>
        <v>MSK</v>
      </c>
      <c r="AL52" s="685" t="str">
        <f>IF('[1]Data 2026'!AJ64="","",'[1]Data 2026'!AJ64)</f>
        <v>40FT</v>
      </c>
      <c r="AM52" s="692">
        <f>IF('[1]Data 2026'!AK64="","",'[1]Data 2026'!AK64)</f>
        <v>0.1</v>
      </c>
      <c r="AN52" s="685" t="str">
        <f>IF('[1]Data 2026'!AL64="","",'[1]Data 2026'!AL64)</f>
        <v xml:space="preserve"> ( 1 x 100 MTS ) </v>
      </c>
      <c r="AO52" s="691">
        <f>IF('[1]Data 2026'!AM64="","",'[1]Data 2026'!AM64)</f>
        <v>110</v>
      </c>
      <c r="AP52" s="691" t="str">
        <f t="shared" si="3"/>
        <v/>
      </c>
      <c r="AQ52" s="685" t="str">
        <f>IF('[1]Data 2026'!AO64="","",'[1]Data 2026'!AO64)</f>
        <v/>
      </c>
      <c r="AR52" s="685" t="str">
        <f>IF('[1]Data 2026'!AP64="","",'[1]Data 2026'!AP64)</f>
        <v/>
      </c>
      <c r="AS52" s="685" t="str">
        <f>IF('[1]Data 2026'!AQ64="","",'[1]Data 2026'!AQ64)</f>
        <v/>
      </c>
      <c r="AT52" s="685" t="str">
        <f>IF('[1]Data 2026'!AR64="","",'[1]Data 2026'!AR64)</f>
        <v/>
      </c>
      <c r="AU52" s="685" t="str">
        <f>IF('[1]Data 2026'!AW64="","",'[1]Data 2026'!AW64)</f>
        <v/>
      </c>
      <c r="AV52" s="685" t="str">
        <f>IF('[1]Data 2026'!AX64="","",'[1]Data 2026'!AX64)</f>
        <v/>
      </c>
      <c r="AW52" s="685" t="str">
        <f>IF('[1]Data 2026'!AY64="","",'[1]Data 2026'!AY64)</f>
        <v/>
      </c>
      <c r="AX52" s="685" t="str">
        <f>IF('[1]Data 2026'!AZ64="","",'[1]Data 2026'!AZ64)</f>
        <v/>
      </c>
      <c r="AY52" s="685" t="str">
        <f>IF('[1]Data 2026'!BA64="","",'[1]Data 2026'!BA64)</f>
        <v/>
      </c>
      <c r="AZ52" s="685" t="str">
        <f>IF('[1]Data 2026'!AS64="","",'[1]Data 2026'!AS64)</f>
        <v/>
      </c>
      <c r="BA52" s="685" t="str">
        <f>IF('[1]Data 2026'!AT64="","",'[1]Data 2026'!AT64)</f>
        <v/>
      </c>
      <c r="BB52" s="685" t="str">
        <f>IF('[1]Data 2026'!AU64="","",'[1]Data 2026'!AU64)</f>
        <v/>
      </c>
      <c r="BC52" s="685" t="str">
        <f>IF('[1]Data 2026'!AV64="","",'[1]Data 2026'!AV64)</f>
        <v/>
      </c>
      <c r="BD52" s="685" t="str">
        <f>IF('[1]Data 2026'!AW64="","",'[1]Data 2026'!AW64)</f>
        <v/>
      </c>
      <c r="BE52" s="685" t="str">
        <f>IF('[1]Data 2026'!AX64="","",'[1]Data 2026'!AX64)</f>
        <v/>
      </c>
      <c r="BF52" s="685" t="str">
        <f>IF('[1]Data 2026'!BF64="","",'[1]Data 2026'!BF64)</f>
        <v xml:space="preserve">VALENCY SINGAPORE </v>
      </c>
      <c r="BG52" s="685" t="str">
        <f>IF('[1]Data 2026'!BG64="","",'[1]Data 2026'!BG64)</f>
        <v/>
      </c>
      <c r="BH52" s="685" t="str">
        <f>IF('[1]Data 2026'!BH64="","",'[1]Data 2026'!BH64)</f>
        <v/>
      </c>
      <c r="BI52" s="685" t="str">
        <f>IF('[1]Data 2026'!BI64="","",'[1]Data 2026'!BI64)</f>
        <v/>
      </c>
      <c r="BJ52" s="685" t="str">
        <f>IF('[1]Data 2026'!BJ64="","",'[1]Data 2026'!BJ64)</f>
        <v/>
      </c>
      <c r="BK52" s="685" t="str">
        <f>IF('[1]Data 2026'!BK64="","",'[1]Data 2026'!BK64)</f>
        <v/>
      </c>
      <c r="BL52" s="685" t="str">
        <f>IF('[1]Data 2026'!BL64="","",'[1]Data 2026'!BL64)</f>
        <v>DUNAMIS/SITRACOM</v>
      </c>
      <c r="BM52" s="685" t="str">
        <f>IF('[1]Data 2026'!BM64="","",'[1]Data 2026'!BM64)</f>
        <v/>
      </c>
      <c r="BN52" s="685" t="str">
        <f>IF('[1]Data 2026'!BN64="","",'[1]Data 2026'!BN64)</f>
        <v/>
      </c>
      <c r="BO52" s="685" t="str">
        <f>IF('[1]Data 2026'!BO64="","",'[1]Data 2026'!BO64)</f>
        <v/>
      </c>
      <c r="BP52" s="685" t="str">
        <f>IF('[1]Data 2026'!BP64="","",'[1]Data 2026'!BP64)</f>
        <v/>
      </c>
      <c r="BQ52" s="685" t="str">
        <f>IF('[1]Data 2026'!BQ64="","",'[1]Data 2026'!BQ64)</f>
        <v/>
      </c>
      <c r="BR52" s="685" t="str">
        <f>IF('[1]Data 2026'!BR64="","",'[1]Data 2026'!BR64)</f>
        <v/>
      </c>
      <c r="BS52" s="685" t="str">
        <f>IF('[1]Data 2026'!BS64="","",'[1]Data 2026'!BS64)</f>
        <v/>
      </c>
      <c r="BT52" s="685" t="str">
        <f>IF('[1]Data 2026'!BV64="","",'[1]Data 2026'!BV64)</f>
        <v>ABSA/CMI</v>
      </c>
      <c r="BU52" s="685" t="str">
        <f>IF('[1]Data 2026'!BW64="","",'[1]Data 2026'!BW64)</f>
        <v/>
      </c>
      <c r="BV52" s="685" t="str">
        <f>IF('[1]Data 2026'!BX64="","",'[1]Data 2026'!BX64)</f>
        <v/>
      </c>
      <c r="BW52" s="685" t="str">
        <f>IF('[1]Data 2026'!BY64="","",'[1]Data 2026'!BY64)</f>
        <v/>
      </c>
      <c r="BX52" s="685" t="str">
        <f>IF('[1]Data 2026'!BZ64="","",'[1]Data 2026'!BZ64)</f>
        <v/>
      </c>
      <c r="BY52" s="685" t="str">
        <f>IF('[1]Data 2026'!CA64="","",'[1]Data 2026'!CA64)</f>
        <v>182610-14835</v>
      </c>
      <c r="BZ52" s="685">
        <f>IF('[1]Data 2026'!CB64="","",'[1]Data 2026'!CB64)</f>
        <v>46129</v>
      </c>
      <c r="CA52" s="685" t="str">
        <f>IF('[1]Data 2026'!CC64="","",'[1]Data 2026'!CC64)</f>
        <v>2026-0109</v>
      </c>
      <c r="CB52" s="685">
        <f>IF('[1]Data 2026'!CD64="","",'[1]Data 2026'!CD64)</f>
        <v>46129</v>
      </c>
      <c r="CC52" s="685" t="str">
        <f>IF('[1]Data 2026'!CE64="","",'[1]Data 2026'!CE64)</f>
        <v/>
      </c>
      <c r="CD52" s="685" t="str">
        <f>IF('[1]Data 2026'!CF64="","",'[1]Data 2026'!CF64)</f>
        <v/>
      </c>
      <c r="CE52" s="685">
        <f>IF('[1]Data 2026'!CG64="","",'[1]Data 2026'!CG64)</f>
        <v>46107</v>
      </c>
      <c r="CF52" s="685">
        <f>IF('[1]Data 2026'!CH64="","",'[1]Data 2026'!CH64)</f>
        <v>46127</v>
      </c>
      <c r="CG52" s="685" t="str">
        <f>IF('[1]Data 2026'!CI64="","",'[1]Data 2026'!CI64)</f>
        <v>E11690</v>
      </c>
      <c r="CH52" s="685" t="str">
        <f>IF('[1]Data 2026'!CJ64="","",'[1]Data 2026'!CJ64)</f>
        <v/>
      </c>
      <c r="CI52" s="685">
        <f>IF('[1]Data 2026'!CK64="","",'[1]Data 2026'!CK64)</f>
        <v>46140</v>
      </c>
      <c r="CJ52" s="685" t="str">
        <f>IF('[1]Data 2026'!CM64="","",'[1]Data 2026'!CM64)</f>
        <v/>
      </c>
      <c r="CK52" s="685" t="str">
        <f>IF('[1]Data 2026'!CN64="","",'[1]Data 2026'!CN64)</f>
        <v>Ajeesh</v>
      </c>
      <c r="CL52" s="691"/>
      <c r="CM52" s="691" t="str">
        <f>IF('[1]Data 2026'!CP64="","",'[1]Data 2026'!CP64)</f>
        <v/>
      </c>
      <c r="CN52" s="691"/>
      <c r="CO52" s="693"/>
      <c r="CP52" s="693"/>
      <c r="CQ52" s="693"/>
      <c r="CR52" s="686">
        <f t="shared" si="12"/>
        <v>14</v>
      </c>
      <c r="CS52" s="686">
        <f t="shared" si="12"/>
        <v>0</v>
      </c>
      <c r="CT52" s="686">
        <f t="shared" si="12"/>
        <v>38</v>
      </c>
      <c r="CU52" s="686" t="str">
        <f t="shared" si="5"/>
        <v/>
      </c>
      <c r="CV52" s="686" t="str">
        <f t="shared" si="6"/>
        <v/>
      </c>
      <c r="CW52" s="685" t="str">
        <f t="shared" si="10"/>
        <v/>
      </c>
      <c r="CX52" s="685" t="str">
        <f t="shared" si="11"/>
        <v/>
      </c>
      <c r="CY52" s="693">
        <f t="shared" ca="1" si="7"/>
        <v>0</v>
      </c>
      <c r="CZ52" s="693" t="str">
        <f t="shared" si="8"/>
        <v/>
      </c>
      <c r="DB52"/>
      <c r="DC52"/>
    </row>
    <row r="53" spans="1:107" s="694" customFormat="1">
      <c r="A53" s="682" t="str">
        <f t="shared" si="0"/>
        <v>H. PHYSICAL OBL RCVD</v>
      </c>
      <c r="B53" s="697" t="s">
        <v>1193</v>
      </c>
      <c r="C53" s="684" t="str">
        <f t="shared" si="1"/>
        <v>CLOSED POSITION</v>
      </c>
      <c r="D53" s="685" t="str">
        <f t="shared" si="9"/>
        <v>HBL RECEIVED, SURRENDER IS DUE</v>
      </c>
      <c r="E53" s="685" t="str">
        <f t="shared" si="2"/>
        <v>ALL CERT COURIERED</v>
      </c>
      <c r="F53" s="686">
        <f>IF('[1]Data 2026'!D65="","",'[1]Data 2026'!D65)</f>
        <v>47</v>
      </c>
      <c r="G53" s="686">
        <f>IF('[1]Data 2026'!E65="","",'[1]Data 2026'!E65)</f>
        <v>200</v>
      </c>
      <c r="H53" s="687">
        <f>IF('[1]Data 2026'!H65="","",'[1]Data 2026'!H65)</f>
        <v>32015968</v>
      </c>
      <c r="I53" s="688">
        <f>IF('[1]Data 2026'!AA65="","",'[1]Data 2026'!AA65)</f>
        <v>250</v>
      </c>
      <c r="J53" s="685" t="str">
        <f>IF('[1]Data 2026'!K65="","",'[1]Data 2026'!K65)</f>
        <v>APRIL</v>
      </c>
      <c r="K53" s="685">
        <v>46142</v>
      </c>
      <c r="L53" s="685" t="str">
        <f>IF('[1]Data 2026'!L65="","",'[1]Data 2026'!L65)</f>
        <v>VALENCY CI</v>
      </c>
      <c r="M53" s="685" t="str">
        <f>IF('[1]Data 2026'!M65="","",'[1]Data 2026'!M65)</f>
        <v>VALENCY AGRO INDIA UDUPI</v>
      </c>
      <c r="N53" s="685" t="s">
        <v>1196</v>
      </c>
      <c r="O53" s="689">
        <f>IF('[1]Data 2026'!N65="","",'[1]Data 2026'!N65)</f>
        <v>268599953</v>
      </c>
      <c r="P53" s="690">
        <f>IF('[1]Data 2026'!O65="","",'[1]Data 2026'!O65)</f>
        <v>268599953</v>
      </c>
      <c r="Q53" s="685" t="str">
        <f>IF('[1]Data 2026'!P65="","",'[1]Data 2026'!P65)</f>
        <v>TPSCR26010610</v>
      </c>
      <c r="R53" s="685" t="str">
        <f>IF('[1]Data 2026'!Q65="","",'[1]Data 2026'!Q65)</f>
        <v>ABJ</v>
      </c>
      <c r="S53" s="685" t="s">
        <v>210</v>
      </c>
      <c r="T53" s="685" t="str">
        <f>IF('[1]Data 2026'!R65="","",'[1]Data 2026'!R65)</f>
        <v>MANGALORE, INDIA</v>
      </c>
      <c r="U53" s="685" t="str">
        <f>IF('[1]Data 2026'!S65="","",'[1]Data 2026'!S65)</f>
        <v>MAERSK CARDIFF</v>
      </c>
      <c r="V53" s="685">
        <f>IF('[1]Data 2026'!T65="","",'[1]Data 2026'!T65)</f>
        <v>46107</v>
      </c>
      <c r="W53" s="685">
        <f>IF('[1]Data 2026'!U65="","",'[1]Data 2026'!U65)</f>
        <v>46121</v>
      </c>
      <c r="X53" s="685">
        <f>IF('[1]Data 2026'!V65="","",'[1]Data 2026'!V65)</f>
        <v>46123</v>
      </c>
      <c r="Y53" s="685">
        <f>IF('[1]Data 2026'!W65="","",'[1]Data 2026'!W65)</f>
        <v>46142</v>
      </c>
      <c r="Z53" s="685">
        <f>IF('[1]Data 2026'!X65="","",'[1]Data 2026'!X65)</f>
        <v>46171</v>
      </c>
      <c r="AA53" s="685"/>
      <c r="AB53" s="685">
        <f>IF('[1]Data 2026'!Y65="","",'[1]Data 2026'!Y65)</f>
        <v>46152</v>
      </c>
      <c r="AC53" s="685">
        <f>IF('[1]Data 2026'!Z65="","",'[1]Data 2026'!Z65)</f>
        <v>46152</v>
      </c>
      <c r="AD53" s="691">
        <f>IF('[1]Data 2026'!AA65="","",'[1]Data 2026'!AA65)</f>
        <v>250</v>
      </c>
      <c r="AE53" s="691">
        <f>IF('[1]Data 2026'!AB65="","",'[1]Data 2026'!AB65)</f>
        <v>244.07</v>
      </c>
      <c r="AF53" s="685">
        <f>IF('[1]Data 2026'!AC65="","",'[1]Data 2026'!AC65)</f>
        <v>45777</v>
      </c>
      <c r="AG53" s="685" t="str">
        <f>IF('[1]Data 2026'!AD65="","",'[1]Data 2026'!AD65)</f>
        <v>WH-I</v>
      </c>
      <c r="AH53" s="686">
        <f>IF('[1]Data 2026'!AE65="","",'[1]Data 2026'!AE65)</f>
        <v>10</v>
      </c>
      <c r="AI53" s="685" t="str">
        <f>IF('[1]Data 2026'!AG65="","",'[1]Data 2026'!AG65)</f>
        <v xml:space="preserve">REUDAN INTERNATIONAL CI </v>
      </c>
      <c r="AJ53" s="685" t="str">
        <f>IF('[1]Data 2026'!AH65="","",'[1]Data 2026'!AH65)</f>
        <v>DUNAMIS/SITRACOM</v>
      </c>
      <c r="AK53" s="685" t="str">
        <f>IF('[1]Data 2026'!AI65="","",'[1]Data 2026'!AI65)</f>
        <v>MSK</v>
      </c>
      <c r="AL53" s="685" t="str">
        <f>IF('[1]Data 2026'!AJ65="","",'[1]Data 2026'!AJ65)</f>
        <v>40FT</v>
      </c>
      <c r="AM53" s="692">
        <f>IF('[1]Data 2026'!AK65="","",'[1]Data 2026'!AK65)</f>
        <v>0.1</v>
      </c>
      <c r="AN53" s="685" t="str">
        <f>IF('[1]Data 2026'!AL65="","",'[1]Data 2026'!AL65)</f>
        <v>(01x250MTS)</v>
      </c>
      <c r="AO53" s="691">
        <f>IF('[1]Data 2026'!AM65="","",'[1]Data 2026'!AM65)</f>
        <v>275</v>
      </c>
      <c r="AP53" s="691">
        <f t="shared" si="3"/>
        <v>-5.9300000000000068</v>
      </c>
      <c r="AQ53" s="685" t="str">
        <f>IF('[1]Data 2026'!AO65="","",'[1]Data 2026'!AO65)</f>
        <v/>
      </c>
      <c r="AR53" s="685">
        <f>IF('[1]Data 2026'!AP65="","",'[1]Data 2026'!AP65)</f>
        <v>46150</v>
      </c>
      <c r="AS53" s="685">
        <f>IF('[1]Data 2026'!AQ65="","",'[1]Data 2026'!AQ65)</f>
        <v>46153</v>
      </c>
      <c r="AT53" s="685">
        <f>IF('[1]Data 2026'!AR65="","",'[1]Data 2026'!AR65)</f>
        <v>46163</v>
      </c>
      <c r="AU53" s="685">
        <f>IF('[1]Data 2026'!AW65="","",'[1]Data 2026'!AW65)</f>
        <v>46155</v>
      </c>
      <c r="AV53" s="685">
        <f>IF('[1]Data 2026'!AX65="","",'[1]Data 2026'!AX65)</f>
        <v>2046495802</v>
      </c>
      <c r="AW53" s="685" t="str">
        <f>IF('[1]Data 2026'!AY65="","",'[1]Data 2026'!AY65)</f>
        <v xml:space="preserve">BL printing Singapore </v>
      </c>
      <c r="AX53" s="685">
        <f>IF('[1]Data 2026'!AZ65="","",'[1]Data 2026'!AZ65)</f>
        <v>46163</v>
      </c>
      <c r="AY53" s="685" t="str">
        <f>IF('[1]Data 2026'!BA65="","",'[1]Data 2026'!BA65)</f>
        <v/>
      </c>
      <c r="AZ53" s="685">
        <f>IF('[1]Data 2026'!AS65="","",'[1]Data 2026'!AS65)</f>
        <v>46155</v>
      </c>
      <c r="BA53" s="685">
        <f>IF('[1]Data 2026'!AT65="","",'[1]Data 2026'!AT65)</f>
        <v>46155</v>
      </c>
      <c r="BB53" s="685">
        <f>IF('[1]Data 2026'!AU65="","",'[1]Data 2026'!AU65)</f>
        <v>46155</v>
      </c>
      <c r="BC53" s="685" t="str">
        <f>IF('[1]Data 2026'!AV65="","",'[1]Data 2026'!AV65)</f>
        <v>Mr. Balakrishna Kottary</v>
      </c>
      <c r="BD53" s="685">
        <f>IF('[1]Data 2026'!AW65="","",'[1]Data 2026'!AW65)</f>
        <v>46155</v>
      </c>
      <c r="BE53" s="685">
        <f>IF('[1]Data 2026'!AX65="","",'[1]Data 2026'!AX65)</f>
        <v>2046495802</v>
      </c>
      <c r="BF53" s="685" t="str">
        <f>IF('[1]Data 2026'!BF65="","",'[1]Data 2026'!BF65)</f>
        <v xml:space="preserve">REUDAN INTERNATIONAL CI </v>
      </c>
      <c r="BG53" s="685" t="str">
        <f>IF('[1]Data 2026'!BG65="","",'[1]Data 2026'!BG65)</f>
        <v/>
      </c>
      <c r="BH53" s="685" t="str">
        <f>IF('[1]Data 2026'!BH65="","",'[1]Data 2026'!BH65)</f>
        <v/>
      </c>
      <c r="BI53" s="685" t="str">
        <f>IF('[1]Data 2026'!BI65="","",'[1]Data 2026'!BI65)</f>
        <v/>
      </c>
      <c r="BJ53" s="685" t="str">
        <f>IF('[1]Data 2026'!BJ65="","",'[1]Data 2026'!BJ65)</f>
        <v/>
      </c>
      <c r="BK53" s="685" t="str">
        <f>IF('[1]Data 2026'!BK65="","",'[1]Data 2026'!BK65)</f>
        <v/>
      </c>
      <c r="BL53" s="685" t="str">
        <f>IF('[1]Data 2026'!BL65="","",'[1]Data 2026'!BL65)</f>
        <v>DUNAMIS/SITRACOM</v>
      </c>
      <c r="BM53" s="685" t="str">
        <f>IF('[1]Data 2026'!BM65="","",'[1]Data 2026'!BM65)</f>
        <v/>
      </c>
      <c r="BN53" s="685" t="str">
        <f>IF('[1]Data 2026'!BN65="","",'[1]Data 2026'!BN65)</f>
        <v/>
      </c>
      <c r="BO53" s="685" t="str">
        <f>IF('[1]Data 2026'!BO65="","",'[1]Data 2026'!BO65)</f>
        <v/>
      </c>
      <c r="BP53" s="685" t="str">
        <f>IF('[1]Data 2026'!BP65="","",'[1]Data 2026'!BP65)</f>
        <v/>
      </c>
      <c r="BQ53" s="685" t="str">
        <f>IF('[1]Data 2026'!BQ65="","",'[1]Data 2026'!BQ65)</f>
        <v/>
      </c>
      <c r="BR53" s="685">
        <f>IF('[1]Data 2026'!BR65="","",'[1]Data 2026'!BR65)</f>
        <v>46152</v>
      </c>
      <c r="BS53" s="685" t="str">
        <f>IF('[1]Data 2026'!BS65="","",'[1]Data 2026'!BS65)</f>
        <v>IVC-RCN2026-CI0006</v>
      </c>
      <c r="BT53" s="685" t="str">
        <f>IF('[1]Data 2026'!BV65="","",'[1]Data 2026'!BV65)</f>
        <v>ABSA/CMI</v>
      </c>
      <c r="BU53" s="685">
        <f>IF('[1]Data 2026'!BW65="","",'[1]Data 2026'!BW65)</f>
        <v>46171</v>
      </c>
      <c r="BV53" s="685" t="str">
        <f>IF('[1]Data 2026'!BX65="","",'[1]Data 2026'!BX65)</f>
        <v/>
      </c>
      <c r="BW53" s="685" t="str">
        <f>IF('[1]Data 2026'!BY65="","",'[1]Data 2026'!BY65)</f>
        <v>1347386H26000000515</v>
      </c>
      <c r="BX53" s="685">
        <f>IF('[1]Data 2026'!BZ65="","",'[1]Data 2026'!BZ65)</f>
        <v>46153</v>
      </c>
      <c r="BY53" s="685" t="str">
        <f>IF('[1]Data 2026'!CA65="","",'[1]Data 2026'!CA65)</f>
        <v>182610-14838</v>
      </c>
      <c r="BZ53" s="685">
        <f>IF('[1]Data 2026'!CB65="","",'[1]Data 2026'!CB65)</f>
        <v>46129</v>
      </c>
      <c r="CA53" s="685" t="str">
        <f>IF('[1]Data 2026'!CC65="","",'[1]Data 2026'!CC65)</f>
        <v>2026-0113</v>
      </c>
      <c r="CB53" s="685">
        <f>IF('[1]Data 2026'!CD65="","",'[1]Data 2026'!CD65)</f>
        <v>46129</v>
      </c>
      <c r="CC53" s="685" t="str">
        <f>IF('[1]Data 2026'!CE65="","",'[1]Data 2026'!CE65)</f>
        <v/>
      </c>
      <c r="CD53" s="685" t="str">
        <f>IF('[1]Data 2026'!CF65="","",'[1]Data 2026'!CF65)</f>
        <v/>
      </c>
      <c r="CE53" s="685">
        <f>IF('[1]Data 2026'!CG65="","",'[1]Data 2026'!CG65)</f>
        <v>46107</v>
      </c>
      <c r="CF53" s="685">
        <f>IF('[1]Data 2026'!CH65="","",'[1]Data 2026'!CH65)</f>
        <v>46129</v>
      </c>
      <c r="CG53" s="685" t="str">
        <f>IF('[1]Data 2026'!CI65="","",'[1]Data 2026'!CI65)</f>
        <v>E11866</v>
      </c>
      <c r="CH53" s="685" t="str">
        <f>IF('[1]Data 2026'!CJ65="","",'[1]Data 2026'!CJ65)</f>
        <v/>
      </c>
      <c r="CI53" s="685">
        <f>IF('[1]Data 2026'!CK65="","",'[1]Data 2026'!CK65)</f>
        <v>46139</v>
      </c>
      <c r="CJ53" s="685" t="str">
        <f>IF('[1]Data 2026'!CM65="","",'[1]Data 2026'!CM65)</f>
        <v/>
      </c>
      <c r="CK53" s="685" t="str">
        <f>IF('[1]Data 2026'!CN65="","",'[1]Data 2026'!CN65)</f>
        <v>Ajeesh</v>
      </c>
      <c r="CL53" s="691"/>
      <c r="CM53" s="691" t="str">
        <f>IF('[1]Data 2026'!CP65="","",'[1]Data 2026'!CP65)</f>
        <v/>
      </c>
      <c r="CN53" s="691"/>
      <c r="CO53" s="693"/>
      <c r="CP53" s="693"/>
      <c r="CQ53" s="693"/>
      <c r="CR53" s="686">
        <f t="shared" si="12"/>
        <v>14</v>
      </c>
      <c r="CS53" s="686">
        <f t="shared" si="12"/>
        <v>2</v>
      </c>
      <c r="CT53" s="686">
        <f t="shared" si="12"/>
        <v>19</v>
      </c>
      <c r="CU53" s="686">
        <f t="shared" si="5"/>
        <v>29</v>
      </c>
      <c r="CV53" s="686">
        <f t="shared" si="6"/>
        <v>19</v>
      </c>
      <c r="CW53" s="685">
        <f t="shared" si="10"/>
        <v>11</v>
      </c>
      <c r="CX53" s="685">
        <f t="shared" si="11"/>
        <v>0</v>
      </c>
      <c r="CY53" s="693">
        <f t="shared" ca="1" si="7"/>
        <v>100</v>
      </c>
      <c r="CZ53" s="693" t="str">
        <f t="shared" si="8"/>
        <v/>
      </c>
      <c r="DB53"/>
      <c r="DC53"/>
    </row>
    <row r="54" spans="1:107" s="694" customFormat="1">
      <c r="A54" s="682" t="str">
        <f t="shared" si="0"/>
        <v>F. GATED IN, SAILING AWAITED</v>
      </c>
      <c r="B54" s="695" t="s">
        <v>1195</v>
      </c>
      <c r="C54" s="684" t="str">
        <f t="shared" si="1"/>
        <v>CLOSED POSITION</v>
      </c>
      <c r="D54" s="685" t="str">
        <f t="shared" si="9"/>
        <v/>
      </c>
      <c r="E54" s="685" t="str">
        <f t="shared" si="2"/>
        <v/>
      </c>
      <c r="F54" s="686">
        <f>IF('[1]Data 2026'!D66="","",'[1]Data 2026'!D66)</f>
        <v>47</v>
      </c>
      <c r="G54" s="686">
        <f>IF('[1]Data 2026'!E66="","",'[1]Data 2026'!E66)</f>
        <v>200</v>
      </c>
      <c r="H54" s="687">
        <f>IF('[1]Data 2026'!H66="","",'[1]Data 2026'!H66)</f>
        <v>32015968</v>
      </c>
      <c r="I54" s="688">
        <f>IF('[1]Data 2026'!AA66="","",'[1]Data 2026'!AA66)</f>
        <v>250</v>
      </c>
      <c r="J54" s="685" t="str">
        <f>IF('[1]Data 2026'!K66="","",'[1]Data 2026'!K66)</f>
        <v>APRIL</v>
      </c>
      <c r="K54" s="685">
        <v>46142</v>
      </c>
      <c r="L54" s="685" t="str">
        <f>IF('[1]Data 2026'!L66="","",'[1]Data 2026'!L66)</f>
        <v>VALENCY CI</v>
      </c>
      <c r="M54" s="685" t="str">
        <f>IF('[1]Data 2026'!M66="","",'[1]Data 2026'!M66)</f>
        <v>VALENCY AGRO INDIA UDUPI</v>
      </c>
      <c r="N54" s="685" t="s">
        <v>1196</v>
      </c>
      <c r="O54" s="689">
        <f>IF('[1]Data 2026'!N66="","",'[1]Data 2026'!N66)</f>
        <v>268607193</v>
      </c>
      <c r="P54" s="690">
        <f>IF('[1]Data 2026'!O66="","",'[1]Data 2026'!O66)</f>
        <v>268607193</v>
      </c>
      <c r="Q54" s="685" t="str">
        <f>IF('[1]Data 2026'!P66="","",'[1]Data 2026'!P66)</f>
        <v/>
      </c>
      <c r="R54" s="685" t="str">
        <f>IF('[1]Data 2026'!Q66="","",'[1]Data 2026'!Q66)</f>
        <v>ABJ</v>
      </c>
      <c r="S54" s="685" t="s">
        <v>210</v>
      </c>
      <c r="T54" s="685" t="str">
        <f>IF('[1]Data 2026'!R66="","",'[1]Data 2026'!R66)</f>
        <v>MANGALORE, INDIA</v>
      </c>
      <c r="U54" s="685" t="str">
        <f>IF('[1]Data 2026'!S66="","",'[1]Data 2026'!S66)</f>
        <v>MAERSK CUANZA</v>
      </c>
      <c r="V54" s="685">
        <f>IF('[1]Data 2026'!T66="","",'[1]Data 2026'!T66)</f>
        <v>46107</v>
      </c>
      <c r="W54" s="685">
        <f>IF('[1]Data 2026'!U66="","",'[1]Data 2026'!U66)</f>
        <v>46123</v>
      </c>
      <c r="X54" s="685">
        <f>IF('[1]Data 2026'!V66="","",'[1]Data 2026'!V66)</f>
        <v>46126</v>
      </c>
      <c r="Y54" s="685">
        <f>IF('[1]Data 2026'!W66="","",'[1]Data 2026'!W66)</f>
        <v>46161</v>
      </c>
      <c r="Z54" s="685">
        <f>IF('[1]Data 2026'!X66="","",'[1]Data 2026'!X66)</f>
        <v>46202</v>
      </c>
      <c r="AA54" s="685"/>
      <c r="AB54" s="685">
        <f>IF('[1]Data 2026'!Y66="","",'[1]Data 2026'!Y66)</f>
        <v>46172</v>
      </c>
      <c r="AC54" s="685" t="str">
        <f>IF('[1]Data 2026'!Z66="","",'[1]Data 2026'!Z66)</f>
        <v/>
      </c>
      <c r="AD54" s="691">
        <f>IF('[1]Data 2026'!AA66="","",'[1]Data 2026'!AA66)</f>
        <v>250</v>
      </c>
      <c r="AE54" s="691">
        <f>IF('[1]Data 2026'!AB66="","",'[1]Data 2026'!AB66)</f>
        <v>250</v>
      </c>
      <c r="AF54" s="685">
        <f>IF('[1]Data 2026'!AC66="","",'[1]Data 2026'!AC66)</f>
        <v>45777</v>
      </c>
      <c r="AG54" s="685" t="str">
        <f>IF('[1]Data 2026'!AD66="","",'[1]Data 2026'!AD66)</f>
        <v>Ex-Olam</v>
      </c>
      <c r="AH54" s="686">
        <f>IF('[1]Data 2026'!AE66="","",'[1]Data 2026'!AE66)</f>
        <v>10</v>
      </c>
      <c r="AI54" s="685" t="str">
        <f>IF('[1]Data 2026'!AG66="","",'[1]Data 2026'!AG66)</f>
        <v xml:space="preserve">REUDAN INTERNATIONAL CI </v>
      </c>
      <c r="AJ54" s="685" t="str">
        <f>IF('[1]Data 2026'!AH66="","",'[1]Data 2026'!AH66)</f>
        <v>DUNAMIS/SITRACOM</v>
      </c>
      <c r="AK54" s="685" t="str">
        <f>IF('[1]Data 2026'!AI66="","",'[1]Data 2026'!AI66)</f>
        <v>MSK</v>
      </c>
      <c r="AL54" s="685" t="str">
        <f>IF('[1]Data 2026'!AJ66="","",'[1]Data 2026'!AJ66)</f>
        <v>40FT</v>
      </c>
      <c r="AM54" s="692">
        <f>IF('[1]Data 2026'!AK66="","",'[1]Data 2026'!AK66)</f>
        <v>0.1</v>
      </c>
      <c r="AN54" s="685" t="str">
        <f>IF('[1]Data 2026'!AL66="","",'[1]Data 2026'!AL66)</f>
        <v>(01x250MTS)</v>
      </c>
      <c r="AO54" s="691">
        <f>IF('[1]Data 2026'!AM66="","",'[1]Data 2026'!AM66)</f>
        <v>275</v>
      </c>
      <c r="AP54" s="691" t="str">
        <f t="shared" si="3"/>
        <v/>
      </c>
      <c r="AQ54" s="685" t="str">
        <f>IF('[1]Data 2026'!AO66="","",'[1]Data 2026'!AO66)</f>
        <v/>
      </c>
      <c r="AR54" s="685" t="str">
        <f>IF('[1]Data 2026'!AP66="","",'[1]Data 2026'!AP66)</f>
        <v/>
      </c>
      <c r="AS54" s="685" t="str">
        <f>IF('[1]Data 2026'!AQ66="","",'[1]Data 2026'!AQ66)</f>
        <v/>
      </c>
      <c r="AT54" s="685" t="str">
        <f>IF('[1]Data 2026'!AR66="","",'[1]Data 2026'!AR66)</f>
        <v/>
      </c>
      <c r="AU54" s="685" t="str">
        <f>IF('[1]Data 2026'!AW66="","",'[1]Data 2026'!AW66)</f>
        <v/>
      </c>
      <c r="AV54" s="685" t="str">
        <f>IF('[1]Data 2026'!AX66="","",'[1]Data 2026'!AX66)</f>
        <v/>
      </c>
      <c r="AW54" s="685" t="str">
        <f>IF('[1]Data 2026'!AY66="","",'[1]Data 2026'!AY66)</f>
        <v/>
      </c>
      <c r="AX54" s="685" t="str">
        <f>IF('[1]Data 2026'!AZ66="","",'[1]Data 2026'!AZ66)</f>
        <v/>
      </c>
      <c r="AY54" s="685" t="str">
        <f>IF('[1]Data 2026'!BA66="","",'[1]Data 2026'!BA66)</f>
        <v/>
      </c>
      <c r="AZ54" s="685" t="str">
        <f>IF('[1]Data 2026'!AS66="","",'[1]Data 2026'!AS66)</f>
        <v/>
      </c>
      <c r="BA54" s="685" t="str">
        <f>IF('[1]Data 2026'!AT66="","",'[1]Data 2026'!AT66)</f>
        <v/>
      </c>
      <c r="BB54" s="685" t="str">
        <f>IF('[1]Data 2026'!AU66="","",'[1]Data 2026'!AU66)</f>
        <v/>
      </c>
      <c r="BC54" s="685" t="str">
        <f>IF('[1]Data 2026'!AV66="","",'[1]Data 2026'!AV66)</f>
        <v/>
      </c>
      <c r="BD54" s="685" t="str">
        <f>IF('[1]Data 2026'!AW66="","",'[1]Data 2026'!AW66)</f>
        <v/>
      </c>
      <c r="BE54" s="685" t="str">
        <f>IF('[1]Data 2026'!AX66="","",'[1]Data 2026'!AX66)</f>
        <v/>
      </c>
      <c r="BF54" s="685" t="str">
        <f>IF('[1]Data 2026'!BF66="","",'[1]Data 2026'!BF66)</f>
        <v xml:space="preserve">REUDAN INTERNATIONAL CI </v>
      </c>
      <c r="BG54" s="685" t="str">
        <f>IF('[1]Data 2026'!BG66="","",'[1]Data 2026'!BG66)</f>
        <v/>
      </c>
      <c r="BH54" s="685" t="str">
        <f>IF('[1]Data 2026'!BH66="","",'[1]Data 2026'!BH66)</f>
        <v/>
      </c>
      <c r="BI54" s="685" t="str">
        <f>IF('[1]Data 2026'!BI66="","",'[1]Data 2026'!BI66)</f>
        <v/>
      </c>
      <c r="BJ54" s="685" t="str">
        <f>IF('[1]Data 2026'!BJ66="","",'[1]Data 2026'!BJ66)</f>
        <v/>
      </c>
      <c r="BK54" s="685" t="str">
        <f>IF('[1]Data 2026'!BK66="","",'[1]Data 2026'!BK66)</f>
        <v/>
      </c>
      <c r="BL54" s="685" t="str">
        <f>IF('[1]Data 2026'!BL66="","",'[1]Data 2026'!BL66)</f>
        <v>DUNAMIS/SITRACOM</v>
      </c>
      <c r="BM54" s="685" t="str">
        <f>IF('[1]Data 2026'!BM66="","",'[1]Data 2026'!BM66)</f>
        <v/>
      </c>
      <c r="BN54" s="685" t="str">
        <f>IF('[1]Data 2026'!BN66="","",'[1]Data 2026'!BN66)</f>
        <v/>
      </c>
      <c r="BO54" s="685" t="str">
        <f>IF('[1]Data 2026'!BO66="","",'[1]Data 2026'!BO66)</f>
        <v/>
      </c>
      <c r="BP54" s="685" t="str">
        <f>IF('[1]Data 2026'!BP66="","",'[1]Data 2026'!BP66)</f>
        <v/>
      </c>
      <c r="BQ54" s="685" t="str">
        <f>IF('[1]Data 2026'!BQ66="","",'[1]Data 2026'!BQ66)</f>
        <v/>
      </c>
      <c r="BR54" s="685" t="str">
        <f>IF('[1]Data 2026'!BR66="","",'[1]Data 2026'!BR66)</f>
        <v/>
      </c>
      <c r="BS54" s="685" t="str">
        <f>IF('[1]Data 2026'!BS66="","",'[1]Data 2026'!BS66)</f>
        <v/>
      </c>
      <c r="BT54" s="685" t="str">
        <f>IF('[1]Data 2026'!BV66="","",'[1]Data 2026'!BV66)</f>
        <v>BOA/KTD</v>
      </c>
      <c r="BU54" s="685" t="str">
        <f>IF('[1]Data 2026'!BW66="","",'[1]Data 2026'!BW66)</f>
        <v/>
      </c>
      <c r="BV54" s="685" t="str">
        <f>IF('[1]Data 2026'!BX66="","",'[1]Data 2026'!BX66)</f>
        <v/>
      </c>
      <c r="BW54" s="685" t="str">
        <f>IF('[1]Data 2026'!BY66="","",'[1]Data 2026'!BY66)</f>
        <v/>
      </c>
      <c r="BX54" s="685" t="str">
        <f>IF('[1]Data 2026'!BZ66="","",'[1]Data 2026'!BZ66)</f>
        <v/>
      </c>
      <c r="BY54" s="685" t="str">
        <f>IF('[1]Data 2026'!CA66="","",'[1]Data 2026'!CA66)</f>
        <v>182610-14837</v>
      </c>
      <c r="BZ54" s="685">
        <f>IF('[1]Data 2026'!CB66="","",'[1]Data 2026'!CB66)</f>
        <v>46129</v>
      </c>
      <c r="CA54" s="685" t="str">
        <f>IF('[1]Data 2026'!CC66="","",'[1]Data 2026'!CC66)</f>
        <v>2026-0131</v>
      </c>
      <c r="CB54" s="685">
        <f>IF('[1]Data 2026'!CD66="","",'[1]Data 2026'!CD66)</f>
        <v>46129</v>
      </c>
      <c r="CC54" s="685" t="str">
        <f>IF('[1]Data 2026'!CE66="","",'[1]Data 2026'!CE66)</f>
        <v/>
      </c>
      <c r="CD54" s="685" t="str">
        <f>IF('[1]Data 2026'!CF66="","",'[1]Data 2026'!CF66)</f>
        <v/>
      </c>
      <c r="CE54" s="685">
        <f>IF('[1]Data 2026'!CG66="","",'[1]Data 2026'!CG66)</f>
        <v>46107</v>
      </c>
      <c r="CF54" s="685">
        <f>IF('[1]Data 2026'!CH66="","",'[1]Data 2026'!CH66)</f>
        <v>46128</v>
      </c>
      <c r="CG54" s="685" t="str">
        <f>IF('[1]Data 2026'!CI66="","",'[1]Data 2026'!CI66)</f>
        <v>E11855</v>
      </c>
      <c r="CH54" s="685" t="str">
        <f>IF('[1]Data 2026'!CJ66="","",'[1]Data 2026'!CJ66)</f>
        <v/>
      </c>
      <c r="CI54" s="685">
        <f>IF('[1]Data 2026'!CK66="","",'[1]Data 2026'!CK66)</f>
        <v>46140</v>
      </c>
      <c r="CJ54" s="685" t="str">
        <f>IF('[1]Data 2026'!CM66="","",'[1]Data 2026'!CM66)</f>
        <v/>
      </c>
      <c r="CK54" s="685" t="str">
        <f>IF('[1]Data 2026'!CN66="","",'[1]Data 2026'!CN66)</f>
        <v>Sugmaran</v>
      </c>
      <c r="CL54" s="691"/>
      <c r="CM54" s="691" t="str">
        <f>IF('[1]Data 2026'!CP66="","",'[1]Data 2026'!CP66)</f>
        <v/>
      </c>
      <c r="CN54" s="691"/>
      <c r="CO54" s="693"/>
      <c r="CP54" s="693"/>
      <c r="CQ54" s="693"/>
      <c r="CR54" s="686">
        <f t="shared" si="12"/>
        <v>16</v>
      </c>
      <c r="CS54" s="686">
        <f t="shared" si="12"/>
        <v>3</v>
      </c>
      <c r="CT54" s="686">
        <f t="shared" si="12"/>
        <v>35</v>
      </c>
      <c r="CU54" s="686" t="str">
        <f t="shared" si="5"/>
        <v/>
      </c>
      <c r="CV54" s="686" t="str">
        <f t="shared" si="6"/>
        <v/>
      </c>
      <c r="CW54" s="685" t="str">
        <f t="shared" si="10"/>
        <v/>
      </c>
      <c r="CX54" s="685" t="str">
        <f t="shared" si="11"/>
        <v/>
      </c>
      <c r="CY54" s="693">
        <f t="shared" ca="1" si="7"/>
        <v>0</v>
      </c>
      <c r="CZ54" s="693" t="str">
        <f t="shared" si="8"/>
        <v/>
      </c>
      <c r="DB54"/>
      <c r="DC54"/>
    </row>
    <row r="55" spans="1:107" s="694" customFormat="1">
      <c r="A55" s="682" t="str">
        <f t="shared" si="0"/>
        <v>F. GATED IN, SAILING AWAITED</v>
      </c>
      <c r="B55" s="695" t="s">
        <v>1195</v>
      </c>
      <c r="C55" s="684" t="str">
        <f t="shared" si="1"/>
        <v>CLOSED POSITION</v>
      </c>
      <c r="D55" s="685" t="str">
        <f t="shared" si="9"/>
        <v/>
      </c>
      <c r="E55" s="685" t="str">
        <f t="shared" si="2"/>
        <v/>
      </c>
      <c r="F55" s="686">
        <f>IF('[1]Data 2026'!D67="","",'[1]Data 2026'!D67)</f>
        <v>47</v>
      </c>
      <c r="G55" s="686">
        <f>IF('[1]Data 2026'!E67="","",'[1]Data 2026'!E67)</f>
        <v>200</v>
      </c>
      <c r="H55" s="687">
        <f>IF('[1]Data 2026'!H67="","",'[1]Data 2026'!H67)</f>
        <v>32015968</v>
      </c>
      <c r="I55" s="688">
        <f>IF('[1]Data 2026'!AA67="","",'[1]Data 2026'!AA67)</f>
        <v>250</v>
      </c>
      <c r="J55" s="685" t="str">
        <f>IF('[1]Data 2026'!K67="","",'[1]Data 2026'!K67)</f>
        <v>APRIL</v>
      </c>
      <c r="K55" s="685">
        <v>46142</v>
      </c>
      <c r="L55" s="685" t="str">
        <f>IF('[1]Data 2026'!L67="","",'[1]Data 2026'!L67)</f>
        <v>VALENCY CI</v>
      </c>
      <c r="M55" s="685" t="str">
        <f>IF('[1]Data 2026'!M67="","",'[1]Data 2026'!M67)</f>
        <v>VALENCY AGRO INDIA UDUPI</v>
      </c>
      <c r="N55" s="685" t="s">
        <v>1196</v>
      </c>
      <c r="O55" s="689">
        <f>IF('[1]Data 2026'!N67="","",'[1]Data 2026'!N67)</f>
        <v>268607083</v>
      </c>
      <c r="P55" s="690" t="str">
        <f>IF('[1]Data 2026'!O67="","",'[1]Data 2026'!O67)</f>
        <v/>
      </c>
      <c r="Q55" s="685" t="str">
        <f>IF('[1]Data 2026'!P67="","",'[1]Data 2026'!P67)</f>
        <v/>
      </c>
      <c r="R55" s="685" t="str">
        <f>IF('[1]Data 2026'!Q67="","",'[1]Data 2026'!Q67)</f>
        <v>ABJ</v>
      </c>
      <c r="S55" s="685" t="s">
        <v>210</v>
      </c>
      <c r="T55" s="685" t="str">
        <f>IF('[1]Data 2026'!R67="","",'[1]Data 2026'!R67)</f>
        <v>MANGALORE, INDIA</v>
      </c>
      <c r="U55" s="685" t="str">
        <f>IF('[1]Data 2026'!S67="","",'[1]Data 2026'!S67)</f>
        <v>MAERSK CUANZA</v>
      </c>
      <c r="V55" s="685">
        <f>IF('[1]Data 2026'!T67="","",'[1]Data 2026'!T67)</f>
        <v>46110</v>
      </c>
      <c r="W55" s="685">
        <f>IF('[1]Data 2026'!U67="","",'[1]Data 2026'!U67)</f>
        <v>46130</v>
      </c>
      <c r="X55" s="685">
        <f>IF('[1]Data 2026'!V67="","",'[1]Data 2026'!V67)</f>
        <v>46132</v>
      </c>
      <c r="Y55" s="685">
        <f>IF('[1]Data 2026'!W67="","",'[1]Data 2026'!W67)</f>
        <v>46159</v>
      </c>
      <c r="Z55" s="685">
        <f>IF('[1]Data 2026'!X67="","",'[1]Data 2026'!X67)</f>
        <v>46202</v>
      </c>
      <c r="AA55" s="685"/>
      <c r="AB55" s="685">
        <f>IF('[1]Data 2026'!Y67="","",'[1]Data 2026'!Y67)</f>
        <v>46172</v>
      </c>
      <c r="AC55" s="685" t="str">
        <f>IF('[1]Data 2026'!Z67="","",'[1]Data 2026'!Z67)</f>
        <v/>
      </c>
      <c r="AD55" s="691">
        <f>IF('[1]Data 2026'!AA67="","",'[1]Data 2026'!AA67)</f>
        <v>250</v>
      </c>
      <c r="AE55" s="691">
        <f>IF('[1]Data 2026'!AB67="","",'[1]Data 2026'!AB67)</f>
        <v>250</v>
      </c>
      <c r="AF55" s="685">
        <f>IF('[1]Data 2026'!AC67="","",'[1]Data 2026'!AC67)</f>
        <v>45777</v>
      </c>
      <c r="AG55" s="685" t="str">
        <f>IF('[1]Data 2026'!AD67="","",'[1]Data 2026'!AD67)</f>
        <v>WH-I</v>
      </c>
      <c r="AH55" s="686">
        <f>IF('[1]Data 2026'!AE67="","",'[1]Data 2026'!AE67)</f>
        <v>10</v>
      </c>
      <c r="AI55" s="685" t="str">
        <f>IF('[1]Data 2026'!AG67="","",'[1]Data 2026'!AG67)</f>
        <v xml:space="preserve">REUDAN INTERNATIONAL CI </v>
      </c>
      <c r="AJ55" s="685" t="str">
        <f>IF('[1]Data 2026'!AH67="","",'[1]Data 2026'!AH67)</f>
        <v>DUNAMIS/SITRACOM</v>
      </c>
      <c r="AK55" s="685" t="str">
        <f>IF('[1]Data 2026'!AI67="","",'[1]Data 2026'!AI67)</f>
        <v>MSK</v>
      </c>
      <c r="AL55" s="685" t="str">
        <f>IF('[1]Data 2026'!AJ67="","",'[1]Data 2026'!AJ67)</f>
        <v>40FT</v>
      </c>
      <c r="AM55" s="692">
        <f>IF('[1]Data 2026'!AK67="","",'[1]Data 2026'!AK67)</f>
        <v>0.1</v>
      </c>
      <c r="AN55" s="685" t="str">
        <f>IF('[1]Data 2026'!AL67="","",'[1]Data 2026'!AL67)</f>
        <v>(01x250MTS)</v>
      </c>
      <c r="AO55" s="691">
        <f>IF('[1]Data 2026'!AM67="","",'[1]Data 2026'!AM67)</f>
        <v>275</v>
      </c>
      <c r="AP55" s="691" t="str">
        <f t="shared" si="3"/>
        <v/>
      </c>
      <c r="AQ55" s="685" t="str">
        <f>IF('[1]Data 2026'!AO67="","",'[1]Data 2026'!AO67)</f>
        <v/>
      </c>
      <c r="AR55" s="685" t="str">
        <f>IF('[1]Data 2026'!AP67="","",'[1]Data 2026'!AP67)</f>
        <v/>
      </c>
      <c r="AS55" s="685" t="str">
        <f>IF('[1]Data 2026'!AQ67="","",'[1]Data 2026'!AQ67)</f>
        <v/>
      </c>
      <c r="AT55" s="685" t="str">
        <f>IF('[1]Data 2026'!AR67="","",'[1]Data 2026'!AR67)</f>
        <v/>
      </c>
      <c r="AU55" s="685" t="str">
        <f>IF('[1]Data 2026'!AW67="","",'[1]Data 2026'!AW67)</f>
        <v/>
      </c>
      <c r="AV55" s="685" t="str">
        <f>IF('[1]Data 2026'!AX67="","",'[1]Data 2026'!AX67)</f>
        <v/>
      </c>
      <c r="AW55" s="685" t="str">
        <f>IF('[1]Data 2026'!AY67="","",'[1]Data 2026'!AY67)</f>
        <v/>
      </c>
      <c r="AX55" s="685" t="str">
        <f>IF('[1]Data 2026'!AZ67="","",'[1]Data 2026'!AZ67)</f>
        <v/>
      </c>
      <c r="AY55" s="685" t="str">
        <f>IF('[1]Data 2026'!BA67="","",'[1]Data 2026'!BA67)</f>
        <v/>
      </c>
      <c r="AZ55" s="685" t="str">
        <f>IF('[1]Data 2026'!AS67="","",'[1]Data 2026'!AS67)</f>
        <v/>
      </c>
      <c r="BA55" s="685" t="str">
        <f>IF('[1]Data 2026'!AT67="","",'[1]Data 2026'!AT67)</f>
        <v/>
      </c>
      <c r="BB55" s="685" t="str">
        <f>IF('[1]Data 2026'!AU67="","",'[1]Data 2026'!AU67)</f>
        <v/>
      </c>
      <c r="BC55" s="685" t="str">
        <f>IF('[1]Data 2026'!AV67="","",'[1]Data 2026'!AV67)</f>
        <v/>
      </c>
      <c r="BD55" s="685" t="str">
        <f>IF('[1]Data 2026'!AW67="","",'[1]Data 2026'!AW67)</f>
        <v/>
      </c>
      <c r="BE55" s="685" t="str">
        <f>IF('[1]Data 2026'!AX67="","",'[1]Data 2026'!AX67)</f>
        <v/>
      </c>
      <c r="BF55" s="685" t="str">
        <f>IF('[1]Data 2026'!BF67="","",'[1]Data 2026'!BF67)</f>
        <v xml:space="preserve">REUDAN INTERNATIONAL CI </v>
      </c>
      <c r="BG55" s="685" t="str">
        <f>IF('[1]Data 2026'!BG67="","",'[1]Data 2026'!BG67)</f>
        <v/>
      </c>
      <c r="BH55" s="685" t="str">
        <f>IF('[1]Data 2026'!BH67="","",'[1]Data 2026'!BH67)</f>
        <v/>
      </c>
      <c r="BI55" s="685" t="str">
        <f>IF('[1]Data 2026'!BI67="","",'[1]Data 2026'!BI67)</f>
        <v/>
      </c>
      <c r="BJ55" s="685" t="str">
        <f>IF('[1]Data 2026'!BJ67="","",'[1]Data 2026'!BJ67)</f>
        <v/>
      </c>
      <c r="BK55" s="685" t="str">
        <f>IF('[1]Data 2026'!BK67="","",'[1]Data 2026'!BK67)</f>
        <v/>
      </c>
      <c r="BL55" s="685" t="str">
        <f>IF('[1]Data 2026'!BL67="","",'[1]Data 2026'!BL67)</f>
        <v>DUNAMIS/SITRACOM</v>
      </c>
      <c r="BM55" s="685" t="str">
        <f>IF('[1]Data 2026'!BM67="","",'[1]Data 2026'!BM67)</f>
        <v/>
      </c>
      <c r="BN55" s="685" t="str">
        <f>IF('[1]Data 2026'!BN67="","",'[1]Data 2026'!BN67)</f>
        <v/>
      </c>
      <c r="BO55" s="685" t="str">
        <f>IF('[1]Data 2026'!BO67="","",'[1]Data 2026'!BO67)</f>
        <v/>
      </c>
      <c r="BP55" s="685" t="str">
        <f>IF('[1]Data 2026'!BP67="","",'[1]Data 2026'!BP67)</f>
        <v/>
      </c>
      <c r="BQ55" s="685" t="str">
        <f>IF('[1]Data 2026'!BQ67="","",'[1]Data 2026'!BQ67)</f>
        <v/>
      </c>
      <c r="BR55" s="685" t="str">
        <f>IF('[1]Data 2026'!BR67="","",'[1]Data 2026'!BR67)</f>
        <v/>
      </c>
      <c r="BS55" s="685" t="str">
        <f>IF('[1]Data 2026'!BS67="","",'[1]Data 2026'!BS67)</f>
        <v/>
      </c>
      <c r="BT55" s="685" t="str">
        <f>IF('[1]Data 2026'!BV67="","",'[1]Data 2026'!BV67)</f>
        <v>ABSA/CMI</v>
      </c>
      <c r="BU55" s="685" t="str">
        <f>IF('[1]Data 2026'!BW67="","",'[1]Data 2026'!BW67)</f>
        <v/>
      </c>
      <c r="BV55" s="685" t="str">
        <f>IF('[1]Data 2026'!BX67="","",'[1]Data 2026'!BX67)</f>
        <v/>
      </c>
      <c r="BW55" s="685" t="str">
        <f>IF('[1]Data 2026'!BY67="","",'[1]Data 2026'!BY67)</f>
        <v/>
      </c>
      <c r="BX55" s="685" t="str">
        <f>IF('[1]Data 2026'!BZ67="","",'[1]Data 2026'!BZ67)</f>
        <v/>
      </c>
      <c r="BY55" s="685" t="str">
        <f>IF('[1]Data 2026'!CA67="","",'[1]Data 2026'!CA67)</f>
        <v>182610-14925</v>
      </c>
      <c r="BZ55" s="685">
        <f>IF('[1]Data 2026'!CB67="","",'[1]Data 2026'!CB67)</f>
        <v>46134</v>
      </c>
      <c r="CA55" s="685" t="str">
        <f>IF('[1]Data 2026'!CC67="","",'[1]Data 2026'!CC67)</f>
        <v>2026-0241</v>
      </c>
      <c r="CB55" s="685">
        <f>IF('[1]Data 2026'!CD67="","",'[1]Data 2026'!CD67)</f>
        <v>46134</v>
      </c>
      <c r="CC55" s="685" t="str">
        <f>IF('[1]Data 2026'!CE67="","",'[1]Data 2026'!CE67)</f>
        <v/>
      </c>
      <c r="CD55" s="685" t="str">
        <f>IF('[1]Data 2026'!CF67="","",'[1]Data 2026'!CF67)</f>
        <v/>
      </c>
      <c r="CE55" s="685">
        <f>IF('[1]Data 2026'!CG67="","",'[1]Data 2026'!CG67)</f>
        <v>46110</v>
      </c>
      <c r="CF55" s="685">
        <f>IF('[1]Data 2026'!CH67="","",'[1]Data 2026'!CH67)</f>
        <v>46129</v>
      </c>
      <c r="CG55" s="685" t="str">
        <f>IF('[1]Data 2026'!CI67="","",'[1]Data 2026'!CI67)</f>
        <v>E12067</v>
      </c>
      <c r="CH55" s="685" t="str">
        <f>IF('[1]Data 2026'!CJ67="","",'[1]Data 2026'!CJ67)</f>
        <v/>
      </c>
      <c r="CI55" s="685">
        <f>IF('[1]Data 2026'!CK67="","",'[1]Data 2026'!CK67)</f>
        <v>46140</v>
      </c>
      <c r="CJ55" s="685" t="str">
        <f>IF('[1]Data 2026'!CM67="","",'[1]Data 2026'!CM67)</f>
        <v/>
      </c>
      <c r="CK55" s="685" t="str">
        <f>IF('[1]Data 2026'!CN67="","",'[1]Data 2026'!CN67)</f>
        <v>Ajeesh</v>
      </c>
      <c r="CL55" s="691"/>
      <c r="CM55" s="691" t="str">
        <f>IF('[1]Data 2026'!CP67="","",'[1]Data 2026'!CP67)</f>
        <v/>
      </c>
      <c r="CN55" s="691"/>
      <c r="CO55" s="693"/>
      <c r="CP55" s="693"/>
      <c r="CQ55" s="693"/>
      <c r="CR55" s="686">
        <f t="shared" si="12"/>
        <v>20</v>
      </c>
      <c r="CS55" s="686">
        <f t="shared" si="12"/>
        <v>2</v>
      </c>
      <c r="CT55" s="686">
        <f t="shared" si="12"/>
        <v>27</v>
      </c>
      <c r="CU55" s="686" t="str">
        <f t="shared" si="5"/>
        <v/>
      </c>
      <c r="CV55" s="686" t="str">
        <f t="shared" si="6"/>
        <v/>
      </c>
      <c r="CW55" s="685" t="str">
        <f t="shared" si="10"/>
        <v/>
      </c>
      <c r="CX55" s="685" t="str">
        <f t="shared" si="11"/>
        <v/>
      </c>
      <c r="CY55" s="693">
        <f t="shared" ca="1" si="7"/>
        <v>0</v>
      </c>
      <c r="CZ55" s="693" t="str">
        <f t="shared" si="8"/>
        <v/>
      </c>
      <c r="DB55"/>
      <c r="DC55"/>
    </row>
    <row r="56" spans="1:107" s="694" customFormat="1">
      <c r="A56" s="682" t="str">
        <f t="shared" si="0"/>
        <v>F. GATED IN, SAILING AWAITED</v>
      </c>
      <c r="B56" s="695" t="s">
        <v>1195</v>
      </c>
      <c r="C56" s="684" t="str">
        <f t="shared" si="1"/>
        <v>CLOSED POSITION</v>
      </c>
      <c r="D56" s="685" t="str">
        <f t="shared" si="9"/>
        <v/>
      </c>
      <c r="E56" s="685" t="str">
        <f t="shared" si="2"/>
        <v/>
      </c>
      <c r="F56" s="686">
        <f>IF('[1]Data 2026'!D68="","",'[1]Data 2026'!D68)</f>
        <v>47</v>
      </c>
      <c r="G56" s="686">
        <f>IF('[1]Data 2026'!E68="","",'[1]Data 2026'!E68)</f>
        <v>200</v>
      </c>
      <c r="H56" s="687">
        <f>IF('[1]Data 2026'!H68="","",'[1]Data 2026'!H68)</f>
        <v>32015968</v>
      </c>
      <c r="I56" s="688">
        <f>IF('[1]Data 2026'!AA68="","",'[1]Data 2026'!AA68)</f>
        <v>250</v>
      </c>
      <c r="J56" s="685" t="str">
        <f>IF('[1]Data 2026'!K68="","",'[1]Data 2026'!K68)</f>
        <v>APRIL</v>
      </c>
      <c r="K56" s="685">
        <v>46142</v>
      </c>
      <c r="L56" s="685" t="str">
        <f>IF('[1]Data 2026'!L68="","",'[1]Data 2026'!L68)</f>
        <v>VALENCY CI</v>
      </c>
      <c r="M56" s="685" t="str">
        <f>IF('[1]Data 2026'!M68="","",'[1]Data 2026'!M68)</f>
        <v>VALENCY AGRO INDIA UDUPI</v>
      </c>
      <c r="N56" s="685" t="s">
        <v>1196</v>
      </c>
      <c r="O56" s="689">
        <f>IF('[1]Data 2026'!N68="","",'[1]Data 2026'!N68)</f>
        <v>268606982</v>
      </c>
      <c r="P56" s="690" t="str">
        <f>IF('[1]Data 2026'!O68="","",'[1]Data 2026'!O68)</f>
        <v/>
      </c>
      <c r="Q56" s="685" t="str">
        <f>IF('[1]Data 2026'!P68="","",'[1]Data 2026'!P68)</f>
        <v/>
      </c>
      <c r="R56" s="685" t="str">
        <f>IF('[1]Data 2026'!Q68="","",'[1]Data 2026'!Q68)</f>
        <v>ABJ</v>
      </c>
      <c r="S56" s="685" t="s">
        <v>210</v>
      </c>
      <c r="T56" s="685" t="str">
        <f>IF('[1]Data 2026'!R68="","",'[1]Data 2026'!R68)</f>
        <v>MANGALORE, INDIA</v>
      </c>
      <c r="U56" s="685" t="str">
        <f>IF('[1]Data 2026'!S68="","",'[1]Data 2026'!S68)</f>
        <v>MAERSK CUANZA</v>
      </c>
      <c r="V56" s="685">
        <f>IF('[1]Data 2026'!T68="","",'[1]Data 2026'!T68)</f>
        <v>46110</v>
      </c>
      <c r="W56" s="685">
        <f>IF('[1]Data 2026'!U68="","",'[1]Data 2026'!U68)</f>
        <v>46129</v>
      </c>
      <c r="X56" s="685">
        <f>IF('[1]Data 2026'!V68="","",'[1]Data 2026'!V68)</f>
        <v>46132</v>
      </c>
      <c r="Y56" s="685">
        <f>IF('[1]Data 2026'!W68="","",'[1]Data 2026'!W68)</f>
        <v>46158</v>
      </c>
      <c r="Z56" s="685">
        <f>IF('[1]Data 2026'!X68="","",'[1]Data 2026'!X68)</f>
        <v>46202</v>
      </c>
      <c r="AA56" s="685"/>
      <c r="AB56" s="685">
        <f>IF('[1]Data 2026'!Y68="","",'[1]Data 2026'!Y68)</f>
        <v>46172</v>
      </c>
      <c r="AC56" s="685" t="str">
        <f>IF('[1]Data 2026'!Z68="","",'[1]Data 2026'!Z68)</f>
        <v/>
      </c>
      <c r="AD56" s="691">
        <f>IF('[1]Data 2026'!AA68="","",'[1]Data 2026'!AA68)</f>
        <v>250</v>
      </c>
      <c r="AE56" s="691">
        <f>IF('[1]Data 2026'!AB68="","",'[1]Data 2026'!AB68)</f>
        <v>250</v>
      </c>
      <c r="AF56" s="685">
        <f>IF('[1]Data 2026'!AC68="","",'[1]Data 2026'!AC68)</f>
        <v>45777</v>
      </c>
      <c r="AG56" s="685" t="str">
        <f>IF('[1]Data 2026'!AD68="","",'[1]Data 2026'!AD68)</f>
        <v>WH-I</v>
      </c>
      <c r="AH56" s="686">
        <f>IF('[1]Data 2026'!AE68="","",'[1]Data 2026'!AE68)</f>
        <v>10</v>
      </c>
      <c r="AI56" s="685" t="str">
        <f>IF('[1]Data 2026'!AG68="","",'[1]Data 2026'!AG68)</f>
        <v xml:space="preserve">REUDAN INTERNATIONAL CI </v>
      </c>
      <c r="AJ56" s="685" t="str">
        <f>IF('[1]Data 2026'!AH68="","",'[1]Data 2026'!AH68)</f>
        <v>DUNAMIS/SITRACOM</v>
      </c>
      <c r="AK56" s="685" t="str">
        <f>IF('[1]Data 2026'!AI68="","",'[1]Data 2026'!AI68)</f>
        <v>MSK</v>
      </c>
      <c r="AL56" s="685" t="str">
        <f>IF('[1]Data 2026'!AJ68="","",'[1]Data 2026'!AJ68)</f>
        <v>40FT</v>
      </c>
      <c r="AM56" s="692">
        <f>IF('[1]Data 2026'!AK68="","",'[1]Data 2026'!AK68)</f>
        <v>0.1</v>
      </c>
      <c r="AN56" s="685" t="str">
        <f>IF('[1]Data 2026'!AL68="","",'[1]Data 2026'!AL68)</f>
        <v>(01x250MTS)</v>
      </c>
      <c r="AO56" s="691">
        <f>IF('[1]Data 2026'!AM68="","",'[1]Data 2026'!AM68)</f>
        <v>275</v>
      </c>
      <c r="AP56" s="691" t="str">
        <f t="shared" si="3"/>
        <v/>
      </c>
      <c r="AQ56" s="685" t="str">
        <f>IF('[1]Data 2026'!AO68="","",'[1]Data 2026'!AO68)</f>
        <v/>
      </c>
      <c r="AR56" s="685" t="str">
        <f>IF('[1]Data 2026'!AP68="","",'[1]Data 2026'!AP68)</f>
        <v/>
      </c>
      <c r="AS56" s="685" t="str">
        <f>IF('[1]Data 2026'!AQ68="","",'[1]Data 2026'!AQ68)</f>
        <v/>
      </c>
      <c r="AT56" s="685" t="str">
        <f>IF('[1]Data 2026'!AR68="","",'[1]Data 2026'!AR68)</f>
        <v/>
      </c>
      <c r="AU56" s="685" t="str">
        <f>IF('[1]Data 2026'!AW68="","",'[1]Data 2026'!AW68)</f>
        <v/>
      </c>
      <c r="AV56" s="685" t="str">
        <f>IF('[1]Data 2026'!AX68="","",'[1]Data 2026'!AX68)</f>
        <v/>
      </c>
      <c r="AW56" s="685" t="str">
        <f>IF('[1]Data 2026'!AY68="","",'[1]Data 2026'!AY68)</f>
        <v/>
      </c>
      <c r="AX56" s="685" t="str">
        <f>IF('[1]Data 2026'!AZ68="","",'[1]Data 2026'!AZ68)</f>
        <v/>
      </c>
      <c r="AY56" s="685" t="str">
        <f>IF('[1]Data 2026'!BA68="","",'[1]Data 2026'!BA68)</f>
        <v/>
      </c>
      <c r="AZ56" s="685" t="str">
        <f>IF('[1]Data 2026'!AS68="","",'[1]Data 2026'!AS68)</f>
        <v/>
      </c>
      <c r="BA56" s="685" t="str">
        <f>IF('[1]Data 2026'!AT68="","",'[1]Data 2026'!AT68)</f>
        <v/>
      </c>
      <c r="BB56" s="685" t="str">
        <f>IF('[1]Data 2026'!AU68="","",'[1]Data 2026'!AU68)</f>
        <v/>
      </c>
      <c r="BC56" s="685" t="str">
        <f>IF('[1]Data 2026'!AV68="","",'[1]Data 2026'!AV68)</f>
        <v/>
      </c>
      <c r="BD56" s="685" t="str">
        <f>IF('[1]Data 2026'!AW68="","",'[1]Data 2026'!AW68)</f>
        <v/>
      </c>
      <c r="BE56" s="685" t="str">
        <f>IF('[1]Data 2026'!AX68="","",'[1]Data 2026'!AX68)</f>
        <v/>
      </c>
      <c r="BF56" s="685" t="str">
        <f>IF('[1]Data 2026'!BF68="","",'[1]Data 2026'!BF68)</f>
        <v xml:space="preserve">REUDAN INTERNATIONAL CI </v>
      </c>
      <c r="BG56" s="685" t="str">
        <f>IF('[1]Data 2026'!BG68="","",'[1]Data 2026'!BG68)</f>
        <v/>
      </c>
      <c r="BH56" s="685" t="str">
        <f>IF('[1]Data 2026'!BH68="","",'[1]Data 2026'!BH68)</f>
        <v/>
      </c>
      <c r="BI56" s="685" t="str">
        <f>IF('[1]Data 2026'!BI68="","",'[1]Data 2026'!BI68)</f>
        <v/>
      </c>
      <c r="BJ56" s="685" t="str">
        <f>IF('[1]Data 2026'!BJ68="","",'[1]Data 2026'!BJ68)</f>
        <v/>
      </c>
      <c r="BK56" s="685" t="str">
        <f>IF('[1]Data 2026'!BK68="","",'[1]Data 2026'!BK68)</f>
        <v/>
      </c>
      <c r="BL56" s="685" t="str">
        <f>IF('[1]Data 2026'!BL68="","",'[1]Data 2026'!BL68)</f>
        <v>DUNAMIS/SITRACOM</v>
      </c>
      <c r="BM56" s="685" t="str">
        <f>IF('[1]Data 2026'!BM68="","",'[1]Data 2026'!BM68)</f>
        <v/>
      </c>
      <c r="BN56" s="685" t="str">
        <f>IF('[1]Data 2026'!BN68="","",'[1]Data 2026'!BN68)</f>
        <v/>
      </c>
      <c r="BO56" s="685" t="str">
        <f>IF('[1]Data 2026'!BO68="","",'[1]Data 2026'!BO68)</f>
        <v/>
      </c>
      <c r="BP56" s="685" t="str">
        <f>IF('[1]Data 2026'!BP68="","",'[1]Data 2026'!BP68)</f>
        <v/>
      </c>
      <c r="BQ56" s="685" t="str">
        <f>IF('[1]Data 2026'!BQ68="","",'[1]Data 2026'!BQ68)</f>
        <v/>
      </c>
      <c r="BR56" s="685" t="str">
        <f>IF('[1]Data 2026'!BR68="","",'[1]Data 2026'!BR68)</f>
        <v/>
      </c>
      <c r="BS56" s="685" t="str">
        <f>IF('[1]Data 2026'!BS68="","",'[1]Data 2026'!BS68)</f>
        <v/>
      </c>
      <c r="BT56" s="685" t="str">
        <f>IF('[1]Data 2026'!BV68="","",'[1]Data 2026'!BV68)</f>
        <v>ABSA/CMI</v>
      </c>
      <c r="BU56" s="685" t="str">
        <f>IF('[1]Data 2026'!BW68="","",'[1]Data 2026'!BW68)</f>
        <v/>
      </c>
      <c r="BV56" s="685" t="str">
        <f>IF('[1]Data 2026'!BX68="","",'[1]Data 2026'!BX68)</f>
        <v/>
      </c>
      <c r="BW56" s="685" t="str">
        <f>IF('[1]Data 2026'!BY68="","",'[1]Data 2026'!BY68)</f>
        <v/>
      </c>
      <c r="BX56" s="685" t="str">
        <f>IF('[1]Data 2026'!BZ68="","",'[1]Data 2026'!BZ68)</f>
        <v/>
      </c>
      <c r="BY56" s="685" t="str">
        <f>IF('[1]Data 2026'!CA68="","",'[1]Data 2026'!CA68)</f>
        <v>182610-14925</v>
      </c>
      <c r="BZ56" s="685">
        <f>IF('[1]Data 2026'!CB68="","",'[1]Data 2026'!CB68)</f>
        <v>46134</v>
      </c>
      <c r="CA56" s="685" t="str">
        <f>IF('[1]Data 2026'!CC68="","",'[1]Data 2026'!CC68)</f>
        <v>2026-0241</v>
      </c>
      <c r="CB56" s="685">
        <f>IF('[1]Data 2026'!CD68="","",'[1]Data 2026'!CD68)</f>
        <v>46134</v>
      </c>
      <c r="CC56" s="685" t="str">
        <f>IF('[1]Data 2026'!CE68="","",'[1]Data 2026'!CE68)</f>
        <v/>
      </c>
      <c r="CD56" s="685" t="str">
        <f>IF('[1]Data 2026'!CF68="","",'[1]Data 2026'!CF68)</f>
        <v/>
      </c>
      <c r="CE56" s="685">
        <f>IF('[1]Data 2026'!CG68="","",'[1]Data 2026'!CG68)</f>
        <v>46110</v>
      </c>
      <c r="CF56" s="685">
        <f>IF('[1]Data 2026'!CH68="","",'[1]Data 2026'!CH68)</f>
        <v>46129</v>
      </c>
      <c r="CG56" s="685" t="str">
        <f>IF('[1]Data 2026'!CI68="","",'[1]Data 2026'!CI68)</f>
        <v>E12067</v>
      </c>
      <c r="CH56" s="685" t="str">
        <f>IF('[1]Data 2026'!CJ68="","",'[1]Data 2026'!CJ68)</f>
        <v/>
      </c>
      <c r="CI56" s="685">
        <f>IF('[1]Data 2026'!CK68="","",'[1]Data 2026'!CK68)</f>
        <v>46140</v>
      </c>
      <c r="CJ56" s="685" t="str">
        <f>IF('[1]Data 2026'!CM68="","",'[1]Data 2026'!CM68)</f>
        <v/>
      </c>
      <c r="CK56" s="685" t="str">
        <f>IF('[1]Data 2026'!CN68="","",'[1]Data 2026'!CN68)</f>
        <v>Ajeesh</v>
      </c>
      <c r="CL56" s="691"/>
      <c r="CM56" s="691" t="str">
        <f>IF('[1]Data 2026'!CP68="","",'[1]Data 2026'!CP68)</f>
        <v/>
      </c>
      <c r="CN56" s="691"/>
      <c r="CO56" s="693"/>
      <c r="CP56" s="693"/>
      <c r="CQ56" s="693"/>
      <c r="CR56" s="686">
        <f t="shared" si="12"/>
        <v>19</v>
      </c>
      <c r="CS56" s="686">
        <f t="shared" si="12"/>
        <v>3</v>
      </c>
      <c r="CT56" s="686">
        <f t="shared" si="12"/>
        <v>26</v>
      </c>
      <c r="CU56" s="686" t="str">
        <f t="shared" si="5"/>
        <v/>
      </c>
      <c r="CV56" s="686" t="str">
        <f t="shared" si="6"/>
        <v/>
      </c>
      <c r="CW56" s="685" t="str">
        <f t="shared" si="10"/>
        <v/>
      </c>
      <c r="CX56" s="685" t="str">
        <f t="shared" si="11"/>
        <v/>
      </c>
      <c r="CY56" s="693">
        <f t="shared" ca="1" si="7"/>
        <v>0</v>
      </c>
      <c r="CZ56" s="693" t="str">
        <f t="shared" si="8"/>
        <v/>
      </c>
      <c r="DB56"/>
      <c r="DC56"/>
    </row>
    <row r="57" spans="1:107" s="694" customFormat="1">
      <c r="A57" s="682" t="str">
        <f t="shared" si="0"/>
        <v>H. PHYSICAL OBL RCVD</v>
      </c>
      <c r="B57" s="695" t="s">
        <v>1201</v>
      </c>
      <c r="C57" s="684" t="str">
        <f t="shared" si="1"/>
        <v>CLOSED POSITION</v>
      </c>
      <c r="D57" s="685" t="str">
        <f t="shared" si="9"/>
        <v>HBL RECEIVED, SURRENDER IS DUE</v>
      </c>
      <c r="E57" s="685" t="str">
        <f t="shared" si="2"/>
        <v>ALL CERT COURIERED</v>
      </c>
      <c r="F57" s="686">
        <f>IF('[1]Data 2026'!D69="","",'[1]Data 2026'!D69)</f>
        <v>47</v>
      </c>
      <c r="G57" s="686">
        <f>IF('[1]Data 2026'!E69="","",'[1]Data 2026'!E69)</f>
        <v>200</v>
      </c>
      <c r="H57" s="687">
        <f>IF('[1]Data 2026'!H69="","",'[1]Data 2026'!H69)</f>
        <v>32015968</v>
      </c>
      <c r="I57" s="688">
        <f>IF('[1]Data 2026'!AA69="","",'[1]Data 2026'!AA69)</f>
        <v>250</v>
      </c>
      <c r="J57" s="685" t="str">
        <f>IF('[1]Data 2026'!K69="","",'[1]Data 2026'!K69)</f>
        <v>APRIL</v>
      </c>
      <c r="K57" s="685">
        <v>46142</v>
      </c>
      <c r="L57" s="685" t="str">
        <f>IF('[1]Data 2026'!L69="","",'[1]Data 2026'!L69)</f>
        <v>VALENCY CI</v>
      </c>
      <c r="M57" s="685" t="str">
        <f>IF('[1]Data 2026'!M69="","",'[1]Data 2026'!M69)</f>
        <v>VALENCY AGRO INDIA UDUPI</v>
      </c>
      <c r="N57" s="685" t="s">
        <v>1196</v>
      </c>
      <c r="O57" s="689" t="str">
        <f>IF('[1]Data 2026'!N69="","",'[1]Data 2026'!N69)</f>
        <v>EBKG16338129</v>
      </c>
      <c r="P57" s="690" t="str">
        <f>IF('[1]Data 2026'!O69="","",'[1]Data 2026'!O69)</f>
        <v>MEDUEY230918</v>
      </c>
      <c r="Q57" s="685" t="str">
        <f>IF('[1]Data 2026'!P69="","",'[1]Data 2026'!P69)</f>
        <v>TPSCR26010611</v>
      </c>
      <c r="R57" s="685" t="str">
        <f>IF('[1]Data 2026'!Q69="","",'[1]Data 2026'!Q69)</f>
        <v>ABJ</v>
      </c>
      <c r="S57" s="685" t="s">
        <v>210</v>
      </c>
      <c r="T57" s="685" t="str">
        <f>IF('[1]Data 2026'!R69="","",'[1]Data 2026'!R69)</f>
        <v>MANGALORE, INDIA</v>
      </c>
      <c r="U57" s="685" t="str">
        <f>IF('[1]Data 2026'!S69="","",'[1]Data 2026'!S69)</f>
        <v>MSC TINA</v>
      </c>
      <c r="V57" s="685">
        <f>IF('[1]Data 2026'!T69="","",'[1]Data 2026'!T69)</f>
        <v>46111</v>
      </c>
      <c r="W57" s="685">
        <f>IF('[1]Data 2026'!U69="","",'[1]Data 2026'!U69)</f>
        <v>46135</v>
      </c>
      <c r="X57" s="685">
        <f>IF('[1]Data 2026'!V69="","",'[1]Data 2026'!V69)</f>
        <v>46136</v>
      </c>
      <c r="Y57" s="685">
        <f>IF('[1]Data 2026'!W69="","",'[1]Data 2026'!W69)</f>
        <v>46138</v>
      </c>
      <c r="Z57" s="685">
        <f>IF('[1]Data 2026'!X69="","",'[1]Data 2026'!X69)</f>
        <v>46173</v>
      </c>
      <c r="AA57" s="685"/>
      <c r="AB57" s="685">
        <f>IF('[1]Data 2026'!Y69="","",'[1]Data 2026'!Y69)</f>
        <v>46144</v>
      </c>
      <c r="AC57" s="685">
        <f>IF('[1]Data 2026'!Z69="","",'[1]Data 2026'!Z69)</f>
        <v>46144</v>
      </c>
      <c r="AD57" s="691">
        <f>IF('[1]Data 2026'!AA69="","",'[1]Data 2026'!AA69)</f>
        <v>250</v>
      </c>
      <c r="AE57" s="691">
        <f>IF('[1]Data 2026'!AB69="","",'[1]Data 2026'!AB69)</f>
        <v>243.65</v>
      </c>
      <c r="AF57" s="685">
        <f>IF('[1]Data 2026'!AC69="","",'[1]Data 2026'!AC69)</f>
        <v>45777</v>
      </c>
      <c r="AG57" s="685" t="str">
        <f>IF('[1]Data 2026'!AD69="","",'[1]Data 2026'!AD69)</f>
        <v>Ex-Olam</v>
      </c>
      <c r="AH57" s="686">
        <f>IF('[1]Data 2026'!AE69="","",'[1]Data 2026'!AE69)</f>
        <v>10</v>
      </c>
      <c r="AI57" s="685" t="str">
        <f>IF('[1]Data 2026'!AG69="","",'[1]Data 2026'!AG69)</f>
        <v>DUNAMIS SHIPPING</v>
      </c>
      <c r="AJ57" s="685" t="str">
        <f>IF('[1]Data 2026'!AH69="","",'[1]Data 2026'!AH69)</f>
        <v>DUNAMIS/SITRACOM</v>
      </c>
      <c r="AK57" s="685" t="str">
        <f>IF('[1]Data 2026'!AI69="","",'[1]Data 2026'!AI69)</f>
        <v>MSC</v>
      </c>
      <c r="AL57" s="685" t="str">
        <f>IF('[1]Data 2026'!AJ69="","",'[1]Data 2026'!AJ69)</f>
        <v>40FT</v>
      </c>
      <c r="AM57" s="692">
        <f>IF('[1]Data 2026'!AK69="","",'[1]Data 2026'!AK69)</f>
        <v>0.1</v>
      </c>
      <c r="AN57" s="685" t="str">
        <f>IF('[1]Data 2026'!AL69="","",'[1]Data 2026'!AL69)</f>
        <v>(01x250MTS)</v>
      </c>
      <c r="AO57" s="691">
        <f>IF('[1]Data 2026'!AM69="","",'[1]Data 2026'!AM69)</f>
        <v>275</v>
      </c>
      <c r="AP57" s="691">
        <f t="shared" si="3"/>
        <v>-6.3499999999999943</v>
      </c>
      <c r="AQ57" s="685" t="str">
        <f>IF('[1]Data 2026'!AO69="","",'[1]Data 2026'!AO69)</f>
        <v/>
      </c>
      <c r="AR57" s="685">
        <f>IF('[1]Data 2026'!AP69="","",'[1]Data 2026'!AP69)</f>
        <v>46146</v>
      </c>
      <c r="AS57" s="685">
        <f>IF('[1]Data 2026'!AQ69="","",'[1]Data 2026'!AQ69)</f>
        <v>46146</v>
      </c>
      <c r="AT57" s="685">
        <f>IF('[1]Data 2026'!AR69="","",'[1]Data 2026'!AR69)</f>
        <v>46155</v>
      </c>
      <c r="AU57" s="685">
        <f>IF('[1]Data 2026'!AW69="","",'[1]Data 2026'!AW69)</f>
        <v>46154</v>
      </c>
      <c r="AV57" s="685">
        <f>IF('[1]Data 2026'!AX69="","",'[1]Data 2026'!AX69)</f>
        <v>2046495802</v>
      </c>
      <c r="AW57" s="685" t="str">
        <f>IF('[1]Data 2026'!AY69="","",'[1]Data 2026'!AY69)</f>
        <v>Valency Singapore</v>
      </c>
      <c r="AX57" s="685">
        <f>IF('[1]Data 2026'!AZ69="","",'[1]Data 2026'!AZ69)</f>
        <v>46157</v>
      </c>
      <c r="AY57" s="685">
        <f>IF('[1]Data 2026'!BA69="","",'[1]Data 2026'!BA69)</f>
        <v>4218950466</v>
      </c>
      <c r="AZ57" s="685">
        <f>IF('[1]Data 2026'!AS69="","",'[1]Data 2026'!AS69)</f>
        <v>46153</v>
      </c>
      <c r="BA57" s="685">
        <f>IF('[1]Data 2026'!AT69="","",'[1]Data 2026'!AT69)</f>
        <v>46153</v>
      </c>
      <c r="BB57" s="685">
        <f>IF('[1]Data 2026'!AU69="","",'[1]Data 2026'!AU69)</f>
        <v>46153</v>
      </c>
      <c r="BC57" s="685" t="str">
        <f>IF('[1]Data 2026'!AV69="","",'[1]Data 2026'!AV69)</f>
        <v>Mr. Balakrishna Kottary  ETA LOGISTICS</v>
      </c>
      <c r="BD57" s="685">
        <f>IF('[1]Data 2026'!AW69="","",'[1]Data 2026'!AW69)</f>
        <v>46154</v>
      </c>
      <c r="BE57" s="685">
        <f>IF('[1]Data 2026'!AX69="","",'[1]Data 2026'!AX69)</f>
        <v>2046495802</v>
      </c>
      <c r="BF57" s="685" t="str">
        <f>IF('[1]Data 2026'!BF69="","",'[1]Data 2026'!BF69)</f>
        <v>DUNAMIS SHIPPING</v>
      </c>
      <c r="BG57" s="685" t="str">
        <f>IF('[1]Data 2026'!BG69="","",'[1]Data 2026'!BG69)</f>
        <v/>
      </c>
      <c r="BH57" s="685" t="str">
        <f>IF('[1]Data 2026'!BH69="","",'[1]Data 2026'!BH69)</f>
        <v/>
      </c>
      <c r="BI57" s="685" t="str">
        <f>IF('[1]Data 2026'!BI69="","",'[1]Data 2026'!BI69)</f>
        <v/>
      </c>
      <c r="BJ57" s="685" t="str">
        <f>IF('[1]Data 2026'!BJ69="","",'[1]Data 2026'!BJ69)</f>
        <v/>
      </c>
      <c r="BK57" s="685" t="str">
        <f>IF('[1]Data 2026'!BK69="","",'[1]Data 2026'!BK69)</f>
        <v/>
      </c>
      <c r="BL57" s="685" t="str">
        <f>IF('[1]Data 2026'!BL69="","",'[1]Data 2026'!BL69)</f>
        <v>DUNAMIS/SITRACOM</v>
      </c>
      <c r="BM57" s="685" t="str">
        <f>IF('[1]Data 2026'!BM69="","",'[1]Data 2026'!BM69)</f>
        <v/>
      </c>
      <c r="BN57" s="685" t="str">
        <f>IF('[1]Data 2026'!BN69="","",'[1]Data 2026'!BN69)</f>
        <v/>
      </c>
      <c r="BO57" s="685" t="str">
        <f>IF('[1]Data 2026'!BO69="","",'[1]Data 2026'!BO69)</f>
        <v/>
      </c>
      <c r="BP57" s="685" t="str">
        <f>IF('[1]Data 2026'!BP69="","",'[1]Data 2026'!BP69)</f>
        <v/>
      </c>
      <c r="BQ57" s="685" t="str">
        <f>IF('[1]Data 2026'!BQ69="","",'[1]Data 2026'!BQ69)</f>
        <v/>
      </c>
      <c r="BR57" s="685">
        <f>IF('[1]Data 2026'!BR69="","",'[1]Data 2026'!BR69)</f>
        <v>46144</v>
      </c>
      <c r="BS57" s="685" t="str">
        <f>IF('[1]Data 2026'!BS69="","",'[1]Data 2026'!BS69)</f>
        <v>IVC-RCN2026-CI0002</v>
      </c>
      <c r="BT57" s="685" t="str">
        <f>IF('[1]Data 2026'!BV69="","",'[1]Data 2026'!BV69)</f>
        <v>BOA/KTD</v>
      </c>
      <c r="BU57" s="685">
        <f>IF('[1]Data 2026'!BW69="","",'[1]Data 2026'!BW69)</f>
        <v>46160</v>
      </c>
      <c r="BV57" s="685" t="str">
        <f>IF('[1]Data 2026'!BX69="","",'[1]Data 2026'!BX69)</f>
        <v/>
      </c>
      <c r="BW57" s="685" t="str">
        <f>IF('[1]Data 2026'!BY69="","",'[1]Data 2026'!BY69)</f>
        <v>1347386H26000000526</v>
      </c>
      <c r="BX57" s="685">
        <f>IF('[1]Data 2026'!BZ69="","",'[1]Data 2026'!BZ69)</f>
        <v>46160</v>
      </c>
      <c r="BY57" s="685" t="str">
        <f>IF('[1]Data 2026'!CA69="","",'[1]Data 2026'!CA69)</f>
        <v>182610-14926</v>
      </c>
      <c r="BZ57" s="685">
        <f>IF('[1]Data 2026'!CB69="","",'[1]Data 2026'!CB69)</f>
        <v>46134</v>
      </c>
      <c r="CA57" s="685" t="str">
        <f>IF('[1]Data 2026'!CC69="","",'[1]Data 2026'!CC69)</f>
        <v/>
      </c>
      <c r="CB57" s="685" t="str">
        <f>IF('[1]Data 2026'!CD69="","",'[1]Data 2026'!CD69)</f>
        <v/>
      </c>
      <c r="CC57" s="685" t="str">
        <f>IF('[1]Data 2026'!CE69="","",'[1]Data 2026'!CE69)</f>
        <v/>
      </c>
      <c r="CD57" s="685" t="str">
        <f>IF('[1]Data 2026'!CF69="","",'[1]Data 2026'!CF69)</f>
        <v/>
      </c>
      <c r="CE57" s="685">
        <f>IF('[1]Data 2026'!CG69="","",'[1]Data 2026'!CG69)</f>
        <v>46111</v>
      </c>
      <c r="CF57" s="685">
        <f>IF('[1]Data 2026'!CH69="","",'[1]Data 2026'!CH69)</f>
        <v>46129</v>
      </c>
      <c r="CG57" s="685" t="str">
        <f>IF('[1]Data 2026'!CI69="","",'[1]Data 2026'!CI69)</f>
        <v>E12096</v>
      </c>
      <c r="CH57" s="685" t="str">
        <f>IF('[1]Data 2026'!CJ69="","",'[1]Data 2026'!CJ69)</f>
        <v/>
      </c>
      <c r="CI57" s="685">
        <f>IF('[1]Data 2026'!CK69="","",'[1]Data 2026'!CK69)</f>
        <v>46132</v>
      </c>
      <c r="CJ57" s="685" t="str">
        <f>IF('[1]Data 2026'!CM69="","",'[1]Data 2026'!CM69)</f>
        <v/>
      </c>
      <c r="CK57" s="685" t="str">
        <f>IF('[1]Data 2026'!CN69="","",'[1]Data 2026'!CN69)</f>
        <v>Sugmaran</v>
      </c>
      <c r="CL57" s="691"/>
      <c r="CM57" s="691" t="str">
        <f>IF('[1]Data 2026'!CP69="","",'[1]Data 2026'!CP69)</f>
        <v/>
      </c>
      <c r="CN57" s="691"/>
      <c r="CO57" s="693"/>
      <c r="CP57" s="693"/>
      <c r="CQ57" s="693"/>
      <c r="CR57" s="686">
        <f t="shared" si="12"/>
        <v>24</v>
      </c>
      <c r="CS57" s="686">
        <f t="shared" si="12"/>
        <v>1</v>
      </c>
      <c r="CT57" s="686">
        <f t="shared" si="12"/>
        <v>2</v>
      </c>
      <c r="CU57" s="686">
        <f t="shared" si="5"/>
        <v>8</v>
      </c>
      <c r="CV57" s="686">
        <f t="shared" si="6"/>
        <v>16</v>
      </c>
      <c r="CW57" s="685">
        <f t="shared" si="10"/>
        <v>11</v>
      </c>
      <c r="CX57" s="685">
        <f t="shared" si="11"/>
        <v>2</v>
      </c>
      <c r="CY57" s="693">
        <f t="shared" ca="1" si="7"/>
        <v>100</v>
      </c>
      <c r="CZ57" s="693" t="str">
        <f t="shared" si="8"/>
        <v/>
      </c>
      <c r="DB57"/>
      <c r="DC57"/>
    </row>
    <row r="58" spans="1:107" s="694" customFormat="1">
      <c r="A58" s="682" t="str">
        <f t="shared" si="0"/>
        <v>H. PHYSICAL OBL RCVD</v>
      </c>
      <c r="B58" s="695" t="s">
        <v>1201</v>
      </c>
      <c r="C58" s="684" t="str">
        <f t="shared" si="1"/>
        <v>CLOSED POSITION</v>
      </c>
      <c r="D58" s="685" t="str">
        <f t="shared" si="9"/>
        <v>HBL RECEIVED, SURRENDER IS DUE</v>
      </c>
      <c r="E58" s="685" t="str">
        <f t="shared" si="2"/>
        <v>ALL CERT COURIERED</v>
      </c>
      <c r="F58" s="686">
        <f>IF('[1]Data 2026'!D70="","",'[1]Data 2026'!D70)</f>
        <v>47</v>
      </c>
      <c r="G58" s="686">
        <f>IF('[1]Data 2026'!E70="","",'[1]Data 2026'!E70)</f>
        <v>200</v>
      </c>
      <c r="H58" s="687">
        <f>IF('[1]Data 2026'!H70="","",'[1]Data 2026'!H70)</f>
        <v>32015968</v>
      </c>
      <c r="I58" s="688">
        <f>IF('[1]Data 2026'!AA70="","",'[1]Data 2026'!AA70)</f>
        <v>250</v>
      </c>
      <c r="J58" s="685" t="str">
        <f>IF('[1]Data 2026'!K70="","",'[1]Data 2026'!K70)</f>
        <v>APRIL</v>
      </c>
      <c r="K58" s="685">
        <v>46142</v>
      </c>
      <c r="L58" s="685" t="str">
        <f>IF('[1]Data 2026'!L70="","",'[1]Data 2026'!L70)</f>
        <v>VALENCY CI</v>
      </c>
      <c r="M58" s="685" t="str">
        <f>IF('[1]Data 2026'!M70="","",'[1]Data 2026'!M70)</f>
        <v>VALENCY AGRO INDIA UDUPI</v>
      </c>
      <c r="N58" s="685" t="s">
        <v>1196</v>
      </c>
      <c r="O58" s="689" t="str">
        <f>IF('[1]Data 2026'!N70="","",'[1]Data 2026'!N70)</f>
        <v>EBKG16338124</v>
      </c>
      <c r="P58" s="690" t="str">
        <f>IF('[1]Data 2026'!O70="","",'[1]Data 2026'!O70)</f>
        <v>MEDUEY230876</v>
      </c>
      <c r="Q58" s="685" t="str">
        <f>IF('[1]Data 2026'!P70="","",'[1]Data 2026'!P70)</f>
        <v>TPSCR26010612</v>
      </c>
      <c r="R58" s="685" t="str">
        <f>IF('[1]Data 2026'!Q70="","",'[1]Data 2026'!Q70)</f>
        <v>ABJ</v>
      </c>
      <c r="S58" s="685" t="s">
        <v>210</v>
      </c>
      <c r="T58" s="685" t="str">
        <f>IF('[1]Data 2026'!R70="","",'[1]Data 2026'!R70)</f>
        <v>MANGALORE, INDIA</v>
      </c>
      <c r="U58" s="685" t="str">
        <f>IF('[1]Data 2026'!S70="","",'[1]Data 2026'!S70)</f>
        <v>MSC TINA</v>
      </c>
      <c r="V58" s="685">
        <f>IF('[1]Data 2026'!T70="","",'[1]Data 2026'!T70)</f>
        <v>46111</v>
      </c>
      <c r="W58" s="685">
        <f>IF('[1]Data 2026'!U70="","",'[1]Data 2026'!U70)</f>
        <v>46135</v>
      </c>
      <c r="X58" s="685">
        <f>IF('[1]Data 2026'!V70="","",'[1]Data 2026'!V70)</f>
        <v>46136</v>
      </c>
      <c r="Y58" s="685">
        <f>IF('[1]Data 2026'!W70="","",'[1]Data 2026'!W70)</f>
        <v>46138</v>
      </c>
      <c r="Z58" s="685">
        <f>IF('[1]Data 2026'!X70="","",'[1]Data 2026'!X70)</f>
        <v>46173</v>
      </c>
      <c r="AA58" s="685"/>
      <c r="AB58" s="685">
        <f>IF('[1]Data 2026'!Y70="","",'[1]Data 2026'!Y70)</f>
        <v>46144</v>
      </c>
      <c r="AC58" s="685">
        <f>IF('[1]Data 2026'!Z70="","",'[1]Data 2026'!Z70)</f>
        <v>46144</v>
      </c>
      <c r="AD58" s="691">
        <f>IF('[1]Data 2026'!AA70="","",'[1]Data 2026'!AA70)</f>
        <v>250</v>
      </c>
      <c r="AE58" s="691">
        <f>IF('[1]Data 2026'!AB70="","",'[1]Data 2026'!AB70)</f>
        <v>242.73</v>
      </c>
      <c r="AF58" s="685">
        <f>IF('[1]Data 2026'!AC70="","",'[1]Data 2026'!AC70)</f>
        <v>45777</v>
      </c>
      <c r="AG58" s="685" t="str">
        <f>IF('[1]Data 2026'!AD70="","",'[1]Data 2026'!AD70)</f>
        <v>Ex-Olam</v>
      </c>
      <c r="AH58" s="686">
        <f>IF('[1]Data 2026'!AE70="","",'[1]Data 2026'!AE70)</f>
        <v>10</v>
      </c>
      <c r="AI58" s="685" t="str">
        <f>IF('[1]Data 2026'!AG70="","",'[1]Data 2026'!AG70)</f>
        <v>DUNAMIS SHIPPING</v>
      </c>
      <c r="AJ58" s="685" t="str">
        <f>IF('[1]Data 2026'!AH70="","",'[1]Data 2026'!AH70)</f>
        <v>DUNAMIS/SITRACOM</v>
      </c>
      <c r="AK58" s="685" t="str">
        <f>IF('[1]Data 2026'!AI70="","",'[1]Data 2026'!AI70)</f>
        <v>MSC</v>
      </c>
      <c r="AL58" s="685" t="str">
        <f>IF('[1]Data 2026'!AJ70="","",'[1]Data 2026'!AJ70)</f>
        <v>40FT</v>
      </c>
      <c r="AM58" s="692">
        <f>IF('[1]Data 2026'!AK70="","",'[1]Data 2026'!AK70)</f>
        <v>0.1</v>
      </c>
      <c r="AN58" s="685" t="str">
        <f>IF('[1]Data 2026'!AL70="","",'[1]Data 2026'!AL70)</f>
        <v>(01x250MTS)</v>
      </c>
      <c r="AO58" s="691">
        <f>IF('[1]Data 2026'!AM70="","",'[1]Data 2026'!AM70)</f>
        <v>275</v>
      </c>
      <c r="AP58" s="691">
        <f t="shared" si="3"/>
        <v>-7.2700000000000102</v>
      </c>
      <c r="AQ58" s="685" t="str">
        <f>IF('[1]Data 2026'!AO70="","",'[1]Data 2026'!AO70)</f>
        <v/>
      </c>
      <c r="AR58" s="685">
        <f>IF('[1]Data 2026'!AP70="","",'[1]Data 2026'!AP70)</f>
        <v>46146</v>
      </c>
      <c r="AS58" s="685">
        <f>IF('[1]Data 2026'!AQ70="","",'[1]Data 2026'!AQ70)</f>
        <v>46146</v>
      </c>
      <c r="AT58" s="685">
        <f>IF('[1]Data 2026'!AR70="","",'[1]Data 2026'!AR70)</f>
        <v>46155</v>
      </c>
      <c r="AU58" s="685">
        <f>IF('[1]Data 2026'!AW70="","",'[1]Data 2026'!AW70)</f>
        <v>46154</v>
      </c>
      <c r="AV58" s="685">
        <f>IF('[1]Data 2026'!AX70="","",'[1]Data 2026'!AX70)</f>
        <v>2046495802</v>
      </c>
      <c r="AW58" s="685" t="str">
        <f>IF('[1]Data 2026'!AY70="","",'[1]Data 2026'!AY70)</f>
        <v>Valency Singapore</v>
      </c>
      <c r="AX58" s="685">
        <f>IF('[1]Data 2026'!AZ70="","",'[1]Data 2026'!AZ70)</f>
        <v>46157</v>
      </c>
      <c r="AY58" s="685">
        <f>IF('[1]Data 2026'!BA70="","",'[1]Data 2026'!BA70)</f>
        <v>4218950466</v>
      </c>
      <c r="AZ58" s="685">
        <f>IF('[1]Data 2026'!AS70="","",'[1]Data 2026'!AS70)</f>
        <v>46153</v>
      </c>
      <c r="BA58" s="685">
        <f>IF('[1]Data 2026'!AT70="","",'[1]Data 2026'!AT70)</f>
        <v>46153</v>
      </c>
      <c r="BB58" s="685">
        <f>IF('[1]Data 2026'!AU70="","",'[1]Data 2026'!AU70)</f>
        <v>46153</v>
      </c>
      <c r="BC58" s="685" t="str">
        <f>IF('[1]Data 2026'!AV70="","",'[1]Data 2026'!AV70)</f>
        <v>Mr. Balakrishna Kottary  ETA LOGISTICS</v>
      </c>
      <c r="BD58" s="685">
        <f>IF('[1]Data 2026'!AW70="","",'[1]Data 2026'!AW70)</f>
        <v>46154</v>
      </c>
      <c r="BE58" s="685">
        <f>IF('[1]Data 2026'!AX70="","",'[1]Data 2026'!AX70)</f>
        <v>2046495802</v>
      </c>
      <c r="BF58" s="685" t="str">
        <f>IF('[1]Data 2026'!BF70="","",'[1]Data 2026'!BF70)</f>
        <v>DUNAMIS SHIPPING</v>
      </c>
      <c r="BG58" s="685" t="str">
        <f>IF('[1]Data 2026'!BG70="","",'[1]Data 2026'!BG70)</f>
        <v/>
      </c>
      <c r="BH58" s="685" t="str">
        <f>IF('[1]Data 2026'!BH70="","",'[1]Data 2026'!BH70)</f>
        <v/>
      </c>
      <c r="BI58" s="685" t="str">
        <f>IF('[1]Data 2026'!BI70="","",'[1]Data 2026'!BI70)</f>
        <v/>
      </c>
      <c r="BJ58" s="685" t="str">
        <f>IF('[1]Data 2026'!BJ70="","",'[1]Data 2026'!BJ70)</f>
        <v/>
      </c>
      <c r="BK58" s="685" t="str">
        <f>IF('[1]Data 2026'!BK70="","",'[1]Data 2026'!BK70)</f>
        <v/>
      </c>
      <c r="BL58" s="685" t="str">
        <f>IF('[1]Data 2026'!BL70="","",'[1]Data 2026'!BL70)</f>
        <v>DUNAMIS/SITRACOM</v>
      </c>
      <c r="BM58" s="685" t="str">
        <f>IF('[1]Data 2026'!BM70="","",'[1]Data 2026'!BM70)</f>
        <v/>
      </c>
      <c r="BN58" s="685" t="str">
        <f>IF('[1]Data 2026'!BN70="","",'[1]Data 2026'!BN70)</f>
        <v/>
      </c>
      <c r="BO58" s="685" t="str">
        <f>IF('[1]Data 2026'!BO70="","",'[1]Data 2026'!BO70)</f>
        <v/>
      </c>
      <c r="BP58" s="685" t="str">
        <f>IF('[1]Data 2026'!BP70="","",'[1]Data 2026'!BP70)</f>
        <v/>
      </c>
      <c r="BQ58" s="685" t="str">
        <f>IF('[1]Data 2026'!BQ70="","",'[1]Data 2026'!BQ70)</f>
        <v/>
      </c>
      <c r="BR58" s="685">
        <f>IF('[1]Data 2026'!BR70="","",'[1]Data 2026'!BR70)</f>
        <v>46144</v>
      </c>
      <c r="BS58" s="685" t="str">
        <f>IF('[1]Data 2026'!BS70="","",'[1]Data 2026'!BS70)</f>
        <v>IVC-RCN2026-CI0003</v>
      </c>
      <c r="BT58" s="685" t="str">
        <f>IF('[1]Data 2026'!BV70="","",'[1]Data 2026'!BV70)</f>
        <v>BOA/KTD</v>
      </c>
      <c r="BU58" s="685">
        <f>IF('[1]Data 2026'!BW70="","",'[1]Data 2026'!BW70)</f>
        <v>46160</v>
      </c>
      <c r="BV58" s="685" t="str">
        <f>IF('[1]Data 2026'!BX70="","",'[1]Data 2026'!BX70)</f>
        <v/>
      </c>
      <c r="BW58" s="685" t="str">
        <f>IF('[1]Data 2026'!BY70="","",'[1]Data 2026'!BY70)</f>
        <v>1347386H26000000526</v>
      </c>
      <c r="BX58" s="685">
        <f>IF('[1]Data 2026'!BZ70="","",'[1]Data 2026'!BZ70)</f>
        <v>46160</v>
      </c>
      <c r="BY58" s="685" t="str">
        <f>IF('[1]Data 2026'!CA70="","",'[1]Data 2026'!CA70)</f>
        <v>182610-14926</v>
      </c>
      <c r="BZ58" s="685">
        <f>IF('[1]Data 2026'!CB70="","",'[1]Data 2026'!CB70)</f>
        <v>46134</v>
      </c>
      <c r="CA58" s="685" t="str">
        <f>IF('[1]Data 2026'!CC70="","",'[1]Data 2026'!CC70)</f>
        <v/>
      </c>
      <c r="CB58" s="685" t="str">
        <f>IF('[1]Data 2026'!CD70="","",'[1]Data 2026'!CD70)</f>
        <v/>
      </c>
      <c r="CC58" s="685" t="str">
        <f>IF('[1]Data 2026'!CE70="","",'[1]Data 2026'!CE70)</f>
        <v/>
      </c>
      <c r="CD58" s="685" t="str">
        <f>IF('[1]Data 2026'!CF70="","",'[1]Data 2026'!CF70)</f>
        <v/>
      </c>
      <c r="CE58" s="685">
        <f>IF('[1]Data 2026'!CG70="","",'[1]Data 2026'!CG70)</f>
        <v>46111</v>
      </c>
      <c r="CF58" s="685">
        <f>IF('[1]Data 2026'!CH70="","",'[1]Data 2026'!CH70)</f>
        <v>46129</v>
      </c>
      <c r="CG58" s="685" t="str">
        <f>IF('[1]Data 2026'!CI70="","",'[1]Data 2026'!CI70)</f>
        <v>E12096</v>
      </c>
      <c r="CH58" s="685" t="str">
        <f>IF('[1]Data 2026'!CJ70="","",'[1]Data 2026'!CJ70)</f>
        <v/>
      </c>
      <c r="CI58" s="685">
        <f>IF('[1]Data 2026'!CK70="","",'[1]Data 2026'!CK70)</f>
        <v>46132</v>
      </c>
      <c r="CJ58" s="685" t="str">
        <f>IF('[1]Data 2026'!CM70="","",'[1]Data 2026'!CM70)</f>
        <v/>
      </c>
      <c r="CK58" s="685" t="str">
        <f>IF('[1]Data 2026'!CN70="","",'[1]Data 2026'!CN70)</f>
        <v>Sugmaran</v>
      </c>
      <c r="CL58" s="691"/>
      <c r="CM58" s="691" t="str">
        <f>IF('[1]Data 2026'!CP70="","",'[1]Data 2026'!CP70)</f>
        <v/>
      </c>
      <c r="CN58" s="691"/>
      <c r="CO58" s="693"/>
      <c r="CP58" s="693"/>
      <c r="CQ58" s="693"/>
      <c r="CR58" s="686">
        <f t="shared" si="12"/>
        <v>24</v>
      </c>
      <c r="CS58" s="686">
        <f t="shared" si="12"/>
        <v>1</v>
      </c>
      <c r="CT58" s="686">
        <f t="shared" si="12"/>
        <v>2</v>
      </c>
      <c r="CU58" s="686">
        <f t="shared" si="5"/>
        <v>8</v>
      </c>
      <c r="CV58" s="686">
        <f t="shared" si="6"/>
        <v>16</v>
      </c>
      <c r="CW58" s="685">
        <f t="shared" si="10"/>
        <v>11</v>
      </c>
      <c r="CX58" s="685">
        <f t="shared" si="11"/>
        <v>2</v>
      </c>
      <c r="CY58" s="693">
        <f t="shared" ca="1" si="7"/>
        <v>100</v>
      </c>
      <c r="CZ58" s="693" t="str">
        <f t="shared" si="8"/>
        <v/>
      </c>
      <c r="DB58"/>
      <c r="DC58"/>
    </row>
    <row r="59" spans="1:107" s="694" customFormat="1">
      <c r="A59" s="682" t="str">
        <f t="shared" si="0"/>
        <v>H. PHYSICAL OBL RCVD</v>
      </c>
      <c r="B59" s="695" t="s">
        <v>1201</v>
      </c>
      <c r="C59" s="684" t="str">
        <f t="shared" si="1"/>
        <v>CLOSED POSITION</v>
      </c>
      <c r="D59" s="685" t="str">
        <f t="shared" si="9"/>
        <v>HBL RECEIVED, SURRENDER IS DUE</v>
      </c>
      <c r="E59" s="685" t="str">
        <f t="shared" si="2"/>
        <v>ALL CERT COURIERED</v>
      </c>
      <c r="F59" s="686">
        <f>IF('[1]Data 2026'!D71="","",'[1]Data 2026'!D71)</f>
        <v>47</v>
      </c>
      <c r="G59" s="686">
        <f>IF('[1]Data 2026'!E71="","",'[1]Data 2026'!E71)</f>
        <v>200</v>
      </c>
      <c r="H59" s="687">
        <f>IF('[1]Data 2026'!H71="","",'[1]Data 2026'!H71)</f>
        <v>32015968</v>
      </c>
      <c r="I59" s="688">
        <f>IF('[1]Data 2026'!AA71="","",'[1]Data 2026'!AA71)</f>
        <v>250</v>
      </c>
      <c r="J59" s="685" t="str">
        <f>IF('[1]Data 2026'!K71="","",'[1]Data 2026'!K71)</f>
        <v>APRIL</v>
      </c>
      <c r="K59" s="685">
        <v>46142</v>
      </c>
      <c r="L59" s="685" t="str">
        <f>IF('[1]Data 2026'!L71="","",'[1]Data 2026'!L71)</f>
        <v>VALENCY CI</v>
      </c>
      <c r="M59" s="685" t="str">
        <f>IF('[1]Data 2026'!M71="","",'[1]Data 2026'!M71)</f>
        <v>VALENCY AGRO INDIA UDUPI</v>
      </c>
      <c r="N59" s="685" t="s">
        <v>1196</v>
      </c>
      <c r="O59" s="689" t="str">
        <f>IF('[1]Data 2026'!N71="","",'[1]Data 2026'!N71)</f>
        <v>EBKG16338118</v>
      </c>
      <c r="P59" s="690" t="str">
        <f>IF('[1]Data 2026'!O71="","",'[1]Data 2026'!O71)</f>
        <v>MEDUEY230793</v>
      </c>
      <c r="Q59" s="685" t="str">
        <f>IF('[1]Data 2026'!P71="","",'[1]Data 2026'!P71)</f>
        <v>TPSCR26010613</v>
      </c>
      <c r="R59" s="685" t="str">
        <f>IF('[1]Data 2026'!Q71="","",'[1]Data 2026'!Q71)</f>
        <v>ABJ</v>
      </c>
      <c r="S59" s="685" t="s">
        <v>210</v>
      </c>
      <c r="T59" s="685" t="str">
        <f>IF('[1]Data 2026'!R71="","",'[1]Data 2026'!R71)</f>
        <v>MANGALORE, INDIA</v>
      </c>
      <c r="U59" s="685" t="str">
        <f>IF('[1]Data 2026'!S71="","",'[1]Data 2026'!S71)</f>
        <v>MSC TINA</v>
      </c>
      <c r="V59" s="685">
        <f>IF('[1]Data 2026'!T71="","",'[1]Data 2026'!T71)</f>
        <v>46111</v>
      </c>
      <c r="W59" s="685">
        <f>IF('[1]Data 2026'!U71="","",'[1]Data 2026'!U71)</f>
        <v>46135</v>
      </c>
      <c r="X59" s="685">
        <f>IF('[1]Data 2026'!V71="","",'[1]Data 2026'!V71)</f>
        <v>46136</v>
      </c>
      <c r="Y59" s="685">
        <f>IF('[1]Data 2026'!W71="","",'[1]Data 2026'!W71)</f>
        <v>46138</v>
      </c>
      <c r="Z59" s="685">
        <f>IF('[1]Data 2026'!X71="","",'[1]Data 2026'!X71)</f>
        <v>46173</v>
      </c>
      <c r="AA59" s="685"/>
      <c r="AB59" s="685">
        <f>IF('[1]Data 2026'!Y71="","",'[1]Data 2026'!Y71)</f>
        <v>46144</v>
      </c>
      <c r="AC59" s="685">
        <f>IF('[1]Data 2026'!Z71="","",'[1]Data 2026'!Z71)</f>
        <v>46144</v>
      </c>
      <c r="AD59" s="691">
        <f>IF('[1]Data 2026'!AA71="","",'[1]Data 2026'!AA71)</f>
        <v>250</v>
      </c>
      <c r="AE59" s="691">
        <f>IF('[1]Data 2026'!AB71="","",'[1]Data 2026'!AB71)</f>
        <v>238.35</v>
      </c>
      <c r="AF59" s="685">
        <f>IF('[1]Data 2026'!AC71="","",'[1]Data 2026'!AC71)</f>
        <v>45777</v>
      </c>
      <c r="AG59" s="685" t="str">
        <f>IF('[1]Data 2026'!AD71="","",'[1]Data 2026'!AD71)</f>
        <v>Ex-Olam</v>
      </c>
      <c r="AH59" s="686">
        <f>IF('[1]Data 2026'!AE71="","",'[1]Data 2026'!AE71)</f>
        <v>10</v>
      </c>
      <c r="AI59" s="685" t="str">
        <f>IF('[1]Data 2026'!AG71="","",'[1]Data 2026'!AG71)</f>
        <v>DUNAMIS SHIPPING</v>
      </c>
      <c r="AJ59" s="685" t="str">
        <f>IF('[1]Data 2026'!AH71="","",'[1]Data 2026'!AH71)</f>
        <v>DUNAMIS/SITRACOM</v>
      </c>
      <c r="AK59" s="685" t="str">
        <f>IF('[1]Data 2026'!AI71="","",'[1]Data 2026'!AI71)</f>
        <v>MSC</v>
      </c>
      <c r="AL59" s="685" t="str">
        <f>IF('[1]Data 2026'!AJ71="","",'[1]Data 2026'!AJ71)</f>
        <v>40FT</v>
      </c>
      <c r="AM59" s="692">
        <f>IF('[1]Data 2026'!AK71="","",'[1]Data 2026'!AK71)</f>
        <v>0.1</v>
      </c>
      <c r="AN59" s="685" t="str">
        <f>IF('[1]Data 2026'!AL71="","",'[1]Data 2026'!AL71)</f>
        <v>(01x250MTS)</v>
      </c>
      <c r="AO59" s="691">
        <f>IF('[1]Data 2026'!AM71="","",'[1]Data 2026'!AM71)</f>
        <v>275</v>
      </c>
      <c r="AP59" s="691">
        <f t="shared" si="3"/>
        <v>-11.650000000000006</v>
      </c>
      <c r="AQ59" s="685" t="str">
        <f>IF('[1]Data 2026'!AO71="","",'[1]Data 2026'!AO71)</f>
        <v/>
      </c>
      <c r="AR59" s="685">
        <f>IF('[1]Data 2026'!AP71="","",'[1]Data 2026'!AP71)</f>
        <v>46146</v>
      </c>
      <c r="AS59" s="685">
        <f>IF('[1]Data 2026'!AQ71="","",'[1]Data 2026'!AQ71)</f>
        <v>46146</v>
      </c>
      <c r="AT59" s="685">
        <f>IF('[1]Data 2026'!AR71="","",'[1]Data 2026'!AR71)</f>
        <v>46155</v>
      </c>
      <c r="AU59" s="685">
        <f>IF('[1]Data 2026'!AW71="","",'[1]Data 2026'!AW71)</f>
        <v>46154</v>
      </c>
      <c r="AV59" s="685">
        <f>IF('[1]Data 2026'!AX71="","",'[1]Data 2026'!AX71)</f>
        <v>2046495802</v>
      </c>
      <c r="AW59" s="685" t="str">
        <f>IF('[1]Data 2026'!AY71="","",'[1]Data 2026'!AY71)</f>
        <v>Valency Singapore</v>
      </c>
      <c r="AX59" s="685">
        <f>IF('[1]Data 2026'!AZ71="","",'[1]Data 2026'!AZ71)</f>
        <v>46157</v>
      </c>
      <c r="AY59" s="685">
        <f>IF('[1]Data 2026'!BA71="","",'[1]Data 2026'!BA71)</f>
        <v>4218950466</v>
      </c>
      <c r="AZ59" s="685">
        <f>IF('[1]Data 2026'!AS71="","",'[1]Data 2026'!AS71)</f>
        <v>46153</v>
      </c>
      <c r="BA59" s="685">
        <f>IF('[1]Data 2026'!AT71="","",'[1]Data 2026'!AT71)</f>
        <v>46153</v>
      </c>
      <c r="BB59" s="685">
        <f>IF('[1]Data 2026'!AU71="","",'[1]Data 2026'!AU71)</f>
        <v>46153</v>
      </c>
      <c r="BC59" s="685" t="str">
        <f>IF('[1]Data 2026'!AV71="","",'[1]Data 2026'!AV71)</f>
        <v>Mr. Balakrishna Kottary  ETA LOGISTICS</v>
      </c>
      <c r="BD59" s="685">
        <f>IF('[1]Data 2026'!AW71="","",'[1]Data 2026'!AW71)</f>
        <v>46154</v>
      </c>
      <c r="BE59" s="685">
        <f>IF('[1]Data 2026'!AX71="","",'[1]Data 2026'!AX71)</f>
        <v>2046495802</v>
      </c>
      <c r="BF59" s="685" t="str">
        <f>IF('[1]Data 2026'!BF71="","",'[1]Data 2026'!BF71)</f>
        <v>DUNAMIS SHIPPING</v>
      </c>
      <c r="BG59" s="685" t="str">
        <f>IF('[1]Data 2026'!BG71="","",'[1]Data 2026'!BG71)</f>
        <v/>
      </c>
      <c r="BH59" s="685" t="str">
        <f>IF('[1]Data 2026'!BH71="","",'[1]Data 2026'!BH71)</f>
        <v/>
      </c>
      <c r="BI59" s="685" t="str">
        <f>IF('[1]Data 2026'!BI71="","",'[1]Data 2026'!BI71)</f>
        <v/>
      </c>
      <c r="BJ59" s="685" t="str">
        <f>IF('[1]Data 2026'!BJ71="","",'[1]Data 2026'!BJ71)</f>
        <v/>
      </c>
      <c r="BK59" s="685" t="str">
        <f>IF('[1]Data 2026'!BK71="","",'[1]Data 2026'!BK71)</f>
        <v/>
      </c>
      <c r="BL59" s="685" t="str">
        <f>IF('[1]Data 2026'!BL71="","",'[1]Data 2026'!BL71)</f>
        <v>DUNAMIS/SITRACOM</v>
      </c>
      <c r="BM59" s="685" t="str">
        <f>IF('[1]Data 2026'!BM71="","",'[1]Data 2026'!BM71)</f>
        <v/>
      </c>
      <c r="BN59" s="685" t="str">
        <f>IF('[1]Data 2026'!BN71="","",'[1]Data 2026'!BN71)</f>
        <v/>
      </c>
      <c r="BO59" s="685" t="str">
        <f>IF('[1]Data 2026'!BO71="","",'[1]Data 2026'!BO71)</f>
        <v/>
      </c>
      <c r="BP59" s="685" t="str">
        <f>IF('[1]Data 2026'!BP71="","",'[1]Data 2026'!BP71)</f>
        <v/>
      </c>
      <c r="BQ59" s="685" t="str">
        <f>IF('[1]Data 2026'!BQ71="","",'[1]Data 2026'!BQ71)</f>
        <v/>
      </c>
      <c r="BR59" s="685">
        <f>IF('[1]Data 2026'!BR71="","",'[1]Data 2026'!BR71)</f>
        <v>46144</v>
      </c>
      <c r="BS59" s="685" t="str">
        <f>IF('[1]Data 2026'!BS71="","",'[1]Data 2026'!BS71)</f>
        <v>IVC-RCN2026-CI0004</v>
      </c>
      <c r="BT59" s="685" t="str">
        <f>IF('[1]Data 2026'!BV71="","",'[1]Data 2026'!BV71)</f>
        <v>BOA/KTD</v>
      </c>
      <c r="BU59" s="685">
        <f>IF('[1]Data 2026'!BW71="","",'[1]Data 2026'!BW71)</f>
        <v>46160</v>
      </c>
      <c r="BV59" s="685" t="str">
        <f>IF('[1]Data 2026'!BX71="","",'[1]Data 2026'!BX71)</f>
        <v/>
      </c>
      <c r="BW59" s="685" t="str">
        <f>IF('[1]Data 2026'!BY71="","",'[1]Data 2026'!BY71)</f>
        <v>1347386H26000000524</v>
      </c>
      <c r="BX59" s="685">
        <f>IF('[1]Data 2026'!BZ71="","",'[1]Data 2026'!BZ71)</f>
        <v>46157</v>
      </c>
      <c r="BY59" s="685" t="str">
        <f>IF('[1]Data 2026'!CA71="","",'[1]Data 2026'!CA71)</f>
        <v>182610-14930</v>
      </c>
      <c r="BZ59" s="685">
        <f>IF('[1]Data 2026'!CB71="","",'[1]Data 2026'!CB71)</f>
        <v>46134</v>
      </c>
      <c r="CA59" s="685" t="str">
        <f>IF('[1]Data 2026'!CC71="","",'[1]Data 2026'!CC71)</f>
        <v/>
      </c>
      <c r="CB59" s="685" t="str">
        <f>IF('[1]Data 2026'!CD71="","",'[1]Data 2026'!CD71)</f>
        <v/>
      </c>
      <c r="CC59" s="685" t="str">
        <f>IF('[1]Data 2026'!CE71="","",'[1]Data 2026'!CE71)</f>
        <v/>
      </c>
      <c r="CD59" s="685" t="str">
        <f>IF('[1]Data 2026'!CF71="","",'[1]Data 2026'!CF71)</f>
        <v/>
      </c>
      <c r="CE59" s="685">
        <f>IF('[1]Data 2026'!CG71="","",'[1]Data 2026'!CG71)</f>
        <v>46111</v>
      </c>
      <c r="CF59" s="685">
        <f>IF('[1]Data 2026'!CH71="","",'[1]Data 2026'!CH71)</f>
        <v>46129</v>
      </c>
      <c r="CG59" s="685" t="str">
        <f>IF('[1]Data 2026'!CI71="","",'[1]Data 2026'!CI71)</f>
        <v>E12036</v>
      </c>
      <c r="CH59" s="685" t="str">
        <f>IF('[1]Data 2026'!CJ71="","",'[1]Data 2026'!CJ71)</f>
        <v/>
      </c>
      <c r="CI59" s="685">
        <f>IF('[1]Data 2026'!CK71="","",'[1]Data 2026'!CK71)</f>
        <v>46132</v>
      </c>
      <c r="CJ59" s="685" t="str">
        <f>IF('[1]Data 2026'!CM71="","",'[1]Data 2026'!CM71)</f>
        <v/>
      </c>
      <c r="CK59" s="685" t="str">
        <f>IF('[1]Data 2026'!CN71="","",'[1]Data 2026'!CN71)</f>
        <v>Sugmaran</v>
      </c>
      <c r="CL59" s="691"/>
      <c r="CM59" s="691" t="str">
        <f>IF('[1]Data 2026'!CP71="","",'[1]Data 2026'!CP71)</f>
        <v/>
      </c>
      <c r="CN59" s="691"/>
      <c r="CO59" s="693"/>
      <c r="CP59" s="693"/>
      <c r="CQ59" s="693"/>
      <c r="CR59" s="686">
        <f t="shared" si="12"/>
        <v>24</v>
      </c>
      <c r="CS59" s="686">
        <f t="shared" si="12"/>
        <v>1</v>
      </c>
      <c r="CT59" s="686">
        <f t="shared" si="12"/>
        <v>2</v>
      </c>
      <c r="CU59" s="686">
        <f t="shared" si="5"/>
        <v>8</v>
      </c>
      <c r="CV59" s="686">
        <f t="shared" si="6"/>
        <v>16</v>
      </c>
      <c r="CW59" s="685">
        <f t="shared" si="10"/>
        <v>11</v>
      </c>
      <c r="CX59" s="685">
        <f t="shared" si="11"/>
        <v>2</v>
      </c>
      <c r="CY59" s="693">
        <f t="shared" ca="1" si="7"/>
        <v>100</v>
      </c>
      <c r="CZ59" s="693" t="str">
        <f t="shared" si="8"/>
        <v/>
      </c>
      <c r="DB59"/>
      <c r="DC59"/>
    </row>
    <row r="60" spans="1:107" s="694" customFormat="1">
      <c r="A60" s="682" t="str">
        <f t="shared" si="0"/>
        <v>G. SAILED, OBL AWAITED</v>
      </c>
      <c r="B60" s="698" t="s">
        <v>1202</v>
      </c>
      <c r="C60" s="684" t="str">
        <f t="shared" si="1"/>
        <v>LONG POSITION</v>
      </c>
      <c r="D60" s="685" t="str">
        <f t="shared" si="9"/>
        <v>HBL RECEIVED, SURRENDER IS DUE</v>
      </c>
      <c r="E60" s="685" t="str">
        <f t="shared" si="2"/>
        <v/>
      </c>
      <c r="F60" s="686">
        <f>IF('[1]Data 2026'!D72="","",'[1]Data 2026'!D72)</f>
        <v>47</v>
      </c>
      <c r="G60" s="686">
        <f>IF('[1]Data 2026'!E72="","",'[1]Data 2026'!E72)</f>
        <v>200</v>
      </c>
      <c r="H60" s="687" t="str">
        <f>IF('[1]Data 2026'!H72="","",'[1]Data 2026'!H72)</f>
        <v>TBA</v>
      </c>
      <c r="I60" s="688">
        <f>IF('[1]Data 2026'!AA72="","",'[1]Data 2026'!AA72)</f>
        <v>250</v>
      </c>
      <c r="J60" s="685" t="str">
        <f>IF('[1]Data 2026'!K72="","",'[1]Data 2026'!K72)</f>
        <v>May - 26</v>
      </c>
      <c r="K60" s="685">
        <v>46173</v>
      </c>
      <c r="L60" s="685" t="str">
        <f>IF('[1]Data 2026'!L72="","",'[1]Data 2026'!L72)</f>
        <v>VALENCY CI</v>
      </c>
      <c r="M60" s="685" t="str">
        <f>IF('[1]Data 2026'!M72="","",'[1]Data 2026'!M72)</f>
        <v>VALENCY VIETNAM-UNSOLD</v>
      </c>
      <c r="N60" s="685" t="s">
        <v>1203</v>
      </c>
      <c r="O60" s="689">
        <f>IF('[1]Data 2026'!N72="","",'[1]Data 2026'!N72)</f>
        <v>19131503</v>
      </c>
      <c r="P60" s="690" t="str">
        <f>IF('[1]Data 2026'!O72="","",'[1]Data 2026'!O72)</f>
        <v>HLCUAB1260401236</v>
      </c>
      <c r="Q60" s="685" t="str">
        <f>IF('[1]Data 2026'!P72="","",'[1]Data 2026'!P72)</f>
        <v>TPSCR26010666</v>
      </c>
      <c r="R60" s="685" t="str">
        <f>IF('[1]Data 2026'!Q72="","",'[1]Data 2026'!Q72)</f>
        <v>ABJ</v>
      </c>
      <c r="S60" s="685" t="s">
        <v>347</v>
      </c>
      <c r="T60" s="685" t="str">
        <f>IF('[1]Data 2026'!R72="","",'[1]Data 2026'!R72)</f>
        <v>HCMC, VIETNAM</v>
      </c>
      <c r="U60" s="685" t="str">
        <f>IF('[1]Data 2026'!S72="","",'[1]Data 2026'!S72)</f>
        <v>ACHELOOS</v>
      </c>
      <c r="V60" s="685">
        <f>IF('[1]Data 2026'!T72="","",'[1]Data 2026'!T72)</f>
        <v>46136</v>
      </c>
      <c r="W60" s="685">
        <f>IF('[1]Data 2026'!U72="","",'[1]Data 2026'!U72)</f>
        <v>46137</v>
      </c>
      <c r="X60" s="685">
        <f>IF('[1]Data 2026'!V72="","",'[1]Data 2026'!V72)</f>
        <v>46137</v>
      </c>
      <c r="Y60" s="685">
        <f>IF('[1]Data 2026'!W72="","",'[1]Data 2026'!W72)</f>
        <v>46152</v>
      </c>
      <c r="Z60" s="685">
        <f>IF('[1]Data 2026'!X72="","",'[1]Data 2026'!X72)</f>
        <v>46208</v>
      </c>
      <c r="AA60" s="685"/>
      <c r="AB60" s="685">
        <f>IF('[1]Data 2026'!Y72="","",'[1]Data 2026'!Y72)</f>
        <v>46163</v>
      </c>
      <c r="AC60" s="685">
        <f>IF('[1]Data 2026'!Z72="","",'[1]Data 2026'!Z72)</f>
        <v>46163</v>
      </c>
      <c r="AD60" s="691">
        <f>IF('[1]Data 2026'!AA72="","",'[1]Data 2026'!AA72)</f>
        <v>250</v>
      </c>
      <c r="AE60" s="691">
        <f>IF('[1]Data 2026'!AB72="","",'[1]Data 2026'!AB72)</f>
        <v>253.16</v>
      </c>
      <c r="AF60" s="685">
        <f>IF('[1]Data 2026'!AC72="","",'[1]Data 2026'!AC72)</f>
        <v>45808</v>
      </c>
      <c r="AG60" s="685" t="str">
        <f>IF('[1]Data 2026'!AD72="","",'[1]Data 2026'!AD72)</f>
        <v>WH-I</v>
      </c>
      <c r="AH60" s="686">
        <f>IF('[1]Data 2026'!AE72="","",'[1]Data 2026'!AE72)</f>
        <v>10</v>
      </c>
      <c r="AI60" s="685" t="str">
        <f>IF('[1]Data 2026'!AG72="","",'[1]Data 2026'!AG72)</f>
        <v xml:space="preserve">GRAVIR LOGISTIQUE SARL </v>
      </c>
      <c r="AJ60" s="685" t="str">
        <f>IF('[1]Data 2026'!AH72="","",'[1]Data 2026'!AH72)</f>
        <v xml:space="preserve">MANTRA IVOIRE </v>
      </c>
      <c r="AK60" s="685" t="str">
        <f>IF('[1]Data 2026'!AI72="","",'[1]Data 2026'!AI72)</f>
        <v>Hapag</v>
      </c>
      <c r="AL60" s="685" t="str">
        <f>IF('[1]Data 2026'!AJ72="","",'[1]Data 2026'!AJ72)</f>
        <v>40FT</v>
      </c>
      <c r="AM60" s="692">
        <f>IF('[1]Data 2026'!AK72="","",'[1]Data 2026'!AK72)</f>
        <v>0.1</v>
      </c>
      <c r="AN60" s="685" t="str">
        <f>IF('[1]Data 2026'!AL72="","",'[1]Data 2026'!AL72)</f>
        <v>(01x250MTS)</v>
      </c>
      <c r="AO60" s="691">
        <f>IF('[1]Data 2026'!AM72="","",'[1]Data 2026'!AM72)</f>
        <v>275</v>
      </c>
      <c r="AP60" s="691">
        <f t="shared" si="3"/>
        <v>3.1599999999999966</v>
      </c>
      <c r="AQ60" s="685" t="str">
        <f>IF('[1]Data 2026'!AO72="","",'[1]Data 2026'!AO72)</f>
        <v/>
      </c>
      <c r="AR60" s="685">
        <f>IF('[1]Data 2026'!AP72="","",'[1]Data 2026'!AP72)</f>
        <v>46163</v>
      </c>
      <c r="AS60" s="685">
        <f>IF('[1]Data 2026'!AQ72="","",'[1]Data 2026'!AQ72)</f>
        <v>46163</v>
      </c>
      <c r="AT60" s="685" t="str">
        <f>IF('[1]Data 2026'!AR72="","",'[1]Data 2026'!AR72)</f>
        <v/>
      </c>
      <c r="AU60" s="685" t="str">
        <f>IF('[1]Data 2026'!AW72="","",'[1]Data 2026'!AW72)</f>
        <v/>
      </c>
      <c r="AV60" s="685" t="str">
        <f>IF('[1]Data 2026'!AX72="","",'[1]Data 2026'!AX72)</f>
        <v/>
      </c>
      <c r="AW60" s="685" t="str">
        <f>IF('[1]Data 2026'!AY72="","",'[1]Data 2026'!AY72)</f>
        <v/>
      </c>
      <c r="AX60" s="685" t="str">
        <f>IF('[1]Data 2026'!AZ72="","",'[1]Data 2026'!AZ72)</f>
        <v/>
      </c>
      <c r="AY60" s="685" t="str">
        <f>IF('[1]Data 2026'!BA72="","",'[1]Data 2026'!BA72)</f>
        <v/>
      </c>
      <c r="AZ60" s="685" t="str">
        <f>IF('[1]Data 2026'!AS72="","",'[1]Data 2026'!AS72)</f>
        <v/>
      </c>
      <c r="BA60" s="685" t="str">
        <f>IF('[1]Data 2026'!AT72="","",'[1]Data 2026'!AT72)</f>
        <v/>
      </c>
      <c r="BB60" s="685" t="str">
        <f>IF('[1]Data 2026'!AU72="","",'[1]Data 2026'!AU72)</f>
        <v/>
      </c>
      <c r="BC60" s="685" t="str">
        <f>IF('[1]Data 2026'!AV72="","",'[1]Data 2026'!AV72)</f>
        <v/>
      </c>
      <c r="BD60" s="685" t="str">
        <f>IF('[1]Data 2026'!AW72="","",'[1]Data 2026'!AW72)</f>
        <v/>
      </c>
      <c r="BE60" s="685" t="str">
        <f>IF('[1]Data 2026'!AX72="","",'[1]Data 2026'!AX72)</f>
        <v/>
      </c>
      <c r="BF60" s="685" t="str">
        <f>IF('[1]Data 2026'!BF72="","",'[1]Data 2026'!BF72)</f>
        <v xml:space="preserve">GRAVIR LOGISTIQUE SARL </v>
      </c>
      <c r="BG60" s="685" t="str">
        <f>IF('[1]Data 2026'!BG72="","",'[1]Data 2026'!BG72)</f>
        <v/>
      </c>
      <c r="BH60" s="685" t="str">
        <f>IF('[1]Data 2026'!BH72="","",'[1]Data 2026'!BH72)</f>
        <v/>
      </c>
      <c r="BI60" s="685" t="str">
        <f>IF('[1]Data 2026'!BI72="","",'[1]Data 2026'!BI72)</f>
        <v/>
      </c>
      <c r="BJ60" s="685" t="str">
        <f>IF('[1]Data 2026'!BJ72="","",'[1]Data 2026'!BJ72)</f>
        <v/>
      </c>
      <c r="BK60" s="685" t="str">
        <f>IF('[1]Data 2026'!BK72="","",'[1]Data 2026'!BK72)</f>
        <v/>
      </c>
      <c r="BL60" s="685" t="str">
        <f>IF('[1]Data 2026'!BL72="","",'[1]Data 2026'!BL72)</f>
        <v xml:space="preserve">MANTRA IVOIRE </v>
      </c>
      <c r="BM60" s="685" t="str">
        <f>IF('[1]Data 2026'!BM72="","",'[1]Data 2026'!BM72)</f>
        <v/>
      </c>
      <c r="BN60" s="685" t="str">
        <f>IF('[1]Data 2026'!BN72="","",'[1]Data 2026'!BN72)</f>
        <v/>
      </c>
      <c r="BO60" s="685" t="str">
        <f>IF('[1]Data 2026'!BO72="","",'[1]Data 2026'!BO72)</f>
        <v/>
      </c>
      <c r="BP60" s="685" t="str">
        <f>IF('[1]Data 2026'!BP72="","",'[1]Data 2026'!BP72)</f>
        <v/>
      </c>
      <c r="BQ60" s="685" t="str">
        <f>IF('[1]Data 2026'!BQ72="","",'[1]Data 2026'!BQ72)</f>
        <v/>
      </c>
      <c r="BR60" s="685">
        <f>IF('[1]Data 2026'!BR72="","",'[1]Data 2026'!BR72)</f>
        <v>46163</v>
      </c>
      <c r="BS60" s="685" t="str">
        <f>IF('[1]Data 2026'!BS72="","",'[1]Data 2026'!BS72)</f>
        <v>IVC-RCN2026-CI0009</v>
      </c>
      <c r="BT60" s="685" t="str">
        <f>IF('[1]Data 2026'!BV72="","",'[1]Data 2026'!BV72)</f>
        <v>ABSA/CMI</v>
      </c>
      <c r="BU60" s="685" t="str">
        <f>IF('[1]Data 2026'!BW72="","",'[1]Data 2026'!BW72)</f>
        <v/>
      </c>
      <c r="BV60" s="685" t="str">
        <f>IF('[1]Data 2026'!BX72="","",'[1]Data 2026'!BX72)</f>
        <v/>
      </c>
      <c r="BW60" s="685" t="str">
        <f>IF('[1]Data 2026'!BY72="","",'[1]Data 2026'!BY72)</f>
        <v/>
      </c>
      <c r="BX60" s="685" t="str">
        <f>IF('[1]Data 2026'!BZ72="","",'[1]Data 2026'!BZ72)</f>
        <v/>
      </c>
      <c r="BY60" s="685" t="str">
        <f>IF('[1]Data 2026'!CA72="","",'[1]Data 2026'!CA72)</f>
        <v>182610-15024</v>
      </c>
      <c r="BZ60" s="685">
        <f>IF('[1]Data 2026'!CB72="","",'[1]Data 2026'!CB72)</f>
        <v>46142</v>
      </c>
      <c r="CA60" s="685" t="str">
        <f>IF('[1]Data 2026'!CC72="","",'[1]Data 2026'!CC72)</f>
        <v/>
      </c>
      <c r="CB60" s="685" t="str">
        <f>IF('[1]Data 2026'!CD72="","",'[1]Data 2026'!CD72)</f>
        <v/>
      </c>
      <c r="CC60" s="685" t="str">
        <f>IF('[1]Data 2026'!CE72="","",'[1]Data 2026'!CE72)</f>
        <v/>
      </c>
      <c r="CD60" s="685" t="str">
        <f>IF('[1]Data 2026'!CF72="","",'[1]Data 2026'!CF72)</f>
        <v/>
      </c>
      <c r="CE60" s="685">
        <f>IF('[1]Data 2026'!CG72="","",'[1]Data 2026'!CG72)</f>
        <v>46125</v>
      </c>
      <c r="CF60" s="685">
        <f>IF('[1]Data 2026'!CH72="","",'[1]Data 2026'!CH72)</f>
        <v>46142</v>
      </c>
      <c r="CG60" s="685" t="str">
        <f>IF('[1]Data 2026'!CI72="","",'[1]Data 2026'!CI72)</f>
        <v>E13883</v>
      </c>
      <c r="CH60" s="685" t="str">
        <f>IF('[1]Data 2026'!CJ72="","",'[1]Data 2026'!CJ72)</f>
        <v/>
      </c>
      <c r="CI60" s="685">
        <f>IF('[1]Data 2026'!CK72="","",'[1]Data 2026'!CK72)</f>
        <v>46148</v>
      </c>
      <c r="CJ60" s="685" t="str">
        <f>IF('[1]Data 2026'!CM72="","",'[1]Data 2026'!CM72)</f>
        <v/>
      </c>
      <c r="CK60" s="685" t="str">
        <f>IF('[1]Data 2026'!CN72="","",'[1]Data 2026'!CN72)</f>
        <v>Ajeesh</v>
      </c>
      <c r="CL60" s="691"/>
      <c r="CM60" s="691" t="str">
        <f>IF('[1]Data 2026'!CP72="","",'[1]Data 2026'!CP72)</f>
        <v/>
      </c>
      <c r="CN60" s="691"/>
      <c r="CO60" s="693"/>
      <c r="CP60" s="693"/>
      <c r="CQ60" s="693"/>
      <c r="CR60" s="686">
        <f t="shared" si="12"/>
        <v>1</v>
      </c>
      <c r="CS60" s="686">
        <f t="shared" si="12"/>
        <v>0</v>
      </c>
      <c r="CT60" s="686">
        <f t="shared" si="12"/>
        <v>15</v>
      </c>
      <c r="CU60" s="686">
        <f t="shared" si="5"/>
        <v>26</v>
      </c>
      <c r="CV60" s="686" t="str">
        <f t="shared" si="6"/>
        <v/>
      </c>
      <c r="CW60" s="685" t="str">
        <f t="shared" si="10"/>
        <v/>
      </c>
      <c r="CX60" s="685" t="str">
        <f t="shared" si="11"/>
        <v/>
      </c>
      <c r="CY60" s="693">
        <f t="shared" ca="1" si="7"/>
        <v>70</v>
      </c>
      <c r="CZ60" s="693" t="str">
        <f t="shared" si="8"/>
        <v/>
      </c>
      <c r="DB60"/>
      <c r="DC60"/>
    </row>
    <row r="61" spans="1:107" s="694" customFormat="1">
      <c r="A61" s="682" t="str">
        <f t="shared" si="0"/>
        <v>G. SAILED, OBL AWAITED</v>
      </c>
      <c r="B61" s="698" t="s">
        <v>1202</v>
      </c>
      <c r="C61" s="684" t="str">
        <f t="shared" si="1"/>
        <v>CLOSED POSITION</v>
      </c>
      <c r="D61" s="685" t="str">
        <f t="shared" si="9"/>
        <v>HBL RECEIVED, SURRENDER IS DUE</v>
      </c>
      <c r="E61" s="685" t="str">
        <f t="shared" si="2"/>
        <v/>
      </c>
      <c r="F61" s="686">
        <f>IF('[1]Data 2026'!D73="","",'[1]Data 2026'!D73)</f>
        <v>46</v>
      </c>
      <c r="G61" s="686">
        <f>IF('[1]Data 2026'!E73="","",'[1]Data 2026'!E73)</f>
        <v>200</v>
      </c>
      <c r="H61" s="687" t="str">
        <f>IF('[1]Data 2026'!H73="","",'[1]Data 2026'!H73)</f>
        <v>32016289-1</v>
      </c>
      <c r="I61" s="688">
        <f>IF('[1]Data 2026'!AA73="","",'[1]Data 2026'!AA73)</f>
        <v>250</v>
      </c>
      <c r="J61" s="685" t="str">
        <f>IF('[1]Data 2026'!K73="","",'[1]Data 2026'!K73)</f>
        <v>May - 26</v>
      </c>
      <c r="K61" s="685">
        <v>46173</v>
      </c>
      <c r="L61" s="685" t="str">
        <f>IF('[1]Data 2026'!L73="","",'[1]Data 2026'!L73)</f>
        <v>VALENCY CI</v>
      </c>
      <c r="M61" s="685" t="str">
        <f>IF('[1]Data 2026'!M73="","",'[1]Data 2026'!M73)</f>
        <v>VIET PHI AGRICULTURE</v>
      </c>
      <c r="N61" s="685" t="s">
        <v>1203</v>
      </c>
      <c r="O61" s="689">
        <f>IF('[1]Data 2026'!N73="","",'[1]Data 2026'!N73)</f>
        <v>90264240</v>
      </c>
      <c r="P61" s="690" t="str">
        <f>IF('[1]Data 2026'!O73="","",'[1]Data 2026'!O73)</f>
        <v>HLCUAB1260401247</v>
      </c>
      <c r="Q61" s="685" t="str">
        <f>IF('[1]Data 2026'!P73="","",'[1]Data 2026'!P73)</f>
        <v>TPSCR26010667</v>
      </c>
      <c r="R61" s="685" t="str">
        <f>IF('[1]Data 2026'!Q73="","",'[1]Data 2026'!Q73)</f>
        <v>ABJ</v>
      </c>
      <c r="S61" s="685" t="s">
        <v>347</v>
      </c>
      <c r="T61" s="685" t="str">
        <f>IF('[1]Data 2026'!R73="","",'[1]Data 2026'!R73)</f>
        <v>HCMC, VIETNAM</v>
      </c>
      <c r="U61" s="685" t="str">
        <f>IF('[1]Data 2026'!S73="","",'[1]Data 2026'!S73)</f>
        <v>ACHELOOS</v>
      </c>
      <c r="V61" s="685">
        <f>IF('[1]Data 2026'!T73="","",'[1]Data 2026'!T73)</f>
        <v>46150</v>
      </c>
      <c r="W61" s="685">
        <f>IF('[1]Data 2026'!U73="","",'[1]Data 2026'!U73)</f>
        <v>46150</v>
      </c>
      <c r="X61" s="685">
        <f>IF('[1]Data 2026'!V73="","",'[1]Data 2026'!V73)</f>
        <v>46154</v>
      </c>
      <c r="Y61" s="685">
        <f>IF('[1]Data 2026'!W73="","",'[1]Data 2026'!W73)</f>
        <v>46155</v>
      </c>
      <c r="Z61" s="685">
        <f>IF('[1]Data 2026'!X73="","",'[1]Data 2026'!X73)</f>
        <v>46208</v>
      </c>
      <c r="AA61" s="685"/>
      <c r="AB61" s="685">
        <f>IF('[1]Data 2026'!Y73="","",'[1]Data 2026'!Y73)</f>
        <v>46163</v>
      </c>
      <c r="AC61" s="685">
        <f>IF('[1]Data 2026'!Z73="","",'[1]Data 2026'!Z73)</f>
        <v>46163</v>
      </c>
      <c r="AD61" s="691">
        <f>IF('[1]Data 2026'!AA73="","",'[1]Data 2026'!AA73)</f>
        <v>250</v>
      </c>
      <c r="AE61" s="691">
        <f>IF('[1]Data 2026'!AB73="","",'[1]Data 2026'!AB73)</f>
        <v>248.33</v>
      </c>
      <c r="AF61" s="685">
        <f>IF('[1]Data 2026'!AC73="","",'[1]Data 2026'!AC73)</f>
        <v>45808</v>
      </c>
      <c r="AG61" s="685" t="str">
        <f>IF('[1]Data 2026'!AD73="","",'[1]Data 2026'!AD73)</f>
        <v>Ex-Olam</v>
      </c>
      <c r="AH61" s="686">
        <f>IF('[1]Data 2026'!AE73="","",'[1]Data 2026'!AE73)</f>
        <v>10</v>
      </c>
      <c r="AI61" s="685" t="str">
        <f>IF('[1]Data 2026'!AG73="","",'[1]Data 2026'!AG73)</f>
        <v xml:space="preserve">GRAVIR LOGISTIQUE SARL </v>
      </c>
      <c r="AJ61" s="685" t="str">
        <f>IF('[1]Data 2026'!AH73="","",'[1]Data 2026'!AH73)</f>
        <v xml:space="preserve">MANTRA IVOIRE </v>
      </c>
      <c r="AK61" s="685" t="str">
        <f>IF('[1]Data 2026'!AI73="","",'[1]Data 2026'!AI73)</f>
        <v>Hapag</v>
      </c>
      <c r="AL61" s="685" t="str">
        <f>IF('[1]Data 2026'!AJ73="","",'[1]Data 2026'!AJ73)</f>
        <v>40FT</v>
      </c>
      <c r="AM61" s="692">
        <f>IF('[1]Data 2026'!AK73="","",'[1]Data 2026'!AK73)</f>
        <v>0.1</v>
      </c>
      <c r="AN61" s="685" t="str">
        <f>IF('[1]Data 2026'!AL73="","",'[1]Data 2026'!AL73)</f>
        <v>(01x250MTS)</v>
      </c>
      <c r="AO61" s="691">
        <f>IF('[1]Data 2026'!AM73="","",'[1]Data 2026'!AM73)</f>
        <v>275</v>
      </c>
      <c r="AP61" s="691">
        <f t="shared" si="3"/>
        <v>-1.6699999999999875</v>
      </c>
      <c r="AQ61" s="685" t="str">
        <f>IF('[1]Data 2026'!AO73="","",'[1]Data 2026'!AO73)</f>
        <v/>
      </c>
      <c r="AR61" s="685">
        <f>IF('[1]Data 2026'!AP73="","",'[1]Data 2026'!AP73)</f>
        <v>46163</v>
      </c>
      <c r="AS61" s="685">
        <f>IF('[1]Data 2026'!AQ73="","",'[1]Data 2026'!AQ73)</f>
        <v>46163</v>
      </c>
      <c r="AT61" s="685" t="str">
        <f>IF('[1]Data 2026'!AR73="","",'[1]Data 2026'!AR73)</f>
        <v/>
      </c>
      <c r="AU61" s="685" t="str">
        <f>IF('[1]Data 2026'!AW73="","",'[1]Data 2026'!AW73)</f>
        <v/>
      </c>
      <c r="AV61" s="685" t="str">
        <f>IF('[1]Data 2026'!AX73="","",'[1]Data 2026'!AX73)</f>
        <v/>
      </c>
      <c r="AW61" s="685" t="str">
        <f>IF('[1]Data 2026'!AY73="","",'[1]Data 2026'!AY73)</f>
        <v/>
      </c>
      <c r="AX61" s="685" t="str">
        <f>IF('[1]Data 2026'!AZ73="","",'[1]Data 2026'!AZ73)</f>
        <v/>
      </c>
      <c r="AY61" s="685" t="str">
        <f>IF('[1]Data 2026'!BA73="","",'[1]Data 2026'!BA73)</f>
        <v/>
      </c>
      <c r="AZ61" s="685" t="str">
        <f>IF('[1]Data 2026'!AS73="","",'[1]Data 2026'!AS73)</f>
        <v/>
      </c>
      <c r="BA61" s="685" t="str">
        <f>IF('[1]Data 2026'!AT73="","",'[1]Data 2026'!AT73)</f>
        <v/>
      </c>
      <c r="BB61" s="685" t="str">
        <f>IF('[1]Data 2026'!AU73="","",'[1]Data 2026'!AU73)</f>
        <v/>
      </c>
      <c r="BC61" s="685" t="str">
        <f>IF('[1]Data 2026'!AV73="","",'[1]Data 2026'!AV73)</f>
        <v/>
      </c>
      <c r="BD61" s="685" t="str">
        <f>IF('[1]Data 2026'!AW73="","",'[1]Data 2026'!AW73)</f>
        <v/>
      </c>
      <c r="BE61" s="685" t="str">
        <f>IF('[1]Data 2026'!AX73="","",'[1]Data 2026'!AX73)</f>
        <v/>
      </c>
      <c r="BF61" s="685" t="str">
        <f>IF('[1]Data 2026'!BF73="","",'[1]Data 2026'!BF73)</f>
        <v xml:space="preserve">GRAVIR LOGISTIQUE SARL </v>
      </c>
      <c r="BG61" s="685" t="str">
        <f>IF('[1]Data 2026'!BG73="","",'[1]Data 2026'!BG73)</f>
        <v/>
      </c>
      <c r="BH61" s="685" t="str">
        <f>IF('[1]Data 2026'!BH73="","",'[1]Data 2026'!BH73)</f>
        <v/>
      </c>
      <c r="BI61" s="685" t="str">
        <f>IF('[1]Data 2026'!BI73="","",'[1]Data 2026'!BI73)</f>
        <v/>
      </c>
      <c r="BJ61" s="685" t="str">
        <f>IF('[1]Data 2026'!BJ73="","",'[1]Data 2026'!BJ73)</f>
        <v/>
      </c>
      <c r="BK61" s="685" t="str">
        <f>IF('[1]Data 2026'!BK73="","",'[1]Data 2026'!BK73)</f>
        <v/>
      </c>
      <c r="BL61" s="685" t="str">
        <f>IF('[1]Data 2026'!BL73="","",'[1]Data 2026'!BL73)</f>
        <v xml:space="preserve">MANTRA IVOIRE </v>
      </c>
      <c r="BM61" s="685" t="str">
        <f>IF('[1]Data 2026'!BM73="","",'[1]Data 2026'!BM73)</f>
        <v/>
      </c>
      <c r="BN61" s="685" t="str">
        <f>IF('[1]Data 2026'!BN73="","",'[1]Data 2026'!BN73)</f>
        <v/>
      </c>
      <c r="BO61" s="685" t="str">
        <f>IF('[1]Data 2026'!BO73="","",'[1]Data 2026'!BO73)</f>
        <v/>
      </c>
      <c r="BP61" s="685" t="str">
        <f>IF('[1]Data 2026'!BP73="","",'[1]Data 2026'!BP73)</f>
        <v/>
      </c>
      <c r="BQ61" s="685" t="str">
        <f>IF('[1]Data 2026'!BQ73="","",'[1]Data 2026'!BQ73)</f>
        <v/>
      </c>
      <c r="BR61" s="685">
        <f>IF('[1]Data 2026'!BR73="","",'[1]Data 2026'!BR73)</f>
        <v>46163</v>
      </c>
      <c r="BS61" s="685" t="str">
        <f>IF('[1]Data 2026'!BS73="","",'[1]Data 2026'!BS73)</f>
        <v>IVC-RCN2026-CI0015</v>
      </c>
      <c r="BT61" s="685" t="str">
        <f>IF('[1]Data 2026'!BV73="","",'[1]Data 2026'!BV73)</f>
        <v>BOA/KTD</v>
      </c>
      <c r="BU61" s="685" t="str">
        <f>IF('[1]Data 2026'!BW73="","",'[1]Data 2026'!BW73)</f>
        <v/>
      </c>
      <c r="BV61" s="685" t="str">
        <f>IF('[1]Data 2026'!BX73="","",'[1]Data 2026'!BX73)</f>
        <v/>
      </c>
      <c r="BW61" s="685" t="str">
        <f>IF('[1]Data 2026'!BY73="","",'[1]Data 2026'!BY73)</f>
        <v/>
      </c>
      <c r="BX61" s="685" t="str">
        <f>IF('[1]Data 2026'!BZ73="","",'[1]Data 2026'!BZ73)</f>
        <v/>
      </c>
      <c r="BY61" s="685" t="str">
        <f>IF('[1]Data 2026'!CA73="","",'[1]Data 2026'!CA73)</f>
        <v>182610-15082</v>
      </c>
      <c r="BZ61" s="685">
        <f>IF('[1]Data 2026'!CB73="","",'[1]Data 2026'!CB73)</f>
        <v>46146</v>
      </c>
      <c r="CA61" s="685" t="str">
        <f>IF('[1]Data 2026'!CC73="","",'[1]Data 2026'!CC73)</f>
        <v/>
      </c>
      <c r="CB61" s="685" t="str">
        <f>IF('[1]Data 2026'!CD73="","",'[1]Data 2026'!CD73)</f>
        <v/>
      </c>
      <c r="CC61" s="685" t="str">
        <f>IF('[1]Data 2026'!CE73="","",'[1]Data 2026'!CE73)</f>
        <v/>
      </c>
      <c r="CD61" s="685" t="str">
        <f>IF('[1]Data 2026'!CF73="","",'[1]Data 2026'!CF73)</f>
        <v/>
      </c>
      <c r="CE61" s="685">
        <f>IF('[1]Data 2026'!CG73="","",'[1]Data 2026'!CG73)</f>
        <v>46125</v>
      </c>
      <c r="CF61" s="685">
        <f>IF('[1]Data 2026'!CH73="","",'[1]Data 2026'!CH73)</f>
        <v>46150</v>
      </c>
      <c r="CG61" s="685" t="str">
        <f>IF('[1]Data 2026'!CI73="","",'[1]Data 2026'!CI73)</f>
        <v>E14847</v>
      </c>
      <c r="CH61" s="685" t="str">
        <f>IF('[1]Data 2026'!CJ73="","",'[1]Data 2026'!CJ73)</f>
        <v/>
      </c>
      <c r="CI61" s="685">
        <f>IF('[1]Data 2026'!CK73="","",'[1]Data 2026'!CK73)</f>
        <v>46153</v>
      </c>
      <c r="CJ61" s="685" t="str">
        <f>IF('[1]Data 2026'!CM73="","",'[1]Data 2026'!CM73)</f>
        <v/>
      </c>
      <c r="CK61" s="685" t="str">
        <f>IF('[1]Data 2026'!CN73="","",'[1]Data 2026'!CN73)</f>
        <v>Sugmaran</v>
      </c>
      <c r="CL61" s="691"/>
      <c r="CM61" s="691" t="str">
        <f>IF('[1]Data 2026'!CP73="","",'[1]Data 2026'!CP73)</f>
        <v/>
      </c>
      <c r="CN61" s="691"/>
      <c r="CO61" s="693"/>
      <c r="CP61" s="693"/>
      <c r="CQ61" s="693"/>
      <c r="CR61" s="686">
        <f t="shared" si="12"/>
        <v>0</v>
      </c>
      <c r="CS61" s="686">
        <f t="shared" si="12"/>
        <v>4</v>
      </c>
      <c r="CT61" s="686">
        <f t="shared" si="12"/>
        <v>1</v>
      </c>
      <c r="CU61" s="686">
        <f t="shared" si="5"/>
        <v>9</v>
      </c>
      <c r="CV61" s="686" t="str">
        <f t="shared" si="6"/>
        <v/>
      </c>
      <c r="CW61" s="685" t="str">
        <f t="shared" si="10"/>
        <v/>
      </c>
      <c r="CX61" s="685" t="str">
        <f t="shared" si="11"/>
        <v/>
      </c>
      <c r="CY61" s="693">
        <f t="shared" ca="1" si="7"/>
        <v>70</v>
      </c>
      <c r="CZ61" s="693" t="str">
        <f t="shared" si="8"/>
        <v/>
      </c>
      <c r="DB61"/>
      <c r="DC61"/>
    </row>
    <row r="62" spans="1:107" s="694" customFormat="1">
      <c r="A62" s="682" t="str">
        <f t="shared" si="0"/>
        <v>G. SAILED, OBL AWAITED</v>
      </c>
      <c r="B62" s="698" t="s">
        <v>1202</v>
      </c>
      <c r="C62" s="684" t="str">
        <f t="shared" si="1"/>
        <v>CLOSED POSITION</v>
      </c>
      <c r="D62" s="685" t="str">
        <f t="shared" si="9"/>
        <v>HBL RECEIVED, SURRENDER IS DUE</v>
      </c>
      <c r="E62" s="685" t="str">
        <f t="shared" si="2"/>
        <v/>
      </c>
      <c r="F62" s="686">
        <f>IF('[1]Data 2026'!D74="","",'[1]Data 2026'!D74)</f>
        <v>46</v>
      </c>
      <c r="G62" s="686">
        <f>IF('[1]Data 2026'!E74="","",'[1]Data 2026'!E74)</f>
        <v>200</v>
      </c>
      <c r="H62" s="687" t="str">
        <f>IF('[1]Data 2026'!H74="","",'[1]Data 2026'!H74)</f>
        <v>32016289-2</v>
      </c>
      <c r="I62" s="688">
        <f>IF('[1]Data 2026'!AA74="","",'[1]Data 2026'!AA74)</f>
        <v>250</v>
      </c>
      <c r="J62" s="685" t="str">
        <f>IF('[1]Data 2026'!K74="","",'[1]Data 2026'!K74)</f>
        <v>May - 26</v>
      </c>
      <c r="K62" s="685">
        <v>46173</v>
      </c>
      <c r="L62" s="685" t="str">
        <f>IF('[1]Data 2026'!L74="","",'[1]Data 2026'!L74)</f>
        <v>VALENCY CI</v>
      </c>
      <c r="M62" s="685" t="str">
        <f>IF('[1]Data 2026'!M74="","",'[1]Data 2026'!M74)</f>
        <v>VIET PHI AGRICULTURE</v>
      </c>
      <c r="N62" s="685" t="s">
        <v>1203</v>
      </c>
      <c r="O62" s="689">
        <f>IF('[1]Data 2026'!N74="","",'[1]Data 2026'!N74)</f>
        <v>32715843</v>
      </c>
      <c r="P62" s="690" t="str">
        <f>IF('[1]Data 2026'!O74="","",'[1]Data 2026'!O74)</f>
        <v>HLCUAB1260401258</v>
      </c>
      <c r="Q62" s="685" t="str">
        <f>IF('[1]Data 2026'!P74="","",'[1]Data 2026'!P74)</f>
        <v>TPSCR26010668</v>
      </c>
      <c r="R62" s="685" t="str">
        <f>IF('[1]Data 2026'!Q74="","",'[1]Data 2026'!Q74)</f>
        <v>ABJ</v>
      </c>
      <c r="S62" s="685" t="s">
        <v>347</v>
      </c>
      <c r="T62" s="685" t="str">
        <f>IF('[1]Data 2026'!R74="","",'[1]Data 2026'!R74)</f>
        <v>HCMC, VIETNAM</v>
      </c>
      <c r="U62" s="685" t="str">
        <f>IF('[1]Data 2026'!S74="","",'[1]Data 2026'!S74)</f>
        <v>ACHELOOS</v>
      </c>
      <c r="V62" s="685">
        <f>IF('[1]Data 2026'!T74="","",'[1]Data 2026'!T74)</f>
        <v>46150</v>
      </c>
      <c r="W62" s="685">
        <f>IF('[1]Data 2026'!U74="","",'[1]Data 2026'!U74)</f>
        <v>46150</v>
      </c>
      <c r="X62" s="685">
        <f>IF('[1]Data 2026'!V74="","",'[1]Data 2026'!V74)</f>
        <v>46154</v>
      </c>
      <c r="Y62" s="685">
        <f>IF('[1]Data 2026'!W74="","",'[1]Data 2026'!W74)</f>
        <v>46155</v>
      </c>
      <c r="Z62" s="685">
        <f>IF('[1]Data 2026'!X74="","",'[1]Data 2026'!X74)</f>
        <v>46208</v>
      </c>
      <c r="AA62" s="685"/>
      <c r="AB62" s="685">
        <f>IF('[1]Data 2026'!Y74="","",'[1]Data 2026'!Y74)</f>
        <v>46163</v>
      </c>
      <c r="AC62" s="685">
        <f>IF('[1]Data 2026'!Z74="","",'[1]Data 2026'!Z74)</f>
        <v>46163</v>
      </c>
      <c r="AD62" s="691">
        <f>IF('[1]Data 2026'!AA74="","",'[1]Data 2026'!AA74)</f>
        <v>250</v>
      </c>
      <c r="AE62" s="691">
        <f>IF('[1]Data 2026'!AB74="","",'[1]Data 2026'!AB74)</f>
        <v>252.18</v>
      </c>
      <c r="AF62" s="685">
        <f>IF('[1]Data 2026'!AC74="","",'[1]Data 2026'!AC74)</f>
        <v>45808</v>
      </c>
      <c r="AG62" s="685" t="str">
        <f>IF('[1]Data 2026'!AD74="","",'[1]Data 2026'!AD74)</f>
        <v>Ex-Olam</v>
      </c>
      <c r="AH62" s="686">
        <f>IF('[1]Data 2026'!AE74="","",'[1]Data 2026'!AE74)</f>
        <v>10</v>
      </c>
      <c r="AI62" s="685" t="str">
        <f>IF('[1]Data 2026'!AG74="","",'[1]Data 2026'!AG74)</f>
        <v xml:space="preserve">GRAVIR LOGISTIQUE SARL </v>
      </c>
      <c r="AJ62" s="685" t="str">
        <f>IF('[1]Data 2026'!AH74="","",'[1]Data 2026'!AH74)</f>
        <v xml:space="preserve">MANTRA IVOIRE </v>
      </c>
      <c r="AK62" s="685" t="str">
        <f>IF('[1]Data 2026'!AI74="","",'[1]Data 2026'!AI74)</f>
        <v>Hapag</v>
      </c>
      <c r="AL62" s="685" t="str">
        <f>IF('[1]Data 2026'!AJ74="","",'[1]Data 2026'!AJ74)</f>
        <v>40FT</v>
      </c>
      <c r="AM62" s="692">
        <f>IF('[1]Data 2026'!AK74="","",'[1]Data 2026'!AK74)</f>
        <v>0.1</v>
      </c>
      <c r="AN62" s="685" t="str">
        <f>IF('[1]Data 2026'!AL74="","",'[1]Data 2026'!AL74)</f>
        <v>(01x250MTS)</v>
      </c>
      <c r="AO62" s="691">
        <f>IF('[1]Data 2026'!AM74="","",'[1]Data 2026'!AM74)</f>
        <v>275</v>
      </c>
      <c r="AP62" s="691">
        <f t="shared" si="3"/>
        <v>2.1800000000000068</v>
      </c>
      <c r="AQ62" s="685" t="str">
        <f>IF('[1]Data 2026'!AO74="","",'[1]Data 2026'!AO74)</f>
        <v/>
      </c>
      <c r="AR62" s="685">
        <f>IF('[1]Data 2026'!AP74="","",'[1]Data 2026'!AP74)</f>
        <v>46163</v>
      </c>
      <c r="AS62" s="685">
        <f>IF('[1]Data 2026'!AQ74="","",'[1]Data 2026'!AQ74)</f>
        <v>46163</v>
      </c>
      <c r="AT62" s="685" t="str">
        <f>IF('[1]Data 2026'!AR74="","",'[1]Data 2026'!AR74)</f>
        <v/>
      </c>
      <c r="AU62" s="685" t="str">
        <f>IF('[1]Data 2026'!AW74="","",'[1]Data 2026'!AW74)</f>
        <v/>
      </c>
      <c r="AV62" s="685" t="str">
        <f>IF('[1]Data 2026'!AX74="","",'[1]Data 2026'!AX74)</f>
        <v/>
      </c>
      <c r="AW62" s="685" t="str">
        <f>IF('[1]Data 2026'!AY74="","",'[1]Data 2026'!AY74)</f>
        <v/>
      </c>
      <c r="AX62" s="685" t="str">
        <f>IF('[1]Data 2026'!AZ74="","",'[1]Data 2026'!AZ74)</f>
        <v/>
      </c>
      <c r="AY62" s="685" t="str">
        <f>IF('[1]Data 2026'!BA74="","",'[1]Data 2026'!BA74)</f>
        <v/>
      </c>
      <c r="AZ62" s="685" t="str">
        <f>IF('[1]Data 2026'!AS74="","",'[1]Data 2026'!AS74)</f>
        <v/>
      </c>
      <c r="BA62" s="685" t="str">
        <f>IF('[1]Data 2026'!AT74="","",'[1]Data 2026'!AT74)</f>
        <v/>
      </c>
      <c r="BB62" s="685" t="str">
        <f>IF('[1]Data 2026'!AU74="","",'[1]Data 2026'!AU74)</f>
        <v/>
      </c>
      <c r="BC62" s="685" t="str">
        <f>IF('[1]Data 2026'!AV74="","",'[1]Data 2026'!AV74)</f>
        <v/>
      </c>
      <c r="BD62" s="685" t="str">
        <f>IF('[1]Data 2026'!AW74="","",'[1]Data 2026'!AW74)</f>
        <v/>
      </c>
      <c r="BE62" s="685" t="str">
        <f>IF('[1]Data 2026'!AX74="","",'[1]Data 2026'!AX74)</f>
        <v/>
      </c>
      <c r="BF62" s="685" t="str">
        <f>IF('[1]Data 2026'!BF74="","",'[1]Data 2026'!BF74)</f>
        <v xml:space="preserve">GRAVIR LOGISTIQUE SARL </v>
      </c>
      <c r="BG62" s="685" t="str">
        <f>IF('[1]Data 2026'!BG74="","",'[1]Data 2026'!BG74)</f>
        <v/>
      </c>
      <c r="BH62" s="685" t="str">
        <f>IF('[1]Data 2026'!BH74="","",'[1]Data 2026'!BH74)</f>
        <v/>
      </c>
      <c r="BI62" s="685" t="str">
        <f>IF('[1]Data 2026'!BI74="","",'[1]Data 2026'!BI74)</f>
        <v/>
      </c>
      <c r="BJ62" s="685" t="str">
        <f>IF('[1]Data 2026'!BJ74="","",'[1]Data 2026'!BJ74)</f>
        <v/>
      </c>
      <c r="BK62" s="685" t="str">
        <f>IF('[1]Data 2026'!BK74="","",'[1]Data 2026'!BK74)</f>
        <v/>
      </c>
      <c r="BL62" s="685" t="str">
        <f>IF('[1]Data 2026'!BL74="","",'[1]Data 2026'!BL74)</f>
        <v xml:space="preserve">MANTRA IVOIRE </v>
      </c>
      <c r="BM62" s="685" t="str">
        <f>IF('[1]Data 2026'!BM74="","",'[1]Data 2026'!BM74)</f>
        <v/>
      </c>
      <c r="BN62" s="685" t="str">
        <f>IF('[1]Data 2026'!BN74="","",'[1]Data 2026'!BN74)</f>
        <v/>
      </c>
      <c r="BO62" s="685" t="str">
        <f>IF('[1]Data 2026'!BO74="","",'[1]Data 2026'!BO74)</f>
        <v/>
      </c>
      <c r="BP62" s="685" t="str">
        <f>IF('[1]Data 2026'!BP74="","",'[1]Data 2026'!BP74)</f>
        <v/>
      </c>
      <c r="BQ62" s="685" t="str">
        <f>IF('[1]Data 2026'!BQ74="","",'[1]Data 2026'!BQ74)</f>
        <v/>
      </c>
      <c r="BR62" s="685">
        <f>IF('[1]Data 2026'!BR74="","",'[1]Data 2026'!BR74)</f>
        <v>46163</v>
      </c>
      <c r="BS62" s="685" t="str">
        <f>IF('[1]Data 2026'!BS74="","",'[1]Data 2026'!BS74)</f>
        <v>IVC-RCN2026-CI0014</v>
      </c>
      <c r="BT62" s="685" t="str">
        <f>IF('[1]Data 2026'!BV74="","",'[1]Data 2026'!BV74)</f>
        <v>BOA/KTD</v>
      </c>
      <c r="BU62" s="685" t="str">
        <f>IF('[1]Data 2026'!BW74="","",'[1]Data 2026'!BW74)</f>
        <v/>
      </c>
      <c r="BV62" s="685" t="str">
        <f>IF('[1]Data 2026'!BX74="","",'[1]Data 2026'!BX74)</f>
        <v/>
      </c>
      <c r="BW62" s="685" t="str">
        <f>IF('[1]Data 2026'!BY74="","",'[1]Data 2026'!BY74)</f>
        <v/>
      </c>
      <c r="BX62" s="685" t="str">
        <f>IF('[1]Data 2026'!BZ74="","",'[1]Data 2026'!BZ74)</f>
        <v/>
      </c>
      <c r="BY62" s="685" t="str">
        <f>IF('[1]Data 2026'!CA74="","",'[1]Data 2026'!CA74)</f>
        <v>182610-15082</v>
      </c>
      <c r="BZ62" s="685">
        <f>IF('[1]Data 2026'!CB74="","",'[1]Data 2026'!CB74)</f>
        <v>46146</v>
      </c>
      <c r="CA62" s="685" t="str">
        <f>IF('[1]Data 2026'!CC74="","",'[1]Data 2026'!CC74)</f>
        <v/>
      </c>
      <c r="CB62" s="685" t="str">
        <f>IF('[1]Data 2026'!CD74="","",'[1]Data 2026'!CD74)</f>
        <v/>
      </c>
      <c r="CC62" s="685" t="str">
        <f>IF('[1]Data 2026'!CE74="","",'[1]Data 2026'!CE74)</f>
        <v/>
      </c>
      <c r="CD62" s="685" t="str">
        <f>IF('[1]Data 2026'!CF74="","",'[1]Data 2026'!CF74)</f>
        <v/>
      </c>
      <c r="CE62" s="685">
        <f>IF('[1]Data 2026'!CG74="","",'[1]Data 2026'!CG74)</f>
        <v>46125</v>
      </c>
      <c r="CF62" s="685">
        <f>IF('[1]Data 2026'!CH74="","",'[1]Data 2026'!CH74)</f>
        <v>46150</v>
      </c>
      <c r="CG62" s="685" t="str">
        <f>IF('[1]Data 2026'!CI74="","",'[1]Data 2026'!CI74)</f>
        <v>E14847</v>
      </c>
      <c r="CH62" s="685" t="str">
        <f>IF('[1]Data 2026'!CJ74="","",'[1]Data 2026'!CJ74)</f>
        <v/>
      </c>
      <c r="CI62" s="685">
        <f>IF('[1]Data 2026'!CK74="","",'[1]Data 2026'!CK74)</f>
        <v>46153</v>
      </c>
      <c r="CJ62" s="685" t="str">
        <f>IF('[1]Data 2026'!CM74="","",'[1]Data 2026'!CM74)</f>
        <v/>
      </c>
      <c r="CK62" s="685" t="str">
        <f>IF('[1]Data 2026'!CN74="","",'[1]Data 2026'!CN74)</f>
        <v>Sugmaran</v>
      </c>
      <c r="CL62" s="691"/>
      <c r="CM62" s="691" t="str">
        <f>IF('[1]Data 2026'!CP74="","",'[1]Data 2026'!CP74)</f>
        <v/>
      </c>
      <c r="CN62" s="691"/>
      <c r="CO62" s="693"/>
      <c r="CP62" s="693"/>
      <c r="CQ62" s="693"/>
      <c r="CR62" s="686">
        <f t="shared" si="12"/>
        <v>0</v>
      </c>
      <c r="CS62" s="686">
        <f t="shared" si="12"/>
        <v>4</v>
      </c>
      <c r="CT62" s="686">
        <f t="shared" si="12"/>
        <v>1</v>
      </c>
      <c r="CU62" s="686">
        <f t="shared" si="5"/>
        <v>9</v>
      </c>
      <c r="CV62" s="686" t="str">
        <f t="shared" si="6"/>
        <v/>
      </c>
      <c r="CW62" s="685" t="str">
        <f t="shared" si="10"/>
        <v/>
      </c>
      <c r="CX62" s="685" t="str">
        <f t="shared" si="11"/>
        <v/>
      </c>
      <c r="CY62" s="693">
        <f t="shared" ca="1" si="7"/>
        <v>70</v>
      </c>
      <c r="CZ62" s="693" t="str">
        <f t="shared" si="8"/>
        <v/>
      </c>
      <c r="DB62"/>
      <c r="DC62"/>
    </row>
    <row r="63" spans="1:107" s="694" customFormat="1">
      <c r="A63" s="682" t="str">
        <f t="shared" si="0"/>
        <v>G. SAILED, OBL AWAITED</v>
      </c>
      <c r="B63" s="698" t="s">
        <v>1202</v>
      </c>
      <c r="C63" s="684" t="str">
        <f t="shared" si="1"/>
        <v>CLOSED POSITION</v>
      </c>
      <c r="D63" s="685" t="str">
        <f t="shared" si="9"/>
        <v>HBL RECEIVED, SURRENDER IS DUE</v>
      </c>
      <c r="E63" s="685" t="str">
        <f t="shared" si="2"/>
        <v/>
      </c>
      <c r="F63" s="686">
        <f>IF('[1]Data 2026'!D75="","",'[1]Data 2026'!D75)</f>
        <v>46</v>
      </c>
      <c r="G63" s="686">
        <f>IF('[1]Data 2026'!E75="","",'[1]Data 2026'!E75)</f>
        <v>200</v>
      </c>
      <c r="H63" s="687">
        <f>IF('[1]Data 2026'!H75="","",'[1]Data 2026'!H75)</f>
        <v>32015796</v>
      </c>
      <c r="I63" s="688">
        <f>IF('[1]Data 2026'!AA75="","",'[1]Data 2026'!AA75)</f>
        <v>250</v>
      </c>
      <c r="J63" s="685" t="str">
        <f>IF('[1]Data 2026'!K75="","",'[1]Data 2026'!K75)</f>
        <v>April/May - 26</v>
      </c>
      <c r="K63" s="685">
        <v>46173</v>
      </c>
      <c r="L63" s="685" t="str">
        <f>IF('[1]Data 2026'!L75="","",'[1]Data 2026'!L75)</f>
        <v>VALENCY CI</v>
      </c>
      <c r="M63" s="685" t="str">
        <f>IF('[1]Data 2026'!M75="","",'[1]Data 2026'!M75)</f>
        <v xml:space="preserve">KIEU LOAN CO., LTD </v>
      </c>
      <c r="N63" s="685" t="s">
        <v>1203</v>
      </c>
      <c r="O63" s="689">
        <f>IF('[1]Data 2026'!N75="","",'[1]Data 2026'!N75)</f>
        <v>21151774</v>
      </c>
      <c r="P63" s="690" t="str">
        <f>IF('[1]Data 2026'!O75="","",'[1]Data 2026'!O75)</f>
        <v>HLCUAB1260400785</v>
      </c>
      <c r="Q63" s="685" t="str">
        <f>IF('[1]Data 2026'!P75="","",'[1]Data 2026'!P75)</f>
        <v>TPSCR26010669</v>
      </c>
      <c r="R63" s="685" t="str">
        <f>IF('[1]Data 2026'!Q75="","",'[1]Data 2026'!Q75)</f>
        <v>ABJ</v>
      </c>
      <c r="S63" s="685" t="s">
        <v>347</v>
      </c>
      <c r="T63" s="685" t="str">
        <f>IF('[1]Data 2026'!R75="","",'[1]Data 2026'!R75)</f>
        <v>HCMC, VIETNAM</v>
      </c>
      <c r="U63" s="685" t="str">
        <f>IF('[1]Data 2026'!S75="","",'[1]Data 2026'!S75)</f>
        <v>ACHELOOS</v>
      </c>
      <c r="V63" s="685">
        <f>IF('[1]Data 2026'!T75="","",'[1]Data 2026'!T75)</f>
        <v>46149</v>
      </c>
      <c r="W63" s="685">
        <f>IF('[1]Data 2026'!U75="","",'[1]Data 2026'!U75)</f>
        <v>46149</v>
      </c>
      <c r="X63" s="685">
        <f>IF('[1]Data 2026'!V75="","",'[1]Data 2026'!V75)</f>
        <v>46151</v>
      </c>
      <c r="Y63" s="685">
        <f>IF('[1]Data 2026'!W75="","",'[1]Data 2026'!W75)</f>
        <v>46153</v>
      </c>
      <c r="Z63" s="685">
        <f>IF('[1]Data 2026'!X75="","",'[1]Data 2026'!X75)</f>
        <v>46208</v>
      </c>
      <c r="AA63" s="685"/>
      <c r="AB63" s="685">
        <f>IF('[1]Data 2026'!Y75="","",'[1]Data 2026'!Y75)</f>
        <v>46163</v>
      </c>
      <c r="AC63" s="685">
        <f>IF('[1]Data 2026'!Z75="","",'[1]Data 2026'!Z75)</f>
        <v>46163</v>
      </c>
      <c r="AD63" s="691">
        <f>IF('[1]Data 2026'!AA75="","",'[1]Data 2026'!AA75)</f>
        <v>250</v>
      </c>
      <c r="AE63" s="691">
        <f>IF('[1]Data 2026'!AB75="","",'[1]Data 2026'!AB75)</f>
        <v>248.91</v>
      </c>
      <c r="AF63" s="685">
        <f>IF('[1]Data 2026'!AC75="","",'[1]Data 2026'!AC75)</f>
        <v>45808</v>
      </c>
      <c r="AG63" s="685" t="str">
        <f>IF('[1]Data 2026'!AD75="","",'[1]Data 2026'!AD75)</f>
        <v>WH-A</v>
      </c>
      <c r="AH63" s="686">
        <f>IF('[1]Data 2026'!AE75="","",'[1]Data 2026'!AE75)</f>
        <v>10</v>
      </c>
      <c r="AI63" s="685" t="str">
        <f>IF('[1]Data 2026'!AG75="","",'[1]Data 2026'!AG75)</f>
        <v xml:space="preserve">GRAVIR LOGISTIQUE SARL </v>
      </c>
      <c r="AJ63" s="685" t="str">
        <f>IF('[1]Data 2026'!AH75="","",'[1]Data 2026'!AH75)</f>
        <v xml:space="preserve">MANTRA IVOIRE </v>
      </c>
      <c r="AK63" s="685" t="str">
        <f>IF('[1]Data 2026'!AI75="","",'[1]Data 2026'!AI75)</f>
        <v>Hapag</v>
      </c>
      <c r="AL63" s="685" t="str">
        <f>IF('[1]Data 2026'!AJ75="","",'[1]Data 2026'!AJ75)</f>
        <v>40FT</v>
      </c>
      <c r="AM63" s="692">
        <f>IF('[1]Data 2026'!AK75="","",'[1]Data 2026'!AK75)</f>
        <v>0.1</v>
      </c>
      <c r="AN63" s="685" t="str">
        <f>IF('[1]Data 2026'!AL75="","",'[1]Data 2026'!AL75)</f>
        <v>(01x250MTS)</v>
      </c>
      <c r="AO63" s="691">
        <f>IF('[1]Data 2026'!AM75="","",'[1]Data 2026'!AM75)</f>
        <v>275</v>
      </c>
      <c r="AP63" s="691">
        <f t="shared" si="3"/>
        <v>-1.0900000000000034</v>
      </c>
      <c r="AQ63" s="685" t="str">
        <f>IF('[1]Data 2026'!AO75="","",'[1]Data 2026'!AO75)</f>
        <v/>
      </c>
      <c r="AR63" s="685">
        <f>IF('[1]Data 2026'!AP75="","",'[1]Data 2026'!AP75)</f>
        <v>46163</v>
      </c>
      <c r="AS63" s="685">
        <f>IF('[1]Data 2026'!AQ75="","",'[1]Data 2026'!AQ75)</f>
        <v>46163</v>
      </c>
      <c r="AT63" s="685" t="str">
        <f>IF('[1]Data 2026'!AR75="","",'[1]Data 2026'!AR75)</f>
        <v/>
      </c>
      <c r="AU63" s="685" t="str">
        <f>IF('[1]Data 2026'!AW75="","",'[1]Data 2026'!AW75)</f>
        <v/>
      </c>
      <c r="AV63" s="685" t="str">
        <f>IF('[1]Data 2026'!AX75="","",'[1]Data 2026'!AX75)</f>
        <v/>
      </c>
      <c r="AW63" s="685" t="str">
        <f>IF('[1]Data 2026'!AY75="","",'[1]Data 2026'!AY75)</f>
        <v/>
      </c>
      <c r="AX63" s="685" t="str">
        <f>IF('[1]Data 2026'!AZ75="","",'[1]Data 2026'!AZ75)</f>
        <v/>
      </c>
      <c r="AY63" s="685" t="str">
        <f>IF('[1]Data 2026'!BA75="","",'[1]Data 2026'!BA75)</f>
        <v/>
      </c>
      <c r="AZ63" s="685" t="str">
        <f>IF('[1]Data 2026'!AS75="","",'[1]Data 2026'!AS75)</f>
        <v/>
      </c>
      <c r="BA63" s="685" t="str">
        <f>IF('[1]Data 2026'!AT75="","",'[1]Data 2026'!AT75)</f>
        <v/>
      </c>
      <c r="BB63" s="685" t="str">
        <f>IF('[1]Data 2026'!AU75="","",'[1]Data 2026'!AU75)</f>
        <v/>
      </c>
      <c r="BC63" s="685" t="str">
        <f>IF('[1]Data 2026'!AV75="","",'[1]Data 2026'!AV75)</f>
        <v/>
      </c>
      <c r="BD63" s="685" t="str">
        <f>IF('[1]Data 2026'!AW75="","",'[1]Data 2026'!AW75)</f>
        <v/>
      </c>
      <c r="BE63" s="685" t="str">
        <f>IF('[1]Data 2026'!AX75="","",'[1]Data 2026'!AX75)</f>
        <v/>
      </c>
      <c r="BF63" s="685" t="str">
        <f>IF('[1]Data 2026'!BF75="","",'[1]Data 2026'!BF75)</f>
        <v xml:space="preserve">GRAVIR LOGISTIQUE SARL </v>
      </c>
      <c r="BG63" s="685" t="str">
        <f>IF('[1]Data 2026'!BG75="","",'[1]Data 2026'!BG75)</f>
        <v/>
      </c>
      <c r="BH63" s="685" t="str">
        <f>IF('[1]Data 2026'!BH75="","",'[1]Data 2026'!BH75)</f>
        <v/>
      </c>
      <c r="BI63" s="685" t="str">
        <f>IF('[1]Data 2026'!BI75="","",'[1]Data 2026'!BI75)</f>
        <v/>
      </c>
      <c r="BJ63" s="685" t="str">
        <f>IF('[1]Data 2026'!BJ75="","",'[1]Data 2026'!BJ75)</f>
        <v/>
      </c>
      <c r="BK63" s="685" t="str">
        <f>IF('[1]Data 2026'!BK75="","",'[1]Data 2026'!BK75)</f>
        <v/>
      </c>
      <c r="BL63" s="685" t="str">
        <f>IF('[1]Data 2026'!BL75="","",'[1]Data 2026'!BL75)</f>
        <v xml:space="preserve">MANTRA IVOIRE </v>
      </c>
      <c r="BM63" s="685" t="str">
        <f>IF('[1]Data 2026'!BM75="","",'[1]Data 2026'!BM75)</f>
        <v/>
      </c>
      <c r="BN63" s="685" t="str">
        <f>IF('[1]Data 2026'!BN75="","",'[1]Data 2026'!BN75)</f>
        <v/>
      </c>
      <c r="BO63" s="685" t="str">
        <f>IF('[1]Data 2026'!BO75="","",'[1]Data 2026'!BO75)</f>
        <v/>
      </c>
      <c r="BP63" s="685" t="str">
        <f>IF('[1]Data 2026'!BP75="","",'[1]Data 2026'!BP75)</f>
        <v/>
      </c>
      <c r="BQ63" s="685" t="str">
        <f>IF('[1]Data 2026'!BQ75="","",'[1]Data 2026'!BQ75)</f>
        <v/>
      </c>
      <c r="BR63" s="685">
        <f>IF('[1]Data 2026'!BR75="","",'[1]Data 2026'!BR75)</f>
        <v>46163</v>
      </c>
      <c r="BS63" s="685" t="str">
        <f>IF('[1]Data 2026'!BS75="","",'[1]Data 2026'!BS75)</f>
        <v>IVC-RCN2026-CI0012</v>
      </c>
      <c r="BT63" s="685" t="str">
        <f>IF('[1]Data 2026'!BV75="","",'[1]Data 2026'!BV75)</f>
        <v>ABSA/CMI</v>
      </c>
      <c r="BU63" s="685" t="str">
        <f>IF('[1]Data 2026'!BW75="","",'[1]Data 2026'!BW75)</f>
        <v/>
      </c>
      <c r="BV63" s="685" t="str">
        <f>IF('[1]Data 2026'!BX75="","",'[1]Data 2026'!BX75)</f>
        <v/>
      </c>
      <c r="BW63" s="685" t="str">
        <f>IF('[1]Data 2026'!BY75="","",'[1]Data 2026'!BY75)</f>
        <v/>
      </c>
      <c r="BX63" s="685" t="str">
        <f>IF('[1]Data 2026'!BZ75="","",'[1]Data 2026'!BZ75)</f>
        <v/>
      </c>
      <c r="BY63" s="685" t="str">
        <f>IF('[1]Data 2026'!CA75="","",'[1]Data 2026'!CA75)</f>
        <v>182610-15081</v>
      </c>
      <c r="BZ63" s="685">
        <f>IF('[1]Data 2026'!CB75="","",'[1]Data 2026'!CB75)</f>
        <v>46146</v>
      </c>
      <c r="CA63" s="685" t="str">
        <f>IF('[1]Data 2026'!CC75="","",'[1]Data 2026'!CC75)</f>
        <v/>
      </c>
      <c r="CB63" s="685" t="str">
        <f>IF('[1]Data 2026'!CD75="","",'[1]Data 2026'!CD75)</f>
        <v/>
      </c>
      <c r="CC63" s="685" t="str">
        <f>IF('[1]Data 2026'!CE75="","",'[1]Data 2026'!CE75)</f>
        <v/>
      </c>
      <c r="CD63" s="685" t="str">
        <f>IF('[1]Data 2026'!CF75="","",'[1]Data 2026'!CF75)</f>
        <v/>
      </c>
      <c r="CE63" s="685">
        <f>IF('[1]Data 2026'!CG75="","",'[1]Data 2026'!CG75)</f>
        <v>46125</v>
      </c>
      <c r="CF63" s="685">
        <f>IF('[1]Data 2026'!CH75="","",'[1]Data 2026'!CH75)</f>
        <v>46150</v>
      </c>
      <c r="CG63" s="685" t="str">
        <f>IF('[1]Data 2026'!CI75="","",'[1]Data 2026'!CI75)</f>
        <v>E14737</v>
      </c>
      <c r="CH63" s="685" t="str">
        <f>IF('[1]Data 2026'!CJ75="","",'[1]Data 2026'!CJ75)</f>
        <v/>
      </c>
      <c r="CI63" s="685">
        <f>IF('[1]Data 2026'!CK75="","",'[1]Data 2026'!CK75)</f>
        <v>46150</v>
      </c>
      <c r="CJ63" s="685" t="str">
        <f>IF('[1]Data 2026'!CM75="","",'[1]Data 2026'!CM75)</f>
        <v/>
      </c>
      <c r="CK63" s="685" t="str">
        <f>IF('[1]Data 2026'!CN75="","",'[1]Data 2026'!CN75)</f>
        <v/>
      </c>
      <c r="CL63" s="691"/>
      <c r="CM63" s="691" t="str">
        <f>IF('[1]Data 2026'!CP75="","",'[1]Data 2026'!CP75)</f>
        <v/>
      </c>
      <c r="CN63" s="691"/>
      <c r="CO63" s="693"/>
      <c r="CP63" s="693"/>
      <c r="CQ63" s="693"/>
      <c r="CR63" s="686">
        <f t="shared" si="12"/>
        <v>0</v>
      </c>
      <c r="CS63" s="686">
        <f t="shared" si="12"/>
        <v>2</v>
      </c>
      <c r="CT63" s="686">
        <f t="shared" si="12"/>
        <v>2</v>
      </c>
      <c r="CU63" s="686">
        <f t="shared" si="5"/>
        <v>12</v>
      </c>
      <c r="CV63" s="686" t="str">
        <f t="shared" si="6"/>
        <v/>
      </c>
      <c r="CW63" s="685" t="str">
        <f t="shared" si="10"/>
        <v/>
      </c>
      <c r="CX63" s="685" t="str">
        <f t="shared" si="11"/>
        <v/>
      </c>
      <c r="CY63" s="693">
        <f t="shared" ca="1" si="7"/>
        <v>70</v>
      </c>
      <c r="CZ63" s="693" t="str">
        <f t="shared" si="8"/>
        <v/>
      </c>
      <c r="DB63"/>
      <c r="DC63"/>
    </row>
    <row r="64" spans="1:107" s="694" customFormat="1">
      <c r="A64" s="682" t="str">
        <f t="shared" si="0"/>
        <v>G. SAILED, OBL AWAITED</v>
      </c>
      <c r="B64" s="698" t="s">
        <v>1202</v>
      </c>
      <c r="C64" s="684" t="str">
        <f t="shared" si="1"/>
        <v>LONG POSITION</v>
      </c>
      <c r="D64" s="685" t="str">
        <f t="shared" si="9"/>
        <v>HBL RECEIVED, SURRENDER IS DUE</v>
      </c>
      <c r="E64" s="685" t="str">
        <f t="shared" si="2"/>
        <v/>
      </c>
      <c r="F64" s="686">
        <f>IF('[1]Data 2026'!D76="","",'[1]Data 2026'!D76)</f>
        <v>47</v>
      </c>
      <c r="G64" s="686">
        <f>IF('[1]Data 2026'!E76="","",'[1]Data 2026'!E76)</f>
        <v>200</v>
      </c>
      <c r="H64" s="687" t="str">
        <f>IF('[1]Data 2026'!H76="","",'[1]Data 2026'!H76)</f>
        <v>TBA</v>
      </c>
      <c r="I64" s="688">
        <f>IF('[1]Data 2026'!AA76="","",'[1]Data 2026'!AA76)</f>
        <v>250</v>
      </c>
      <c r="J64" s="685" t="str">
        <f>IF('[1]Data 2026'!K76="","",'[1]Data 2026'!K76)</f>
        <v>May - 26</v>
      </c>
      <c r="K64" s="685">
        <v>46173</v>
      </c>
      <c r="L64" s="685" t="str">
        <f>IF('[1]Data 2026'!L76="","",'[1]Data 2026'!L76)</f>
        <v>VALENCY CI</v>
      </c>
      <c r="M64" s="685" t="str">
        <f>IF('[1]Data 2026'!M76="","",'[1]Data 2026'!M76)</f>
        <v>VALENCY VIETNAM-UNSOLD</v>
      </c>
      <c r="N64" s="685" t="s">
        <v>1203</v>
      </c>
      <c r="O64" s="689">
        <f>IF('[1]Data 2026'!N76="","",'[1]Data 2026'!N76)</f>
        <v>92429068</v>
      </c>
      <c r="P64" s="690" t="str">
        <f>IF('[1]Data 2026'!O76="","",'[1]Data 2026'!O76)</f>
        <v>HLCUAB1260400763</v>
      </c>
      <c r="Q64" s="685" t="str">
        <f>IF('[1]Data 2026'!P76="","",'[1]Data 2026'!P76)</f>
        <v>TPSCR26010670</v>
      </c>
      <c r="R64" s="685" t="str">
        <f>IF('[1]Data 2026'!Q76="","",'[1]Data 2026'!Q76)</f>
        <v>ABJ</v>
      </c>
      <c r="S64" s="685" t="s">
        <v>347</v>
      </c>
      <c r="T64" s="685" t="str">
        <f>IF('[1]Data 2026'!R76="","",'[1]Data 2026'!R76)</f>
        <v>HCMC, VIETNAM</v>
      </c>
      <c r="U64" s="685" t="str">
        <f>IF('[1]Data 2026'!S76="","",'[1]Data 2026'!S76)</f>
        <v>ACHELOOS</v>
      </c>
      <c r="V64" s="685">
        <f>IF('[1]Data 2026'!T76="","",'[1]Data 2026'!T76)</f>
        <v>46137</v>
      </c>
      <c r="W64" s="685">
        <f>IF('[1]Data 2026'!U76="","",'[1]Data 2026'!U76)</f>
        <v>46137</v>
      </c>
      <c r="X64" s="685">
        <f>IF('[1]Data 2026'!V76="","",'[1]Data 2026'!V76)</f>
        <v>46137</v>
      </c>
      <c r="Y64" s="685">
        <f>IF('[1]Data 2026'!W76="","",'[1]Data 2026'!W76)</f>
        <v>46153</v>
      </c>
      <c r="Z64" s="685" t="e">
        <f>IF('[1]Data 2026'!#REF!="","",'[1]Data 2026'!#REF!)</f>
        <v>#REF!</v>
      </c>
      <c r="AA64" s="685"/>
      <c r="AB64" s="685">
        <f>IF('[1]Data 2026'!Y76="","",'[1]Data 2026'!Y76)</f>
        <v>46163</v>
      </c>
      <c r="AC64" s="685">
        <f>IF('[1]Data 2026'!Z76="","",'[1]Data 2026'!Z76)</f>
        <v>46163</v>
      </c>
      <c r="AD64" s="691">
        <f>IF('[1]Data 2026'!AA76="","",'[1]Data 2026'!AA76)</f>
        <v>250</v>
      </c>
      <c r="AE64" s="691">
        <f>IF('[1]Data 2026'!AB76="","",'[1]Data 2026'!AB76)</f>
        <v>248.54</v>
      </c>
      <c r="AF64" s="685">
        <f>IF('[1]Data 2026'!AC76="","",'[1]Data 2026'!AC76)</f>
        <v>45808</v>
      </c>
      <c r="AG64" s="685" t="str">
        <f>IF('[1]Data 2026'!AD76="","",'[1]Data 2026'!AD76)</f>
        <v>WH-I</v>
      </c>
      <c r="AH64" s="686">
        <f>IF('[1]Data 2026'!AE76="","",'[1]Data 2026'!AE76)</f>
        <v>10</v>
      </c>
      <c r="AI64" s="685" t="str">
        <f>IF('[1]Data 2026'!AG76="","",'[1]Data 2026'!AG76)</f>
        <v>Monter Global</v>
      </c>
      <c r="AJ64" s="685" t="str">
        <f>IF('[1]Data 2026'!AH76="","",'[1]Data 2026'!AH76)</f>
        <v xml:space="preserve">MANTRA IVOIRE </v>
      </c>
      <c r="AK64" s="685" t="str">
        <f>IF('[1]Data 2026'!AI76="","",'[1]Data 2026'!AI76)</f>
        <v>Hapag</v>
      </c>
      <c r="AL64" s="685" t="str">
        <f>IF('[1]Data 2026'!AJ76="","",'[1]Data 2026'!AJ76)</f>
        <v>40FT</v>
      </c>
      <c r="AM64" s="692">
        <f>IF('[1]Data 2026'!AK76="","",'[1]Data 2026'!AK76)</f>
        <v>0.1</v>
      </c>
      <c r="AN64" s="685" t="str">
        <f>IF('[1]Data 2026'!AL76="","",'[1]Data 2026'!AL76)</f>
        <v>(01x250MTS)</v>
      </c>
      <c r="AO64" s="691">
        <f>IF('[1]Data 2026'!AM76="","",'[1]Data 2026'!AM76)</f>
        <v>275</v>
      </c>
      <c r="AP64" s="691">
        <f t="shared" si="3"/>
        <v>-1.460000000000008</v>
      </c>
      <c r="AQ64" s="685" t="str">
        <f>IF('[1]Data 2026'!AO76="","",'[1]Data 2026'!AO76)</f>
        <v/>
      </c>
      <c r="AR64" s="685">
        <f>IF('[1]Data 2026'!AP76="","",'[1]Data 2026'!AP76)</f>
        <v>46163</v>
      </c>
      <c r="AS64" s="685">
        <f>IF('[1]Data 2026'!AQ76="","",'[1]Data 2026'!AQ76)</f>
        <v>46163</v>
      </c>
      <c r="AT64" s="685" t="str">
        <f>IF('[1]Data 2026'!AR76="","",'[1]Data 2026'!AR76)</f>
        <v/>
      </c>
      <c r="AU64" s="685" t="str">
        <f>IF('[1]Data 2026'!AW76="","",'[1]Data 2026'!AW76)</f>
        <v/>
      </c>
      <c r="AV64" s="685" t="str">
        <f>IF('[1]Data 2026'!AX76="","",'[1]Data 2026'!AX76)</f>
        <v/>
      </c>
      <c r="AW64" s="685" t="str">
        <f>IF('[1]Data 2026'!AY76="","",'[1]Data 2026'!AY76)</f>
        <v/>
      </c>
      <c r="AX64" s="685" t="str">
        <f>IF('[1]Data 2026'!AZ76="","",'[1]Data 2026'!AZ76)</f>
        <v/>
      </c>
      <c r="AY64" s="685" t="str">
        <f>IF('[1]Data 2026'!BA76="","",'[1]Data 2026'!BA76)</f>
        <v/>
      </c>
      <c r="AZ64" s="685" t="str">
        <f>IF('[1]Data 2026'!AS76="","",'[1]Data 2026'!AS76)</f>
        <v/>
      </c>
      <c r="BA64" s="685" t="str">
        <f>IF('[1]Data 2026'!AT76="","",'[1]Data 2026'!AT76)</f>
        <v/>
      </c>
      <c r="BB64" s="685" t="str">
        <f>IF('[1]Data 2026'!AU76="","",'[1]Data 2026'!AU76)</f>
        <v/>
      </c>
      <c r="BC64" s="685" t="str">
        <f>IF('[1]Data 2026'!AV76="","",'[1]Data 2026'!AV76)</f>
        <v/>
      </c>
      <c r="BD64" s="685" t="str">
        <f>IF('[1]Data 2026'!AW76="","",'[1]Data 2026'!AW76)</f>
        <v/>
      </c>
      <c r="BE64" s="685" t="str">
        <f>IF('[1]Data 2026'!AX76="","",'[1]Data 2026'!AX76)</f>
        <v/>
      </c>
      <c r="BF64" s="685" t="str">
        <f>IF('[1]Data 2026'!BF76="","",'[1]Data 2026'!BF76)</f>
        <v>Monter Global</v>
      </c>
      <c r="BG64" s="685" t="str">
        <f>IF('[1]Data 2026'!BG76="","",'[1]Data 2026'!BG76)</f>
        <v/>
      </c>
      <c r="BH64" s="685" t="str">
        <f>IF('[1]Data 2026'!BH76="","",'[1]Data 2026'!BH76)</f>
        <v/>
      </c>
      <c r="BI64" s="685" t="str">
        <f>IF('[1]Data 2026'!BI76="","",'[1]Data 2026'!BI76)</f>
        <v/>
      </c>
      <c r="BJ64" s="685" t="str">
        <f>IF('[1]Data 2026'!BJ76="","",'[1]Data 2026'!BJ76)</f>
        <v/>
      </c>
      <c r="BK64" s="685" t="str">
        <f>IF('[1]Data 2026'!BK76="","",'[1]Data 2026'!BK76)</f>
        <v/>
      </c>
      <c r="BL64" s="685" t="str">
        <f>IF('[1]Data 2026'!BL76="","",'[1]Data 2026'!BL76)</f>
        <v xml:space="preserve">MANTRA IVOIRE </v>
      </c>
      <c r="BM64" s="685" t="str">
        <f>IF('[1]Data 2026'!BM76="","",'[1]Data 2026'!BM76)</f>
        <v/>
      </c>
      <c r="BN64" s="685" t="str">
        <f>IF('[1]Data 2026'!BN76="","",'[1]Data 2026'!BN76)</f>
        <v/>
      </c>
      <c r="BO64" s="685" t="str">
        <f>IF('[1]Data 2026'!BO76="","",'[1]Data 2026'!BO76)</f>
        <v/>
      </c>
      <c r="BP64" s="685" t="str">
        <f>IF('[1]Data 2026'!BP76="","",'[1]Data 2026'!BP76)</f>
        <v/>
      </c>
      <c r="BQ64" s="685" t="str">
        <f>IF('[1]Data 2026'!BQ76="","",'[1]Data 2026'!BQ76)</f>
        <v/>
      </c>
      <c r="BR64" s="685">
        <f>IF('[1]Data 2026'!BR76="","",'[1]Data 2026'!BR76)</f>
        <v>46163</v>
      </c>
      <c r="BS64" s="685" t="str">
        <f>IF('[1]Data 2026'!BS76="","",'[1]Data 2026'!BS76)</f>
        <v>IVC-RCN2026-CI0011</v>
      </c>
      <c r="BT64" s="685" t="str">
        <f>IF('[1]Data 2026'!BV76="","",'[1]Data 2026'!BV76)</f>
        <v>ABSA/CMI</v>
      </c>
      <c r="BU64" s="685" t="str">
        <f>IF('[1]Data 2026'!BW76="","",'[1]Data 2026'!BW76)</f>
        <v/>
      </c>
      <c r="BV64" s="685" t="str">
        <f>IF('[1]Data 2026'!BX76="","",'[1]Data 2026'!BX76)</f>
        <v/>
      </c>
      <c r="BW64" s="685" t="str">
        <f>IF('[1]Data 2026'!BY76="","",'[1]Data 2026'!BY76)</f>
        <v/>
      </c>
      <c r="BX64" s="685" t="str">
        <f>IF('[1]Data 2026'!BZ76="","",'[1]Data 2026'!BZ76)</f>
        <v/>
      </c>
      <c r="BY64" s="685" t="str">
        <f>IF('[1]Data 2026'!CA76="","",'[1]Data 2026'!CA76)</f>
        <v>182610-15024</v>
      </c>
      <c r="BZ64" s="685">
        <f>IF('[1]Data 2026'!CB76="","",'[1]Data 2026'!CB76)</f>
        <v>46142</v>
      </c>
      <c r="CA64" s="685" t="str">
        <f>IF('[1]Data 2026'!CC76="","",'[1]Data 2026'!CC76)</f>
        <v/>
      </c>
      <c r="CB64" s="685" t="str">
        <f>IF('[1]Data 2026'!CD76="","",'[1]Data 2026'!CD76)</f>
        <v/>
      </c>
      <c r="CC64" s="685" t="str">
        <f>IF('[1]Data 2026'!CE76="","",'[1]Data 2026'!CE76)</f>
        <v/>
      </c>
      <c r="CD64" s="685" t="str">
        <f>IF('[1]Data 2026'!CF76="","",'[1]Data 2026'!CF76)</f>
        <v/>
      </c>
      <c r="CE64" s="685">
        <f>IF('[1]Data 2026'!CG76="","",'[1]Data 2026'!CG76)</f>
        <v>46125</v>
      </c>
      <c r="CF64" s="685">
        <f>IF('[1]Data 2026'!CH76="","",'[1]Data 2026'!CH76)</f>
        <v>46146</v>
      </c>
      <c r="CG64" s="685" t="str">
        <f>IF('[1]Data 2026'!CI76="","",'[1]Data 2026'!CI76)</f>
        <v>E13965</v>
      </c>
      <c r="CH64" s="685" t="str">
        <f>IF('[1]Data 2026'!CJ76="","",'[1]Data 2026'!CJ76)</f>
        <v/>
      </c>
      <c r="CI64" s="685">
        <f>IF('[1]Data 2026'!CK76="","",'[1]Data 2026'!CK76)</f>
        <v>46148</v>
      </c>
      <c r="CJ64" s="685" t="str">
        <f>IF('[1]Data 2026'!CM76="","",'[1]Data 2026'!CM76)</f>
        <v/>
      </c>
      <c r="CK64" s="685" t="str">
        <f>IF('[1]Data 2026'!CN76="","",'[1]Data 2026'!CN76)</f>
        <v>Ajeesh</v>
      </c>
      <c r="CL64" s="691"/>
      <c r="CM64" s="691" t="str">
        <f>IF('[1]Data 2026'!CP76="","",'[1]Data 2026'!CP76)</f>
        <v/>
      </c>
      <c r="CN64" s="691"/>
      <c r="CO64" s="693"/>
      <c r="CP64" s="693"/>
      <c r="CQ64" s="693"/>
      <c r="CR64" s="686">
        <f t="shared" si="12"/>
        <v>0</v>
      </c>
      <c r="CS64" s="686">
        <f t="shared" si="12"/>
        <v>0</v>
      </c>
      <c r="CT64" s="686">
        <f t="shared" si="12"/>
        <v>16</v>
      </c>
      <c r="CU64" s="686">
        <f t="shared" si="5"/>
        <v>26</v>
      </c>
      <c r="CV64" s="686" t="str">
        <f t="shared" si="6"/>
        <v/>
      </c>
      <c r="CW64" s="685" t="str">
        <f t="shared" si="10"/>
        <v/>
      </c>
      <c r="CX64" s="685" t="str">
        <f t="shared" si="11"/>
        <v/>
      </c>
      <c r="CY64" s="693">
        <f t="shared" ca="1" si="7"/>
        <v>70</v>
      </c>
      <c r="CZ64" s="693" t="str">
        <f t="shared" si="8"/>
        <v/>
      </c>
      <c r="DB64"/>
      <c r="DC64"/>
    </row>
    <row r="65" spans="1:107" s="694" customFormat="1">
      <c r="A65" s="682" t="str">
        <f t="shared" si="0"/>
        <v>G. SAILED, OBL AWAITED</v>
      </c>
      <c r="B65" s="698" t="s">
        <v>1202</v>
      </c>
      <c r="C65" s="684" t="str">
        <f t="shared" si="1"/>
        <v>LONG POSITION</v>
      </c>
      <c r="D65" s="685" t="str">
        <f t="shared" si="9"/>
        <v>HBL RECEIVED, SURRENDER IS DUE</v>
      </c>
      <c r="E65" s="685" t="str">
        <f t="shared" si="2"/>
        <v/>
      </c>
      <c r="F65" s="686">
        <f>IF('[1]Data 2026'!D77="","",'[1]Data 2026'!D77)</f>
        <v>47</v>
      </c>
      <c r="G65" s="686">
        <f>IF('[1]Data 2026'!E77="","",'[1]Data 2026'!E77)</f>
        <v>200</v>
      </c>
      <c r="H65" s="687" t="str">
        <f>IF('[1]Data 2026'!H77="","",'[1]Data 2026'!H77)</f>
        <v>TBA</v>
      </c>
      <c r="I65" s="688">
        <f>IF('[1]Data 2026'!AA77="","",'[1]Data 2026'!AA77)</f>
        <v>250</v>
      </c>
      <c r="J65" s="685" t="str">
        <f>IF('[1]Data 2026'!K77="","",'[1]Data 2026'!K77)</f>
        <v>May - 26</v>
      </c>
      <c r="K65" s="685">
        <v>46173</v>
      </c>
      <c r="L65" s="685" t="str">
        <f>IF('[1]Data 2026'!L77="","",'[1]Data 2026'!L77)</f>
        <v>VALENCY CI</v>
      </c>
      <c r="M65" s="685" t="str">
        <f>IF('[1]Data 2026'!M77="","",'[1]Data 2026'!M77)</f>
        <v>VALENCY VIETNAM-UNSOLD</v>
      </c>
      <c r="N65" s="685" t="s">
        <v>1203</v>
      </c>
      <c r="O65" s="689">
        <f>IF('[1]Data 2026'!N77="","",'[1]Data 2026'!N77)</f>
        <v>10051322</v>
      </c>
      <c r="P65" s="690" t="str">
        <f>IF('[1]Data 2026'!O77="","",'[1]Data 2026'!O77)</f>
        <v>HLCUAB1260401269</v>
      </c>
      <c r="Q65" s="685" t="str">
        <f>IF('[1]Data 2026'!P77="","",'[1]Data 2026'!P77)</f>
        <v>TPSCR26010671</v>
      </c>
      <c r="R65" s="685" t="str">
        <f>IF('[1]Data 2026'!Q77="","",'[1]Data 2026'!Q77)</f>
        <v>ABJ</v>
      </c>
      <c r="S65" s="685" t="s">
        <v>347</v>
      </c>
      <c r="T65" s="685" t="str">
        <f>IF('[1]Data 2026'!R77="","",'[1]Data 2026'!R77)</f>
        <v>HCMC, VIETNAM</v>
      </c>
      <c r="U65" s="685" t="str">
        <f>IF('[1]Data 2026'!S77="","",'[1]Data 2026'!S77)</f>
        <v>ACHELOOS</v>
      </c>
      <c r="V65" s="685">
        <f>IF('[1]Data 2026'!T77="","",'[1]Data 2026'!T77)</f>
        <v>46138</v>
      </c>
      <c r="W65" s="685">
        <f>IF('[1]Data 2026'!U77="","",'[1]Data 2026'!U77)</f>
        <v>46139</v>
      </c>
      <c r="X65" s="685">
        <f>IF('[1]Data 2026'!V77="","",'[1]Data 2026'!V77)</f>
        <v>46139</v>
      </c>
      <c r="Y65" s="685">
        <f>IF('[1]Data 2026'!W77="","",'[1]Data 2026'!W77)</f>
        <v>46152</v>
      </c>
      <c r="Z65" s="685">
        <f>IF('[1]Data 2026'!X76="","",'[1]Data 2026'!X76)</f>
        <v>46208</v>
      </c>
      <c r="AA65" s="685"/>
      <c r="AB65" s="685">
        <f>IF('[1]Data 2026'!Y77="","",'[1]Data 2026'!Y77)</f>
        <v>46163</v>
      </c>
      <c r="AC65" s="685">
        <f>IF('[1]Data 2026'!Z77="","",'[1]Data 2026'!Z77)</f>
        <v>46163</v>
      </c>
      <c r="AD65" s="691">
        <f>IF('[1]Data 2026'!AA77="","",'[1]Data 2026'!AA77)</f>
        <v>250</v>
      </c>
      <c r="AE65" s="691">
        <f>IF('[1]Data 2026'!AB77="","",'[1]Data 2026'!AB77)</f>
        <v>248.43</v>
      </c>
      <c r="AF65" s="685">
        <f>IF('[1]Data 2026'!AC77="","",'[1]Data 2026'!AC77)</f>
        <v>45808</v>
      </c>
      <c r="AG65" s="685" t="str">
        <f>IF('[1]Data 2026'!AD77="","",'[1]Data 2026'!AD77)</f>
        <v>WH-I</v>
      </c>
      <c r="AH65" s="686">
        <f>IF('[1]Data 2026'!AE77="","",'[1]Data 2026'!AE77)</f>
        <v>10</v>
      </c>
      <c r="AI65" s="685" t="str">
        <f>IF('[1]Data 2026'!AG77="","",'[1]Data 2026'!AG77)</f>
        <v>Monter Global</v>
      </c>
      <c r="AJ65" s="685" t="str">
        <f>IF('[1]Data 2026'!AH77="","",'[1]Data 2026'!AH77)</f>
        <v xml:space="preserve">MANTRA IVOIRE </v>
      </c>
      <c r="AK65" s="685" t="str">
        <f>IF('[1]Data 2026'!AI77="","",'[1]Data 2026'!AI77)</f>
        <v>Hapag</v>
      </c>
      <c r="AL65" s="685" t="str">
        <f>IF('[1]Data 2026'!AJ77="","",'[1]Data 2026'!AJ77)</f>
        <v>40FT</v>
      </c>
      <c r="AM65" s="692">
        <f>IF('[1]Data 2026'!AK77="","",'[1]Data 2026'!AK77)</f>
        <v>0.1</v>
      </c>
      <c r="AN65" s="685" t="str">
        <f>IF('[1]Data 2026'!AL77="","",'[1]Data 2026'!AL77)</f>
        <v>(01x250MTS)</v>
      </c>
      <c r="AO65" s="691">
        <f>IF('[1]Data 2026'!AM77="","",'[1]Data 2026'!AM77)</f>
        <v>275</v>
      </c>
      <c r="AP65" s="691">
        <f t="shared" si="3"/>
        <v>-1.5699999999999932</v>
      </c>
      <c r="AQ65" s="685" t="str">
        <f>IF('[1]Data 2026'!AO77="","",'[1]Data 2026'!AO77)</f>
        <v/>
      </c>
      <c r="AR65" s="685">
        <f>IF('[1]Data 2026'!AP77="","",'[1]Data 2026'!AP77)</f>
        <v>46163</v>
      </c>
      <c r="AS65" s="685">
        <f>IF('[1]Data 2026'!AQ77="","",'[1]Data 2026'!AQ77)</f>
        <v>46163</v>
      </c>
      <c r="AT65" s="685" t="str">
        <f>IF('[1]Data 2026'!AR77="","",'[1]Data 2026'!AR77)</f>
        <v/>
      </c>
      <c r="AU65" s="685" t="str">
        <f>IF('[1]Data 2026'!AW77="","",'[1]Data 2026'!AW77)</f>
        <v/>
      </c>
      <c r="AV65" s="685" t="str">
        <f>IF('[1]Data 2026'!AX77="","",'[1]Data 2026'!AX77)</f>
        <v/>
      </c>
      <c r="AW65" s="685" t="str">
        <f>IF('[1]Data 2026'!AY77="","",'[1]Data 2026'!AY77)</f>
        <v/>
      </c>
      <c r="AX65" s="685" t="str">
        <f>IF('[1]Data 2026'!AZ77="","",'[1]Data 2026'!AZ77)</f>
        <v/>
      </c>
      <c r="AY65" s="685" t="str">
        <f>IF('[1]Data 2026'!BA77="","",'[1]Data 2026'!BA77)</f>
        <v/>
      </c>
      <c r="AZ65" s="685" t="str">
        <f>IF('[1]Data 2026'!AS77="","",'[1]Data 2026'!AS77)</f>
        <v/>
      </c>
      <c r="BA65" s="685" t="str">
        <f>IF('[1]Data 2026'!AT77="","",'[1]Data 2026'!AT77)</f>
        <v/>
      </c>
      <c r="BB65" s="685" t="str">
        <f>IF('[1]Data 2026'!AU77="","",'[1]Data 2026'!AU77)</f>
        <v/>
      </c>
      <c r="BC65" s="685" t="str">
        <f>IF('[1]Data 2026'!AV77="","",'[1]Data 2026'!AV77)</f>
        <v/>
      </c>
      <c r="BD65" s="685" t="str">
        <f>IF('[1]Data 2026'!AW77="","",'[1]Data 2026'!AW77)</f>
        <v/>
      </c>
      <c r="BE65" s="685" t="str">
        <f>IF('[1]Data 2026'!AX77="","",'[1]Data 2026'!AX77)</f>
        <v/>
      </c>
      <c r="BF65" s="685" t="str">
        <f>IF('[1]Data 2026'!BF77="","",'[1]Data 2026'!BF77)</f>
        <v>Monter Global</v>
      </c>
      <c r="BG65" s="685" t="str">
        <f>IF('[1]Data 2026'!BG77="","",'[1]Data 2026'!BG77)</f>
        <v/>
      </c>
      <c r="BH65" s="685" t="str">
        <f>IF('[1]Data 2026'!BH77="","",'[1]Data 2026'!BH77)</f>
        <v/>
      </c>
      <c r="BI65" s="685" t="str">
        <f>IF('[1]Data 2026'!BI77="","",'[1]Data 2026'!BI77)</f>
        <v/>
      </c>
      <c r="BJ65" s="685" t="str">
        <f>IF('[1]Data 2026'!BJ77="","",'[1]Data 2026'!BJ77)</f>
        <v/>
      </c>
      <c r="BK65" s="685" t="str">
        <f>IF('[1]Data 2026'!BK77="","",'[1]Data 2026'!BK77)</f>
        <v/>
      </c>
      <c r="BL65" s="685" t="str">
        <f>IF('[1]Data 2026'!BL77="","",'[1]Data 2026'!BL77)</f>
        <v xml:space="preserve">MANTRA IVOIRE </v>
      </c>
      <c r="BM65" s="685" t="str">
        <f>IF('[1]Data 2026'!BM77="","",'[1]Data 2026'!BM77)</f>
        <v/>
      </c>
      <c r="BN65" s="685" t="str">
        <f>IF('[1]Data 2026'!BN77="","",'[1]Data 2026'!BN77)</f>
        <v/>
      </c>
      <c r="BO65" s="685" t="str">
        <f>IF('[1]Data 2026'!BO77="","",'[1]Data 2026'!BO77)</f>
        <v/>
      </c>
      <c r="BP65" s="685" t="str">
        <f>IF('[1]Data 2026'!BP77="","",'[1]Data 2026'!BP77)</f>
        <v/>
      </c>
      <c r="BQ65" s="685" t="str">
        <f>IF('[1]Data 2026'!BQ77="","",'[1]Data 2026'!BQ77)</f>
        <v/>
      </c>
      <c r="BR65" s="685">
        <f>IF('[1]Data 2026'!BR77="","",'[1]Data 2026'!BR77)</f>
        <v>46163</v>
      </c>
      <c r="BS65" s="685" t="str">
        <f>IF('[1]Data 2026'!BS77="","",'[1]Data 2026'!BS77)</f>
        <v>IVC-RCN2026-CI0010</v>
      </c>
      <c r="BT65" s="685" t="str">
        <f>IF('[1]Data 2026'!BV77="","",'[1]Data 2026'!BV77)</f>
        <v>ABSA/CMI</v>
      </c>
      <c r="BU65" s="685" t="str">
        <f>IF('[1]Data 2026'!BW77="","",'[1]Data 2026'!BW77)</f>
        <v/>
      </c>
      <c r="BV65" s="685" t="str">
        <f>IF('[1]Data 2026'!BX77="","",'[1]Data 2026'!BX77)</f>
        <v/>
      </c>
      <c r="BW65" s="685" t="str">
        <f>IF('[1]Data 2026'!BY77="","",'[1]Data 2026'!BY77)</f>
        <v/>
      </c>
      <c r="BX65" s="685" t="str">
        <f>IF('[1]Data 2026'!BZ77="","",'[1]Data 2026'!BZ77)</f>
        <v/>
      </c>
      <c r="BY65" s="685" t="str">
        <f>IF('[1]Data 2026'!CA77="","",'[1]Data 2026'!CA77)</f>
        <v>182610-15024</v>
      </c>
      <c r="BZ65" s="685">
        <f>IF('[1]Data 2026'!CB77="","",'[1]Data 2026'!CB77)</f>
        <v>46142</v>
      </c>
      <c r="CA65" s="685" t="str">
        <f>IF('[1]Data 2026'!CC77="","",'[1]Data 2026'!CC77)</f>
        <v/>
      </c>
      <c r="CB65" s="685" t="str">
        <f>IF('[1]Data 2026'!CD77="","",'[1]Data 2026'!CD77)</f>
        <v/>
      </c>
      <c r="CC65" s="685" t="str">
        <f>IF('[1]Data 2026'!CE77="","",'[1]Data 2026'!CE77)</f>
        <v/>
      </c>
      <c r="CD65" s="685" t="str">
        <f>IF('[1]Data 2026'!CF77="","",'[1]Data 2026'!CF77)</f>
        <v/>
      </c>
      <c r="CE65" s="685">
        <f>IF('[1]Data 2026'!CG77="","",'[1]Data 2026'!CG77)</f>
        <v>46125</v>
      </c>
      <c r="CF65" s="685">
        <f>IF('[1]Data 2026'!CH77="","",'[1]Data 2026'!CH77)</f>
        <v>46146</v>
      </c>
      <c r="CG65" s="685" t="str">
        <f>IF('[1]Data 2026'!CI77="","",'[1]Data 2026'!CI77)</f>
        <v>E13965</v>
      </c>
      <c r="CH65" s="685" t="str">
        <f>IF('[1]Data 2026'!CJ77="","",'[1]Data 2026'!CJ77)</f>
        <v/>
      </c>
      <c r="CI65" s="685">
        <f>IF('[1]Data 2026'!CK77="","",'[1]Data 2026'!CK77)</f>
        <v>46148</v>
      </c>
      <c r="CJ65" s="685" t="str">
        <f>IF('[1]Data 2026'!CM77="","",'[1]Data 2026'!CM77)</f>
        <v/>
      </c>
      <c r="CK65" s="685" t="str">
        <f>IF('[1]Data 2026'!CN77="","",'[1]Data 2026'!CN77)</f>
        <v>Ajeesh</v>
      </c>
      <c r="CL65" s="691"/>
      <c r="CM65" s="691" t="str">
        <f>IF('[1]Data 2026'!CP77="","",'[1]Data 2026'!CP77)</f>
        <v/>
      </c>
      <c r="CN65" s="691"/>
      <c r="CO65" s="693"/>
      <c r="CP65" s="693"/>
      <c r="CQ65" s="693"/>
      <c r="CR65" s="686">
        <f t="shared" si="12"/>
        <v>1</v>
      </c>
      <c r="CS65" s="686">
        <f t="shared" si="12"/>
        <v>0</v>
      </c>
      <c r="CT65" s="686">
        <f t="shared" si="12"/>
        <v>13</v>
      </c>
      <c r="CU65" s="686">
        <f t="shared" si="5"/>
        <v>24</v>
      </c>
      <c r="CV65" s="686" t="str">
        <f t="shared" si="6"/>
        <v/>
      </c>
      <c r="CW65" s="685" t="str">
        <f t="shared" si="10"/>
        <v/>
      </c>
      <c r="CX65" s="685" t="str">
        <f t="shared" si="11"/>
        <v/>
      </c>
      <c r="CY65" s="693">
        <f t="shared" ca="1" si="7"/>
        <v>70</v>
      </c>
      <c r="CZ65" s="693" t="str">
        <f t="shared" si="8"/>
        <v/>
      </c>
      <c r="DB65"/>
      <c r="DC65"/>
    </row>
    <row r="66" spans="1:107" s="694" customFormat="1">
      <c r="A66" s="682" t="str">
        <f t="shared" si="0"/>
        <v>G. SAILED, OBL AWAITED</v>
      </c>
      <c r="B66" s="698" t="s">
        <v>1202</v>
      </c>
      <c r="C66" s="684" t="str">
        <f t="shared" si="1"/>
        <v>CLOSED POSITION</v>
      </c>
      <c r="D66" s="685" t="str">
        <f t="shared" si="9"/>
        <v>HBL RECEIVED, SURRENDER IS DUE</v>
      </c>
      <c r="E66" s="685" t="str">
        <f t="shared" si="2"/>
        <v/>
      </c>
      <c r="F66" s="686">
        <f>IF('[1]Data 2026'!D78="","",'[1]Data 2026'!D78)</f>
        <v>46</v>
      </c>
      <c r="G66" s="686">
        <f>IF('[1]Data 2026'!E78="","",'[1]Data 2026'!E78)</f>
        <v>200</v>
      </c>
      <c r="H66" s="687" t="str">
        <f>IF('[1]Data 2026'!H78="","",'[1]Data 2026'!H78)</f>
        <v>32016289-3</v>
      </c>
      <c r="I66" s="688">
        <f>IF('[1]Data 2026'!AA78="","",'[1]Data 2026'!AA78)</f>
        <v>250</v>
      </c>
      <c r="J66" s="685" t="str">
        <f>IF('[1]Data 2026'!K78="","",'[1]Data 2026'!K78)</f>
        <v>May - 26</v>
      </c>
      <c r="K66" s="685">
        <v>46173</v>
      </c>
      <c r="L66" s="685" t="str">
        <f>IF('[1]Data 2026'!L78="","",'[1]Data 2026'!L78)</f>
        <v>VALENCY CI</v>
      </c>
      <c r="M66" s="685" t="str">
        <f>IF('[1]Data 2026'!M78="","",'[1]Data 2026'!M78)</f>
        <v>VIET PHI AGRICULTURE</v>
      </c>
      <c r="N66" s="685" t="s">
        <v>1203</v>
      </c>
      <c r="O66" s="689">
        <f>IF('[1]Data 2026'!N78="","",'[1]Data 2026'!N78)</f>
        <v>26500030</v>
      </c>
      <c r="P66" s="690" t="str">
        <f>IF('[1]Data 2026'!O78="","",'[1]Data 2026'!O78)</f>
        <v>HLCUAB1260400752</v>
      </c>
      <c r="Q66" s="685" t="str">
        <f>IF('[1]Data 2026'!P78="","",'[1]Data 2026'!P78)</f>
        <v>TPSCR26010672</v>
      </c>
      <c r="R66" s="685" t="str">
        <f>IF('[1]Data 2026'!Q78="","",'[1]Data 2026'!Q78)</f>
        <v>ABJ</v>
      </c>
      <c r="S66" s="685" t="s">
        <v>347</v>
      </c>
      <c r="T66" s="685" t="str">
        <f>IF('[1]Data 2026'!R78="","",'[1]Data 2026'!R78)</f>
        <v>HCMC, VIETNAM</v>
      </c>
      <c r="U66" s="685" t="str">
        <f>IF('[1]Data 2026'!S78="","",'[1]Data 2026'!S78)</f>
        <v>ACHELOOS</v>
      </c>
      <c r="V66" s="685">
        <f>IF('[1]Data 2026'!T78="","",'[1]Data 2026'!T78)</f>
        <v>46146</v>
      </c>
      <c r="W66" s="685">
        <f>IF('[1]Data 2026'!U78="","",'[1]Data 2026'!U78)</f>
        <v>46147</v>
      </c>
      <c r="X66" s="685">
        <f>IF('[1]Data 2026'!V78="","",'[1]Data 2026'!V78)</f>
        <v>46148</v>
      </c>
      <c r="Y66" s="685">
        <f>IF('[1]Data 2026'!W78="","",'[1]Data 2026'!W78)</f>
        <v>46153</v>
      </c>
      <c r="Z66" s="685">
        <f>IF('[1]Data 2026'!X78="","",'[1]Data 2026'!X78)</f>
        <v>46208</v>
      </c>
      <c r="AA66" s="685"/>
      <c r="AB66" s="685">
        <f>IF('[1]Data 2026'!Y78="","",'[1]Data 2026'!Y78)</f>
        <v>46163</v>
      </c>
      <c r="AC66" s="685">
        <f>IF('[1]Data 2026'!Z78="","",'[1]Data 2026'!Z78)</f>
        <v>46163</v>
      </c>
      <c r="AD66" s="691">
        <f>IF('[1]Data 2026'!AA78="","",'[1]Data 2026'!AA78)</f>
        <v>250</v>
      </c>
      <c r="AE66" s="691">
        <f>IF('[1]Data 2026'!AB78="","",'[1]Data 2026'!AB78)</f>
        <v>244.67</v>
      </c>
      <c r="AF66" s="685">
        <f>IF('[1]Data 2026'!AC78="","",'[1]Data 2026'!AC78)</f>
        <v>45808</v>
      </c>
      <c r="AG66" s="685" t="str">
        <f>IF('[1]Data 2026'!AD78="","",'[1]Data 2026'!AD78)</f>
        <v>Ex-Olam</v>
      </c>
      <c r="AH66" s="686">
        <f>IF('[1]Data 2026'!AE78="","",'[1]Data 2026'!AE78)</f>
        <v>10</v>
      </c>
      <c r="AI66" s="685" t="str">
        <f>IF('[1]Data 2026'!AG78="","",'[1]Data 2026'!AG78)</f>
        <v xml:space="preserve">GRAVIR LOGISTIQUE SARL </v>
      </c>
      <c r="AJ66" s="685" t="str">
        <f>IF('[1]Data 2026'!AH78="","",'[1]Data 2026'!AH78)</f>
        <v xml:space="preserve">MANTRA IVOIRE </v>
      </c>
      <c r="AK66" s="685" t="str">
        <f>IF('[1]Data 2026'!AI78="","",'[1]Data 2026'!AI78)</f>
        <v>Hapag</v>
      </c>
      <c r="AL66" s="685" t="str">
        <f>IF('[1]Data 2026'!AJ78="","",'[1]Data 2026'!AJ78)</f>
        <v>40FT</v>
      </c>
      <c r="AM66" s="692">
        <f>IF('[1]Data 2026'!AK78="","",'[1]Data 2026'!AK78)</f>
        <v>0.1</v>
      </c>
      <c r="AN66" s="685" t="str">
        <f>IF('[1]Data 2026'!AL78="","",'[1]Data 2026'!AL78)</f>
        <v>(01x250MTS)</v>
      </c>
      <c r="AO66" s="691">
        <f>IF('[1]Data 2026'!AM78="","",'[1]Data 2026'!AM78)</f>
        <v>275</v>
      </c>
      <c r="AP66" s="691">
        <f t="shared" si="3"/>
        <v>-5.3300000000000125</v>
      </c>
      <c r="AQ66" s="685" t="str">
        <f>IF('[1]Data 2026'!AO78="","",'[1]Data 2026'!AO78)</f>
        <v/>
      </c>
      <c r="AR66" s="685">
        <f>IF('[1]Data 2026'!AP78="","",'[1]Data 2026'!AP78)</f>
        <v>46163</v>
      </c>
      <c r="AS66" s="685">
        <f>IF('[1]Data 2026'!AQ78="","",'[1]Data 2026'!AQ78)</f>
        <v>46163</v>
      </c>
      <c r="AT66" s="685" t="str">
        <f>IF('[1]Data 2026'!AR78="","",'[1]Data 2026'!AR78)</f>
        <v/>
      </c>
      <c r="AU66" s="685" t="str">
        <f>IF('[1]Data 2026'!AW78="","",'[1]Data 2026'!AW78)</f>
        <v/>
      </c>
      <c r="AV66" s="685" t="str">
        <f>IF('[1]Data 2026'!AX78="","",'[1]Data 2026'!AX78)</f>
        <v/>
      </c>
      <c r="AW66" s="685" t="str">
        <f>IF('[1]Data 2026'!AY78="","",'[1]Data 2026'!AY78)</f>
        <v/>
      </c>
      <c r="AX66" s="685" t="str">
        <f>IF('[1]Data 2026'!AZ78="","",'[1]Data 2026'!AZ78)</f>
        <v/>
      </c>
      <c r="AY66" s="685" t="str">
        <f>IF('[1]Data 2026'!BA78="","",'[1]Data 2026'!BA78)</f>
        <v/>
      </c>
      <c r="AZ66" s="685" t="str">
        <f>IF('[1]Data 2026'!AS78="","",'[1]Data 2026'!AS78)</f>
        <v/>
      </c>
      <c r="BA66" s="685" t="str">
        <f>IF('[1]Data 2026'!AT78="","",'[1]Data 2026'!AT78)</f>
        <v/>
      </c>
      <c r="BB66" s="685" t="str">
        <f>IF('[1]Data 2026'!AU78="","",'[1]Data 2026'!AU78)</f>
        <v/>
      </c>
      <c r="BC66" s="685" t="str">
        <f>IF('[1]Data 2026'!AV78="","",'[1]Data 2026'!AV78)</f>
        <v/>
      </c>
      <c r="BD66" s="685" t="str">
        <f>IF('[1]Data 2026'!AW78="","",'[1]Data 2026'!AW78)</f>
        <v/>
      </c>
      <c r="BE66" s="685" t="str">
        <f>IF('[1]Data 2026'!AX78="","",'[1]Data 2026'!AX78)</f>
        <v/>
      </c>
      <c r="BF66" s="685" t="str">
        <f>IF('[1]Data 2026'!BF78="","",'[1]Data 2026'!BF78)</f>
        <v xml:space="preserve">GRAVIR LOGISTIQUE SARL </v>
      </c>
      <c r="BG66" s="685" t="str">
        <f>IF('[1]Data 2026'!BG78="","",'[1]Data 2026'!BG78)</f>
        <v/>
      </c>
      <c r="BH66" s="685" t="str">
        <f>IF('[1]Data 2026'!BH78="","",'[1]Data 2026'!BH78)</f>
        <v/>
      </c>
      <c r="BI66" s="685" t="str">
        <f>IF('[1]Data 2026'!BI78="","",'[1]Data 2026'!BI78)</f>
        <v/>
      </c>
      <c r="BJ66" s="685" t="str">
        <f>IF('[1]Data 2026'!BJ78="","",'[1]Data 2026'!BJ78)</f>
        <v/>
      </c>
      <c r="BK66" s="685" t="str">
        <f>IF('[1]Data 2026'!BK78="","",'[1]Data 2026'!BK78)</f>
        <v/>
      </c>
      <c r="BL66" s="685" t="str">
        <f>IF('[1]Data 2026'!BL78="","",'[1]Data 2026'!BL78)</f>
        <v xml:space="preserve">MANTRA IVOIRE </v>
      </c>
      <c r="BM66" s="685" t="str">
        <f>IF('[1]Data 2026'!BM78="","",'[1]Data 2026'!BM78)</f>
        <v/>
      </c>
      <c r="BN66" s="685" t="str">
        <f>IF('[1]Data 2026'!BN78="","",'[1]Data 2026'!BN78)</f>
        <v/>
      </c>
      <c r="BO66" s="685" t="str">
        <f>IF('[1]Data 2026'!BO78="","",'[1]Data 2026'!BO78)</f>
        <v/>
      </c>
      <c r="BP66" s="685" t="str">
        <f>IF('[1]Data 2026'!BP78="","",'[1]Data 2026'!BP78)</f>
        <v/>
      </c>
      <c r="BQ66" s="685" t="str">
        <f>IF('[1]Data 2026'!BQ78="","",'[1]Data 2026'!BQ78)</f>
        <v/>
      </c>
      <c r="BR66" s="685">
        <f>IF('[1]Data 2026'!BR78="","",'[1]Data 2026'!BR78)</f>
        <v>46163</v>
      </c>
      <c r="BS66" s="685" t="str">
        <f>IF('[1]Data 2026'!BS78="","",'[1]Data 2026'!BS78)</f>
        <v>IVC-RCN2026-CI0016</v>
      </c>
      <c r="BT66" s="685" t="str">
        <f>IF('[1]Data 2026'!BV78="","",'[1]Data 2026'!BV78)</f>
        <v>BOA/KTD</v>
      </c>
      <c r="BU66" s="685" t="str">
        <f>IF('[1]Data 2026'!BW78="","",'[1]Data 2026'!BW78)</f>
        <v/>
      </c>
      <c r="BV66" s="685" t="str">
        <f>IF('[1]Data 2026'!BX78="","",'[1]Data 2026'!BX78)</f>
        <v/>
      </c>
      <c r="BW66" s="685" t="str">
        <f>IF('[1]Data 2026'!BY78="","",'[1]Data 2026'!BY78)</f>
        <v/>
      </c>
      <c r="BX66" s="685" t="str">
        <f>IF('[1]Data 2026'!BZ78="","",'[1]Data 2026'!BZ78)</f>
        <v/>
      </c>
      <c r="BY66" s="685" t="str">
        <f>IF('[1]Data 2026'!CA78="","",'[1]Data 2026'!CA78)</f>
        <v>182610-15083</v>
      </c>
      <c r="BZ66" s="685">
        <f>IF('[1]Data 2026'!CB78="","",'[1]Data 2026'!CB78)</f>
        <v>46146</v>
      </c>
      <c r="CA66" s="685" t="str">
        <f>IF('[1]Data 2026'!CC78="","",'[1]Data 2026'!CC78)</f>
        <v/>
      </c>
      <c r="CB66" s="685" t="str">
        <f>IF('[1]Data 2026'!CD78="","",'[1]Data 2026'!CD78)</f>
        <v/>
      </c>
      <c r="CC66" s="685" t="str">
        <f>IF('[1]Data 2026'!CE78="","",'[1]Data 2026'!CE78)</f>
        <v/>
      </c>
      <c r="CD66" s="685" t="str">
        <f>IF('[1]Data 2026'!CF78="","",'[1]Data 2026'!CF78)</f>
        <v/>
      </c>
      <c r="CE66" s="685">
        <f>IF('[1]Data 2026'!CG78="","",'[1]Data 2026'!CG78)</f>
        <v>46125</v>
      </c>
      <c r="CF66" s="685">
        <f>IF('[1]Data 2026'!CH78="","",'[1]Data 2026'!CH78)</f>
        <v>46149</v>
      </c>
      <c r="CG66" s="685" t="str">
        <f>IF('[1]Data 2026'!CI78="","",'[1]Data 2026'!CI78)</f>
        <v>E14589</v>
      </c>
      <c r="CH66" s="685" t="str">
        <f>IF('[1]Data 2026'!CJ78="","",'[1]Data 2026'!CJ78)</f>
        <v/>
      </c>
      <c r="CI66" s="685">
        <f>IF('[1]Data 2026'!CK78="","",'[1]Data 2026'!CK78)</f>
        <v>46150</v>
      </c>
      <c r="CJ66" s="685" t="str">
        <f>IF('[1]Data 2026'!CM78="","",'[1]Data 2026'!CM78)</f>
        <v/>
      </c>
      <c r="CK66" s="685" t="str">
        <f>IF('[1]Data 2026'!CN78="","",'[1]Data 2026'!CN78)</f>
        <v>Sugmaran</v>
      </c>
      <c r="CL66" s="691"/>
      <c r="CM66" s="691" t="str">
        <f>IF('[1]Data 2026'!CP78="","",'[1]Data 2026'!CP78)</f>
        <v/>
      </c>
      <c r="CN66" s="691"/>
      <c r="CO66" s="693"/>
      <c r="CP66" s="693"/>
      <c r="CQ66" s="693"/>
      <c r="CR66" s="686">
        <f t="shared" si="12"/>
        <v>1</v>
      </c>
      <c r="CS66" s="686">
        <f t="shared" si="12"/>
        <v>1</v>
      </c>
      <c r="CT66" s="686">
        <f t="shared" si="12"/>
        <v>5</v>
      </c>
      <c r="CU66" s="686">
        <f t="shared" si="5"/>
        <v>15</v>
      </c>
      <c r="CV66" s="686" t="str">
        <f t="shared" si="6"/>
        <v/>
      </c>
      <c r="CW66" s="685" t="str">
        <f t="shared" si="10"/>
        <v/>
      </c>
      <c r="CX66" s="685" t="str">
        <f t="shared" si="11"/>
        <v/>
      </c>
      <c r="CY66" s="693">
        <f t="shared" ca="1" si="7"/>
        <v>70</v>
      </c>
      <c r="CZ66" s="693" t="str">
        <f t="shared" si="8"/>
        <v/>
      </c>
      <c r="DB66"/>
      <c r="DC66"/>
    </row>
    <row r="67" spans="1:107" s="694" customFormat="1">
      <c r="A67" s="682" t="str">
        <f t="shared" si="0"/>
        <v>G. SAILED, OBL AWAITED</v>
      </c>
      <c r="B67" s="698" t="s">
        <v>1202</v>
      </c>
      <c r="C67" s="684" t="str">
        <f t="shared" si="1"/>
        <v>CLOSED POSITION</v>
      </c>
      <c r="D67" s="685" t="str">
        <f t="shared" si="9"/>
        <v>HBL RECEIVED, SURRENDER IS DUE</v>
      </c>
      <c r="E67" s="685" t="str">
        <f t="shared" si="2"/>
        <v/>
      </c>
      <c r="F67" s="686">
        <f>IF('[1]Data 2026'!D79="","",'[1]Data 2026'!D79)</f>
        <v>46</v>
      </c>
      <c r="G67" s="686">
        <f>IF('[1]Data 2026'!E79="","",'[1]Data 2026'!E79)</f>
        <v>200</v>
      </c>
      <c r="H67" s="687" t="str">
        <f>IF('[1]Data 2026'!H79="","",'[1]Data 2026'!H79)</f>
        <v>32016289-4</v>
      </c>
      <c r="I67" s="688">
        <f>IF('[1]Data 2026'!AA79="","",'[1]Data 2026'!AA79)</f>
        <v>250</v>
      </c>
      <c r="J67" s="685" t="str">
        <f>IF('[1]Data 2026'!K79="","",'[1]Data 2026'!K79)</f>
        <v>May - 26</v>
      </c>
      <c r="K67" s="685">
        <v>46173</v>
      </c>
      <c r="L67" s="685" t="str">
        <f>IF('[1]Data 2026'!L79="","",'[1]Data 2026'!L79)</f>
        <v>VALENCY CI</v>
      </c>
      <c r="M67" s="685" t="str">
        <f>IF('[1]Data 2026'!M79="","",'[1]Data 2026'!M79)</f>
        <v>VIET PHI AGRICULTURE</v>
      </c>
      <c r="N67" s="685" t="s">
        <v>1203</v>
      </c>
      <c r="O67" s="689">
        <f>IF('[1]Data 2026'!N79="","",'[1]Data 2026'!N79)</f>
        <v>92767861</v>
      </c>
      <c r="P67" s="690" t="str">
        <f>IF('[1]Data 2026'!O79="","",'[1]Data 2026'!O79)</f>
        <v>HLCUAB1260400774</v>
      </c>
      <c r="Q67" s="685" t="str">
        <f>IF('[1]Data 2026'!P79="","",'[1]Data 2026'!P79)</f>
        <v>TPSCR26010673</v>
      </c>
      <c r="R67" s="685" t="str">
        <f>IF('[1]Data 2026'!Q79="","",'[1]Data 2026'!Q79)</f>
        <v>ABJ</v>
      </c>
      <c r="S67" s="685" t="s">
        <v>347</v>
      </c>
      <c r="T67" s="685" t="str">
        <f>IF('[1]Data 2026'!R79="","",'[1]Data 2026'!R79)</f>
        <v>HCMC, VIETNAM</v>
      </c>
      <c r="U67" s="685" t="str">
        <f>IF('[1]Data 2026'!S79="","",'[1]Data 2026'!S79)</f>
        <v>ACHELOOS</v>
      </c>
      <c r="V67" s="685">
        <f>IF('[1]Data 2026'!T79="","",'[1]Data 2026'!T79)</f>
        <v>46147</v>
      </c>
      <c r="W67" s="685">
        <f>IF('[1]Data 2026'!U79="","",'[1]Data 2026'!U79)</f>
        <v>46148</v>
      </c>
      <c r="X67" s="685">
        <f>IF('[1]Data 2026'!V79="","",'[1]Data 2026'!V79)</f>
        <v>46149</v>
      </c>
      <c r="Y67" s="685">
        <f>IF('[1]Data 2026'!W79="","",'[1]Data 2026'!W79)</f>
        <v>46153</v>
      </c>
      <c r="Z67" s="685">
        <f>IF('[1]Data 2026'!X79="","",'[1]Data 2026'!X79)</f>
        <v>46208</v>
      </c>
      <c r="AA67" s="685"/>
      <c r="AB67" s="685">
        <f>IF('[1]Data 2026'!Y79="","",'[1]Data 2026'!Y79)</f>
        <v>46163</v>
      </c>
      <c r="AC67" s="685">
        <f>IF('[1]Data 2026'!Z79="","",'[1]Data 2026'!Z79)</f>
        <v>46163</v>
      </c>
      <c r="AD67" s="691">
        <f>IF('[1]Data 2026'!AA79="","",'[1]Data 2026'!AA79)</f>
        <v>250</v>
      </c>
      <c r="AE67" s="691">
        <f>IF('[1]Data 2026'!AB79="","",'[1]Data 2026'!AB79)</f>
        <v>247.10499999999999</v>
      </c>
      <c r="AF67" s="685">
        <f>IF('[1]Data 2026'!AC79="","",'[1]Data 2026'!AC79)</f>
        <v>45808</v>
      </c>
      <c r="AG67" s="685" t="str">
        <f>IF('[1]Data 2026'!AD79="","",'[1]Data 2026'!AD79)</f>
        <v>Ex-Olam</v>
      </c>
      <c r="AH67" s="686">
        <f>IF('[1]Data 2026'!AE79="","",'[1]Data 2026'!AE79)</f>
        <v>10</v>
      </c>
      <c r="AI67" s="685" t="str">
        <f>IF('[1]Data 2026'!AG79="","",'[1]Data 2026'!AG79)</f>
        <v xml:space="preserve">GRAVIR LOGISTIQUE SARL </v>
      </c>
      <c r="AJ67" s="685" t="str">
        <f>IF('[1]Data 2026'!AH79="","",'[1]Data 2026'!AH79)</f>
        <v xml:space="preserve">MANTRA IVOIRE </v>
      </c>
      <c r="AK67" s="685" t="str">
        <f>IF('[1]Data 2026'!AI79="","",'[1]Data 2026'!AI79)</f>
        <v>Hapag</v>
      </c>
      <c r="AL67" s="685" t="str">
        <f>IF('[1]Data 2026'!AJ79="","",'[1]Data 2026'!AJ79)</f>
        <v>40FT</v>
      </c>
      <c r="AM67" s="692">
        <f>IF('[1]Data 2026'!AK79="","",'[1]Data 2026'!AK79)</f>
        <v>0.1</v>
      </c>
      <c r="AN67" s="685" t="str">
        <f>IF('[1]Data 2026'!AL79="","",'[1]Data 2026'!AL79)</f>
        <v>(01x250MTS)</v>
      </c>
      <c r="AO67" s="691">
        <f>IF('[1]Data 2026'!AM79="","",'[1]Data 2026'!AM79)</f>
        <v>275</v>
      </c>
      <c r="AP67" s="691">
        <f t="shared" si="3"/>
        <v>-2.8950000000000102</v>
      </c>
      <c r="AQ67" s="685" t="str">
        <f>IF('[1]Data 2026'!AO79="","",'[1]Data 2026'!AO79)</f>
        <v/>
      </c>
      <c r="AR67" s="685">
        <f>IF('[1]Data 2026'!AP79="","",'[1]Data 2026'!AP79)</f>
        <v>46163</v>
      </c>
      <c r="AS67" s="685">
        <f>IF('[1]Data 2026'!AQ79="","",'[1]Data 2026'!AQ79)</f>
        <v>46163</v>
      </c>
      <c r="AT67" s="685" t="str">
        <f>IF('[1]Data 2026'!AR79="","",'[1]Data 2026'!AR79)</f>
        <v/>
      </c>
      <c r="AU67" s="685" t="str">
        <f>IF('[1]Data 2026'!AW79="","",'[1]Data 2026'!AW79)</f>
        <v/>
      </c>
      <c r="AV67" s="685" t="str">
        <f>IF('[1]Data 2026'!AX79="","",'[1]Data 2026'!AX79)</f>
        <v/>
      </c>
      <c r="AW67" s="685" t="str">
        <f>IF('[1]Data 2026'!AY79="","",'[1]Data 2026'!AY79)</f>
        <v/>
      </c>
      <c r="AX67" s="685" t="str">
        <f>IF('[1]Data 2026'!AZ79="","",'[1]Data 2026'!AZ79)</f>
        <v/>
      </c>
      <c r="AY67" s="685" t="str">
        <f>IF('[1]Data 2026'!BA79="","",'[1]Data 2026'!BA79)</f>
        <v/>
      </c>
      <c r="AZ67" s="685" t="str">
        <f>IF('[1]Data 2026'!AS79="","",'[1]Data 2026'!AS79)</f>
        <v/>
      </c>
      <c r="BA67" s="685" t="str">
        <f>IF('[1]Data 2026'!AT79="","",'[1]Data 2026'!AT79)</f>
        <v/>
      </c>
      <c r="BB67" s="685" t="str">
        <f>IF('[1]Data 2026'!AU79="","",'[1]Data 2026'!AU79)</f>
        <v/>
      </c>
      <c r="BC67" s="685" t="str">
        <f>IF('[1]Data 2026'!AV79="","",'[1]Data 2026'!AV79)</f>
        <v/>
      </c>
      <c r="BD67" s="685" t="str">
        <f>IF('[1]Data 2026'!AW79="","",'[1]Data 2026'!AW79)</f>
        <v/>
      </c>
      <c r="BE67" s="685" t="str">
        <f>IF('[1]Data 2026'!AX79="","",'[1]Data 2026'!AX79)</f>
        <v/>
      </c>
      <c r="BF67" s="685" t="str">
        <f>IF('[1]Data 2026'!BF79="","",'[1]Data 2026'!BF79)</f>
        <v xml:space="preserve">GRAVIR LOGISTIQUE SARL </v>
      </c>
      <c r="BG67" s="685" t="str">
        <f>IF('[1]Data 2026'!BG79="","",'[1]Data 2026'!BG79)</f>
        <v/>
      </c>
      <c r="BH67" s="685" t="str">
        <f>IF('[1]Data 2026'!BH79="","",'[1]Data 2026'!BH79)</f>
        <v/>
      </c>
      <c r="BI67" s="685" t="str">
        <f>IF('[1]Data 2026'!BI79="","",'[1]Data 2026'!BI79)</f>
        <v/>
      </c>
      <c r="BJ67" s="685" t="str">
        <f>IF('[1]Data 2026'!BJ79="","",'[1]Data 2026'!BJ79)</f>
        <v/>
      </c>
      <c r="BK67" s="685" t="str">
        <f>IF('[1]Data 2026'!BK79="","",'[1]Data 2026'!BK79)</f>
        <v/>
      </c>
      <c r="BL67" s="685" t="str">
        <f>IF('[1]Data 2026'!BL79="","",'[1]Data 2026'!BL79)</f>
        <v xml:space="preserve">MANTRA IVOIRE </v>
      </c>
      <c r="BM67" s="685" t="str">
        <f>IF('[1]Data 2026'!BM79="","",'[1]Data 2026'!BM79)</f>
        <v/>
      </c>
      <c r="BN67" s="685" t="str">
        <f>IF('[1]Data 2026'!BN79="","",'[1]Data 2026'!BN79)</f>
        <v/>
      </c>
      <c r="BO67" s="685" t="str">
        <f>IF('[1]Data 2026'!BO79="","",'[1]Data 2026'!BO79)</f>
        <v/>
      </c>
      <c r="BP67" s="685" t="str">
        <f>IF('[1]Data 2026'!BP79="","",'[1]Data 2026'!BP79)</f>
        <v/>
      </c>
      <c r="BQ67" s="685" t="str">
        <f>IF('[1]Data 2026'!BQ79="","",'[1]Data 2026'!BQ79)</f>
        <v/>
      </c>
      <c r="BR67" s="685">
        <f>IF('[1]Data 2026'!BR79="","",'[1]Data 2026'!BR79)</f>
        <v>46163</v>
      </c>
      <c r="BS67" s="685" t="str">
        <f>IF('[1]Data 2026'!BS79="","",'[1]Data 2026'!BS79)</f>
        <v>IVC-RCN2026-CI0013</v>
      </c>
      <c r="BT67" s="685" t="str">
        <f>IF('[1]Data 2026'!BV79="","",'[1]Data 2026'!BV79)</f>
        <v>BOA/KTD</v>
      </c>
      <c r="BU67" s="685" t="str">
        <f>IF('[1]Data 2026'!BW79="","",'[1]Data 2026'!BW79)</f>
        <v/>
      </c>
      <c r="BV67" s="685" t="str">
        <f>IF('[1]Data 2026'!BX79="","",'[1]Data 2026'!BX79)</f>
        <v/>
      </c>
      <c r="BW67" s="685" t="str">
        <f>IF('[1]Data 2026'!BY79="","",'[1]Data 2026'!BY79)</f>
        <v/>
      </c>
      <c r="BX67" s="685" t="str">
        <f>IF('[1]Data 2026'!BZ79="","",'[1]Data 2026'!BZ79)</f>
        <v/>
      </c>
      <c r="BY67" s="685" t="str">
        <f>IF('[1]Data 2026'!CA79="","",'[1]Data 2026'!CA79)</f>
        <v>182610-15083</v>
      </c>
      <c r="BZ67" s="685">
        <f>IF('[1]Data 2026'!CB79="","",'[1]Data 2026'!CB79)</f>
        <v>46146</v>
      </c>
      <c r="CA67" s="685" t="str">
        <f>IF('[1]Data 2026'!CC79="","",'[1]Data 2026'!CC79)</f>
        <v/>
      </c>
      <c r="CB67" s="685" t="str">
        <f>IF('[1]Data 2026'!CD79="","",'[1]Data 2026'!CD79)</f>
        <v/>
      </c>
      <c r="CC67" s="685" t="str">
        <f>IF('[1]Data 2026'!CE79="","",'[1]Data 2026'!CE79)</f>
        <v/>
      </c>
      <c r="CD67" s="685" t="str">
        <f>IF('[1]Data 2026'!CF79="","",'[1]Data 2026'!CF79)</f>
        <v/>
      </c>
      <c r="CE67" s="685">
        <f>IF('[1]Data 2026'!CG79="","",'[1]Data 2026'!CG79)</f>
        <v>46125</v>
      </c>
      <c r="CF67" s="685">
        <f>IF('[1]Data 2026'!CH79="","",'[1]Data 2026'!CH79)</f>
        <v>46149</v>
      </c>
      <c r="CG67" s="685" t="str">
        <f>IF('[1]Data 2026'!CI79="","",'[1]Data 2026'!CI79)</f>
        <v>E14589</v>
      </c>
      <c r="CH67" s="685" t="str">
        <f>IF('[1]Data 2026'!CJ79="","",'[1]Data 2026'!CJ79)</f>
        <v/>
      </c>
      <c r="CI67" s="685">
        <f>IF('[1]Data 2026'!CK79="","",'[1]Data 2026'!CK79)</f>
        <v>46150</v>
      </c>
      <c r="CJ67" s="685" t="str">
        <f>IF('[1]Data 2026'!CM79="","",'[1]Data 2026'!CM79)</f>
        <v/>
      </c>
      <c r="CK67" s="685" t="str">
        <f>IF('[1]Data 2026'!CN79="","",'[1]Data 2026'!CN79)</f>
        <v>Sugmaran</v>
      </c>
      <c r="CL67" s="691"/>
      <c r="CM67" s="691" t="str">
        <f>IF('[1]Data 2026'!CP79="","",'[1]Data 2026'!CP79)</f>
        <v/>
      </c>
      <c r="CN67" s="691"/>
      <c r="CO67" s="693"/>
      <c r="CP67" s="693"/>
      <c r="CQ67" s="693"/>
      <c r="CR67" s="686">
        <f t="shared" si="12"/>
        <v>1</v>
      </c>
      <c r="CS67" s="686">
        <f t="shared" si="12"/>
        <v>1</v>
      </c>
      <c r="CT67" s="686">
        <f t="shared" si="12"/>
        <v>4</v>
      </c>
      <c r="CU67" s="686">
        <f t="shared" si="5"/>
        <v>14</v>
      </c>
      <c r="CV67" s="686" t="str">
        <f t="shared" si="6"/>
        <v/>
      </c>
      <c r="CW67" s="685" t="str">
        <f t="shared" si="10"/>
        <v/>
      </c>
      <c r="CX67" s="685" t="str">
        <f t="shared" si="11"/>
        <v/>
      </c>
      <c r="CY67" s="693">
        <f t="shared" ca="1" si="7"/>
        <v>70</v>
      </c>
      <c r="CZ67" s="693" t="str">
        <f t="shared" si="8"/>
        <v/>
      </c>
      <c r="DB67"/>
      <c r="DC67"/>
    </row>
    <row r="68" spans="1:107" s="694" customFormat="1">
      <c r="A68" s="682" t="str">
        <f t="shared" ref="A68:A128" si="13">IF(CO68&lt;&gt;"","K. TRADE CLOSED",
IF(AA68&lt;&gt;"","J. DISCHARGED, LANDED REPORT AWAITED",
IF(AT68&lt;&gt;"","H. PHYSICAL OBL RCVD",
IF(AC68&lt;&gt;"","G. SAILED, OBL AWAITED",
IF(Y68&lt;&gt;"","F. GATED IN, SAILING AWAITED",
IF(X68&lt;&gt;"","E. STUFFED, GATE IN AWAITED",
IF(W68&lt;&gt;"","D. STUFFING STARTED",
IF(V68&lt;&gt;"","C. CONTAINER RCVD, STUFFING AWAITED",
IF(O68&lt;&gt;"","B. BOOKING DONE, CONTAINERS AWAITED",
"A. BOOKING PENDING")))))))))</f>
        <v>E. STUFFED, GATE IN AWAITED</v>
      </c>
      <c r="B68" s="699" t="s">
        <v>1204</v>
      </c>
      <c r="C68" s="684" t="str">
        <f t="shared" ref="C68:C128" si="14">IF(AND(H68&lt;&gt;"",H68&lt;&gt;"TBA",O68&lt;&gt;""),"CLOSED POSITION",
IF(AND(H68="TBA",O68&lt;&gt;""),"LONG POSITION",
IF(AND(H68&lt;&gt;"",H68&lt;&gt;"TBA",O68=""),"SHORT POSITION","")))</f>
        <v>CLOSED POSITION</v>
      </c>
      <c r="D68" s="685" t="str">
        <f t="shared" si="9"/>
        <v/>
      </c>
      <c r="E68" s="685" t="str">
        <f t="shared" ref="E68:E128" si="15">IF(AND(LEN(TRIM(AZ68&amp;""))&gt;0,AZ68&lt;&gt;0,LEN(TRIM(BA68&amp;""))&gt;0,BA68&lt;&gt;0,LEN(TRIM(BB68&amp;""))&gt;0,BB68&lt;&gt;0,LEN(TRIM(BD68&amp;""))&gt;0,BD68&lt;&gt;0),"ALL CERT COURIERED",IF(AND(LEN(TRIM(AZ68&amp;""))&gt;0,AZ68&lt;&gt;0,LEN(TRIM(BA68&amp;""))&gt;0,BA68&lt;&gt;0,LEN(TRIM(BB68&amp;""))&gt;0,BB68&lt;&gt;0,OR(LEN(TRIM(BD68&amp;""))=0,BD68=0),OR(LEN(TRIM(AC68&amp;""))=0,AC68=0)),"CERT UNDER PROCESS",""))</f>
        <v/>
      </c>
      <c r="F68" s="686">
        <f>IF('[1]Data 2026'!D80="","",'[1]Data 2026'!D80)</f>
        <v>46</v>
      </c>
      <c r="G68" s="686">
        <f>IF('[1]Data 2026'!E80="","",'[1]Data 2026'!E80)</f>
        <v>200</v>
      </c>
      <c r="H68" s="687" t="str">
        <f>IF('[1]Data 2026'!H80="","",'[1]Data 2026'!H80)</f>
        <v>32016425-1</v>
      </c>
      <c r="I68" s="688">
        <f>IF('[1]Data 2026'!AA80="","",'[1]Data 2026'!AA80)</f>
        <v>250</v>
      </c>
      <c r="J68" s="685" t="str">
        <f>IF('[1]Data 2026'!K80="","",'[1]Data 2026'!K80)</f>
        <v>May/June - 26</v>
      </c>
      <c r="K68" s="685">
        <v>46203</v>
      </c>
      <c r="L68" s="685" t="str">
        <f>IF('[1]Data 2026'!L80="","",'[1]Data 2026'!L80)</f>
        <v>VALENCY CI</v>
      </c>
      <c r="M68" s="685" t="str">
        <f>IF('[1]Data 2026'!M80="","",'[1]Data 2026'!M80)</f>
        <v>TERRA NUTS GROUP JOINT STOCK COMPANY</v>
      </c>
      <c r="N68" s="685" t="s">
        <v>1203</v>
      </c>
      <c r="O68" s="689">
        <f>IF('[1]Data 2026'!N80="","",'[1]Data 2026'!N80)</f>
        <v>4055147050</v>
      </c>
      <c r="P68" s="690" t="str">
        <f>IF('[1]Data 2026'!O80="","",'[1]Data 2026'!O80)</f>
        <v/>
      </c>
      <c r="Q68" s="685" t="str">
        <f>IF('[1]Data 2026'!P80="","",'[1]Data 2026'!P80)</f>
        <v/>
      </c>
      <c r="R68" s="685" t="str">
        <f>IF('[1]Data 2026'!Q80="","",'[1]Data 2026'!Q80)</f>
        <v>ABJ</v>
      </c>
      <c r="S68" s="685" t="s">
        <v>347</v>
      </c>
      <c r="T68" s="685" t="str">
        <f>IF('[1]Data 2026'!R80="","",'[1]Data 2026'!R80)</f>
        <v>HCMC, VIETNAM</v>
      </c>
      <c r="U68" s="685" t="str">
        <f>IF('[1]Data 2026'!S80="","",'[1]Data 2026'!S80)</f>
        <v>NAVIOS NERINE</v>
      </c>
      <c r="V68" s="685">
        <f>IF('[1]Data 2026'!T80="","",'[1]Data 2026'!T80)</f>
        <v>46146</v>
      </c>
      <c r="W68" s="685">
        <f>IF('[1]Data 2026'!U80="","",'[1]Data 2026'!U80)</f>
        <v>46160</v>
      </c>
      <c r="X68" s="685">
        <f>IF('[1]Data 2026'!V80="","",'[1]Data 2026'!V80)</f>
        <v>46160</v>
      </c>
      <c r="Y68" s="685" t="str">
        <f>IF('[1]Data 2026'!W80="","",'[1]Data 2026'!W80)</f>
        <v/>
      </c>
      <c r="Z68" s="685" t="str">
        <f>IF('[1]Data 2026'!X80="","",'[1]Data 2026'!X80)</f>
        <v/>
      </c>
      <c r="AA68" s="685"/>
      <c r="AB68" s="685">
        <f>IF('[1]Data 2026'!Y80="","",'[1]Data 2026'!Y80)</f>
        <v>46181</v>
      </c>
      <c r="AC68" s="685" t="str">
        <f>IF('[1]Data 2026'!Z80="","",'[1]Data 2026'!Z80)</f>
        <v/>
      </c>
      <c r="AD68" s="691">
        <f>IF('[1]Data 2026'!AA80="","",'[1]Data 2026'!AA80)</f>
        <v>250</v>
      </c>
      <c r="AE68" s="691">
        <f>IF('[1]Data 2026'!AB80="","",'[1]Data 2026'!AB80)</f>
        <v>250</v>
      </c>
      <c r="AF68" s="685">
        <f>IF('[1]Data 2026'!AC80="","",'[1]Data 2026'!AC80)</f>
        <v>45838</v>
      </c>
      <c r="AG68" s="685" t="str">
        <f>IF('[1]Data 2026'!AD80="","",'[1]Data 2026'!AD80)</f>
        <v>Ex-Olam</v>
      </c>
      <c r="AH68" s="686">
        <f>IF('[1]Data 2026'!AE80="","",'[1]Data 2026'!AE80)</f>
        <v>10</v>
      </c>
      <c r="AI68" s="685" t="str">
        <f>IF('[1]Data 2026'!AG80="","",'[1]Data 2026'!AG80)</f>
        <v>VALENCY INTERNATIONAL CI</v>
      </c>
      <c r="AJ68" s="685" t="str">
        <f>IF('[1]Data 2026'!AH80="","",'[1]Data 2026'!AH80)</f>
        <v>AFIC</v>
      </c>
      <c r="AK68" s="685" t="str">
        <f>IF('[1]Data 2026'!AI80="","",'[1]Data 2026'!AI80)</f>
        <v>OOCL</v>
      </c>
      <c r="AL68" s="685" t="str">
        <f>IF('[1]Data 2026'!AJ80="","",'[1]Data 2026'!AJ80)</f>
        <v>40FT</v>
      </c>
      <c r="AM68" s="692">
        <f>IF('[1]Data 2026'!AK80="","",'[1]Data 2026'!AK80)</f>
        <v>0.1</v>
      </c>
      <c r="AN68" s="685" t="str">
        <f>IF('[1]Data 2026'!AL80="","",'[1]Data 2026'!AL80)</f>
        <v>(01x250MTS)</v>
      </c>
      <c r="AO68" s="691">
        <f>IF('[1]Data 2026'!AM80="","",'[1]Data 2026'!AM80)</f>
        <v>275</v>
      </c>
      <c r="AP68" s="691" t="str">
        <f t="shared" ref="AP68:AP128" si="16">IF(AE68-AD68&lt;&gt;0,AE68-AD68,"")</f>
        <v/>
      </c>
      <c r="AQ68" s="685" t="str">
        <f>IF('[1]Data 2026'!AO80="","",'[1]Data 2026'!AO80)</f>
        <v/>
      </c>
      <c r="AR68" s="685" t="str">
        <f>IF('[1]Data 2026'!AP80="","",'[1]Data 2026'!AP80)</f>
        <v/>
      </c>
      <c r="AS68" s="685" t="str">
        <f>IF('[1]Data 2026'!AQ80="","",'[1]Data 2026'!AQ80)</f>
        <v/>
      </c>
      <c r="AT68" s="685" t="str">
        <f>IF('[1]Data 2026'!AR80="","",'[1]Data 2026'!AR80)</f>
        <v/>
      </c>
      <c r="AU68" s="685" t="str">
        <f>IF('[1]Data 2026'!AW80="","",'[1]Data 2026'!AW80)</f>
        <v/>
      </c>
      <c r="AV68" s="685" t="str">
        <f>IF('[1]Data 2026'!AX80="","",'[1]Data 2026'!AX80)</f>
        <v/>
      </c>
      <c r="AW68" s="685" t="str">
        <f>IF('[1]Data 2026'!AY80="","",'[1]Data 2026'!AY80)</f>
        <v/>
      </c>
      <c r="AX68" s="685" t="str">
        <f>IF('[1]Data 2026'!AZ80="","",'[1]Data 2026'!AZ80)</f>
        <v/>
      </c>
      <c r="AY68" s="685" t="str">
        <f>IF('[1]Data 2026'!BA80="","",'[1]Data 2026'!BA80)</f>
        <v/>
      </c>
      <c r="AZ68" s="685" t="str">
        <f>IF('[1]Data 2026'!AS80="","",'[1]Data 2026'!AS80)</f>
        <v/>
      </c>
      <c r="BA68" s="685" t="str">
        <f>IF('[1]Data 2026'!AT80="","",'[1]Data 2026'!AT80)</f>
        <v/>
      </c>
      <c r="BB68" s="685" t="str">
        <f>IF('[1]Data 2026'!AU80="","",'[1]Data 2026'!AU80)</f>
        <v/>
      </c>
      <c r="BC68" s="685" t="str">
        <f>IF('[1]Data 2026'!AV80="","",'[1]Data 2026'!AV80)</f>
        <v/>
      </c>
      <c r="BD68" s="685" t="str">
        <f>IF('[1]Data 2026'!AW80="","",'[1]Data 2026'!AW80)</f>
        <v/>
      </c>
      <c r="BE68" s="685" t="str">
        <f>IF('[1]Data 2026'!AX80="","",'[1]Data 2026'!AX80)</f>
        <v/>
      </c>
      <c r="BF68" s="685" t="str">
        <f>IF('[1]Data 2026'!BF80="","",'[1]Data 2026'!BF80)</f>
        <v>VALENCY INTERNATIONAL CI</v>
      </c>
      <c r="BG68" s="685" t="str">
        <f>IF('[1]Data 2026'!BG80="","",'[1]Data 2026'!BG80)</f>
        <v/>
      </c>
      <c r="BH68" s="685" t="str">
        <f>IF('[1]Data 2026'!BH80="","",'[1]Data 2026'!BH80)</f>
        <v/>
      </c>
      <c r="BI68" s="685" t="str">
        <f>IF('[1]Data 2026'!BI80="","",'[1]Data 2026'!BI80)</f>
        <v/>
      </c>
      <c r="BJ68" s="685" t="str">
        <f>IF('[1]Data 2026'!BJ80="","",'[1]Data 2026'!BJ80)</f>
        <v/>
      </c>
      <c r="BK68" s="685" t="str">
        <f>IF('[1]Data 2026'!BK80="","",'[1]Data 2026'!BK80)</f>
        <v/>
      </c>
      <c r="BL68" s="685" t="str">
        <f>IF('[1]Data 2026'!BL80="","",'[1]Data 2026'!BL80)</f>
        <v>AFIC</v>
      </c>
      <c r="BM68" s="685" t="str">
        <f>IF('[1]Data 2026'!BM80="","",'[1]Data 2026'!BM80)</f>
        <v/>
      </c>
      <c r="BN68" s="685" t="str">
        <f>IF('[1]Data 2026'!BN80="","",'[1]Data 2026'!BN80)</f>
        <v/>
      </c>
      <c r="BO68" s="685" t="str">
        <f>IF('[1]Data 2026'!BO80="","",'[1]Data 2026'!BO80)</f>
        <v/>
      </c>
      <c r="BP68" s="685" t="str">
        <f>IF('[1]Data 2026'!BP80="","",'[1]Data 2026'!BP80)</f>
        <v/>
      </c>
      <c r="BQ68" s="685" t="str">
        <f>IF('[1]Data 2026'!BQ80="","",'[1]Data 2026'!BQ80)</f>
        <v/>
      </c>
      <c r="BR68" s="685" t="str">
        <f>IF('[1]Data 2026'!BR80="","",'[1]Data 2026'!BR80)</f>
        <v/>
      </c>
      <c r="BS68" s="685" t="str">
        <f>IF('[1]Data 2026'!BS80="","",'[1]Data 2026'!BS80)</f>
        <v/>
      </c>
      <c r="BT68" s="685" t="str">
        <f>IF('[1]Data 2026'!BV80="","",'[1]Data 2026'!BV80)</f>
        <v>BOA/KTD</v>
      </c>
      <c r="BU68" s="685" t="str">
        <f>IF('[1]Data 2026'!BW80="","",'[1]Data 2026'!BW80)</f>
        <v/>
      </c>
      <c r="BV68" s="685" t="str">
        <f>IF('[1]Data 2026'!BX80="","",'[1]Data 2026'!BX80)</f>
        <v/>
      </c>
      <c r="BW68" s="685" t="str">
        <f>IF('[1]Data 2026'!BY80="","",'[1]Data 2026'!BY80)</f>
        <v/>
      </c>
      <c r="BX68" s="685" t="str">
        <f>IF('[1]Data 2026'!BZ80="","",'[1]Data 2026'!BZ80)</f>
        <v/>
      </c>
      <c r="BY68" s="685" t="str">
        <f>IF('[1]Data 2026'!CA80="","",'[1]Data 2026'!CA80)</f>
        <v>182610-15262</v>
      </c>
      <c r="BZ68" s="685">
        <f>IF('[1]Data 2026'!CB80="","",'[1]Data 2026'!CB80)</f>
        <v>46161</v>
      </c>
      <c r="CA68" s="685" t="str">
        <f>IF('[1]Data 2026'!CC80="","",'[1]Data 2026'!CC80)</f>
        <v>2026-0552</v>
      </c>
      <c r="CB68" s="685">
        <f>IF('[1]Data 2026'!CD80="","",'[1]Data 2026'!CD80)</f>
        <v>46161</v>
      </c>
      <c r="CC68" s="685" t="str">
        <f>IF('[1]Data 2026'!CE80="","",'[1]Data 2026'!CE80)</f>
        <v/>
      </c>
      <c r="CD68" s="685" t="str">
        <f>IF('[1]Data 2026'!CF80="","",'[1]Data 2026'!CF80)</f>
        <v/>
      </c>
      <c r="CE68" s="685" t="str">
        <f>IF('[1]Data 2026'!CG80="","",'[1]Data 2026'!CG80)</f>
        <v/>
      </c>
      <c r="CF68" s="685">
        <f>IF('[1]Data 2026'!CH80="","",'[1]Data 2026'!CH80)</f>
        <v>46161</v>
      </c>
      <c r="CG68" s="685" t="str">
        <f>IF('[1]Data 2026'!CI80="","",'[1]Data 2026'!CI80)</f>
        <v>E16060</v>
      </c>
      <c r="CH68" s="685" t="str">
        <f>IF('[1]Data 2026'!CJ80="","",'[1]Data 2026'!CJ80)</f>
        <v/>
      </c>
      <c r="CI68" s="685" t="str">
        <f>IF('[1]Data 2026'!CK80="","",'[1]Data 2026'!CK80)</f>
        <v/>
      </c>
      <c r="CJ68" s="685" t="str">
        <f>IF('[1]Data 2026'!CM80="","",'[1]Data 2026'!CM80)</f>
        <v/>
      </c>
      <c r="CK68" s="685" t="str">
        <f>IF('[1]Data 2026'!CN80="","",'[1]Data 2026'!CN80)</f>
        <v>Sugmaran</v>
      </c>
      <c r="CL68" s="691"/>
      <c r="CM68" s="691" t="str">
        <f>IF('[1]Data 2026'!CP80="","",'[1]Data 2026'!CP80)</f>
        <v/>
      </c>
      <c r="CN68" s="691"/>
      <c r="CO68" s="693"/>
      <c r="CP68" s="693"/>
      <c r="CQ68" s="693"/>
      <c r="CR68" s="686">
        <f t="shared" ref="CR68:CT84" si="17">IFERROR(W68-V68,"")</f>
        <v>14</v>
      </c>
      <c r="CS68" s="686">
        <f t="shared" si="17"/>
        <v>0</v>
      </c>
      <c r="CT68" s="686" t="str">
        <f t="shared" si="17"/>
        <v/>
      </c>
      <c r="CU68" s="686" t="str">
        <f t="shared" ref="CU68:CU84" si="18">IFERROR(AC68-X68,"")</f>
        <v/>
      </c>
      <c r="CV68" s="686" t="str">
        <f t="shared" ref="CV68:CV84" si="19">IF(BU68="","",IFERROR(BU68-AC68,""))</f>
        <v/>
      </c>
      <c r="CW68" s="685" t="str">
        <f t="shared" si="10"/>
        <v/>
      </c>
      <c r="CX68" s="685" t="str">
        <f t="shared" si="11"/>
        <v/>
      </c>
      <c r="CY68" s="693">
        <f t="shared" ref="CY68:CY84" ca="1" si="20">IF(K68="","",IF(AND(AC68&lt;&gt;"",K68&lt;AC68),100,IF(AND(K68&gt;=TODAY(),K68&lt;=TODAY()+7),70,IF(AND(K68&gt;=TODAY(),K68&lt;=TODAY()+14),30,0))))</f>
        <v>0</v>
      </c>
      <c r="CZ68" s="693" t="str">
        <f t="shared" ref="CZ68:CZ84" si="21">IF(OR(CL68="",F68=""),"",IF(ABS(CL68-F68)&gt;1,100,IF(ABS(CL68-F68)&gt;0.5,70,IF(ABS(CL68-F68)&gt;0.25,30,0))))</f>
        <v/>
      </c>
      <c r="DB68"/>
      <c r="DC68"/>
    </row>
    <row r="69" spans="1:107" s="694" customFormat="1">
      <c r="A69" s="682" t="str">
        <f t="shared" si="13"/>
        <v>E. STUFFED, GATE IN AWAITED</v>
      </c>
      <c r="B69" s="699" t="s">
        <v>1204</v>
      </c>
      <c r="C69" s="684" t="str">
        <f t="shared" si="14"/>
        <v>CLOSED POSITION</v>
      </c>
      <c r="D69" s="685" t="str">
        <f t="shared" ref="D69:D128" si="22">IF(BU69&lt;&gt;"HBL SURRENDERED TO BANK",IF(AND(AS69&lt;&gt;"",Q69&lt;&gt;""),"HBL RECEIVED, SURRENDER IS DUE",IF(AND(AS69&lt;&gt;"",Q69=""),"HBL AWAITED","")))</f>
        <v/>
      </c>
      <c r="E69" s="685" t="str">
        <f t="shared" si="15"/>
        <v/>
      </c>
      <c r="F69" s="686">
        <f>IF('[1]Data 2026'!D81="","",'[1]Data 2026'!D81)</f>
        <v>46</v>
      </c>
      <c r="G69" s="686">
        <f>IF('[1]Data 2026'!E81="","",'[1]Data 2026'!E81)</f>
        <v>200</v>
      </c>
      <c r="H69" s="687" t="str">
        <f>IF('[1]Data 2026'!H81="","",'[1]Data 2026'!H81)</f>
        <v>32016316-1</v>
      </c>
      <c r="I69" s="688">
        <f>IF('[1]Data 2026'!AA81="","",'[1]Data 2026'!AA81)</f>
        <v>250</v>
      </c>
      <c r="J69" s="685" t="str">
        <f>IF('[1]Data 2026'!K81="","",'[1]Data 2026'!K81)</f>
        <v>May/June - 26</v>
      </c>
      <c r="K69" s="685">
        <v>46203</v>
      </c>
      <c r="L69" s="685" t="str">
        <f>IF('[1]Data 2026'!L81="","",'[1]Data 2026'!L81)</f>
        <v>VALENCY CI</v>
      </c>
      <c r="M69" s="685" t="str">
        <f>IF('[1]Data 2026'!M81="","",'[1]Data 2026'!M81)</f>
        <v>VIET PHI AGRICULTURE</v>
      </c>
      <c r="N69" s="685" t="s">
        <v>1203</v>
      </c>
      <c r="O69" s="689">
        <f>IF('[1]Data 2026'!N81="","",'[1]Data 2026'!N81)</f>
        <v>4055147053</v>
      </c>
      <c r="P69" s="690" t="str">
        <f>IF('[1]Data 2026'!O81="","",'[1]Data 2026'!O81)</f>
        <v/>
      </c>
      <c r="Q69" s="685" t="str">
        <f>IF('[1]Data 2026'!P81="","",'[1]Data 2026'!P81)</f>
        <v/>
      </c>
      <c r="R69" s="685" t="str">
        <f>IF('[1]Data 2026'!Q81="","",'[1]Data 2026'!Q81)</f>
        <v>ABJ</v>
      </c>
      <c r="S69" s="685" t="s">
        <v>347</v>
      </c>
      <c r="T69" s="685" t="str">
        <f>IF('[1]Data 2026'!R81="","",'[1]Data 2026'!R81)</f>
        <v>HCMC, VIETNAM</v>
      </c>
      <c r="U69" s="685" t="str">
        <f>IF('[1]Data 2026'!S81="","",'[1]Data 2026'!S81)</f>
        <v>NORTHERN MAJESTIC</v>
      </c>
      <c r="V69" s="685">
        <f>IF('[1]Data 2026'!T81="","",'[1]Data 2026'!T81)</f>
        <v>46146</v>
      </c>
      <c r="W69" s="685">
        <f>IF('[1]Data 2026'!U81="","",'[1]Data 2026'!U81)</f>
        <v>46160</v>
      </c>
      <c r="X69" s="685">
        <f>IF('[1]Data 2026'!V81="","",'[1]Data 2026'!V81)</f>
        <v>46160</v>
      </c>
      <c r="Y69" s="685" t="str">
        <f>IF('[1]Data 2026'!W81="","",'[1]Data 2026'!W81)</f>
        <v/>
      </c>
      <c r="Z69" s="685" t="str">
        <f>IF('[1]Data 2026'!X81="","",'[1]Data 2026'!X81)</f>
        <v/>
      </c>
      <c r="AA69" s="685"/>
      <c r="AB69" s="685">
        <f>IF('[1]Data 2026'!Y81="","",'[1]Data 2026'!Y81)</f>
        <v>46181</v>
      </c>
      <c r="AC69" s="685" t="str">
        <f>IF('[1]Data 2026'!Z81="","",'[1]Data 2026'!Z81)</f>
        <v/>
      </c>
      <c r="AD69" s="691">
        <f>IF('[1]Data 2026'!AA81="","",'[1]Data 2026'!AA81)</f>
        <v>250</v>
      </c>
      <c r="AE69" s="691">
        <f>IF('[1]Data 2026'!AB81="","",'[1]Data 2026'!AB81)</f>
        <v>250</v>
      </c>
      <c r="AF69" s="685">
        <f>IF('[1]Data 2026'!AC81="","",'[1]Data 2026'!AC81)</f>
        <v>45838</v>
      </c>
      <c r="AG69" s="685" t="str">
        <f>IF('[1]Data 2026'!AD81="","",'[1]Data 2026'!AD81)</f>
        <v>Ex-Olam</v>
      </c>
      <c r="AH69" s="686">
        <f>IF('[1]Data 2026'!AE81="","",'[1]Data 2026'!AE81)</f>
        <v>10</v>
      </c>
      <c r="AI69" s="685" t="str">
        <f>IF('[1]Data 2026'!AG81="","",'[1]Data 2026'!AG81)</f>
        <v>VALENCY INTERNATIONAL CI</v>
      </c>
      <c r="AJ69" s="685" t="str">
        <f>IF('[1]Data 2026'!AH81="","",'[1]Data 2026'!AH81)</f>
        <v>AFIC</v>
      </c>
      <c r="AK69" s="685" t="str">
        <f>IF('[1]Data 2026'!AI81="","",'[1]Data 2026'!AI81)</f>
        <v>OOCL</v>
      </c>
      <c r="AL69" s="685" t="str">
        <f>IF('[1]Data 2026'!AJ81="","",'[1]Data 2026'!AJ81)</f>
        <v>40FT</v>
      </c>
      <c r="AM69" s="692">
        <f>IF('[1]Data 2026'!AK81="","",'[1]Data 2026'!AK81)</f>
        <v>0.1</v>
      </c>
      <c r="AN69" s="685" t="str">
        <f>IF('[1]Data 2026'!AL81="","",'[1]Data 2026'!AL81)</f>
        <v>(01x250MTS)</v>
      </c>
      <c r="AO69" s="691">
        <f>IF('[1]Data 2026'!AM81="","",'[1]Data 2026'!AM81)</f>
        <v>275</v>
      </c>
      <c r="AP69" s="691" t="str">
        <f t="shared" si="16"/>
        <v/>
      </c>
      <c r="AQ69" s="685" t="str">
        <f>IF('[1]Data 2026'!AO81="","",'[1]Data 2026'!AO81)</f>
        <v/>
      </c>
      <c r="AR69" s="685" t="str">
        <f>IF('[1]Data 2026'!AP81="","",'[1]Data 2026'!AP81)</f>
        <v/>
      </c>
      <c r="AS69" s="685" t="str">
        <f>IF('[1]Data 2026'!AQ81="","",'[1]Data 2026'!AQ81)</f>
        <v/>
      </c>
      <c r="AT69" s="685" t="str">
        <f>IF('[1]Data 2026'!AR81="","",'[1]Data 2026'!AR81)</f>
        <v/>
      </c>
      <c r="AU69" s="685" t="str">
        <f>IF('[1]Data 2026'!AW81="","",'[1]Data 2026'!AW81)</f>
        <v/>
      </c>
      <c r="AV69" s="685" t="str">
        <f>IF('[1]Data 2026'!AX81="","",'[1]Data 2026'!AX81)</f>
        <v/>
      </c>
      <c r="AW69" s="685" t="str">
        <f>IF('[1]Data 2026'!AY81="","",'[1]Data 2026'!AY81)</f>
        <v/>
      </c>
      <c r="AX69" s="685" t="str">
        <f>IF('[1]Data 2026'!AZ81="","",'[1]Data 2026'!AZ81)</f>
        <v/>
      </c>
      <c r="AY69" s="685" t="str">
        <f>IF('[1]Data 2026'!BA81="","",'[1]Data 2026'!BA81)</f>
        <v/>
      </c>
      <c r="AZ69" s="685" t="str">
        <f>IF('[1]Data 2026'!AS81="","",'[1]Data 2026'!AS81)</f>
        <v/>
      </c>
      <c r="BA69" s="685" t="str">
        <f>IF('[1]Data 2026'!AT81="","",'[1]Data 2026'!AT81)</f>
        <v/>
      </c>
      <c r="BB69" s="685" t="str">
        <f>IF('[1]Data 2026'!AU81="","",'[1]Data 2026'!AU81)</f>
        <v/>
      </c>
      <c r="BC69" s="685" t="str">
        <f>IF('[1]Data 2026'!AV81="","",'[1]Data 2026'!AV81)</f>
        <v/>
      </c>
      <c r="BD69" s="685" t="str">
        <f>IF('[1]Data 2026'!AW81="","",'[1]Data 2026'!AW81)</f>
        <v/>
      </c>
      <c r="BE69" s="685" t="str">
        <f>IF('[1]Data 2026'!AX81="","",'[1]Data 2026'!AX81)</f>
        <v/>
      </c>
      <c r="BF69" s="685" t="str">
        <f>IF('[1]Data 2026'!BF81="","",'[1]Data 2026'!BF81)</f>
        <v>VALENCY INTERNATIONAL CI</v>
      </c>
      <c r="BG69" s="685" t="str">
        <f>IF('[1]Data 2026'!BG81="","",'[1]Data 2026'!BG81)</f>
        <v/>
      </c>
      <c r="BH69" s="685" t="str">
        <f>IF('[1]Data 2026'!BH81="","",'[1]Data 2026'!BH81)</f>
        <v/>
      </c>
      <c r="BI69" s="685" t="str">
        <f>IF('[1]Data 2026'!BI81="","",'[1]Data 2026'!BI81)</f>
        <v/>
      </c>
      <c r="BJ69" s="685" t="str">
        <f>IF('[1]Data 2026'!BJ81="","",'[1]Data 2026'!BJ81)</f>
        <v/>
      </c>
      <c r="BK69" s="685" t="str">
        <f>IF('[1]Data 2026'!BK81="","",'[1]Data 2026'!BK81)</f>
        <v/>
      </c>
      <c r="BL69" s="685" t="str">
        <f>IF('[1]Data 2026'!BL81="","",'[1]Data 2026'!BL81)</f>
        <v>AFIC</v>
      </c>
      <c r="BM69" s="685" t="str">
        <f>IF('[1]Data 2026'!BM81="","",'[1]Data 2026'!BM81)</f>
        <v/>
      </c>
      <c r="BN69" s="685" t="str">
        <f>IF('[1]Data 2026'!BN81="","",'[1]Data 2026'!BN81)</f>
        <v/>
      </c>
      <c r="BO69" s="685" t="str">
        <f>IF('[1]Data 2026'!BO81="","",'[1]Data 2026'!BO81)</f>
        <v/>
      </c>
      <c r="BP69" s="685" t="str">
        <f>IF('[1]Data 2026'!BP81="","",'[1]Data 2026'!BP81)</f>
        <v/>
      </c>
      <c r="BQ69" s="685" t="str">
        <f>IF('[1]Data 2026'!BQ81="","",'[1]Data 2026'!BQ81)</f>
        <v/>
      </c>
      <c r="BR69" s="685" t="str">
        <f>IF('[1]Data 2026'!BR81="","",'[1]Data 2026'!BR81)</f>
        <v/>
      </c>
      <c r="BS69" s="685" t="str">
        <f>IF('[1]Data 2026'!BS81="","",'[1]Data 2026'!BS81)</f>
        <v/>
      </c>
      <c r="BT69" s="685" t="str">
        <f>IF('[1]Data 2026'!BV81="","",'[1]Data 2026'!BV81)</f>
        <v>BOA/KTD</v>
      </c>
      <c r="BU69" s="685" t="str">
        <f>IF('[1]Data 2026'!BW81="","",'[1]Data 2026'!BW81)</f>
        <v/>
      </c>
      <c r="BV69" s="685" t="str">
        <f>IF('[1]Data 2026'!BX81="","",'[1]Data 2026'!BX81)</f>
        <v/>
      </c>
      <c r="BW69" s="685" t="str">
        <f>IF('[1]Data 2026'!BY81="","",'[1]Data 2026'!BY81)</f>
        <v/>
      </c>
      <c r="BX69" s="685" t="str">
        <f>IF('[1]Data 2026'!BZ81="","",'[1]Data 2026'!BZ81)</f>
        <v/>
      </c>
      <c r="BY69" s="685" t="str">
        <f>IF('[1]Data 2026'!CA81="","",'[1]Data 2026'!CA81)</f>
        <v>182610-15262</v>
      </c>
      <c r="BZ69" s="685">
        <f>IF('[1]Data 2026'!CB81="","",'[1]Data 2026'!CB81)</f>
        <v>46161</v>
      </c>
      <c r="CA69" s="685" t="str">
        <f>IF('[1]Data 2026'!CC81="","",'[1]Data 2026'!CC81)</f>
        <v>2026-0552</v>
      </c>
      <c r="CB69" s="685">
        <f>IF('[1]Data 2026'!CD81="","",'[1]Data 2026'!CD81)</f>
        <v>46161</v>
      </c>
      <c r="CC69" s="685" t="str">
        <f>IF('[1]Data 2026'!CE81="","",'[1]Data 2026'!CE81)</f>
        <v/>
      </c>
      <c r="CD69" s="685" t="str">
        <f>IF('[1]Data 2026'!CF81="","",'[1]Data 2026'!CF81)</f>
        <v/>
      </c>
      <c r="CE69" s="685" t="str">
        <f>IF('[1]Data 2026'!CG81="","",'[1]Data 2026'!CG81)</f>
        <v/>
      </c>
      <c r="CF69" s="685">
        <f>IF('[1]Data 2026'!CH81="","",'[1]Data 2026'!CH81)</f>
        <v>46161</v>
      </c>
      <c r="CG69" s="685" t="str">
        <f>IF('[1]Data 2026'!CI81="","",'[1]Data 2026'!CI81)</f>
        <v>E16060</v>
      </c>
      <c r="CH69" s="685" t="str">
        <f>IF('[1]Data 2026'!CJ81="","",'[1]Data 2026'!CJ81)</f>
        <v/>
      </c>
      <c r="CI69" s="685" t="str">
        <f>IF('[1]Data 2026'!CK81="","",'[1]Data 2026'!CK81)</f>
        <v/>
      </c>
      <c r="CJ69" s="685" t="str">
        <f>IF('[1]Data 2026'!CM81="","",'[1]Data 2026'!CM81)</f>
        <v/>
      </c>
      <c r="CK69" s="685" t="str">
        <f>IF('[1]Data 2026'!CN81="","",'[1]Data 2026'!CN81)</f>
        <v>Sugmaran</v>
      </c>
      <c r="CL69" s="691"/>
      <c r="CM69" s="691" t="str">
        <f>IF('[1]Data 2026'!CP81="","",'[1]Data 2026'!CP81)</f>
        <v/>
      </c>
      <c r="CN69" s="691"/>
      <c r="CO69" s="693"/>
      <c r="CP69" s="693"/>
      <c r="CQ69" s="693"/>
      <c r="CR69" s="686">
        <f t="shared" si="17"/>
        <v>14</v>
      </c>
      <c r="CS69" s="686">
        <f t="shared" si="17"/>
        <v>0</v>
      </c>
      <c r="CT69" s="686" t="str">
        <f t="shared" si="17"/>
        <v/>
      </c>
      <c r="CU69" s="686" t="str">
        <f t="shared" si="18"/>
        <v/>
      </c>
      <c r="CV69" s="686" t="str">
        <f t="shared" si="19"/>
        <v/>
      </c>
      <c r="CW69" s="685" t="str">
        <f t="shared" ref="CW69:CW84" si="23">IFERROR(AT69-AC69,"")</f>
        <v/>
      </c>
      <c r="CX69" s="685" t="str">
        <f t="shared" ref="CX69:CX84" si="24">IFERROR(AX69-AT69,"")</f>
        <v/>
      </c>
      <c r="CY69" s="693">
        <f t="shared" ca="1" si="20"/>
        <v>0</v>
      </c>
      <c r="CZ69" s="693" t="str">
        <f t="shared" si="21"/>
        <v/>
      </c>
      <c r="DB69"/>
      <c r="DC69"/>
    </row>
    <row r="70" spans="1:107" s="694" customFormat="1">
      <c r="A70" s="682" t="str">
        <f t="shared" si="13"/>
        <v>E. STUFFED, GATE IN AWAITED</v>
      </c>
      <c r="B70" s="699" t="s">
        <v>1204</v>
      </c>
      <c r="C70" s="684" t="str">
        <f t="shared" si="14"/>
        <v>CLOSED POSITION</v>
      </c>
      <c r="D70" s="685" t="str">
        <f t="shared" si="22"/>
        <v/>
      </c>
      <c r="E70" s="685" t="str">
        <f t="shared" si="15"/>
        <v/>
      </c>
      <c r="F70" s="686">
        <f>IF('[1]Data 2026'!D82="","",'[1]Data 2026'!D82)</f>
        <v>46</v>
      </c>
      <c r="G70" s="686">
        <f>IF('[1]Data 2026'!E82="","",'[1]Data 2026'!E82)</f>
        <v>200</v>
      </c>
      <c r="H70" s="687" t="str">
        <f>IF('[1]Data 2026'!H82="","",'[1]Data 2026'!H82)</f>
        <v>32016316-2</v>
      </c>
      <c r="I70" s="688">
        <f>IF('[1]Data 2026'!AA82="","",'[1]Data 2026'!AA82)</f>
        <v>250</v>
      </c>
      <c r="J70" s="685" t="str">
        <f>IF('[1]Data 2026'!K82="","",'[1]Data 2026'!K82)</f>
        <v>May/June - 26</v>
      </c>
      <c r="K70" s="685">
        <v>46203</v>
      </c>
      <c r="L70" s="685" t="str">
        <f>IF('[1]Data 2026'!L82="","",'[1]Data 2026'!L82)</f>
        <v>VALENCY CI</v>
      </c>
      <c r="M70" s="685" t="str">
        <f>IF('[1]Data 2026'!M82="","",'[1]Data 2026'!M82)</f>
        <v>VIET PHI AGRICULTURE</v>
      </c>
      <c r="N70" s="685" t="s">
        <v>1203</v>
      </c>
      <c r="O70" s="689">
        <f>IF('[1]Data 2026'!N82="","",'[1]Data 2026'!N82)</f>
        <v>4055147051</v>
      </c>
      <c r="P70" s="690" t="str">
        <f>IF('[1]Data 2026'!O82="","",'[1]Data 2026'!O82)</f>
        <v/>
      </c>
      <c r="Q70" s="685" t="str">
        <f>IF('[1]Data 2026'!P82="","",'[1]Data 2026'!P82)</f>
        <v/>
      </c>
      <c r="R70" s="685" t="str">
        <f>IF('[1]Data 2026'!Q82="","",'[1]Data 2026'!Q82)</f>
        <v>ABJ</v>
      </c>
      <c r="S70" s="685" t="s">
        <v>347</v>
      </c>
      <c r="T70" s="685" t="str">
        <f>IF('[1]Data 2026'!R82="","",'[1]Data 2026'!R82)</f>
        <v>HCMC, VIETNAM</v>
      </c>
      <c r="U70" s="685" t="str">
        <f>IF('[1]Data 2026'!S82="","",'[1]Data 2026'!S82)</f>
        <v>NORTHERN MAJESTIC</v>
      </c>
      <c r="V70" s="685">
        <f>IF('[1]Data 2026'!T82="","",'[1]Data 2026'!T82)</f>
        <v>46146</v>
      </c>
      <c r="W70" s="685">
        <f>IF('[1]Data 2026'!U82="","",'[1]Data 2026'!U82)</f>
        <v>46161</v>
      </c>
      <c r="X70" s="685">
        <f>IF('[1]Data 2026'!V82="","",'[1]Data 2026'!V82)</f>
        <v>46161</v>
      </c>
      <c r="Y70" s="685" t="str">
        <f>IF('[1]Data 2026'!W82="","",'[1]Data 2026'!W82)</f>
        <v/>
      </c>
      <c r="Z70" s="685" t="str">
        <f>IF('[1]Data 2026'!X82="","",'[1]Data 2026'!X82)</f>
        <v/>
      </c>
      <c r="AA70" s="685"/>
      <c r="AB70" s="685">
        <f>IF('[1]Data 2026'!Y82="","",'[1]Data 2026'!Y82)</f>
        <v>46181</v>
      </c>
      <c r="AC70" s="685" t="str">
        <f>IF('[1]Data 2026'!Z82="","",'[1]Data 2026'!Z82)</f>
        <v/>
      </c>
      <c r="AD70" s="691">
        <f>IF('[1]Data 2026'!AA82="","",'[1]Data 2026'!AA82)</f>
        <v>250</v>
      </c>
      <c r="AE70" s="691">
        <f>IF('[1]Data 2026'!AB82="","",'[1]Data 2026'!AB82)</f>
        <v>250</v>
      </c>
      <c r="AF70" s="685">
        <f>IF('[1]Data 2026'!AC82="","",'[1]Data 2026'!AC82)</f>
        <v>45838</v>
      </c>
      <c r="AG70" s="685" t="str">
        <f>IF('[1]Data 2026'!AD82="","",'[1]Data 2026'!AD82)</f>
        <v>Ex-Olam</v>
      </c>
      <c r="AH70" s="686">
        <f>IF('[1]Data 2026'!AE82="","",'[1]Data 2026'!AE82)</f>
        <v>10</v>
      </c>
      <c r="AI70" s="685" t="str">
        <f>IF('[1]Data 2026'!AG82="","",'[1]Data 2026'!AG82)</f>
        <v>VALENCY INTERNATIONAL CI</v>
      </c>
      <c r="AJ70" s="685" t="str">
        <f>IF('[1]Data 2026'!AH82="","",'[1]Data 2026'!AH82)</f>
        <v>AFIC</v>
      </c>
      <c r="AK70" s="685" t="str">
        <f>IF('[1]Data 2026'!AI82="","",'[1]Data 2026'!AI82)</f>
        <v>OOCL</v>
      </c>
      <c r="AL70" s="685" t="str">
        <f>IF('[1]Data 2026'!AJ82="","",'[1]Data 2026'!AJ82)</f>
        <v>40FT</v>
      </c>
      <c r="AM70" s="692">
        <f>IF('[1]Data 2026'!AK82="","",'[1]Data 2026'!AK82)</f>
        <v>0.1</v>
      </c>
      <c r="AN70" s="685" t="str">
        <f>IF('[1]Data 2026'!AL82="","",'[1]Data 2026'!AL82)</f>
        <v>(01x250MTS)</v>
      </c>
      <c r="AO70" s="691">
        <f>IF('[1]Data 2026'!AM82="","",'[1]Data 2026'!AM82)</f>
        <v>275</v>
      </c>
      <c r="AP70" s="691" t="str">
        <f t="shared" si="16"/>
        <v/>
      </c>
      <c r="AQ70" s="685" t="str">
        <f>IF('[1]Data 2026'!AO82="","",'[1]Data 2026'!AO82)</f>
        <v/>
      </c>
      <c r="AR70" s="685" t="str">
        <f>IF('[1]Data 2026'!AP82="","",'[1]Data 2026'!AP82)</f>
        <v/>
      </c>
      <c r="AS70" s="685" t="str">
        <f>IF('[1]Data 2026'!AQ82="","",'[1]Data 2026'!AQ82)</f>
        <v/>
      </c>
      <c r="AT70" s="685" t="str">
        <f>IF('[1]Data 2026'!AR82="","",'[1]Data 2026'!AR82)</f>
        <v/>
      </c>
      <c r="AU70" s="685" t="str">
        <f>IF('[1]Data 2026'!AW82="","",'[1]Data 2026'!AW82)</f>
        <v/>
      </c>
      <c r="AV70" s="685" t="str">
        <f>IF('[1]Data 2026'!AX82="","",'[1]Data 2026'!AX82)</f>
        <v/>
      </c>
      <c r="AW70" s="685" t="str">
        <f>IF('[1]Data 2026'!AY82="","",'[1]Data 2026'!AY82)</f>
        <v/>
      </c>
      <c r="AX70" s="685" t="str">
        <f>IF('[1]Data 2026'!AZ82="","",'[1]Data 2026'!AZ82)</f>
        <v/>
      </c>
      <c r="AY70" s="685" t="str">
        <f>IF('[1]Data 2026'!BA82="","",'[1]Data 2026'!BA82)</f>
        <v/>
      </c>
      <c r="AZ70" s="685" t="str">
        <f>IF('[1]Data 2026'!AS82="","",'[1]Data 2026'!AS82)</f>
        <v/>
      </c>
      <c r="BA70" s="685" t="str">
        <f>IF('[1]Data 2026'!AT82="","",'[1]Data 2026'!AT82)</f>
        <v/>
      </c>
      <c r="BB70" s="685" t="str">
        <f>IF('[1]Data 2026'!AU82="","",'[1]Data 2026'!AU82)</f>
        <v/>
      </c>
      <c r="BC70" s="685" t="str">
        <f>IF('[1]Data 2026'!AV82="","",'[1]Data 2026'!AV82)</f>
        <v/>
      </c>
      <c r="BD70" s="685" t="str">
        <f>IF('[1]Data 2026'!AW82="","",'[1]Data 2026'!AW82)</f>
        <v/>
      </c>
      <c r="BE70" s="685" t="str">
        <f>IF('[1]Data 2026'!AX82="","",'[1]Data 2026'!AX82)</f>
        <v/>
      </c>
      <c r="BF70" s="685" t="str">
        <f>IF('[1]Data 2026'!BF82="","",'[1]Data 2026'!BF82)</f>
        <v>VALENCY INTERNATIONAL CI</v>
      </c>
      <c r="BG70" s="685" t="str">
        <f>IF('[1]Data 2026'!BG82="","",'[1]Data 2026'!BG82)</f>
        <v/>
      </c>
      <c r="BH70" s="685" t="str">
        <f>IF('[1]Data 2026'!BH82="","",'[1]Data 2026'!BH82)</f>
        <v/>
      </c>
      <c r="BI70" s="685" t="str">
        <f>IF('[1]Data 2026'!BI82="","",'[1]Data 2026'!BI82)</f>
        <v/>
      </c>
      <c r="BJ70" s="685" t="str">
        <f>IF('[1]Data 2026'!BJ82="","",'[1]Data 2026'!BJ82)</f>
        <v/>
      </c>
      <c r="BK70" s="685" t="str">
        <f>IF('[1]Data 2026'!BK82="","",'[1]Data 2026'!BK82)</f>
        <v/>
      </c>
      <c r="BL70" s="685" t="str">
        <f>IF('[1]Data 2026'!BL82="","",'[1]Data 2026'!BL82)</f>
        <v>AFIC</v>
      </c>
      <c r="BM70" s="685" t="str">
        <f>IF('[1]Data 2026'!BM82="","",'[1]Data 2026'!BM82)</f>
        <v/>
      </c>
      <c r="BN70" s="685" t="str">
        <f>IF('[1]Data 2026'!BN82="","",'[1]Data 2026'!BN82)</f>
        <v/>
      </c>
      <c r="BO70" s="685" t="str">
        <f>IF('[1]Data 2026'!BO82="","",'[1]Data 2026'!BO82)</f>
        <v/>
      </c>
      <c r="BP70" s="685" t="str">
        <f>IF('[1]Data 2026'!BP82="","",'[1]Data 2026'!BP82)</f>
        <v/>
      </c>
      <c r="BQ70" s="685" t="str">
        <f>IF('[1]Data 2026'!BQ82="","",'[1]Data 2026'!BQ82)</f>
        <v/>
      </c>
      <c r="BR70" s="685" t="str">
        <f>IF('[1]Data 2026'!BR82="","",'[1]Data 2026'!BR82)</f>
        <v/>
      </c>
      <c r="BS70" s="685" t="str">
        <f>IF('[1]Data 2026'!BS82="","",'[1]Data 2026'!BS82)</f>
        <v/>
      </c>
      <c r="BT70" s="685" t="str">
        <f>IF('[1]Data 2026'!BV82="","",'[1]Data 2026'!BV82)</f>
        <v>BOA/KTD</v>
      </c>
      <c r="BU70" s="685" t="str">
        <f>IF('[1]Data 2026'!BW82="","",'[1]Data 2026'!BW82)</f>
        <v/>
      </c>
      <c r="BV70" s="685" t="str">
        <f>IF('[1]Data 2026'!BX82="","",'[1]Data 2026'!BX82)</f>
        <v/>
      </c>
      <c r="BW70" s="685" t="str">
        <f>IF('[1]Data 2026'!BY82="","",'[1]Data 2026'!BY82)</f>
        <v/>
      </c>
      <c r="BX70" s="685" t="str">
        <f>IF('[1]Data 2026'!BZ82="","",'[1]Data 2026'!BZ82)</f>
        <v/>
      </c>
      <c r="BY70" s="685" t="str">
        <f>IF('[1]Data 2026'!CA82="","",'[1]Data 2026'!CA82)</f>
        <v>182610-15264</v>
      </c>
      <c r="BZ70" s="685">
        <f>IF('[1]Data 2026'!CB82="","",'[1]Data 2026'!CB82)</f>
        <v>46161</v>
      </c>
      <c r="CA70" s="685" t="str">
        <f>IF('[1]Data 2026'!CC82="","",'[1]Data 2026'!CC82)</f>
        <v>2026-0550</v>
      </c>
      <c r="CB70" s="685">
        <f>IF('[1]Data 2026'!CD82="","",'[1]Data 2026'!CD82)</f>
        <v>46161</v>
      </c>
      <c r="CC70" s="685" t="str">
        <f>IF('[1]Data 2026'!CE82="","",'[1]Data 2026'!CE82)</f>
        <v/>
      </c>
      <c r="CD70" s="685" t="str">
        <f>IF('[1]Data 2026'!CF82="","",'[1]Data 2026'!CF82)</f>
        <v/>
      </c>
      <c r="CE70" s="685" t="str">
        <f>IF('[1]Data 2026'!CG82="","",'[1]Data 2026'!CG82)</f>
        <v/>
      </c>
      <c r="CF70" s="685">
        <f>IF('[1]Data 2026'!CH82="","",'[1]Data 2026'!CH82)</f>
        <v>46161</v>
      </c>
      <c r="CG70" s="685" t="str">
        <f>IF('[1]Data 2026'!CI82="","",'[1]Data 2026'!CI82)</f>
        <v>E16060</v>
      </c>
      <c r="CH70" s="685" t="str">
        <f>IF('[1]Data 2026'!CJ82="","",'[1]Data 2026'!CJ82)</f>
        <v/>
      </c>
      <c r="CI70" s="685" t="str">
        <f>IF('[1]Data 2026'!CK82="","",'[1]Data 2026'!CK82)</f>
        <v/>
      </c>
      <c r="CJ70" s="685" t="str">
        <f>IF('[1]Data 2026'!CM82="","",'[1]Data 2026'!CM82)</f>
        <v/>
      </c>
      <c r="CK70" s="685" t="str">
        <f>IF('[1]Data 2026'!CN82="","",'[1]Data 2026'!CN82)</f>
        <v>Sugmaran</v>
      </c>
      <c r="CL70" s="691"/>
      <c r="CM70" s="691" t="str">
        <f>IF('[1]Data 2026'!CP82="","",'[1]Data 2026'!CP82)</f>
        <v/>
      </c>
      <c r="CN70" s="691"/>
      <c r="CO70" s="693"/>
      <c r="CP70" s="693"/>
      <c r="CQ70" s="693"/>
      <c r="CR70" s="686">
        <f t="shared" si="17"/>
        <v>15</v>
      </c>
      <c r="CS70" s="686">
        <f t="shared" si="17"/>
        <v>0</v>
      </c>
      <c r="CT70" s="686" t="str">
        <f t="shared" si="17"/>
        <v/>
      </c>
      <c r="CU70" s="686" t="str">
        <f t="shared" si="18"/>
        <v/>
      </c>
      <c r="CV70" s="686" t="str">
        <f t="shared" si="19"/>
        <v/>
      </c>
      <c r="CW70" s="685" t="str">
        <f t="shared" si="23"/>
        <v/>
      </c>
      <c r="CX70" s="685" t="str">
        <f t="shared" si="24"/>
        <v/>
      </c>
      <c r="CY70" s="693">
        <f t="shared" ca="1" si="20"/>
        <v>0</v>
      </c>
      <c r="CZ70" s="693" t="str">
        <f t="shared" si="21"/>
        <v/>
      </c>
      <c r="DB70"/>
      <c r="DC70"/>
    </row>
    <row r="71" spans="1:107" s="694" customFormat="1">
      <c r="A71" s="682" t="str">
        <f t="shared" si="13"/>
        <v>E. STUFFED, GATE IN AWAITED</v>
      </c>
      <c r="B71" s="699" t="s">
        <v>1204</v>
      </c>
      <c r="C71" s="684" t="str">
        <f t="shared" si="14"/>
        <v>CLOSED POSITION</v>
      </c>
      <c r="D71" s="685" t="str">
        <f t="shared" si="22"/>
        <v/>
      </c>
      <c r="E71" s="685" t="str">
        <f t="shared" si="15"/>
        <v/>
      </c>
      <c r="F71" s="686">
        <f>IF('[1]Data 2026'!D83="","",'[1]Data 2026'!D83)</f>
        <v>46</v>
      </c>
      <c r="G71" s="686">
        <f>IF('[1]Data 2026'!E83="","",'[1]Data 2026'!E83)</f>
        <v>200</v>
      </c>
      <c r="H71" s="687" t="str">
        <f>IF('[1]Data 2026'!H83="","",'[1]Data 2026'!H83)</f>
        <v>32016425-2</v>
      </c>
      <c r="I71" s="688">
        <f>IF('[1]Data 2026'!AA83="","",'[1]Data 2026'!AA83)</f>
        <v>250</v>
      </c>
      <c r="J71" s="685" t="str">
        <f>IF('[1]Data 2026'!K83="","",'[1]Data 2026'!K83)</f>
        <v>MAY-15th JUNE 2026</v>
      </c>
      <c r="K71" s="685">
        <v>46188</v>
      </c>
      <c r="L71" s="685" t="str">
        <f>IF('[1]Data 2026'!L83="","",'[1]Data 2026'!L83)</f>
        <v>VALENCY CI</v>
      </c>
      <c r="M71" s="685" t="str">
        <f>IF('[1]Data 2026'!M83="","",'[1]Data 2026'!M83)</f>
        <v>TERRA NUTS GROUP JOINT STOCK COMPANY</v>
      </c>
      <c r="N71" s="685" t="s">
        <v>1203</v>
      </c>
      <c r="O71" s="689">
        <f>IF('[1]Data 2026'!N83="","",'[1]Data 2026'!N83)</f>
        <v>4055147052</v>
      </c>
      <c r="P71" s="690" t="str">
        <f>IF('[1]Data 2026'!O83="","",'[1]Data 2026'!O83)</f>
        <v/>
      </c>
      <c r="Q71" s="685" t="str">
        <f>IF('[1]Data 2026'!P83="","",'[1]Data 2026'!P83)</f>
        <v/>
      </c>
      <c r="R71" s="685" t="str">
        <f>IF('[1]Data 2026'!Q83="","",'[1]Data 2026'!Q83)</f>
        <v>ABJ</v>
      </c>
      <c r="S71" s="685" t="s">
        <v>347</v>
      </c>
      <c r="T71" s="685" t="str">
        <f>IF('[1]Data 2026'!R83="","",'[1]Data 2026'!R83)</f>
        <v>HCMC, VIETNAM</v>
      </c>
      <c r="U71" s="685" t="str">
        <f>IF('[1]Data 2026'!S83="","",'[1]Data 2026'!S83)</f>
        <v>NORTHERN MAJESTIC</v>
      </c>
      <c r="V71" s="685">
        <f>IF('[1]Data 2026'!T83="","",'[1]Data 2026'!T83)</f>
        <v>46146</v>
      </c>
      <c r="W71" s="685">
        <f>IF('[1]Data 2026'!U83="","",'[1]Data 2026'!U83)</f>
        <v>46161</v>
      </c>
      <c r="X71" s="685">
        <f>IF('[1]Data 2026'!V83="","",'[1]Data 2026'!V83)</f>
        <v>46161</v>
      </c>
      <c r="Y71" s="685" t="str">
        <f>IF('[1]Data 2026'!W83="","",'[1]Data 2026'!W83)</f>
        <v/>
      </c>
      <c r="Z71" s="685" t="str">
        <f>IF('[1]Data 2026'!X83="","",'[1]Data 2026'!X83)</f>
        <v/>
      </c>
      <c r="AA71" s="685"/>
      <c r="AB71" s="685">
        <f>IF('[1]Data 2026'!Y83="","",'[1]Data 2026'!Y83)</f>
        <v>46181</v>
      </c>
      <c r="AC71" s="685" t="str">
        <f>IF('[1]Data 2026'!Z83="","",'[1]Data 2026'!Z83)</f>
        <v/>
      </c>
      <c r="AD71" s="691">
        <f>IF('[1]Data 2026'!AA83="","",'[1]Data 2026'!AA83)</f>
        <v>250</v>
      </c>
      <c r="AE71" s="691">
        <f>IF('[1]Data 2026'!AB83="","",'[1]Data 2026'!AB83)</f>
        <v>250</v>
      </c>
      <c r="AF71" s="685">
        <f>IF('[1]Data 2026'!AC83="","",'[1]Data 2026'!AC83)</f>
        <v>45823</v>
      </c>
      <c r="AG71" s="685" t="str">
        <f>IF('[1]Data 2026'!AD83="","",'[1]Data 2026'!AD83)</f>
        <v>Ex-Olam</v>
      </c>
      <c r="AH71" s="686">
        <f>IF('[1]Data 2026'!AE83="","",'[1]Data 2026'!AE83)</f>
        <v>10</v>
      </c>
      <c r="AI71" s="685" t="str">
        <f>IF('[1]Data 2026'!AG83="","",'[1]Data 2026'!AG83)</f>
        <v>VALENCY INTERNATIONAL CI</v>
      </c>
      <c r="AJ71" s="685" t="str">
        <f>IF('[1]Data 2026'!AH83="","",'[1]Data 2026'!AH83)</f>
        <v>AFIC</v>
      </c>
      <c r="AK71" s="685" t="str">
        <f>IF('[1]Data 2026'!AI83="","",'[1]Data 2026'!AI83)</f>
        <v>OOCL</v>
      </c>
      <c r="AL71" s="685" t="str">
        <f>IF('[1]Data 2026'!AJ83="","",'[1]Data 2026'!AJ83)</f>
        <v>40FT</v>
      </c>
      <c r="AM71" s="692">
        <f>IF('[1]Data 2026'!AK83="","",'[1]Data 2026'!AK83)</f>
        <v>0.1</v>
      </c>
      <c r="AN71" s="685" t="str">
        <f>IF('[1]Data 2026'!AL83="","",'[1]Data 2026'!AL83)</f>
        <v>(01x250MTS)</v>
      </c>
      <c r="AO71" s="691">
        <f>IF('[1]Data 2026'!AM83="","",'[1]Data 2026'!AM83)</f>
        <v>275</v>
      </c>
      <c r="AP71" s="691" t="str">
        <f t="shared" si="16"/>
        <v/>
      </c>
      <c r="AQ71" s="685" t="str">
        <f>IF('[1]Data 2026'!AO83="","",'[1]Data 2026'!AO83)</f>
        <v/>
      </c>
      <c r="AR71" s="685" t="str">
        <f>IF('[1]Data 2026'!AP83="","",'[1]Data 2026'!AP83)</f>
        <v/>
      </c>
      <c r="AS71" s="685" t="str">
        <f>IF('[1]Data 2026'!AQ83="","",'[1]Data 2026'!AQ83)</f>
        <v/>
      </c>
      <c r="AT71" s="685" t="str">
        <f>IF('[1]Data 2026'!AR83="","",'[1]Data 2026'!AR83)</f>
        <v/>
      </c>
      <c r="AU71" s="685" t="str">
        <f>IF('[1]Data 2026'!AW83="","",'[1]Data 2026'!AW83)</f>
        <v/>
      </c>
      <c r="AV71" s="685" t="str">
        <f>IF('[1]Data 2026'!AX83="","",'[1]Data 2026'!AX83)</f>
        <v/>
      </c>
      <c r="AW71" s="685" t="str">
        <f>IF('[1]Data 2026'!AY83="","",'[1]Data 2026'!AY83)</f>
        <v/>
      </c>
      <c r="AX71" s="685" t="str">
        <f>IF('[1]Data 2026'!AZ83="","",'[1]Data 2026'!AZ83)</f>
        <v/>
      </c>
      <c r="AY71" s="685" t="str">
        <f>IF('[1]Data 2026'!BA83="","",'[1]Data 2026'!BA83)</f>
        <v/>
      </c>
      <c r="AZ71" s="685" t="str">
        <f>IF('[1]Data 2026'!AS83="","",'[1]Data 2026'!AS83)</f>
        <v/>
      </c>
      <c r="BA71" s="685" t="str">
        <f>IF('[1]Data 2026'!AT83="","",'[1]Data 2026'!AT83)</f>
        <v/>
      </c>
      <c r="BB71" s="685" t="str">
        <f>IF('[1]Data 2026'!AU83="","",'[1]Data 2026'!AU83)</f>
        <v/>
      </c>
      <c r="BC71" s="685" t="str">
        <f>IF('[1]Data 2026'!AV83="","",'[1]Data 2026'!AV83)</f>
        <v/>
      </c>
      <c r="BD71" s="685" t="str">
        <f>IF('[1]Data 2026'!AW83="","",'[1]Data 2026'!AW83)</f>
        <v/>
      </c>
      <c r="BE71" s="685" t="str">
        <f>IF('[1]Data 2026'!AX83="","",'[1]Data 2026'!AX83)</f>
        <v/>
      </c>
      <c r="BF71" s="685" t="str">
        <f>IF('[1]Data 2026'!BF83="","",'[1]Data 2026'!BF83)</f>
        <v>VALENCY INTERNATIONAL CI</v>
      </c>
      <c r="BG71" s="685" t="str">
        <f>IF('[1]Data 2026'!BG83="","",'[1]Data 2026'!BG83)</f>
        <v/>
      </c>
      <c r="BH71" s="685" t="str">
        <f>IF('[1]Data 2026'!BH83="","",'[1]Data 2026'!BH83)</f>
        <v/>
      </c>
      <c r="BI71" s="685" t="str">
        <f>IF('[1]Data 2026'!BI83="","",'[1]Data 2026'!BI83)</f>
        <v/>
      </c>
      <c r="BJ71" s="685" t="str">
        <f>IF('[1]Data 2026'!BJ83="","",'[1]Data 2026'!BJ83)</f>
        <v/>
      </c>
      <c r="BK71" s="685" t="str">
        <f>IF('[1]Data 2026'!BK83="","",'[1]Data 2026'!BK83)</f>
        <v/>
      </c>
      <c r="BL71" s="685" t="str">
        <f>IF('[1]Data 2026'!BL83="","",'[1]Data 2026'!BL83)</f>
        <v>AFIC</v>
      </c>
      <c r="BM71" s="685" t="str">
        <f>IF('[1]Data 2026'!BM83="","",'[1]Data 2026'!BM83)</f>
        <v/>
      </c>
      <c r="BN71" s="685" t="str">
        <f>IF('[1]Data 2026'!BN83="","",'[1]Data 2026'!BN83)</f>
        <v/>
      </c>
      <c r="BO71" s="685" t="str">
        <f>IF('[1]Data 2026'!BO83="","",'[1]Data 2026'!BO83)</f>
        <v/>
      </c>
      <c r="BP71" s="685" t="str">
        <f>IF('[1]Data 2026'!BP83="","",'[1]Data 2026'!BP83)</f>
        <v/>
      </c>
      <c r="BQ71" s="685" t="str">
        <f>IF('[1]Data 2026'!BQ83="","",'[1]Data 2026'!BQ83)</f>
        <v/>
      </c>
      <c r="BR71" s="685" t="str">
        <f>IF('[1]Data 2026'!BR83="","",'[1]Data 2026'!BR83)</f>
        <v/>
      </c>
      <c r="BS71" s="685" t="str">
        <f>IF('[1]Data 2026'!BS83="","",'[1]Data 2026'!BS83)</f>
        <v/>
      </c>
      <c r="BT71" s="685" t="str">
        <f>IF('[1]Data 2026'!BV83="","",'[1]Data 2026'!BV83)</f>
        <v>BOA/KTD</v>
      </c>
      <c r="BU71" s="685" t="str">
        <f>IF('[1]Data 2026'!BW83="","",'[1]Data 2026'!BW83)</f>
        <v/>
      </c>
      <c r="BV71" s="685" t="str">
        <f>IF('[1]Data 2026'!BX83="","",'[1]Data 2026'!BX83)</f>
        <v/>
      </c>
      <c r="BW71" s="685" t="str">
        <f>IF('[1]Data 2026'!BY83="","",'[1]Data 2026'!BY83)</f>
        <v/>
      </c>
      <c r="BX71" s="685" t="str">
        <f>IF('[1]Data 2026'!BZ83="","",'[1]Data 2026'!BZ83)</f>
        <v/>
      </c>
      <c r="BY71" s="685" t="str">
        <f>IF('[1]Data 2026'!CA83="","",'[1]Data 2026'!CA83)</f>
        <v>182610-15264</v>
      </c>
      <c r="BZ71" s="685">
        <f>IF('[1]Data 2026'!CB83="","",'[1]Data 2026'!CB83)</f>
        <v>46161</v>
      </c>
      <c r="CA71" s="685" t="str">
        <f>IF('[1]Data 2026'!CC83="","",'[1]Data 2026'!CC83)</f>
        <v>2026-0550</v>
      </c>
      <c r="CB71" s="685">
        <f>IF('[1]Data 2026'!CD83="","",'[1]Data 2026'!CD83)</f>
        <v>46161</v>
      </c>
      <c r="CC71" s="685" t="str">
        <f>IF('[1]Data 2026'!CE83="","",'[1]Data 2026'!CE83)</f>
        <v/>
      </c>
      <c r="CD71" s="685" t="str">
        <f>IF('[1]Data 2026'!CF83="","",'[1]Data 2026'!CF83)</f>
        <v/>
      </c>
      <c r="CE71" s="685" t="str">
        <f>IF('[1]Data 2026'!CG83="","",'[1]Data 2026'!CG83)</f>
        <v/>
      </c>
      <c r="CF71" s="685">
        <f>IF('[1]Data 2026'!CH83="","",'[1]Data 2026'!CH83)</f>
        <v>46161</v>
      </c>
      <c r="CG71" s="685" t="str">
        <f>IF('[1]Data 2026'!CI83="","",'[1]Data 2026'!CI83)</f>
        <v>E16060</v>
      </c>
      <c r="CH71" s="685" t="str">
        <f>IF('[1]Data 2026'!CJ83="","",'[1]Data 2026'!CJ83)</f>
        <v/>
      </c>
      <c r="CI71" s="685" t="str">
        <f>IF('[1]Data 2026'!CK83="","",'[1]Data 2026'!CK83)</f>
        <v/>
      </c>
      <c r="CJ71" s="685" t="str">
        <f>IF('[1]Data 2026'!CM83="","",'[1]Data 2026'!CM83)</f>
        <v/>
      </c>
      <c r="CK71" s="685" t="str">
        <f>IF('[1]Data 2026'!CN83="","",'[1]Data 2026'!CN83)</f>
        <v>Sugmaran</v>
      </c>
      <c r="CL71" s="691"/>
      <c r="CM71" s="691" t="str">
        <f>IF('[1]Data 2026'!CP83="","",'[1]Data 2026'!CP83)</f>
        <v/>
      </c>
      <c r="CN71" s="691"/>
      <c r="CO71" s="693"/>
      <c r="CP71" s="693"/>
      <c r="CQ71" s="693"/>
      <c r="CR71" s="686">
        <f t="shared" si="17"/>
        <v>15</v>
      </c>
      <c r="CS71" s="686">
        <f t="shared" si="17"/>
        <v>0</v>
      </c>
      <c r="CT71" s="686" t="str">
        <f t="shared" si="17"/>
        <v/>
      </c>
      <c r="CU71" s="686" t="str">
        <f t="shared" si="18"/>
        <v/>
      </c>
      <c r="CV71" s="686" t="str">
        <f t="shared" si="19"/>
        <v/>
      </c>
      <c r="CW71" s="685" t="str">
        <f t="shared" si="23"/>
        <v/>
      </c>
      <c r="CX71" s="685" t="str">
        <f t="shared" si="24"/>
        <v/>
      </c>
      <c r="CY71" s="693">
        <f t="shared" ca="1" si="20"/>
        <v>0</v>
      </c>
      <c r="CZ71" s="693" t="str">
        <f t="shared" si="21"/>
        <v/>
      </c>
      <c r="DB71"/>
      <c r="DC71"/>
    </row>
    <row r="72" spans="1:107" s="694" customFormat="1">
      <c r="A72" s="682" t="str">
        <f t="shared" si="13"/>
        <v>E. STUFFED, GATE IN AWAITED</v>
      </c>
      <c r="B72" s="699" t="s">
        <v>1204</v>
      </c>
      <c r="C72" s="684" t="str">
        <f t="shared" si="14"/>
        <v>CLOSED POSITION</v>
      </c>
      <c r="D72" s="685" t="str">
        <f t="shared" si="22"/>
        <v/>
      </c>
      <c r="E72" s="685" t="str">
        <f t="shared" si="15"/>
        <v/>
      </c>
      <c r="F72" s="686">
        <f>IF('[1]Data 2026'!D84="","",'[1]Data 2026'!D84)</f>
        <v>46</v>
      </c>
      <c r="G72" s="686">
        <f>IF('[1]Data 2026'!E84="","",'[1]Data 2026'!E84)</f>
        <v>200</v>
      </c>
      <c r="H72" s="687">
        <f>IF('[1]Data 2026'!H84="","",'[1]Data 2026'!H84)</f>
        <v>32016278</v>
      </c>
      <c r="I72" s="688">
        <f>IF('[1]Data 2026'!AA84="","",'[1]Data 2026'!AA84)</f>
        <v>300</v>
      </c>
      <c r="J72" s="685" t="str">
        <f>IF('[1]Data 2026'!K84="","",'[1]Data 2026'!K84)</f>
        <v>May - 26</v>
      </c>
      <c r="K72" s="685">
        <v>46173</v>
      </c>
      <c r="L72" s="685" t="str">
        <f>IF('[1]Data 2026'!L84="","",'[1]Data 2026'!L84)</f>
        <v>VALENCY CI</v>
      </c>
      <c r="M72" s="685" t="str">
        <f>IF('[1]Data 2026'!M84="","",'[1]Data 2026'!M84)</f>
        <v xml:space="preserve">RED RIVER FOODS </v>
      </c>
      <c r="N72" s="685" t="s">
        <v>1203</v>
      </c>
      <c r="O72" s="689">
        <f>IF('[1]Data 2026'!N84="","",'[1]Data 2026'!N84)</f>
        <v>4055146960</v>
      </c>
      <c r="P72" s="690" t="str">
        <f>IF('[1]Data 2026'!O84="","",'[1]Data 2026'!O84)</f>
        <v/>
      </c>
      <c r="Q72" s="685" t="str">
        <f>IF('[1]Data 2026'!P84="","",'[1]Data 2026'!P84)</f>
        <v/>
      </c>
      <c r="R72" s="685" t="str">
        <f>IF('[1]Data 2026'!Q84="","",'[1]Data 2026'!Q84)</f>
        <v>ABJ</v>
      </c>
      <c r="S72" s="685" t="s">
        <v>347</v>
      </c>
      <c r="T72" s="685" t="str">
        <f>IF('[1]Data 2026'!R84="","",'[1]Data 2026'!R84)</f>
        <v>Qui Nhon, Vietnam</v>
      </c>
      <c r="U72" s="685" t="str">
        <f>IF('[1]Data 2026'!S84="","",'[1]Data 2026'!S84)</f>
        <v>NAVIOS NERINE</v>
      </c>
      <c r="V72" s="685">
        <f>IF('[1]Data 2026'!T84="","",'[1]Data 2026'!T84)</f>
        <v>46146</v>
      </c>
      <c r="W72" s="685">
        <f>IF('[1]Data 2026'!U84="","",'[1]Data 2026'!U84)</f>
        <v>46161</v>
      </c>
      <c r="X72" s="685">
        <f>IF('[1]Data 2026'!V84="","",'[1]Data 2026'!V84)</f>
        <v>46162</v>
      </c>
      <c r="Y72" s="685" t="str">
        <f>IF('[1]Data 2026'!W84="","",'[1]Data 2026'!W84)</f>
        <v/>
      </c>
      <c r="Z72" s="685" t="str">
        <f>IF('[1]Data 2026'!X84="","",'[1]Data 2026'!X84)</f>
        <v/>
      </c>
      <c r="AA72" s="685"/>
      <c r="AB72" s="685">
        <f>IF('[1]Data 2026'!Y84="","",'[1]Data 2026'!Y84)</f>
        <v>46181</v>
      </c>
      <c r="AC72" s="685" t="str">
        <f>IF('[1]Data 2026'!Z84="","",'[1]Data 2026'!Z84)</f>
        <v/>
      </c>
      <c r="AD72" s="691">
        <f>IF('[1]Data 2026'!AA84="","",'[1]Data 2026'!AA84)</f>
        <v>300</v>
      </c>
      <c r="AE72" s="691">
        <f>IF('[1]Data 2026'!AB84="","",'[1]Data 2026'!AB84)</f>
        <v>300</v>
      </c>
      <c r="AF72" s="685">
        <f>IF('[1]Data 2026'!AC84="","",'[1]Data 2026'!AC84)</f>
        <v>45808</v>
      </c>
      <c r="AG72" s="685" t="str">
        <f>IF('[1]Data 2026'!AD84="","",'[1]Data 2026'!AD84)</f>
        <v>Ex-Olam</v>
      </c>
      <c r="AH72" s="686">
        <f>IF('[1]Data 2026'!AE84="","",'[1]Data 2026'!AE84)</f>
        <v>12</v>
      </c>
      <c r="AI72" s="685" t="str">
        <f>IF('[1]Data 2026'!AG84="","",'[1]Data 2026'!AG84)</f>
        <v>VALENCY INTERNATIONAL CI</v>
      </c>
      <c r="AJ72" s="685" t="str">
        <f>IF('[1]Data 2026'!AH84="","",'[1]Data 2026'!AH84)</f>
        <v>AFIC</v>
      </c>
      <c r="AK72" s="685" t="str">
        <f>IF('[1]Data 2026'!AI84="","",'[1]Data 2026'!AI84)</f>
        <v>OOCL</v>
      </c>
      <c r="AL72" s="685" t="str">
        <f>IF('[1]Data 2026'!AJ84="","",'[1]Data 2026'!AJ84)</f>
        <v>40FT</v>
      </c>
      <c r="AM72" s="692">
        <f>IF('[1]Data 2026'!AK84="","",'[1]Data 2026'!AK84)</f>
        <v>0.1</v>
      </c>
      <c r="AN72" s="685" t="str">
        <f>IF('[1]Data 2026'!AL84="","",'[1]Data 2026'!AL84)</f>
        <v>(01x250MTS)</v>
      </c>
      <c r="AO72" s="691">
        <f>IF('[1]Data 2026'!AM84="","",'[1]Data 2026'!AM84)</f>
        <v>330</v>
      </c>
      <c r="AP72" s="691" t="str">
        <f t="shared" si="16"/>
        <v/>
      </c>
      <c r="AQ72" s="685" t="str">
        <f>IF('[1]Data 2026'!AO84="","",'[1]Data 2026'!AO84)</f>
        <v/>
      </c>
      <c r="AR72" s="685" t="str">
        <f>IF('[1]Data 2026'!AP84="","",'[1]Data 2026'!AP84)</f>
        <v/>
      </c>
      <c r="AS72" s="685" t="str">
        <f>IF('[1]Data 2026'!AQ84="","",'[1]Data 2026'!AQ84)</f>
        <v/>
      </c>
      <c r="AT72" s="685" t="str">
        <f>IF('[1]Data 2026'!AR84="","",'[1]Data 2026'!AR84)</f>
        <v/>
      </c>
      <c r="AU72" s="685" t="str">
        <f>IF('[1]Data 2026'!AW84="","",'[1]Data 2026'!AW84)</f>
        <v/>
      </c>
      <c r="AV72" s="685" t="str">
        <f>IF('[1]Data 2026'!AX84="","",'[1]Data 2026'!AX84)</f>
        <v/>
      </c>
      <c r="AW72" s="685" t="str">
        <f>IF('[1]Data 2026'!AY84="","",'[1]Data 2026'!AY84)</f>
        <v/>
      </c>
      <c r="AX72" s="685" t="str">
        <f>IF('[1]Data 2026'!AZ84="","",'[1]Data 2026'!AZ84)</f>
        <v/>
      </c>
      <c r="AY72" s="685" t="str">
        <f>IF('[1]Data 2026'!BA84="","",'[1]Data 2026'!BA84)</f>
        <v/>
      </c>
      <c r="AZ72" s="685" t="str">
        <f>IF('[1]Data 2026'!AS84="","",'[1]Data 2026'!AS84)</f>
        <v/>
      </c>
      <c r="BA72" s="685" t="str">
        <f>IF('[1]Data 2026'!AT84="","",'[1]Data 2026'!AT84)</f>
        <v/>
      </c>
      <c r="BB72" s="685" t="str">
        <f>IF('[1]Data 2026'!AU84="","",'[1]Data 2026'!AU84)</f>
        <v/>
      </c>
      <c r="BC72" s="685" t="str">
        <f>IF('[1]Data 2026'!AV84="","",'[1]Data 2026'!AV84)</f>
        <v/>
      </c>
      <c r="BD72" s="685" t="str">
        <f>IF('[1]Data 2026'!AW84="","",'[1]Data 2026'!AW84)</f>
        <v/>
      </c>
      <c r="BE72" s="685" t="str">
        <f>IF('[1]Data 2026'!AX84="","",'[1]Data 2026'!AX84)</f>
        <v/>
      </c>
      <c r="BF72" s="685" t="str">
        <f>IF('[1]Data 2026'!BF84="","",'[1]Data 2026'!BF84)</f>
        <v>VALENCY INTERNATIONAL CI</v>
      </c>
      <c r="BG72" s="685" t="str">
        <f>IF('[1]Data 2026'!BG84="","",'[1]Data 2026'!BG84)</f>
        <v/>
      </c>
      <c r="BH72" s="685" t="str">
        <f>IF('[1]Data 2026'!BH84="","",'[1]Data 2026'!BH84)</f>
        <v/>
      </c>
      <c r="BI72" s="685" t="str">
        <f>IF('[1]Data 2026'!BI84="","",'[1]Data 2026'!BI84)</f>
        <v/>
      </c>
      <c r="BJ72" s="685" t="str">
        <f>IF('[1]Data 2026'!BJ84="","",'[1]Data 2026'!BJ84)</f>
        <v/>
      </c>
      <c r="BK72" s="685" t="str">
        <f>IF('[1]Data 2026'!BK84="","",'[1]Data 2026'!BK84)</f>
        <v/>
      </c>
      <c r="BL72" s="685" t="str">
        <f>IF('[1]Data 2026'!BL84="","",'[1]Data 2026'!BL84)</f>
        <v>AFIC</v>
      </c>
      <c r="BM72" s="685" t="str">
        <f>IF('[1]Data 2026'!BM84="","",'[1]Data 2026'!BM84)</f>
        <v/>
      </c>
      <c r="BN72" s="685" t="str">
        <f>IF('[1]Data 2026'!BN84="","",'[1]Data 2026'!BN84)</f>
        <v/>
      </c>
      <c r="BO72" s="685" t="str">
        <f>IF('[1]Data 2026'!BO84="","",'[1]Data 2026'!BO84)</f>
        <v/>
      </c>
      <c r="BP72" s="685" t="str">
        <f>IF('[1]Data 2026'!BP84="","",'[1]Data 2026'!BP84)</f>
        <v/>
      </c>
      <c r="BQ72" s="685" t="str">
        <f>IF('[1]Data 2026'!BQ84="","",'[1]Data 2026'!BQ84)</f>
        <v/>
      </c>
      <c r="BR72" s="685" t="str">
        <f>IF('[1]Data 2026'!BR84="","",'[1]Data 2026'!BR84)</f>
        <v/>
      </c>
      <c r="BS72" s="685" t="str">
        <f>IF('[1]Data 2026'!BS84="","",'[1]Data 2026'!BS84)</f>
        <v/>
      </c>
      <c r="BT72" s="685" t="str">
        <f>IF('[1]Data 2026'!BV84="","",'[1]Data 2026'!BV84)</f>
        <v>ABSA/CMI</v>
      </c>
      <c r="BU72" s="685" t="str">
        <f>IF('[1]Data 2026'!BW84="","",'[1]Data 2026'!BW84)</f>
        <v/>
      </c>
      <c r="BV72" s="685" t="str">
        <f>IF('[1]Data 2026'!BX84="","",'[1]Data 2026'!BX84)</f>
        <v/>
      </c>
      <c r="BW72" s="685" t="str">
        <f>IF('[1]Data 2026'!BY84="","",'[1]Data 2026'!BY84)</f>
        <v/>
      </c>
      <c r="BX72" s="685" t="str">
        <f>IF('[1]Data 2026'!BZ84="","",'[1]Data 2026'!BZ84)</f>
        <v/>
      </c>
      <c r="BY72" s="685" t="str">
        <f>IF('[1]Data 2026'!CA84="","",'[1]Data 2026'!CA84)</f>
        <v>182610-15263</v>
      </c>
      <c r="BZ72" s="685">
        <f>IF('[1]Data 2026'!CB84="","",'[1]Data 2026'!CB84)</f>
        <v>46161</v>
      </c>
      <c r="CA72" s="685" t="str">
        <f>IF('[1]Data 2026'!CC84="","",'[1]Data 2026'!CC84)</f>
        <v>2026-0551</v>
      </c>
      <c r="CB72" s="685">
        <f>IF('[1]Data 2026'!CD84="","",'[1]Data 2026'!CD84)</f>
        <v>46161</v>
      </c>
      <c r="CC72" s="685" t="str">
        <f>IF('[1]Data 2026'!CE84="","",'[1]Data 2026'!CE84)</f>
        <v/>
      </c>
      <c r="CD72" s="685" t="str">
        <f>IF('[1]Data 2026'!CF84="","",'[1]Data 2026'!CF84)</f>
        <v/>
      </c>
      <c r="CE72" s="685" t="str">
        <f>IF('[1]Data 2026'!CG84="","",'[1]Data 2026'!CG84)</f>
        <v/>
      </c>
      <c r="CF72" s="685">
        <f>IF('[1]Data 2026'!CH84="","",'[1]Data 2026'!CH84)</f>
        <v>46155</v>
      </c>
      <c r="CG72" s="685" t="str">
        <f>IF('[1]Data 2026'!CI84="","",'[1]Data 2026'!CI84)</f>
        <v>E15378</v>
      </c>
      <c r="CH72" s="685" t="str">
        <f>IF('[1]Data 2026'!CJ84="","",'[1]Data 2026'!CJ84)</f>
        <v/>
      </c>
      <c r="CI72" s="685" t="str">
        <f>IF('[1]Data 2026'!CK84="","",'[1]Data 2026'!CK84)</f>
        <v/>
      </c>
      <c r="CJ72" s="685" t="str">
        <f>IF('[1]Data 2026'!CM84="","",'[1]Data 2026'!CM84)</f>
        <v/>
      </c>
      <c r="CK72" s="685" t="str">
        <f>IF('[1]Data 2026'!CN84="","",'[1]Data 2026'!CN84)</f>
        <v>Sugmaran</v>
      </c>
      <c r="CL72" s="691"/>
      <c r="CM72" s="691" t="str">
        <f>IF('[1]Data 2026'!CP84="","",'[1]Data 2026'!CP84)</f>
        <v/>
      </c>
      <c r="CN72" s="691"/>
      <c r="CO72" s="693"/>
      <c r="CP72" s="693"/>
      <c r="CQ72" s="693"/>
      <c r="CR72" s="686">
        <f t="shared" si="17"/>
        <v>15</v>
      </c>
      <c r="CS72" s="686">
        <f t="shared" si="17"/>
        <v>1</v>
      </c>
      <c r="CT72" s="686" t="str">
        <f t="shared" si="17"/>
        <v/>
      </c>
      <c r="CU72" s="686" t="str">
        <f t="shared" si="18"/>
        <v/>
      </c>
      <c r="CV72" s="686" t="str">
        <f t="shared" si="19"/>
        <v/>
      </c>
      <c r="CW72" s="685" t="str">
        <f t="shared" si="23"/>
        <v/>
      </c>
      <c r="CX72" s="685" t="str">
        <f t="shared" si="24"/>
        <v/>
      </c>
      <c r="CY72" s="693">
        <f t="shared" ca="1" si="20"/>
        <v>70</v>
      </c>
      <c r="CZ72" s="693" t="str">
        <f t="shared" si="21"/>
        <v/>
      </c>
      <c r="DB72"/>
      <c r="DC72"/>
    </row>
    <row r="73" spans="1:107" s="694" customFormat="1">
      <c r="A73" s="682" t="str">
        <f t="shared" si="13"/>
        <v>E. STUFFED, GATE IN AWAITED</v>
      </c>
      <c r="B73" s="699" t="s">
        <v>1205</v>
      </c>
      <c r="C73" s="684" t="str">
        <f t="shared" si="14"/>
        <v>CLOSED POSITION</v>
      </c>
      <c r="D73" s="685" t="str">
        <f t="shared" si="22"/>
        <v/>
      </c>
      <c r="E73" s="685" t="str">
        <f t="shared" si="15"/>
        <v/>
      </c>
      <c r="F73" s="686">
        <f>IF('[1]Data 2026'!D85="","",'[1]Data 2026'!D85)</f>
        <v>45</v>
      </c>
      <c r="G73" s="686">
        <f>IF('[1]Data 2026'!E85="","",'[1]Data 2026'!E85)</f>
        <v>200</v>
      </c>
      <c r="H73" s="687" t="str">
        <f>IF('[1]Data 2026'!H85="","",'[1]Data 2026'!H85)</f>
        <v>32016315-1</v>
      </c>
      <c r="I73" s="688">
        <f>IF('[1]Data 2026'!AA85="","",'[1]Data 2026'!AA85)</f>
        <v>250</v>
      </c>
      <c r="J73" s="685" t="str">
        <f>IF('[1]Data 2026'!K85="","",'[1]Data 2026'!K85)</f>
        <v>MAY-15th JUNE 2026</v>
      </c>
      <c r="K73" s="685">
        <v>46203</v>
      </c>
      <c r="L73" s="685" t="str">
        <f>IF('[1]Data 2026'!L85="","",'[1]Data 2026'!L85)</f>
        <v>VALENCY CI</v>
      </c>
      <c r="M73" s="685" t="str">
        <f>IF('[1]Data 2026'!M85="","",'[1]Data 2026'!M85)</f>
        <v>VIET PHI AGRICULTURE</v>
      </c>
      <c r="N73" s="685" t="s">
        <v>1194</v>
      </c>
      <c r="O73" s="689">
        <f>IF('[1]Data 2026'!N85="","",'[1]Data 2026'!N85)</f>
        <v>4055159320</v>
      </c>
      <c r="P73" s="690" t="str">
        <f>IF('[1]Data 2026'!O85="","",'[1]Data 2026'!O85)</f>
        <v/>
      </c>
      <c r="Q73" s="685" t="str">
        <f>IF('[1]Data 2026'!P85="","",'[1]Data 2026'!P85)</f>
        <v/>
      </c>
      <c r="R73" s="685" t="str">
        <f>IF('[1]Data 2026'!Q85="","",'[1]Data 2026'!Q85)</f>
        <v>ABJ</v>
      </c>
      <c r="S73" s="685" t="s">
        <v>347</v>
      </c>
      <c r="T73" s="685" t="str">
        <f>IF('[1]Data 2026'!R85="","",'[1]Data 2026'!R85)</f>
        <v>HCMC, VIETNAM</v>
      </c>
      <c r="U73" s="685" t="str">
        <f>IF('[1]Data 2026'!S85="","",'[1]Data 2026'!S85)</f>
        <v>NORTHERN MAJESTIC</v>
      </c>
      <c r="V73" s="685">
        <f>IF('[1]Data 2026'!T85="","",'[1]Data 2026'!T85)</f>
        <v>46157</v>
      </c>
      <c r="W73" s="685">
        <f>IF('[1]Data 2026'!U85="","",'[1]Data 2026'!U85)</f>
        <v>46158</v>
      </c>
      <c r="X73" s="685">
        <f>IF('[1]Data 2026'!V85="","",'[1]Data 2026'!V85)</f>
        <v>46158</v>
      </c>
      <c r="Y73" s="685" t="str">
        <f>IF('[1]Data 2026'!W85="","",'[1]Data 2026'!W85)</f>
        <v/>
      </c>
      <c r="Z73" s="685" t="str">
        <f>IF('[1]Data 2026'!X85="","",'[1]Data 2026'!X85)</f>
        <v/>
      </c>
      <c r="AA73" s="685"/>
      <c r="AB73" s="685">
        <f>IF('[1]Data 2026'!Y85="","",'[1]Data 2026'!Y85)</f>
        <v>46181</v>
      </c>
      <c r="AC73" s="685" t="str">
        <f>IF('[1]Data 2026'!Z85="","",'[1]Data 2026'!Z85)</f>
        <v/>
      </c>
      <c r="AD73" s="691">
        <f>IF('[1]Data 2026'!AA85="","",'[1]Data 2026'!AA85)</f>
        <v>250</v>
      </c>
      <c r="AE73" s="691">
        <f>IF('[1]Data 2026'!AB85="","",'[1]Data 2026'!AB85)</f>
        <v>250</v>
      </c>
      <c r="AF73" s="685">
        <f>IF('[1]Data 2026'!AC85="","",'[1]Data 2026'!AC85)</f>
        <v>45823</v>
      </c>
      <c r="AG73" s="685" t="str">
        <f>IF('[1]Data 2026'!AD85="","",'[1]Data 2026'!AD85)</f>
        <v>PK34</v>
      </c>
      <c r="AH73" s="686">
        <f>IF('[1]Data 2026'!AE85="","",'[1]Data 2026'!AE85)</f>
        <v>10</v>
      </c>
      <c r="AI73" s="685" t="str">
        <f>IF('[1]Data 2026'!AG85="","",'[1]Data 2026'!AG85)</f>
        <v>VALENCY INTERNATIONAL CI</v>
      </c>
      <c r="AJ73" s="685" t="str">
        <f>IF('[1]Data 2026'!AH85="","",'[1]Data 2026'!AH85)</f>
        <v>AFIC</v>
      </c>
      <c r="AK73" s="685" t="str">
        <f>IF('[1]Data 2026'!AI85="","",'[1]Data 2026'!AI85)</f>
        <v>OOCL</v>
      </c>
      <c r="AL73" s="685" t="str">
        <f>IF('[1]Data 2026'!AJ85="","",'[1]Data 2026'!AJ85)</f>
        <v>40FT</v>
      </c>
      <c r="AM73" s="692">
        <f>IF('[1]Data 2026'!AK85="","",'[1]Data 2026'!AK85)</f>
        <v>0.1</v>
      </c>
      <c r="AN73" s="685" t="str">
        <f>IF('[1]Data 2026'!AL85="","",'[1]Data 2026'!AL85)</f>
        <v>(01x250MTS)</v>
      </c>
      <c r="AO73" s="691">
        <f>IF('[1]Data 2026'!AM85="","",'[1]Data 2026'!AM85)</f>
        <v>275</v>
      </c>
      <c r="AP73" s="691" t="str">
        <f t="shared" si="16"/>
        <v/>
      </c>
      <c r="AQ73" s="685" t="str">
        <f>IF('[1]Data 2026'!AO85="","",'[1]Data 2026'!AO85)</f>
        <v/>
      </c>
      <c r="AR73" s="685" t="str">
        <f>IF('[1]Data 2026'!AP85="","",'[1]Data 2026'!AP85)</f>
        <v/>
      </c>
      <c r="AS73" s="685" t="str">
        <f>IF('[1]Data 2026'!AQ85="","",'[1]Data 2026'!AQ85)</f>
        <v/>
      </c>
      <c r="AT73" s="685" t="str">
        <f>IF('[1]Data 2026'!AR85="","",'[1]Data 2026'!AR85)</f>
        <v/>
      </c>
      <c r="AU73" s="685" t="str">
        <f>IF('[1]Data 2026'!AW85="","",'[1]Data 2026'!AW85)</f>
        <v/>
      </c>
      <c r="AV73" s="685" t="str">
        <f>IF('[1]Data 2026'!AX85="","",'[1]Data 2026'!AX85)</f>
        <v/>
      </c>
      <c r="AW73" s="685" t="str">
        <f>IF('[1]Data 2026'!AY85="","",'[1]Data 2026'!AY85)</f>
        <v/>
      </c>
      <c r="AX73" s="685" t="str">
        <f>IF('[1]Data 2026'!AZ85="","",'[1]Data 2026'!AZ85)</f>
        <v/>
      </c>
      <c r="AY73" s="685" t="str">
        <f>IF('[1]Data 2026'!BA85="","",'[1]Data 2026'!BA85)</f>
        <v/>
      </c>
      <c r="AZ73" s="685" t="str">
        <f>IF('[1]Data 2026'!AS85="","",'[1]Data 2026'!AS85)</f>
        <v/>
      </c>
      <c r="BA73" s="685" t="str">
        <f>IF('[1]Data 2026'!AT85="","",'[1]Data 2026'!AT85)</f>
        <v/>
      </c>
      <c r="BB73" s="685" t="str">
        <f>IF('[1]Data 2026'!AU85="","",'[1]Data 2026'!AU85)</f>
        <v/>
      </c>
      <c r="BC73" s="685" t="str">
        <f>IF('[1]Data 2026'!AV85="","",'[1]Data 2026'!AV85)</f>
        <v/>
      </c>
      <c r="BD73" s="685" t="str">
        <f>IF('[1]Data 2026'!AW85="","",'[1]Data 2026'!AW85)</f>
        <v/>
      </c>
      <c r="BE73" s="685" t="str">
        <f>IF('[1]Data 2026'!AX85="","",'[1]Data 2026'!AX85)</f>
        <v/>
      </c>
      <c r="BF73" s="685" t="str">
        <f>IF('[1]Data 2026'!BF85="","",'[1]Data 2026'!BF85)</f>
        <v>VALENCY INTERNATIONAL CI</v>
      </c>
      <c r="BG73" s="685" t="str">
        <f>IF('[1]Data 2026'!BG85="","",'[1]Data 2026'!BG85)</f>
        <v/>
      </c>
      <c r="BH73" s="685" t="str">
        <f>IF('[1]Data 2026'!BH85="","",'[1]Data 2026'!BH85)</f>
        <v/>
      </c>
      <c r="BI73" s="685" t="str">
        <f>IF('[1]Data 2026'!BI85="","",'[1]Data 2026'!BI85)</f>
        <v/>
      </c>
      <c r="BJ73" s="685" t="str">
        <f>IF('[1]Data 2026'!BJ85="","",'[1]Data 2026'!BJ85)</f>
        <v/>
      </c>
      <c r="BK73" s="685" t="str">
        <f>IF('[1]Data 2026'!BK85="","",'[1]Data 2026'!BK85)</f>
        <v/>
      </c>
      <c r="BL73" s="685" t="str">
        <f>IF('[1]Data 2026'!BL85="","",'[1]Data 2026'!BL85)</f>
        <v>AFIC</v>
      </c>
      <c r="BM73" s="685" t="str">
        <f>IF('[1]Data 2026'!BM85="","",'[1]Data 2026'!BM85)</f>
        <v/>
      </c>
      <c r="BN73" s="685" t="str">
        <f>IF('[1]Data 2026'!BN85="","",'[1]Data 2026'!BN85)</f>
        <v/>
      </c>
      <c r="BO73" s="685" t="str">
        <f>IF('[1]Data 2026'!BO85="","",'[1]Data 2026'!BO85)</f>
        <v/>
      </c>
      <c r="BP73" s="685" t="str">
        <f>IF('[1]Data 2026'!BP85="","",'[1]Data 2026'!BP85)</f>
        <v/>
      </c>
      <c r="BQ73" s="685" t="str">
        <f>IF('[1]Data 2026'!BQ85="","",'[1]Data 2026'!BQ85)</f>
        <v/>
      </c>
      <c r="BR73" s="685" t="str">
        <f>IF('[1]Data 2026'!BR85="","",'[1]Data 2026'!BR85)</f>
        <v/>
      </c>
      <c r="BS73" s="685" t="str">
        <f>IF('[1]Data 2026'!BS85="","",'[1]Data 2026'!BS85)</f>
        <v/>
      </c>
      <c r="BT73" s="685" t="str">
        <f>IF('[1]Data 2026'!BV85="","",'[1]Data 2026'!BV85)</f>
        <v>RABO/STEINWEG</v>
      </c>
      <c r="BU73" s="685" t="str">
        <f>IF('[1]Data 2026'!BW85="","",'[1]Data 2026'!BW85)</f>
        <v/>
      </c>
      <c r="BV73" s="685" t="str">
        <f>IF('[1]Data 2026'!BX85="","",'[1]Data 2026'!BX85)</f>
        <v/>
      </c>
      <c r="BW73" s="685" t="str">
        <f>IF('[1]Data 2026'!BY85="","",'[1]Data 2026'!BY85)</f>
        <v/>
      </c>
      <c r="BX73" s="685" t="str">
        <f>IF('[1]Data 2026'!BZ85="","",'[1]Data 2026'!BZ85)</f>
        <v/>
      </c>
      <c r="BY73" s="685" t="str">
        <f>IF('[1]Data 2026'!CA85="","",'[1]Data 2026'!CA85)</f>
        <v>182610-15322</v>
      </c>
      <c r="BZ73" s="685">
        <f>IF('[1]Data 2026'!CB85="","",'[1]Data 2026'!CB85)</f>
        <v>46168</v>
      </c>
      <c r="CA73" s="685" t="str">
        <f>IF('[1]Data 2026'!CC85="","",'[1]Data 2026'!CC85)</f>
        <v>00634</v>
      </c>
      <c r="CB73" s="685">
        <f>IF('[1]Data 2026'!CD85="","",'[1]Data 2026'!CD85)</f>
        <v>46168</v>
      </c>
      <c r="CC73" s="685" t="str">
        <f>IF('[1]Data 2026'!CE85="","",'[1]Data 2026'!CE85)</f>
        <v/>
      </c>
      <c r="CD73" s="685" t="str">
        <f>IF('[1]Data 2026'!CF85="","",'[1]Data 2026'!CF85)</f>
        <v/>
      </c>
      <c r="CE73" s="685" t="str">
        <f>IF('[1]Data 2026'!CG85="","",'[1]Data 2026'!CG85)</f>
        <v/>
      </c>
      <c r="CF73" s="685" t="str">
        <f>IF('[1]Data 2026'!CH85="","",'[1]Data 2026'!CH85)</f>
        <v/>
      </c>
      <c r="CG73" s="685" t="str">
        <f>IF('[1]Data 2026'!CI85="","",'[1]Data 2026'!CI85)</f>
        <v/>
      </c>
      <c r="CH73" s="685" t="str">
        <f>IF('[1]Data 2026'!CJ85="","",'[1]Data 2026'!CJ85)</f>
        <v/>
      </c>
      <c r="CI73" s="685" t="str">
        <f>IF('[1]Data 2026'!CK85="","",'[1]Data 2026'!CK85)</f>
        <v/>
      </c>
      <c r="CJ73" s="685" t="str">
        <f>IF('[1]Data 2026'!CM85="","",'[1]Data 2026'!CM85)</f>
        <v/>
      </c>
      <c r="CK73" s="685" t="str">
        <f>IF('[1]Data 2026'!CN85="","",'[1]Data 2026'!CN85)</f>
        <v/>
      </c>
      <c r="CL73" s="691"/>
      <c r="CM73" s="691" t="str">
        <f>IF('[1]Data 2026'!CP85="","",'[1]Data 2026'!CP85)</f>
        <v/>
      </c>
      <c r="CN73" s="691"/>
      <c r="CO73" s="693"/>
      <c r="CP73" s="693"/>
      <c r="CQ73" s="693"/>
      <c r="CR73" s="686">
        <f t="shared" si="17"/>
        <v>1</v>
      </c>
      <c r="CS73" s="686">
        <f t="shared" si="17"/>
        <v>0</v>
      </c>
      <c r="CT73" s="686" t="str">
        <f t="shared" si="17"/>
        <v/>
      </c>
      <c r="CU73" s="686" t="str">
        <f t="shared" si="18"/>
        <v/>
      </c>
      <c r="CV73" s="686" t="str">
        <f t="shared" si="19"/>
        <v/>
      </c>
      <c r="CW73" s="685" t="str">
        <f t="shared" si="23"/>
        <v/>
      </c>
      <c r="CX73" s="685" t="str">
        <f t="shared" si="24"/>
        <v/>
      </c>
      <c r="CY73" s="693">
        <f t="shared" ca="1" si="20"/>
        <v>0</v>
      </c>
      <c r="CZ73" s="693" t="str">
        <f t="shared" si="21"/>
        <v/>
      </c>
      <c r="DB73"/>
      <c r="DC73"/>
    </row>
    <row r="74" spans="1:107" s="694" customFormat="1">
      <c r="A74" s="682" t="str">
        <f t="shared" si="13"/>
        <v>E. STUFFED, GATE IN AWAITED</v>
      </c>
      <c r="B74" s="699" t="s">
        <v>1205</v>
      </c>
      <c r="C74" s="684" t="str">
        <f t="shared" si="14"/>
        <v>CLOSED POSITION</v>
      </c>
      <c r="D74" s="685" t="str">
        <f t="shared" si="22"/>
        <v/>
      </c>
      <c r="E74" s="685" t="str">
        <f t="shared" si="15"/>
        <v/>
      </c>
      <c r="F74" s="686">
        <f>IF('[1]Data 2026'!D86="","",'[1]Data 2026'!D86)</f>
        <v>46</v>
      </c>
      <c r="G74" s="686">
        <f>IF('[1]Data 2026'!E86="","",'[1]Data 2026'!E86)</f>
        <v>200</v>
      </c>
      <c r="H74" s="687" t="str">
        <f>IF('[1]Data 2026'!H86="","",'[1]Data 2026'!H86)</f>
        <v>32016316-3</v>
      </c>
      <c r="I74" s="688">
        <f>IF('[1]Data 2026'!AA86="","",'[1]Data 2026'!AA86)</f>
        <v>250</v>
      </c>
      <c r="J74" s="685" t="str">
        <f>IF('[1]Data 2026'!K86="","",'[1]Data 2026'!K86)</f>
        <v>MAY-15th JUNE 2026</v>
      </c>
      <c r="K74" s="685">
        <v>46203</v>
      </c>
      <c r="L74" s="685" t="str">
        <f>IF('[1]Data 2026'!L86="","",'[1]Data 2026'!L86)</f>
        <v>VALENCY CI</v>
      </c>
      <c r="M74" s="685" t="str">
        <f>IF('[1]Data 2026'!M86="","",'[1]Data 2026'!M86)</f>
        <v>VIET PHI AGRICULTURE</v>
      </c>
      <c r="N74" s="685" t="s">
        <v>1194</v>
      </c>
      <c r="O74" s="689">
        <f>IF('[1]Data 2026'!N86="","",'[1]Data 2026'!N86)</f>
        <v>4055159310</v>
      </c>
      <c r="P74" s="690" t="str">
        <f>IF('[1]Data 2026'!O86="","",'[1]Data 2026'!O86)</f>
        <v/>
      </c>
      <c r="Q74" s="685" t="str">
        <f>IF('[1]Data 2026'!P86="","",'[1]Data 2026'!P86)</f>
        <v/>
      </c>
      <c r="R74" s="685" t="str">
        <f>IF('[1]Data 2026'!Q86="","",'[1]Data 2026'!Q86)</f>
        <v>ABJ</v>
      </c>
      <c r="S74" s="685" t="s">
        <v>347</v>
      </c>
      <c r="T74" s="685" t="str">
        <f>IF('[1]Data 2026'!R86="","",'[1]Data 2026'!R86)</f>
        <v>HCMC, VIETNAM</v>
      </c>
      <c r="U74" s="685" t="str">
        <f>IF('[1]Data 2026'!S86="","",'[1]Data 2026'!S86)</f>
        <v>NORTHERN MAJESTIC</v>
      </c>
      <c r="V74" s="685">
        <f>IF('[1]Data 2026'!T86="","",'[1]Data 2026'!T86)</f>
        <v>46157</v>
      </c>
      <c r="W74" s="685">
        <f>IF('[1]Data 2026'!U86="","",'[1]Data 2026'!U86)</f>
        <v>46158</v>
      </c>
      <c r="X74" s="685">
        <f>IF('[1]Data 2026'!V86="","",'[1]Data 2026'!V86)</f>
        <v>46158</v>
      </c>
      <c r="Y74" s="685" t="str">
        <f>IF('[1]Data 2026'!W86="","",'[1]Data 2026'!W86)</f>
        <v/>
      </c>
      <c r="Z74" s="685" t="str">
        <f>IF('[1]Data 2026'!X86="","",'[1]Data 2026'!X86)</f>
        <v/>
      </c>
      <c r="AA74" s="685"/>
      <c r="AB74" s="685">
        <f>IF('[1]Data 2026'!Y86="","",'[1]Data 2026'!Y86)</f>
        <v>46181</v>
      </c>
      <c r="AC74" s="685" t="str">
        <f>IF('[1]Data 2026'!Z86="","",'[1]Data 2026'!Z86)</f>
        <v/>
      </c>
      <c r="AD74" s="691">
        <f>IF('[1]Data 2026'!AA86="","",'[1]Data 2026'!AA86)</f>
        <v>250</v>
      </c>
      <c r="AE74" s="691">
        <f>IF('[1]Data 2026'!AB86="","",'[1]Data 2026'!AB86)</f>
        <v>250</v>
      </c>
      <c r="AF74" s="685">
        <f>IF('[1]Data 2026'!AC86="","",'[1]Data 2026'!AC86)</f>
        <v>45823</v>
      </c>
      <c r="AG74" s="685" t="str">
        <f>IF('[1]Data 2026'!AD86="","",'[1]Data 2026'!AD86)</f>
        <v>PK34</v>
      </c>
      <c r="AH74" s="686">
        <f>IF('[1]Data 2026'!AE86="","",'[1]Data 2026'!AE86)</f>
        <v>10</v>
      </c>
      <c r="AI74" s="685" t="str">
        <f>IF('[1]Data 2026'!AG86="","",'[1]Data 2026'!AG86)</f>
        <v>VALENCY INTERNATIONAL CI</v>
      </c>
      <c r="AJ74" s="685" t="str">
        <f>IF('[1]Data 2026'!AH86="","",'[1]Data 2026'!AH86)</f>
        <v>AFIC</v>
      </c>
      <c r="AK74" s="685" t="str">
        <f>IF('[1]Data 2026'!AI86="","",'[1]Data 2026'!AI86)</f>
        <v>OOCL</v>
      </c>
      <c r="AL74" s="685" t="str">
        <f>IF('[1]Data 2026'!AJ86="","",'[1]Data 2026'!AJ86)</f>
        <v>40FT</v>
      </c>
      <c r="AM74" s="692">
        <f>IF('[1]Data 2026'!AK86="","",'[1]Data 2026'!AK86)</f>
        <v>0.1</v>
      </c>
      <c r="AN74" s="685" t="str">
        <f>IF('[1]Data 2026'!AL86="","",'[1]Data 2026'!AL86)</f>
        <v>(01x250MTS)</v>
      </c>
      <c r="AO74" s="691">
        <f>IF('[1]Data 2026'!AM86="","",'[1]Data 2026'!AM86)</f>
        <v>275</v>
      </c>
      <c r="AP74" s="691" t="str">
        <f t="shared" si="16"/>
        <v/>
      </c>
      <c r="AQ74" s="685" t="str">
        <f>IF('[1]Data 2026'!AO86="","",'[1]Data 2026'!AO86)</f>
        <v/>
      </c>
      <c r="AR74" s="685" t="str">
        <f>IF('[1]Data 2026'!AP86="","",'[1]Data 2026'!AP86)</f>
        <v/>
      </c>
      <c r="AS74" s="685" t="str">
        <f>IF('[1]Data 2026'!AQ86="","",'[1]Data 2026'!AQ86)</f>
        <v/>
      </c>
      <c r="AT74" s="685" t="str">
        <f>IF('[1]Data 2026'!AR86="","",'[1]Data 2026'!AR86)</f>
        <v/>
      </c>
      <c r="AU74" s="685" t="str">
        <f>IF('[1]Data 2026'!AW86="","",'[1]Data 2026'!AW86)</f>
        <v/>
      </c>
      <c r="AV74" s="685" t="str">
        <f>IF('[1]Data 2026'!AX86="","",'[1]Data 2026'!AX86)</f>
        <v/>
      </c>
      <c r="AW74" s="685" t="str">
        <f>IF('[1]Data 2026'!AY86="","",'[1]Data 2026'!AY86)</f>
        <v/>
      </c>
      <c r="AX74" s="685" t="str">
        <f>IF('[1]Data 2026'!AZ86="","",'[1]Data 2026'!AZ86)</f>
        <v/>
      </c>
      <c r="AY74" s="685" t="str">
        <f>IF('[1]Data 2026'!BA86="","",'[1]Data 2026'!BA86)</f>
        <v/>
      </c>
      <c r="AZ74" s="685" t="str">
        <f>IF('[1]Data 2026'!AS86="","",'[1]Data 2026'!AS86)</f>
        <v/>
      </c>
      <c r="BA74" s="685" t="str">
        <f>IF('[1]Data 2026'!AT86="","",'[1]Data 2026'!AT86)</f>
        <v/>
      </c>
      <c r="BB74" s="685" t="str">
        <f>IF('[1]Data 2026'!AU86="","",'[1]Data 2026'!AU86)</f>
        <v/>
      </c>
      <c r="BC74" s="685" t="str">
        <f>IF('[1]Data 2026'!AV86="","",'[1]Data 2026'!AV86)</f>
        <v/>
      </c>
      <c r="BD74" s="685" t="str">
        <f>IF('[1]Data 2026'!AW86="","",'[1]Data 2026'!AW86)</f>
        <v/>
      </c>
      <c r="BE74" s="685" t="str">
        <f>IF('[1]Data 2026'!AX86="","",'[1]Data 2026'!AX86)</f>
        <v/>
      </c>
      <c r="BF74" s="685" t="str">
        <f>IF('[1]Data 2026'!BF86="","",'[1]Data 2026'!BF86)</f>
        <v>VALENCY INTERNATIONAL CI</v>
      </c>
      <c r="BG74" s="685" t="str">
        <f>IF('[1]Data 2026'!BG86="","",'[1]Data 2026'!BG86)</f>
        <v/>
      </c>
      <c r="BH74" s="685" t="str">
        <f>IF('[1]Data 2026'!BH86="","",'[1]Data 2026'!BH86)</f>
        <v/>
      </c>
      <c r="BI74" s="685" t="str">
        <f>IF('[1]Data 2026'!BI86="","",'[1]Data 2026'!BI86)</f>
        <v/>
      </c>
      <c r="BJ74" s="685" t="str">
        <f>IF('[1]Data 2026'!BJ86="","",'[1]Data 2026'!BJ86)</f>
        <v/>
      </c>
      <c r="BK74" s="685" t="str">
        <f>IF('[1]Data 2026'!BK86="","",'[1]Data 2026'!BK86)</f>
        <v/>
      </c>
      <c r="BL74" s="685" t="str">
        <f>IF('[1]Data 2026'!BL86="","",'[1]Data 2026'!BL86)</f>
        <v>AFIC</v>
      </c>
      <c r="BM74" s="685" t="str">
        <f>IF('[1]Data 2026'!BM86="","",'[1]Data 2026'!BM86)</f>
        <v/>
      </c>
      <c r="BN74" s="685" t="str">
        <f>IF('[1]Data 2026'!BN86="","",'[1]Data 2026'!BN86)</f>
        <v/>
      </c>
      <c r="BO74" s="685" t="str">
        <f>IF('[1]Data 2026'!BO86="","",'[1]Data 2026'!BO86)</f>
        <v/>
      </c>
      <c r="BP74" s="685" t="str">
        <f>IF('[1]Data 2026'!BP86="","",'[1]Data 2026'!BP86)</f>
        <v/>
      </c>
      <c r="BQ74" s="685" t="str">
        <f>IF('[1]Data 2026'!BQ86="","",'[1]Data 2026'!BQ86)</f>
        <v/>
      </c>
      <c r="BR74" s="685" t="str">
        <f>IF('[1]Data 2026'!BR86="","",'[1]Data 2026'!BR86)</f>
        <v/>
      </c>
      <c r="BS74" s="685" t="str">
        <f>IF('[1]Data 2026'!BS86="","",'[1]Data 2026'!BS86)</f>
        <v/>
      </c>
      <c r="BT74" s="685" t="str">
        <f>IF('[1]Data 2026'!BV86="","",'[1]Data 2026'!BV86)</f>
        <v>RABO/STEINWEG</v>
      </c>
      <c r="BU74" s="685" t="str">
        <f>IF('[1]Data 2026'!BW86="","",'[1]Data 2026'!BW86)</f>
        <v/>
      </c>
      <c r="BV74" s="685" t="str">
        <f>IF('[1]Data 2026'!BX86="","",'[1]Data 2026'!BX86)</f>
        <v/>
      </c>
      <c r="BW74" s="685" t="str">
        <f>IF('[1]Data 2026'!BY86="","",'[1]Data 2026'!BY86)</f>
        <v/>
      </c>
      <c r="BX74" s="685" t="str">
        <f>IF('[1]Data 2026'!BZ86="","",'[1]Data 2026'!BZ86)</f>
        <v/>
      </c>
      <c r="BY74" s="685" t="str">
        <f>IF('[1]Data 2026'!CA86="","",'[1]Data 2026'!CA86)</f>
        <v>182610-15322</v>
      </c>
      <c r="BZ74" s="685">
        <f>IF('[1]Data 2026'!CB86="","",'[1]Data 2026'!CB86)</f>
        <v>46168</v>
      </c>
      <c r="CA74" s="685" t="str">
        <f>IF('[1]Data 2026'!CC86="","",'[1]Data 2026'!CC86)</f>
        <v>00634</v>
      </c>
      <c r="CB74" s="685">
        <f>IF('[1]Data 2026'!CD86="","",'[1]Data 2026'!CD86)</f>
        <v>46168</v>
      </c>
      <c r="CC74" s="685" t="str">
        <f>IF('[1]Data 2026'!CE86="","",'[1]Data 2026'!CE86)</f>
        <v/>
      </c>
      <c r="CD74" s="685" t="str">
        <f>IF('[1]Data 2026'!CF86="","",'[1]Data 2026'!CF86)</f>
        <v/>
      </c>
      <c r="CE74" s="685" t="str">
        <f>IF('[1]Data 2026'!CG86="","",'[1]Data 2026'!CG86)</f>
        <v/>
      </c>
      <c r="CF74" s="685" t="str">
        <f>IF('[1]Data 2026'!CH86="","",'[1]Data 2026'!CH86)</f>
        <v/>
      </c>
      <c r="CG74" s="685" t="str">
        <f>IF('[1]Data 2026'!CI86="","",'[1]Data 2026'!CI86)</f>
        <v/>
      </c>
      <c r="CH74" s="685" t="str">
        <f>IF('[1]Data 2026'!CJ86="","",'[1]Data 2026'!CJ86)</f>
        <v/>
      </c>
      <c r="CI74" s="685" t="str">
        <f>IF('[1]Data 2026'!CK86="","",'[1]Data 2026'!CK86)</f>
        <v/>
      </c>
      <c r="CJ74" s="685" t="str">
        <f>IF('[1]Data 2026'!CM86="","",'[1]Data 2026'!CM86)</f>
        <v/>
      </c>
      <c r="CK74" s="685" t="str">
        <f>IF('[1]Data 2026'!CN86="","",'[1]Data 2026'!CN86)</f>
        <v/>
      </c>
      <c r="CL74" s="691"/>
      <c r="CM74" s="691" t="str">
        <f>IF('[1]Data 2026'!CP86="","",'[1]Data 2026'!CP86)</f>
        <v/>
      </c>
      <c r="CN74" s="691"/>
      <c r="CO74" s="693"/>
      <c r="CP74" s="693"/>
      <c r="CQ74" s="693"/>
      <c r="CR74" s="686">
        <f t="shared" si="17"/>
        <v>1</v>
      </c>
      <c r="CS74" s="686">
        <f t="shared" si="17"/>
        <v>0</v>
      </c>
      <c r="CT74" s="686" t="str">
        <f t="shared" si="17"/>
        <v/>
      </c>
      <c r="CU74" s="686" t="str">
        <f t="shared" si="18"/>
        <v/>
      </c>
      <c r="CV74" s="686" t="str">
        <f t="shared" si="19"/>
        <v/>
      </c>
      <c r="CW74" s="685" t="str">
        <f t="shared" si="23"/>
        <v/>
      </c>
      <c r="CX74" s="685" t="str">
        <f t="shared" si="24"/>
        <v/>
      </c>
      <c r="CY74" s="693">
        <f t="shared" ca="1" si="20"/>
        <v>0</v>
      </c>
      <c r="CZ74" s="693" t="str">
        <f t="shared" si="21"/>
        <v/>
      </c>
      <c r="DB74"/>
      <c r="DC74"/>
    </row>
    <row r="75" spans="1:107" s="694" customFormat="1">
      <c r="A75" s="682" t="str">
        <f t="shared" si="13"/>
        <v>E. STUFFED, GATE IN AWAITED</v>
      </c>
      <c r="B75" s="699" t="s">
        <v>1205</v>
      </c>
      <c r="C75" s="684" t="str">
        <f t="shared" si="14"/>
        <v>CLOSED POSITION</v>
      </c>
      <c r="D75" s="685" t="str">
        <f t="shared" si="22"/>
        <v/>
      </c>
      <c r="E75" s="685" t="str">
        <f t="shared" si="15"/>
        <v/>
      </c>
      <c r="F75" s="686">
        <f>IF('[1]Data 2026'!D87="","",'[1]Data 2026'!D87)</f>
        <v>46</v>
      </c>
      <c r="G75" s="686">
        <f>IF('[1]Data 2026'!E87="","",'[1]Data 2026'!E87)</f>
        <v>200</v>
      </c>
      <c r="H75" s="687" t="str">
        <f>IF('[1]Data 2026'!H87="","",'[1]Data 2026'!H87)</f>
        <v>32016316-4</v>
      </c>
      <c r="I75" s="688">
        <f>IF('[1]Data 2026'!AA87="","",'[1]Data 2026'!AA87)</f>
        <v>250</v>
      </c>
      <c r="J75" s="685" t="str">
        <f>IF('[1]Data 2026'!K87="","",'[1]Data 2026'!K87)</f>
        <v>MAY-15th JUNE 2026</v>
      </c>
      <c r="K75" s="685">
        <v>46203</v>
      </c>
      <c r="L75" s="685" t="str">
        <f>IF('[1]Data 2026'!L87="","",'[1]Data 2026'!L87)</f>
        <v>VALENCY CI</v>
      </c>
      <c r="M75" s="685" t="str">
        <f>IF('[1]Data 2026'!M87="","",'[1]Data 2026'!M87)</f>
        <v>VIET PHI AGRICULTURE</v>
      </c>
      <c r="N75" s="685" t="s">
        <v>1194</v>
      </c>
      <c r="O75" s="689">
        <f>IF('[1]Data 2026'!N87="","",'[1]Data 2026'!N87)</f>
        <v>4055159320</v>
      </c>
      <c r="P75" s="690" t="str">
        <f>IF('[1]Data 2026'!O87="","",'[1]Data 2026'!O87)</f>
        <v/>
      </c>
      <c r="Q75" s="685" t="str">
        <f>IF('[1]Data 2026'!P87="","",'[1]Data 2026'!P87)</f>
        <v/>
      </c>
      <c r="R75" s="685" t="str">
        <f>IF('[1]Data 2026'!Q87="","",'[1]Data 2026'!Q87)</f>
        <v>ABJ</v>
      </c>
      <c r="S75" s="685" t="s">
        <v>347</v>
      </c>
      <c r="T75" s="685" t="str">
        <f>IF('[1]Data 2026'!R87="","",'[1]Data 2026'!R87)</f>
        <v>HCMC, VIETNAM</v>
      </c>
      <c r="U75" s="685" t="str">
        <f>IF('[1]Data 2026'!S87="","",'[1]Data 2026'!S87)</f>
        <v>NORTHERN MAJESTIC</v>
      </c>
      <c r="V75" s="685">
        <f>IF('[1]Data 2026'!T87="","",'[1]Data 2026'!T87)</f>
        <v>46158</v>
      </c>
      <c r="W75" s="685">
        <f>IF('[1]Data 2026'!U87="","",'[1]Data 2026'!U87)</f>
        <v>46159</v>
      </c>
      <c r="X75" s="685">
        <f>IF('[1]Data 2026'!V87="","",'[1]Data 2026'!V87)</f>
        <v>46159</v>
      </c>
      <c r="Y75" s="685" t="str">
        <f>IF('[1]Data 2026'!W87="","",'[1]Data 2026'!W87)</f>
        <v/>
      </c>
      <c r="Z75" s="685" t="str">
        <f>IF('[1]Data 2026'!X87="","",'[1]Data 2026'!X87)</f>
        <v/>
      </c>
      <c r="AA75" s="685"/>
      <c r="AB75" s="685">
        <f>IF('[1]Data 2026'!Y87="","",'[1]Data 2026'!Y87)</f>
        <v>46181</v>
      </c>
      <c r="AC75" s="685" t="str">
        <f>IF('[1]Data 2026'!Z87="","",'[1]Data 2026'!Z87)</f>
        <v/>
      </c>
      <c r="AD75" s="691">
        <f>IF('[1]Data 2026'!AA87="","",'[1]Data 2026'!AA87)</f>
        <v>250</v>
      </c>
      <c r="AE75" s="691">
        <f>IF('[1]Data 2026'!AB87="","",'[1]Data 2026'!AB87)</f>
        <v>250</v>
      </c>
      <c r="AF75" s="685">
        <f>IF('[1]Data 2026'!AC87="","",'[1]Data 2026'!AC87)</f>
        <v>45823</v>
      </c>
      <c r="AG75" s="685" t="str">
        <f>IF('[1]Data 2026'!AD87="","",'[1]Data 2026'!AD87)</f>
        <v>PK34</v>
      </c>
      <c r="AH75" s="686">
        <f>IF('[1]Data 2026'!AE87="","",'[1]Data 2026'!AE87)</f>
        <v>10</v>
      </c>
      <c r="AI75" s="685" t="str">
        <f>IF('[1]Data 2026'!AG87="","",'[1]Data 2026'!AG87)</f>
        <v>VALENCY INTERNATIONAL CI</v>
      </c>
      <c r="AJ75" s="685" t="str">
        <f>IF('[1]Data 2026'!AH87="","",'[1]Data 2026'!AH87)</f>
        <v>AFIC</v>
      </c>
      <c r="AK75" s="685" t="str">
        <f>IF('[1]Data 2026'!AI87="","",'[1]Data 2026'!AI87)</f>
        <v>OOCL</v>
      </c>
      <c r="AL75" s="685" t="str">
        <f>IF('[1]Data 2026'!AJ87="","",'[1]Data 2026'!AJ87)</f>
        <v>40FT</v>
      </c>
      <c r="AM75" s="692">
        <f>IF('[1]Data 2026'!AK87="","",'[1]Data 2026'!AK87)</f>
        <v>0.1</v>
      </c>
      <c r="AN75" s="685" t="str">
        <f>IF('[1]Data 2026'!AL87="","",'[1]Data 2026'!AL87)</f>
        <v>(01x250MTS)</v>
      </c>
      <c r="AO75" s="691">
        <f>IF('[1]Data 2026'!AM87="","",'[1]Data 2026'!AM87)</f>
        <v>275</v>
      </c>
      <c r="AP75" s="691" t="str">
        <f t="shared" si="16"/>
        <v/>
      </c>
      <c r="AQ75" s="685" t="str">
        <f>IF('[1]Data 2026'!AO87="","",'[1]Data 2026'!AO87)</f>
        <v/>
      </c>
      <c r="AR75" s="685" t="str">
        <f>IF('[1]Data 2026'!AP87="","",'[1]Data 2026'!AP87)</f>
        <v/>
      </c>
      <c r="AS75" s="685" t="str">
        <f>IF('[1]Data 2026'!AQ87="","",'[1]Data 2026'!AQ87)</f>
        <v/>
      </c>
      <c r="AT75" s="685" t="str">
        <f>IF('[1]Data 2026'!AR87="","",'[1]Data 2026'!AR87)</f>
        <v/>
      </c>
      <c r="AU75" s="685" t="str">
        <f>IF('[1]Data 2026'!AW87="","",'[1]Data 2026'!AW87)</f>
        <v/>
      </c>
      <c r="AV75" s="685" t="str">
        <f>IF('[1]Data 2026'!AX87="","",'[1]Data 2026'!AX87)</f>
        <v/>
      </c>
      <c r="AW75" s="685" t="str">
        <f>IF('[1]Data 2026'!AY87="","",'[1]Data 2026'!AY87)</f>
        <v/>
      </c>
      <c r="AX75" s="685" t="str">
        <f>IF('[1]Data 2026'!AZ87="","",'[1]Data 2026'!AZ87)</f>
        <v/>
      </c>
      <c r="AY75" s="685" t="str">
        <f>IF('[1]Data 2026'!BA87="","",'[1]Data 2026'!BA87)</f>
        <v/>
      </c>
      <c r="AZ75" s="685" t="str">
        <f>IF('[1]Data 2026'!AS87="","",'[1]Data 2026'!AS87)</f>
        <v/>
      </c>
      <c r="BA75" s="685" t="str">
        <f>IF('[1]Data 2026'!AT87="","",'[1]Data 2026'!AT87)</f>
        <v/>
      </c>
      <c r="BB75" s="685" t="str">
        <f>IF('[1]Data 2026'!AU87="","",'[1]Data 2026'!AU87)</f>
        <v/>
      </c>
      <c r="BC75" s="685" t="str">
        <f>IF('[1]Data 2026'!AV87="","",'[1]Data 2026'!AV87)</f>
        <v/>
      </c>
      <c r="BD75" s="685" t="str">
        <f>IF('[1]Data 2026'!AW87="","",'[1]Data 2026'!AW87)</f>
        <v/>
      </c>
      <c r="BE75" s="685" t="str">
        <f>IF('[1]Data 2026'!AX87="","",'[1]Data 2026'!AX87)</f>
        <v/>
      </c>
      <c r="BF75" s="685" t="str">
        <f>IF('[1]Data 2026'!BF87="","",'[1]Data 2026'!BF87)</f>
        <v>VALENCY INTERNATIONAL CI</v>
      </c>
      <c r="BG75" s="685" t="str">
        <f>IF('[1]Data 2026'!BG87="","",'[1]Data 2026'!BG87)</f>
        <v/>
      </c>
      <c r="BH75" s="685" t="str">
        <f>IF('[1]Data 2026'!BH87="","",'[1]Data 2026'!BH87)</f>
        <v/>
      </c>
      <c r="BI75" s="685" t="str">
        <f>IF('[1]Data 2026'!BI87="","",'[1]Data 2026'!BI87)</f>
        <v/>
      </c>
      <c r="BJ75" s="685" t="str">
        <f>IF('[1]Data 2026'!BJ87="","",'[1]Data 2026'!BJ87)</f>
        <v/>
      </c>
      <c r="BK75" s="685" t="str">
        <f>IF('[1]Data 2026'!BK87="","",'[1]Data 2026'!BK87)</f>
        <v/>
      </c>
      <c r="BL75" s="685" t="str">
        <f>IF('[1]Data 2026'!BL87="","",'[1]Data 2026'!BL87)</f>
        <v>AFIC</v>
      </c>
      <c r="BM75" s="685" t="str">
        <f>IF('[1]Data 2026'!BM87="","",'[1]Data 2026'!BM87)</f>
        <v/>
      </c>
      <c r="BN75" s="685" t="str">
        <f>IF('[1]Data 2026'!BN87="","",'[1]Data 2026'!BN87)</f>
        <v/>
      </c>
      <c r="BO75" s="685" t="str">
        <f>IF('[1]Data 2026'!BO87="","",'[1]Data 2026'!BO87)</f>
        <v/>
      </c>
      <c r="BP75" s="685" t="str">
        <f>IF('[1]Data 2026'!BP87="","",'[1]Data 2026'!BP87)</f>
        <v/>
      </c>
      <c r="BQ75" s="685" t="str">
        <f>IF('[1]Data 2026'!BQ87="","",'[1]Data 2026'!BQ87)</f>
        <v/>
      </c>
      <c r="BR75" s="685" t="str">
        <f>IF('[1]Data 2026'!BR87="","",'[1]Data 2026'!BR87)</f>
        <v/>
      </c>
      <c r="BS75" s="685" t="str">
        <f>IF('[1]Data 2026'!BS87="","",'[1]Data 2026'!BS87)</f>
        <v/>
      </c>
      <c r="BT75" s="685" t="str">
        <f>IF('[1]Data 2026'!BV87="","",'[1]Data 2026'!BV87)</f>
        <v>RABO/STEINWEG</v>
      </c>
      <c r="BU75" s="685" t="str">
        <f>IF('[1]Data 2026'!BW87="","",'[1]Data 2026'!BW87)</f>
        <v/>
      </c>
      <c r="BV75" s="685" t="str">
        <f>IF('[1]Data 2026'!BX87="","",'[1]Data 2026'!BX87)</f>
        <v/>
      </c>
      <c r="BW75" s="685" t="str">
        <f>IF('[1]Data 2026'!BY87="","",'[1]Data 2026'!BY87)</f>
        <v/>
      </c>
      <c r="BX75" s="685" t="str">
        <f>IF('[1]Data 2026'!BZ87="","",'[1]Data 2026'!BZ87)</f>
        <v/>
      </c>
      <c r="BY75" s="685" t="str">
        <f>IF('[1]Data 2026'!CA87="","",'[1]Data 2026'!CA87)</f>
        <v/>
      </c>
      <c r="BZ75" s="685" t="str">
        <f>IF('[1]Data 2026'!CB87="","",'[1]Data 2026'!CB87)</f>
        <v/>
      </c>
      <c r="CA75" s="685" t="str">
        <f>IF('[1]Data 2026'!CC87="","",'[1]Data 2026'!CC87)</f>
        <v/>
      </c>
      <c r="CB75" s="685" t="str">
        <f>IF('[1]Data 2026'!CD87="","",'[1]Data 2026'!CD87)</f>
        <v/>
      </c>
      <c r="CC75" s="685" t="str">
        <f>IF('[1]Data 2026'!CE87="","",'[1]Data 2026'!CE87)</f>
        <v/>
      </c>
      <c r="CD75" s="685" t="str">
        <f>IF('[1]Data 2026'!CF87="","",'[1]Data 2026'!CF87)</f>
        <v/>
      </c>
      <c r="CE75" s="685" t="str">
        <f>IF('[1]Data 2026'!CG87="","",'[1]Data 2026'!CG87)</f>
        <v/>
      </c>
      <c r="CF75" s="685" t="str">
        <f>IF('[1]Data 2026'!CH87="","",'[1]Data 2026'!CH87)</f>
        <v/>
      </c>
      <c r="CG75" s="685" t="str">
        <f>IF('[1]Data 2026'!CI87="","",'[1]Data 2026'!CI87)</f>
        <v/>
      </c>
      <c r="CH75" s="685" t="str">
        <f>IF('[1]Data 2026'!CJ87="","",'[1]Data 2026'!CJ87)</f>
        <v/>
      </c>
      <c r="CI75" s="685" t="str">
        <f>IF('[1]Data 2026'!CK87="","",'[1]Data 2026'!CK87)</f>
        <v/>
      </c>
      <c r="CJ75" s="685" t="str">
        <f>IF('[1]Data 2026'!CM87="","",'[1]Data 2026'!CM87)</f>
        <v/>
      </c>
      <c r="CK75" s="685" t="str">
        <f>IF('[1]Data 2026'!CN87="","",'[1]Data 2026'!CN87)</f>
        <v/>
      </c>
      <c r="CL75" s="691"/>
      <c r="CM75" s="691" t="str">
        <f>IF('[1]Data 2026'!CP87="","",'[1]Data 2026'!CP87)</f>
        <v/>
      </c>
      <c r="CN75" s="691"/>
      <c r="CO75" s="693"/>
      <c r="CP75" s="693"/>
      <c r="CQ75" s="693"/>
      <c r="CR75" s="686">
        <f t="shared" si="17"/>
        <v>1</v>
      </c>
      <c r="CS75" s="686">
        <f t="shared" si="17"/>
        <v>0</v>
      </c>
      <c r="CT75" s="686" t="str">
        <f t="shared" si="17"/>
        <v/>
      </c>
      <c r="CU75" s="686" t="str">
        <f t="shared" si="18"/>
        <v/>
      </c>
      <c r="CV75" s="686" t="str">
        <f t="shared" si="19"/>
        <v/>
      </c>
      <c r="CW75" s="685" t="str">
        <f t="shared" si="23"/>
        <v/>
      </c>
      <c r="CX75" s="685" t="str">
        <f t="shared" si="24"/>
        <v/>
      </c>
      <c r="CY75" s="693">
        <f t="shared" ca="1" si="20"/>
        <v>0</v>
      </c>
      <c r="CZ75" s="693" t="str">
        <f t="shared" si="21"/>
        <v/>
      </c>
      <c r="DB75"/>
      <c r="DC75"/>
    </row>
    <row r="76" spans="1:107">
      <c r="A76" s="682" t="str">
        <f t="shared" si="13"/>
        <v>E. STUFFED, GATE IN AWAITED</v>
      </c>
      <c r="B76" s="699" t="s">
        <v>1205</v>
      </c>
      <c r="C76" s="684" t="str">
        <f t="shared" si="14"/>
        <v>CLOSED POSITION</v>
      </c>
      <c r="D76" s="685" t="str">
        <f t="shared" si="22"/>
        <v/>
      </c>
      <c r="E76" s="685" t="str">
        <f t="shared" si="15"/>
        <v/>
      </c>
      <c r="F76" s="686">
        <f>IF('[1]Data 2026'!D88="","",'[1]Data 2026'!D88)</f>
        <v>46</v>
      </c>
      <c r="G76" s="686">
        <f>IF('[1]Data 2026'!E88="","",'[1]Data 2026'!E88)</f>
        <v>200</v>
      </c>
      <c r="H76" s="687" t="str">
        <f>IF('[1]Data 2026'!H88="","",'[1]Data 2026'!H88)</f>
        <v>32016316-5</v>
      </c>
      <c r="I76" s="688">
        <f>IF('[1]Data 2026'!AA88="","",'[1]Data 2026'!AA88)</f>
        <v>250</v>
      </c>
      <c r="J76" s="685" t="str">
        <f>IF('[1]Data 2026'!K88="","",'[1]Data 2026'!K88)</f>
        <v>MAY-15th JUNE 2026</v>
      </c>
      <c r="K76" s="685">
        <v>46203</v>
      </c>
      <c r="L76" s="685" t="str">
        <f>IF('[1]Data 2026'!L88="","",'[1]Data 2026'!L88)</f>
        <v>VALENCY CI</v>
      </c>
      <c r="M76" s="685" t="str">
        <f>IF('[1]Data 2026'!M88="","",'[1]Data 2026'!M88)</f>
        <v>VIET PHI AGRICULTURE</v>
      </c>
      <c r="N76" s="685" t="s">
        <v>1194</v>
      </c>
      <c r="O76" s="689">
        <f>IF('[1]Data 2026'!N88="","",'[1]Data 2026'!N88)</f>
        <v>4055159330</v>
      </c>
      <c r="P76" s="690" t="str">
        <f>IF('[1]Data 2026'!O88="","",'[1]Data 2026'!O88)</f>
        <v/>
      </c>
      <c r="Q76" s="685" t="str">
        <f>IF('[1]Data 2026'!P88="","",'[1]Data 2026'!P88)</f>
        <v/>
      </c>
      <c r="R76" s="685" t="str">
        <f>IF('[1]Data 2026'!Q88="","",'[1]Data 2026'!Q88)</f>
        <v>ABJ</v>
      </c>
      <c r="S76" s="685" t="s">
        <v>347</v>
      </c>
      <c r="T76" s="685" t="str">
        <f>IF('[1]Data 2026'!R88="","",'[1]Data 2026'!R88)</f>
        <v>HCMC, VIETNAM</v>
      </c>
      <c r="U76" s="685" t="str">
        <f>IF('[1]Data 2026'!S88="","",'[1]Data 2026'!S88)</f>
        <v>NORTHERN MAJESTIC</v>
      </c>
      <c r="V76" s="685">
        <f>IF('[1]Data 2026'!T88="","",'[1]Data 2026'!T88)</f>
        <v>46158</v>
      </c>
      <c r="W76" s="685">
        <f>IF('[1]Data 2026'!U88="","",'[1]Data 2026'!U88)</f>
        <v>46159</v>
      </c>
      <c r="X76" s="685">
        <f>IF('[1]Data 2026'!V88="","",'[1]Data 2026'!V88)</f>
        <v>46160</v>
      </c>
      <c r="Y76" s="685" t="str">
        <f>IF('[1]Data 2026'!W88="","",'[1]Data 2026'!W88)</f>
        <v/>
      </c>
      <c r="Z76" s="685" t="str">
        <f>IF('[1]Data 2026'!X88="","",'[1]Data 2026'!X88)</f>
        <v/>
      </c>
      <c r="AA76" s="685"/>
      <c r="AB76" s="685">
        <f>IF('[1]Data 2026'!Y88="","",'[1]Data 2026'!Y88)</f>
        <v>46181</v>
      </c>
      <c r="AC76" s="685" t="str">
        <f>IF('[1]Data 2026'!Z88="","",'[1]Data 2026'!Z88)</f>
        <v/>
      </c>
      <c r="AD76" s="691">
        <f>IF('[1]Data 2026'!AA88="","",'[1]Data 2026'!AA88)</f>
        <v>250</v>
      </c>
      <c r="AE76" s="691">
        <f>IF('[1]Data 2026'!AB88="","",'[1]Data 2026'!AB88)</f>
        <v>250</v>
      </c>
      <c r="AF76" s="685">
        <f>IF('[1]Data 2026'!AC88="","",'[1]Data 2026'!AC88)</f>
        <v>45823</v>
      </c>
      <c r="AG76" s="685" t="str">
        <f>IF('[1]Data 2026'!AD88="","",'[1]Data 2026'!AD88)</f>
        <v>PK34</v>
      </c>
      <c r="AH76" s="686">
        <f>IF('[1]Data 2026'!AE88="","",'[1]Data 2026'!AE88)</f>
        <v>10</v>
      </c>
      <c r="AI76" s="685" t="str">
        <f>IF('[1]Data 2026'!AG88="","",'[1]Data 2026'!AG88)</f>
        <v>VALENCY INTERNATIONAL CI</v>
      </c>
      <c r="AJ76" s="685" t="str">
        <f>IF('[1]Data 2026'!AH88="","",'[1]Data 2026'!AH88)</f>
        <v>AFIC</v>
      </c>
      <c r="AK76" s="685" t="str">
        <f>IF('[1]Data 2026'!AI88="","",'[1]Data 2026'!AI88)</f>
        <v>OOCL</v>
      </c>
      <c r="AL76" s="685" t="str">
        <f>IF('[1]Data 2026'!AJ88="","",'[1]Data 2026'!AJ88)</f>
        <v>40FT</v>
      </c>
      <c r="AM76" s="692">
        <f>IF('[1]Data 2026'!AK88="","",'[1]Data 2026'!AK88)</f>
        <v>0.1</v>
      </c>
      <c r="AN76" s="685" t="str">
        <f>IF('[1]Data 2026'!AL88="","",'[1]Data 2026'!AL88)</f>
        <v>(01x250MTS)</v>
      </c>
      <c r="AO76" s="691">
        <f>IF('[1]Data 2026'!AM88="","",'[1]Data 2026'!AM88)</f>
        <v>275</v>
      </c>
      <c r="AP76" s="691" t="str">
        <f t="shared" si="16"/>
        <v/>
      </c>
      <c r="AQ76" s="685" t="str">
        <f>IF('[1]Data 2026'!AO88="","",'[1]Data 2026'!AO88)</f>
        <v/>
      </c>
      <c r="AR76" s="685" t="str">
        <f>IF('[1]Data 2026'!AP88="","",'[1]Data 2026'!AP88)</f>
        <v/>
      </c>
      <c r="AS76" s="685" t="str">
        <f>IF('[1]Data 2026'!AQ88="","",'[1]Data 2026'!AQ88)</f>
        <v/>
      </c>
      <c r="AT76" s="685" t="str">
        <f>IF('[1]Data 2026'!AR88="","",'[1]Data 2026'!AR88)</f>
        <v/>
      </c>
      <c r="AU76" s="685" t="str">
        <f>IF('[1]Data 2026'!AW88="","",'[1]Data 2026'!AW88)</f>
        <v/>
      </c>
      <c r="AV76" s="685" t="str">
        <f>IF('[1]Data 2026'!AX88="","",'[1]Data 2026'!AX88)</f>
        <v/>
      </c>
      <c r="AW76" s="685" t="str">
        <f>IF('[1]Data 2026'!AY88="","",'[1]Data 2026'!AY88)</f>
        <v/>
      </c>
      <c r="AX76" s="685" t="str">
        <f>IF('[1]Data 2026'!AZ88="","",'[1]Data 2026'!AZ88)</f>
        <v/>
      </c>
      <c r="AY76" s="685" t="str">
        <f>IF('[1]Data 2026'!BA88="","",'[1]Data 2026'!BA88)</f>
        <v/>
      </c>
      <c r="AZ76" s="685" t="str">
        <f>IF('[1]Data 2026'!AS88="","",'[1]Data 2026'!AS88)</f>
        <v/>
      </c>
      <c r="BA76" s="685" t="str">
        <f>IF('[1]Data 2026'!AT88="","",'[1]Data 2026'!AT88)</f>
        <v/>
      </c>
      <c r="BB76" s="685" t="str">
        <f>IF('[1]Data 2026'!AU88="","",'[1]Data 2026'!AU88)</f>
        <v/>
      </c>
      <c r="BC76" s="685" t="str">
        <f>IF('[1]Data 2026'!AV88="","",'[1]Data 2026'!AV88)</f>
        <v/>
      </c>
      <c r="BD76" s="685" t="str">
        <f>IF('[1]Data 2026'!AW88="","",'[1]Data 2026'!AW88)</f>
        <v/>
      </c>
      <c r="BE76" s="685" t="str">
        <f>IF('[1]Data 2026'!AX88="","",'[1]Data 2026'!AX88)</f>
        <v/>
      </c>
      <c r="BF76" s="685" t="str">
        <f>IF('[1]Data 2026'!BF88="","",'[1]Data 2026'!BF88)</f>
        <v>VALENCY INTERNATIONAL CI</v>
      </c>
      <c r="BG76" s="685" t="str">
        <f>IF('[1]Data 2026'!BG88="","",'[1]Data 2026'!BG88)</f>
        <v/>
      </c>
      <c r="BH76" s="685" t="str">
        <f>IF('[1]Data 2026'!BH88="","",'[1]Data 2026'!BH88)</f>
        <v/>
      </c>
      <c r="BI76" s="685" t="str">
        <f>IF('[1]Data 2026'!BI88="","",'[1]Data 2026'!BI88)</f>
        <v/>
      </c>
      <c r="BJ76" s="685" t="str">
        <f>IF('[1]Data 2026'!BJ88="","",'[1]Data 2026'!BJ88)</f>
        <v/>
      </c>
      <c r="BK76" s="685" t="str">
        <f>IF('[1]Data 2026'!BK88="","",'[1]Data 2026'!BK88)</f>
        <v/>
      </c>
      <c r="BL76" s="685" t="str">
        <f>IF('[1]Data 2026'!BL88="","",'[1]Data 2026'!BL88)</f>
        <v>AFIC</v>
      </c>
      <c r="BM76" s="685" t="str">
        <f>IF('[1]Data 2026'!BM88="","",'[1]Data 2026'!BM88)</f>
        <v/>
      </c>
      <c r="BN76" s="685" t="str">
        <f>IF('[1]Data 2026'!BN88="","",'[1]Data 2026'!BN88)</f>
        <v/>
      </c>
      <c r="BO76" s="685" t="str">
        <f>IF('[1]Data 2026'!BO88="","",'[1]Data 2026'!BO88)</f>
        <v/>
      </c>
      <c r="BP76" s="685" t="str">
        <f>IF('[1]Data 2026'!BP88="","",'[1]Data 2026'!BP88)</f>
        <v/>
      </c>
      <c r="BQ76" s="685" t="str">
        <f>IF('[1]Data 2026'!BQ88="","",'[1]Data 2026'!BQ88)</f>
        <v/>
      </c>
      <c r="BR76" s="685" t="str">
        <f>IF('[1]Data 2026'!BR88="","",'[1]Data 2026'!BR88)</f>
        <v/>
      </c>
      <c r="BS76" s="685" t="str">
        <f>IF('[1]Data 2026'!BS88="","",'[1]Data 2026'!BS88)</f>
        <v/>
      </c>
      <c r="BT76" s="685" t="str">
        <f>IF('[1]Data 2026'!BV88="","",'[1]Data 2026'!BV88)</f>
        <v>RABO/STEINWEG</v>
      </c>
      <c r="BU76" s="685" t="str">
        <f>IF('[1]Data 2026'!BW88="","",'[1]Data 2026'!BW88)</f>
        <v/>
      </c>
      <c r="BV76" s="685" t="str">
        <f>IF('[1]Data 2026'!BX88="","",'[1]Data 2026'!BX88)</f>
        <v/>
      </c>
      <c r="BW76" s="685" t="str">
        <f>IF('[1]Data 2026'!BY88="","",'[1]Data 2026'!BY88)</f>
        <v/>
      </c>
      <c r="BX76" s="685" t="str">
        <f>IF('[1]Data 2026'!BZ88="","",'[1]Data 2026'!BZ88)</f>
        <v/>
      </c>
      <c r="BY76" s="685" t="str">
        <f>IF('[1]Data 2026'!CA88="","",'[1]Data 2026'!CA88)</f>
        <v/>
      </c>
      <c r="BZ76" s="685" t="str">
        <f>IF('[1]Data 2026'!CB88="","",'[1]Data 2026'!CB88)</f>
        <v/>
      </c>
      <c r="CA76" s="685" t="str">
        <f>IF('[1]Data 2026'!CC88="","",'[1]Data 2026'!CC88)</f>
        <v/>
      </c>
      <c r="CB76" s="685" t="str">
        <f>IF('[1]Data 2026'!CD88="","",'[1]Data 2026'!CD88)</f>
        <v/>
      </c>
      <c r="CC76" s="685" t="str">
        <f>IF('[1]Data 2026'!CE88="","",'[1]Data 2026'!CE88)</f>
        <v/>
      </c>
      <c r="CD76" s="685" t="str">
        <f>IF('[1]Data 2026'!CF88="","",'[1]Data 2026'!CF88)</f>
        <v/>
      </c>
      <c r="CE76" s="685" t="str">
        <f>IF('[1]Data 2026'!CG88="","",'[1]Data 2026'!CG88)</f>
        <v/>
      </c>
      <c r="CF76" s="685" t="str">
        <f>IF('[1]Data 2026'!CH88="","",'[1]Data 2026'!CH88)</f>
        <v/>
      </c>
      <c r="CG76" s="685" t="str">
        <f>IF('[1]Data 2026'!CI88="","",'[1]Data 2026'!CI88)</f>
        <v/>
      </c>
      <c r="CH76" s="685" t="str">
        <f>IF('[1]Data 2026'!CJ88="","",'[1]Data 2026'!CJ88)</f>
        <v/>
      </c>
      <c r="CI76" s="685" t="str">
        <f>IF('[1]Data 2026'!CK88="","",'[1]Data 2026'!CK88)</f>
        <v/>
      </c>
      <c r="CJ76" s="685" t="str">
        <f>IF('[1]Data 2026'!CM88="","",'[1]Data 2026'!CM88)</f>
        <v/>
      </c>
      <c r="CK76" s="685" t="str">
        <f>IF('[1]Data 2026'!CN88="","",'[1]Data 2026'!CN88)</f>
        <v/>
      </c>
      <c r="CL76" s="691"/>
      <c r="CM76" s="691" t="str">
        <f>IF('[1]Data 2026'!CP88="","",'[1]Data 2026'!CP88)</f>
        <v/>
      </c>
      <c r="CN76" s="691"/>
      <c r="CO76" s="419"/>
      <c r="CP76" s="419"/>
      <c r="CQ76" s="419"/>
      <c r="CR76" s="686">
        <f t="shared" si="17"/>
        <v>1</v>
      </c>
      <c r="CS76" s="686">
        <f t="shared" si="17"/>
        <v>1</v>
      </c>
      <c r="CT76" s="686" t="str">
        <f t="shared" si="17"/>
        <v/>
      </c>
      <c r="CU76" s="686" t="str">
        <f t="shared" si="18"/>
        <v/>
      </c>
      <c r="CV76" s="686" t="str">
        <f t="shared" si="19"/>
        <v/>
      </c>
      <c r="CW76" s="685" t="str">
        <f t="shared" si="23"/>
        <v/>
      </c>
      <c r="CX76" s="685" t="str">
        <f t="shared" si="24"/>
        <v/>
      </c>
      <c r="CY76" s="693">
        <f t="shared" ca="1" si="20"/>
        <v>0</v>
      </c>
      <c r="CZ76" s="693" t="str">
        <f t="shared" si="21"/>
        <v/>
      </c>
    </row>
    <row r="77" spans="1:107">
      <c r="A77" s="682" t="str">
        <f t="shared" si="13"/>
        <v>E. STUFFED, GATE IN AWAITED</v>
      </c>
      <c r="B77" s="699" t="s">
        <v>1205</v>
      </c>
      <c r="C77" s="684" t="str">
        <f t="shared" si="14"/>
        <v>CLOSED POSITION</v>
      </c>
      <c r="D77" s="685" t="str">
        <f t="shared" si="22"/>
        <v/>
      </c>
      <c r="E77" s="685" t="str">
        <f t="shared" si="15"/>
        <v/>
      </c>
      <c r="F77" s="686">
        <f>IF('[1]Data 2026'!D89="","",'[1]Data 2026'!D89)</f>
        <v>46</v>
      </c>
      <c r="G77" s="686">
        <f>IF('[1]Data 2026'!E89="","",'[1]Data 2026'!E89)</f>
        <v>200</v>
      </c>
      <c r="H77" s="687" t="str">
        <f>IF('[1]Data 2026'!H89="","",'[1]Data 2026'!H89)</f>
        <v>32016316-6</v>
      </c>
      <c r="I77" s="688">
        <f>IF('[1]Data 2026'!AA89="","",'[1]Data 2026'!AA89)</f>
        <v>250</v>
      </c>
      <c r="J77" s="685" t="str">
        <f>IF('[1]Data 2026'!K89="","",'[1]Data 2026'!K89)</f>
        <v>MAY-15th JUNE 2026</v>
      </c>
      <c r="K77" s="685">
        <v>46203</v>
      </c>
      <c r="L77" s="685" t="str">
        <f>IF('[1]Data 2026'!L89="","",'[1]Data 2026'!L89)</f>
        <v>VALENCY CI</v>
      </c>
      <c r="M77" s="685" t="str">
        <f>IF('[1]Data 2026'!M89="","",'[1]Data 2026'!M89)</f>
        <v>VIET PHI AGRICULTURE</v>
      </c>
      <c r="N77" s="685" t="s">
        <v>1194</v>
      </c>
      <c r="O77" s="689">
        <f>IF('[1]Data 2026'!N89="","",'[1]Data 2026'!N89)</f>
        <v>4055159290</v>
      </c>
      <c r="P77" s="690" t="str">
        <f>IF('[1]Data 2026'!O89="","",'[1]Data 2026'!O89)</f>
        <v/>
      </c>
      <c r="Q77" s="685" t="str">
        <f>IF('[1]Data 2026'!P89="","",'[1]Data 2026'!P89)</f>
        <v/>
      </c>
      <c r="R77" s="685" t="str">
        <f>IF('[1]Data 2026'!Q89="","",'[1]Data 2026'!Q89)</f>
        <v>ABJ</v>
      </c>
      <c r="S77" s="685" t="s">
        <v>347</v>
      </c>
      <c r="T77" s="685" t="str">
        <f>IF('[1]Data 2026'!R89="","",'[1]Data 2026'!R89)</f>
        <v>HCMC, VIETNAM</v>
      </c>
      <c r="U77" s="685" t="str">
        <f>IF('[1]Data 2026'!S89="","",'[1]Data 2026'!S89)</f>
        <v>NORTHERN MAJESTIC</v>
      </c>
      <c r="V77" s="685">
        <f>IF('[1]Data 2026'!T89="","",'[1]Data 2026'!T89)</f>
        <v>46161</v>
      </c>
      <c r="W77" s="685">
        <f>IF('[1]Data 2026'!U89="","",'[1]Data 2026'!U89)</f>
        <v>46161</v>
      </c>
      <c r="X77" s="685">
        <f>IF('[1]Data 2026'!V89="","",'[1]Data 2026'!V89)</f>
        <v>46162</v>
      </c>
      <c r="Y77" s="685" t="str">
        <f>IF('[1]Data 2026'!W89="","",'[1]Data 2026'!W89)</f>
        <v/>
      </c>
      <c r="Z77" s="685" t="str">
        <f>IF('[1]Data 2026'!X89="","",'[1]Data 2026'!X89)</f>
        <v/>
      </c>
      <c r="AA77" s="685"/>
      <c r="AB77" s="685">
        <f>IF('[1]Data 2026'!Y89="","",'[1]Data 2026'!Y89)</f>
        <v>46181</v>
      </c>
      <c r="AC77" s="685" t="str">
        <f>IF('[1]Data 2026'!Z89="","",'[1]Data 2026'!Z89)</f>
        <v/>
      </c>
      <c r="AD77" s="691">
        <f>IF('[1]Data 2026'!AA89="","",'[1]Data 2026'!AA89)</f>
        <v>250</v>
      </c>
      <c r="AE77" s="691">
        <f>IF('[1]Data 2026'!AB89="","",'[1]Data 2026'!AB89)</f>
        <v>250</v>
      </c>
      <c r="AF77" s="685">
        <f>IF('[1]Data 2026'!AC89="","",'[1]Data 2026'!AC89)</f>
        <v>45823</v>
      </c>
      <c r="AG77" s="685" t="str">
        <f>IF('[1]Data 2026'!AD89="","",'[1]Data 2026'!AD89)</f>
        <v>PK34</v>
      </c>
      <c r="AH77" s="686">
        <f>IF('[1]Data 2026'!AE89="","",'[1]Data 2026'!AE89)</f>
        <v>10</v>
      </c>
      <c r="AI77" s="685" t="str">
        <f>IF('[1]Data 2026'!AG89="","",'[1]Data 2026'!AG89)</f>
        <v>VALENCY INTERNATIONAL CI</v>
      </c>
      <c r="AJ77" s="685" t="str">
        <f>IF('[1]Data 2026'!AH89="","",'[1]Data 2026'!AH89)</f>
        <v>AFIC</v>
      </c>
      <c r="AK77" s="685" t="str">
        <f>IF('[1]Data 2026'!AI89="","",'[1]Data 2026'!AI89)</f>
        <v>OOCL</v>
      </c>
      <c r="AL77" s="685" t="str">
        <f>IF('[1]Data 2026'!AJ89="","",'[1]Data 2026'!AJ89)</f>
        <v>40FT</v>
      </c>
      <c r="AM77" s="692">
        <f>IF('[1]Data 2026'!AK89="","",'[1]Data 2026'!AK89)</f>
        <v>0.1</v>
      </c>
      <c r="AN77" s="685" t="str">
        <f>IF('[1]Data 2026'!AL89="","",'[1]Data 2026'!AL89)</f>
        <v>(01x250MTS)</v>
      </c>
      <c r="AO77" s="691">
        <f>IF('[1]Data 2026'!AM89="","",'[1]Data 2026'!AM89)</f>
        <v>275</v>
      </c>
      <c r="AP77" s="691" t="str">
        <f t="shared" si="16"/>
        <v/>
      </c>
      <c r="AQ77" s="685" t="str">
        <f>IF('[1]Data 2026'!AO89="","",'[1]Data 2026'!AO89)</f>
        <v/>
      </c>
      <c r="AR77" s="685" t="str">
        <f>IF('[1]Data 2026'!AP89="","",'[1]Data 2026'!AP89)</f>
        <v/>
      </c>
      <c r="AS77" s="685" t="str">
        <f>IF('[1]Data 2026'!AQ89="","",'[1]Data 2026'!AQ89)</f>
        <v/>
      </c>
      <c r="AT77" s="685" t="str">
        <f>IF('[1]Data 2026'!AR89="","",'[1]Data 2026'!AR89)</f>
        <v/>
      </c>
      <c r="AU77" s="685" t="str">
        <f>IF('[1]Data 2026'!AW89="","",'[1]Data 2026'!AW89)</f>
        <v/>
      </c>
      <c r="AV77" s="685" t="str">
        <f>IF('[1]Data 2026'!AX89="","",'[1]Data 2026'!AX89)</f>
        <v/>
      </c>
      <c r="AW77" s="685" t="str">
        <f>IF('[1]Data 2026'!AY89="","",'[1]Data 2026'!AY89)</f>
        <v/>
      </c>
      <c r="AX77" s="685" t="str">
        <f>IF('[1]Data 2026'!AZ89="","",'[1]Data 2026'!AZ89)</f>
        <v/>
      </c>
      <c r="AY77" s="685" t="str">
        <f>IF('[1]Data 2026'!BA89="","",'[1]Data 2026'!BA89)</f>
        <v/>
      </c>
      <c r="AZ77" s="685" t="str">
        <f>IF('[1]Data 2026'!AS89="","",'[1]Data 2026'!AS89)</f>
        <v/>
      </c>
      <c r="BA77" s="685" t="str">
        <f>IF('[1]Data 2026'!AT89="","",'[1]Data 2026'!AT89)</f>
        <v/>
      </c>
      <c r="BB77" s="685" t="str">
        <f>IF('[1]Data 2026'!AU89="","",'[1]Data 2026'!AU89)</f>
        <v/>
      </c>
      <c r="BC77" s="685" t="str">
        <f>IF('[1]Data 2026'!AV89="","",'[1]Data 2026'!AV89)</f>
        <v/>
      </c>
      <c r="BD77" s="685" t="str">
        <f>IF('[1]Data 2026'!AW89="","",'[1]Data 2026'!AW89)</f>
        <v/>
      </c>
      <c r="BE77" s="685" t="str">
        <f>IF('[1]Data 2026'!AX89="","",'[1]Data 2026'!AX89)</f>
        <v/>
      </c>
      <c r="BF77" s="685" t="str">
        <f>IF('[1]Data 2026'!BF89="","",'[1]Data 2026'!BF89)</f>
        <v>VALENCY INTERNATIONAL CI</v>
      </c>
      <c r="BG77" s="685" t="str">
        <f>IF('[1]Data 2026'!BG89="","",'[1]Data 2026'!BG89)</f>
        <v/>
      </c>
      <c r="BH77" s="685" t="str">
        <f>IF('[1]Data 2026'!BH89="","",'[1]Data 2026'!BH89)</f>
        <v/>
      </c>
      <c r="BI77" s="685" t="str">
        <f>IF('[1]Data 2026'!BI89="","",'[1]Data 2026'!BI89)</f>
        <v/>
      </c>
      <c r="BJ77" s="685" t="str">
        <f>IF('[1]Data 2026'!BJ89="","",'[1]Data 2026'!BJ89)</f>
        <v/>
      </c>
      <c r="BK77" s="685" t="str">
        <f>IF('[1]Data 2026'!BK89="","",'[1]Data 2026'!BK89)</f>
        <v/>
      </c>
      <c r="BL77" s="685" t="str">
        <f>IF('[1]Data 2026'!BL89="","",'[1]Data 2026'!BL89)</f>
        <v>AFIC</v>
      </c>
      <c r="BM77" s="685" t="str">
        <f>IF('[1]Data 2026'!BM89="","",'[1]Data 2026'!BM89)</f>
        <v/>
      </c>
      <c r="BN77" s="685" t="str">
        <f>IF('[1]Data 2026'!BN89="","",'[1]Data 2026'!BN89)</f>
        <v/>
      </c>
      <c r="BO77" s="685" t="str">
        <f>IF('[1]Data 2026'!BO89="","",'[1]Data 2026'!BO89)</f>
        <v/>
      </c>
      <c r="BP77" s="685" t="str">
        <f>IF('[1]Data 2026'!BP89="","",'[1]Data 2026'!BP89)</f>
        <v/>
      </c>
      <c r="BQ77" s="685" t="str">
        <f>IF('[1]Data 2026'!BQ89="","",'[1]Data 2026'!BQ89)</f>
        <v/>
      </c>
      <c r="BR77" s="685" t="str">
        <f>IF('[1]Data 2026'!BR89="","",'[1]Data 2026'!BR89)</f>
        <v/>
      </c>
      <c r="BS77" s="685" t="str">
        <f>IF('[1]Data 2026'!BS89="","",'[1]Data 2026'!BS89)</f>
        <v/>
      </c>
      <c r="BT77" s="685" t="str">
        <f>IF('[1]Data 2026'!BV89="","",'[1]Data 2026'!BV89)</f>
        <v>RABO/STEINWEG</v>
      </c>
      <c r="BU77" s="685" t="str">
        <f>IF('[1]Data 2026'!BW89="","",'[1]Data 2026'!BW89)</f>
        <v/>
      </c>
      <c r="BV77" s="685" t="str">
        <f>IF('[1]Data 2026'!BX89="","",'[1]Data 2026'!BX89)</f>
        <v/>
      </c>
      <c r="BW77" s="685" t="str">
        <f>IF('[1]Data 2026'!BY89="","",'[1]Data 2026'!BY89)</f>
        <v/>
      </c>
      <c r="BX77" s="685" t="str">
        <f>IF('[1]Data 2026'!BZ89="","",'[1]Data 2026'!BZ89)</f>
        <v/>
      </c>
      <c r="BY77" s="685" t="str">
        <f>IF('[1]Data 2026'!CA89="","",'[1]Data 2026'!CA89)</f>
        <v/>
      </c>
      <c r="BZ77" s="685" t="str">
        <f>IF('[1]Data 2026'!CB89="","",'[1]Data 2026'!CB89)</f>
        <v/>
      </c>
      <c r="CA77" s="685" t="str">
        <f>IF('[1]Data 2026'!CC89="","",'[1]Data 2026'!CC89)</f>
        <v/>
      </c>
      <c r="CB77" s="685" t="str">
        <f>IF('[1]Data 2026'!CD89="","",'[1]Data 2026'!CD89)</f>
        <v/>
      </c>
      <c r="CC77" s="685" t="str">
        <f>IF('[1]Data 2026'!CE89="","",'[1]Data 2026'!CE89)</f>
        <v/>
      </c>
      <c r="CD77" s="685" t="str">
        <f>IF('[1]Data 2026'!CF89="","",'[1]Data 2026'!CF89)</f>
        <v/>
      </c>
      <c r="CE77" s="685" t="str">
        <f>IF('[1]Data 2026'!CG89="","",'[1]Data 2026'!CG89)</f>
        <v/>
      </c>
      <c r="CF77" s="685" t="str">
        <f>IF('[1]Data 2026'!CH89="","",'[1]Data 2026'!CH89)</f>
        <v/>
      </c>
      <c r="CG77" s="685" t="str">
        <f>IF('[1]Data 2026'!CI89="","",'[1]Data 2026'!CI89)</f>
        <v/>
      </c>
      <c r="CH77" s="685" t="str">
        <f>IF('[1]Data 2026'!CJ89="","",'[1]Data 2026'!CJ89)</f>
        <v/>
      </c>
      <c r="CI77" s="685" t="str">
        <f>IF('[1]Data 2026'!CK89="","",'[1]Data 2026'!CK89)</f>
        <v/>
      </c>
      <c r="CJ77" s="685" t="str">
        <f>IF('[1]Data 2026'!CM89="","",'[1]Data 2026'!CM89)</f>
        <v/>
      </c>
      <c r="CK77" s="685" t="str">
        <f>IF('[1]Data 2026'!CN89="","",'[1]Data 2026'!CN89)</f>
        <v/>
      </c>
      <c r="CL77" s="691"/>
      <c r="CM77" s="691" t="str">
        <f>IF('[1]Data 2026'!CP89="","",'[1]Data 2026'!CP89)</f>
        <v/>
      </c>
      <c r="CN77" s="691"/>
      <c r="CO77" s="419"/>
      <c r="CP77" s="419"/>
      <c r="CQ77" s="419"/>
      <c r="CR77" s="686">
        <f t="shared" si="17"/>
        <v>0</v>
      </c>
      <c r="CS77" s="686">
        <f t="shared" si="17"/>
        <v>1</v>
      </c>
      <c r="CT77" s="686" t="str">
        <f t="shared" si="17"/>
        <v/>
      </c>
      <c r="CU77" s="686" t="str">
        <f t="shared" si="18"/>
        <v/>
      </c>
      <c r="CV77" s="686" t="str">
        <f t="shared" si="19"/>
        <v/>
      </c>
      <c r="CW77" s="685" t="str">
        <f t="shared" si="23"/>
        <v/>
      </c>
      <c r="CX77" s="685" t="str">
        <f t="shared" si="24"/>
        <v/>
      </c>
      <c r="CY77" s="693">
        <f t="shared" ca="1" si="20"/>
        <v>0</v>
      </c>
      <c r="CZ77" s="693" t="str">
        <f t="shared" si="21"/>
        <v/>
      </c>
    </row>
    <row r="78" spans="1:107">
      <c r="A78" s="682" t="str">
        <f t="shared" si="13"/>
        <v>E. STUFFED, GATE IN AWAITED</v>
      </c>
      <c r="B78" s="699" t="s">
        <v>1205</v>
      </c>
      <c r="C78" s="684" t="str">
        <f t="shared" si="14"/>
        <v>CLOSED POSITION</v>
      </c>
      <c r="D78" s="685" t="str">
        <f t="shared" si="22"/>
        <v/>
      </c>
      <c r="E78" s="685" t="str">
        <f t="shared" si="15"/>
        <v/>
      </c>
      <c r="F78" s="686">
        <f>IF('[1]Data 2026'!D90="","",'[1]Data 2026'!D90)</f>
        <v>45</v>
      </c>
      <c r="G78" s="686">
        <f>IF('[1]Data 2026'!E90="","",'[1]Data 2026'!E90)</f>
        <v>200</v>
      </c>
      <c r="H78" s="687" t="str">
        <f>IF('[1]Data 2026'!H90="","",'[1]Data 2026'!H90)</f>
        <v>32016315-2</v>
      </c>
      <c r="I78" s="688">
        <f>IF('[1]Data 2026'!AA90="","",'[1]Data 2026'!AA90)</f>
        <v>250</v>
      </c>
      <c r="J78" s="685" t="str">
        <f>IF('[1]Data 2026'!K90="","",'[1]Data 2026'!K90)</f>
        <v>MAY-15th JUNE 2026</v>
      </c>
      <c r="K78" s="685">
        <v>46203</v>
      </c>
      <c r="L78" s="685" t="str">
        <f>IF('[1]Data 2026'!L90="","",'[1]Data 2026'!L90)</f>
        <v>VALENCY CI</v>
      </c>
      <c r="M78" s="685" t="str">
        <f>IF('[1]Data 2026'!M90="","",'[1]Data 2026'!M90)</f>
        <v>VIET PHI AGRICULTURE</v>
      </c>
      <c r="N78" s="685" t="s">
        <v>1194</v>
      </c>
      <c r="O78" s="689">
        <f>IF('[1]Data 2026'!N90="","",'[1]Data 2026'!N90)</f>
        <v>4055159300</v>
      </c>
      <c r="P78" s="690" t="str">
        <f>IF('[1]Data 2026'!O90="","",'[1]Data 2026'!O90)</f>
        <v/>
      </c>
      <c r="Q78" s="685" t="str">
        <f>IF('[1]Data 2026'!P90="","",'[1]Data 2026'!P90)</f>
        <v/>
      </c>
      <c r="R78" s="685" t="str">
        <f>IF('[1]Data 2026'!Q90="","",'[1]Data 2026'!Q90)</f>
        <v>ABJ</v>
      </c>
      <c r="S78" s="685" t="s">
        <v>347</v>
      </c>
      <c r="T78" s="685" t="str">
        <f>IF('[1]Data 2026'!R90="","",'[1]Data 2026'!R90)</f>
        <v>HCMC, VIETNAM</v>
      </c>
      <c r="U78" s="685" t="str">
        <f>IF('[1]Data 2026'!S90="","",'[1]Data 2026'!S90)</f>
        <v>NORTHERN MAJESTIC</v>
      </c>
      <c r="V78" s="685">
        <f>IF('[1]Data 2026'!T90="","",'[1]Data 2026'!T90)</f>
        <v>46161</v>
      </c>
      <c r="W78" s="685">
        <f>IF('[1]Data 2026'!U90="","",'[1]Data 2026'!U90)</f>
        <v>46161</v>
      </c>
      <c r="X78" s="685">
        <f>IF('[1]Data 2026'!V90="","",'[1]Data 2026'!V90)</f>
        <v>46162</v>
      </c>
      <c r="Y78" s="685" t="str">
        <f>IF('[1]Data 2026'!W90="","",'[1]Data 2026'!W90)</f>
        <v/>
      </c>
      <c r="Z78" s="685" t="str">
        <f>IF('[1]Data 2026'!X90="","",'[1]Data 2026'!X90)</f>
        <v/>
      </c>
      <c r="AA78" s="685"/>
      <c r="AB78" s="685">
        <f>IF('[1]Data 2026'!Y90="","",'[1]Data 2026'!Y90)</f>
        <v>46181</v>
      </c>
      <c r="AC78" s="685" t="str">
        <f>IF('[1]Data 2026'!Z90="","",'[1]Data 2026'!Z90)</f>
        <v/>
      </c>
      <c r="AD78" s="691">
        <f>IF('[1]Data 2026'!AA90="","",'[1]Data 2026'!AA90)</f>
        <v>250</v>
      </c>
      <c r="AE78" s="691">
        <f>IF('[1]Data 2026'!AB90="","",'[1]Data 2026'!AB90)</f>
        <v>250</v>
      </c>
      <c r="AF78" s="685">
        <f>IF('[1]Data 2026'!AC90="","",'[1]Data 2026'!AC90)</f>
        <v>45823</v>
      </c>
      <c r="AG78" s="685" t="str">
        <f>IF('[1]Data 2026'!AD90="","",'[1]Data 2026'!AD90)</f>
        <v>PK34</v>
      </c>
      <c r="AH78" s="686">
        <f>IF('[1]Data 2026'!AE90="","",'[1]Data 2026'!AE90)</f>
        <v>10</v>
      </c>
      <c r="AI78" s="685" t="str">
        <f>IF('[1]Data 2026'!AG90="","",'[1]Data 2026'!AG90)</f>
        <v>VALENCY INTERNATIONAL CI</v>
      </c>
      <c r="AJ78" s="685" t="str">
        <f>IF('[1]Data 2026'!AH90="","",'[1]Data 2026'!AH90)</f>
        <v>AFIC</v>
      </c>
      <c r="AK78" s="685" t="str">
        <f>IF('[1]Data 2026'!AI90="","",'[1]Data 2026'!AI90)</f>
        <v>OOCL</v>
      </c>
      <c r="AL78" s="685" t="str">
        <f>IF('[1]Data 2026'!AJ90="","",'[1]Data 2026'!AJ90)</f>
        <v>40FT</v>
      </c>
      <c r="AM78" s="692">
        <f>IF('[1]Data 2026'!AK90="","",'[1]Data 2026'!AK90)</f>
        <v>0.1</v>
      </c>
      <c r="AN78" s="685" t="str">
        <f>IF('[1]Data 2026'!AL90="","",'[1]Data 2026'!AL90)</f>
        <v>(01x250MTS)</v>
      </c>
      <c r="AO78" s="691">
        <f>IF('[1]Data 2026'!AM90="","",'[1]Data 2026'!AM90)</f>
        <v>275</v>
      </c>
      <c r="AP78" s="691" t="str">
        <f t="shared" si="16"/>
        <v/>
      </c>
      <c r="AQ78" s="685" t="str">
        <f>IF('[1]Data 2026'!AO90="","",'[1]Data 2026'!AO90)</f>
        <v/>
      </c>
      <c r="AR78" s="685" t="str">
        <f>IF('[1]Data 2026'!AP90="","",'[1]Data 2026'!AP90)</f>
        <v/>
      </c>
      <c r="AS78" s="685" t="str">
        <f>IF('[1]Data 2026'!AQ90="","",'[1]Data 2026'!AQ90)</f>
        <v/>
      </c>
      <c r="AT78" s="685" t="str">
        <f>IF('[1]Data 2026'!AR90="","",'[1]Data 2026'!AR90)</f>
        <v/>
      </c>
      <c r="AU78" s="685" t="str">
        <f>IF('[1]Data 2026'!AW90="","",'[1]Data 2026'!AW90)</f>
        <v/>
      </c>
      <c r="AV78" s="685" t="str">
        <f>IF('[1]Data 2026'!AX90="","",'[1]Data 2026'!AX90)</f>
        <v/>
      </c>
      <c r="AW78" s="685" t="str">
        <f>IF('[1]Data 2026'!AY90="","",'[1]Data 2026'!AY90)</f>
        <v/>
      </c>
      <c r="AX78" s="685" t="str">
        <f>IF('[1]Data 2026'!AZ90="","",'[1]Data 2026'!AZ90)</f>
        <v/>
      </c>
      <c r="AY78" s="685" t="str">
        <f>IF('[1]Data 2026'!BA90="","",'[1]Data 2026'!BA90)</f>
        <v/>
      </c>
      <c r="AZ78" s="685" t="str">
        <f>IF('[1]Data 2026'!AS90="","",'[1]Data 2026'!AS90)</f>
        <v/>
      </c>
      <c r="BA78" s="685" t="str">
        <f>IF('[1]Data 2026'!AT90="","",'[1]Data 2026'!AT90)</f>
        <v/>
      </c>
      <c r="BB78" s="685" t="str">
        <f>IF('[1]Data 2026'!AU90="","",'[1]Data 2026'!AU90)</f>
        <v/>
      </c>
      <c r="BC78" s="685" t="str">
        <f>IF('[1]Data 2026'!AV90="","",'[1]Data 2026'!AV90)</f>
        <v/>
      </c>
      <c r="BD78" s="685" t="str">
        <f>IF('[1]Data 2026'!AW90="","",'[1]Data 2026'!AW90)</f>
        <v/>
      </c>
      <c r="BE78" s="685" t="str">
        <f>IF('[1]Data 2026'!AX90="","",'[1]Data 2026'!AX90)</f>
        <v/>
      </c>
      <c r="BF78" s="685" t="str">
        <f>IF('[1]Data 2026'!BF90="","",'[1]Data 2026'!BF90)</f>
        <v>VALENCY INTERNATIONAL CI</v>
      </c>
      <c r="BG78" s="685" t="str">
        <f>IF('[1]Data 2026'!BG90="","",'[1]Data 2026'!BG90)</f>
        <v/>
      </c>
      <c r="BH78" s="685" t="str">
        <f>IF('[1]Data 2026'!BH90="","",'[1]Data 2026'!BH90)</f>
        <v/>
      </c>
      <c r="BI78" s="685" t="str">
        <f>IF('[1]Data 2026'!BI90="","",'[1]Data 2026'!BI90)</f>
        <v/>
      </c>
      <c r="BJ78" s="685" t="str">
        <f>IF('[1]Data 2026'!BJ90="","",'[1]Data 2026'!BJ90)</f>
        <v/>
      </c>
      <c r="BK78" s="685" t="str">
        <f>IF('[1]Data 2026'!BK90="","",'[1]Data 2026'!BK90)</f>
        <v/>
      </c>
      <c r="BL78" s="685" t="str">
        <f>IF('[1]Data 2026'!BL90="","",'[1]Data 2026'!BL90)</f>
        <v>AFIC</v>
      </c>
      <c r="BM78" s="685" t="str">
        <f>IF('[1]Data 2026'!BM90="","",'[1]Data 2026'!BM90)</f>
        <v/>
      </c>
      <c r="BN78" s="685" t="str">
        <f>IF('[1]Data 2026'!BN90="","",'[1]Data 2026'!BN90)</f>
        <v/>
      </c>
      <c r="BO78" s="685" t="str">
        <f>IF('[1]Data 2026'!BO90="","",'[1]Data 2026'!BO90)</f>
        <v/>
      </c>
      <c r="BP78" s="685" t="str">
        <f>IF('[1]Data 2026'!BP90="","",'[1]Data 2026'!BP90)</f>
        <v/>
      </c>
      <c r="BQ78" s="685" t="str">
        <f>IF('[1]Data 2026'!BQ90="","",'[1]Data 2026'!BQ90)</f>
        <v/>
      </c>
      <c r="BR78" s="685" t="str">
        <f>IF('[1]Data 2026'!BR90="","",'[1]Data 2026'!BR90)</f>
        <v/>
      </c>
      <c r="BS78" s="685" t="str">
        <f>IF('[1]Data 2026'!BS90="","",'[1]Data 2026'!BS90)</f>
        <v/>
      </c>
      <c r="BT78" s="685" t="str">
        <f>IF('[1]Data 2026'!BV90="","",'[1]Data 2026'!BV90)</f>
        <v>RABO/STEINWEG</v>
      </c>
      <c r="BU78" s="685" t="str">
        <f>IF('[1]Data 2026'!BW90="","",'[1]Data 2026'!BW90)</f>
        <v/>
      </c>
      <c r="BV78" s="685" t="str">
        <f>IF('[1]Data 2026'!BX90="","",'[1]Data 2026'!BX90)</f>
        <v/>
      </c>
      <c r="BW78" s="685" t="str">
        <f>IF('[1]Data 2026'!BY90="","",'[1]Data 2026'!BY90)</f>
        <v/>
      </c>
      <c r="BX78" s="685" t="str">
        <f>IF('[1]Data 2026'!BZ90="","",'[1]Data 2026'!BZ90)</f>
        <v/>
      </c>
      <c r="BY78" s="685" t="str">
        <f>IF('[1]Data 2026'!CA90="","",'[1]Data 2026'!CA90)</f>
        <v/>
      </c>
      <c r="BZ78" s="685" t="str">
        <f>IF('[1]Data 2026'!CB90="","",'[1]Data 2026'!CB90)</f>
        <v/>
      </c>
      <c r="CA78" s="685" t="str">
        <f>IF('[1]Data 2026'!CC90="","",'[1]Data 2026'!CC90)</f>
        <v/>
      </c>
      <c r="CB78" s="685" t="str">
        <f>IF('[1]Data 2026'!CD90="","",'[1]Data 2026'!CD90)</f>
        <v/>
      </c>
      <c r="CC78" s="685" t="str">
        <f>IF('[1]Data 2026'!CE90="","",'[1]Data 2026'!CE90)</f>
        <v/>
      </c>
      <c r="CD78" s="685" t="str">
        <f>IF('[1]Data 2026'!CF90="","",'[1]Data 2026'!CF90)</f>
        <v/>
      </c>
      <c r="CE78" s="685" t="str">
        <f>IF('[1]Data 2026'!CG90="","",'[1]Data 2026'!CG90)</f>
        <v/>
      </c>
      <c r="CF78" s="685" t="str">
        <f>IF('[1]Data 2026'!CH90="","",'[1]Data 2026'!CH90)</f>
        <v/>
      </c>
      <c r="CG78" s="685" t="str">
        <f>IF('[1]Data 2026'!CI90="","",'[1]Data 2026'!CI90)</f>
        <v/>
      </c>
      <c r="CH78" s="685" t="str">
        <f>IF('[1]Data 2026'!CJ90="","",'[1]Data 2026'!CJ90)</f>
        <v/>
      </c>
      <c r="CI78" s="685" t="str">
        <f>IF('[1]Data 2026'!CK90="","",'[1]Data 2026'!CK90)</f>
        <v/>
      </c>
      <c r="CJ78" s="685" t="str">
        <f>IF('[1]Data 2026'!CM90="","",'[1]Data 2026'!CM90)</f>
        <v/>
      </c>
      <c r="CK78" s="685" t="str">
        <f>IF('[1]Data 2026'!CN90="","",'[1]Data 2026'!CN90)</f>
        <v/>
      </c>
      <c r="CL78" s="691"/>
      <c r="CM78" s="691" t="str">
        <f>IF('[1]Data 2026'!CP90="","",'[1]Data 2026'!CP90)</f>
        <v/>
      </c>
      <c r="CN78" s="691"/>
      <c r="CO78" s="419"/>
      <c r="CP78" s="419"/>
      <c r="CQ78" s="419"/>
      <c r="CR78" s="686">
        <f t="shared" si="17"/>
        <v>0</v>
      </c>
      <c r="CS78" s="686">
        <f t="shared" si="17"/>
        <v>1</v>
      </c>
      <c r="CT78" s="686" t="str">
        <f t="shared" si="17"/>
        <v/>
      </c>
      <c r="CU78" s="686" t="str">
        <f t="shared" si="18"/>
        <v/>
      </c>
      <c r="CV78" s="686" t="str">
        <f t="shared" si="19"/>
        <v/>
      </c>
      <c r="CW78" s="685" t="str">
        <f t="shared" si="23"/>
        <v/>
      </c>
      <c r="CX78" s="685" t="str">
        <f t="shared" si="24"/>
        <v/>
      </c>
      <c r="CY78" s="693">
        <f t="shared" ca="1" si="20"/>
        <v>0</v>
      </c>
      <c r="CZ78" s="693" t="str">
        <f t="shared" si="21"/>
        <v/>
      </c>
    </row>
    <row r="79" spans="1:107">
      <c r="A79" s="682" t="str">
        <f t="shared" si="13"/>
        <v>C. CONTAINER RCVD, STUFFING AWAITED</v>
      </c>
      <c r="B79" s="699" t="s">
        <v>1206</v>
      </c>
      <c r="C79" s="684" t="str">
        <f t="shared" si="14"/>
        <v>LONG POSITION</v>
      </c>
      <c r="D79" s="685" t="str">
        <f t="shared" si="22"/>
        <v/>
      </c>
      <c r="E79" s="685" t="str">
        <f t="shared" si="15"/>
        <v/>
      </c>
      <c r="F79" s="686">
        <f>IF('[1]Data 2026'!D91="","",'[1]Data 2026'!D91)</f>
        <v>47</v>
      </c>
      <c r="G79" s="686">
        <f>IF('[1]Data 2026'!E91="","",'[1]Data 2026'!E91)</f>
        <v>200</v>
      </c>
      <c r="H79" s="687" t="str">
        <f>IF('[1]Data 2026'!H91="","",'[1]Data 2026'!H91)</f>
        <v>TBA</v>
      </c>
      <c r="I79" s="688">
        <f>IF('[1]Data 2026'!AA91="","",'[1]Data 2026'!AA91)</f>
        <v>250</v>
      </c>
      <c r="J79" s="685" t="str">
        <f>IF('[1]Data 2026'!K91="","",'[1]Data 2026'!K91)</f>
        <v>MAY-15th JUNE 2026</v>
      </c>
      <c r="K79" s="685">
        <v>46203</v>
      </c>
      <c r="L79" s="685" t="str">
        <f>IF('[1]Data 2026'!L91="","",'[1]Data 2026'!L91)</f>
        <v>VALENCY CI</v>
      </c>
      <c r="M79" s="685" t="str">
        <f>IF('[1]Data 2026'!M91="","",'[1]Data 2026'!M91)</f>
        <v>VALENCY VIETNAM-UNSOLD</v>
      </c>
      <c r="N79" s="685" t="s">
        <v>1194</v>
      </c>
      <c r="O79" s="689" t="str">
        <f>IF('[1]Data 2026'!N91="","",'[1]Data 2026'!N91)</f>
        <v>COSU6500597960-1</v>
      </c>
      <c r="P79" s="690" t="str">
        <f>IF('[1]Data 2026'!O91="","",'[1]Data 2026'!O91)</f>
        <v/>
      </c>
      <c r="Q79" s="685" t="str">
        <f>IF('[1]Data 2026'!P91="","",'[1]Data 2026'!P91)</f>
        <v/>
      </c>
      <c r="R79" s="685" t="str">
        <f>IF('[1]Data 2026'!Q91="","",'[1]Data 2026'!Q91)</f>
        <v>ABJ</v>
      </c>
      <c r="S79" s="685" t="s">
        <v>347</v>
      </c>
      <c r="T79" s="685" t="str">
        <f>IF('[1]Data 2026'!R91="","",'[1]Data 2026'!R91)</f>
        <v>HCMC, VIETNAM</v>
      </c>
      <c r="U79" s="685" t="str">
        <f>IF('[1]Data 2026'!S91="","",'[1]Data 2026'!S91)</f>
        <v>NORTHERN MAJESTIC</v>
      </c>
      <c r="V79" s="685">
        <f>IF('[1]Data 2026'!T91="","",'[1]Data 2026'!T91)</f>
        <v>46165</v>
      </c>
      <c r="W79" s="685" t="str">
        <f>IF('[1]Data 2026'!U91="","",'[1]Data 2026'!U91)</f>
        <v/>
      </c>
      <c r="X79" s="685" t="str">
        <f>IF('[1]Data 2026'!V91="","",'[1]Data 2026'!V91)</f>
        <v/>
      </c>
      <c r="Y79" s="685" t="str">
        <f>IF('[1]Data 2026'!W91="","",'[1]Data 2026'!W91)</f>
        <v/>
      </c>
      <c r="Z79" s="685" t="str">
        <f>IF('[1]Data 2026'!X91="","",'[1]Data 2026'!X91)</f>
        <v/>
      </c>
      <c r="AA79" s="685"/>
      <c r="AB79" s="685">
        <f>IF('[1]Data 2026'!Y91="","",'[1]Data 2026'!Y91)</f>
        <v>46181</v>
      </c>
      <c r="AC79" s="685" t="str">
        <f>IF('[1]Data 2026'!Z91="","",'[1]Data 2026'!Z91)</f>
        <v/>
      </c>
      <c r="AD79" s="691">
        <f>IF('[1]Data 2026'!AA91="","",'[1]Data 2026'!AA91)</f>
        <v>250</v>
      </c>
      <c r="AE79" s="691">
        <f>IF('[1]Data 2026'!AB91="","",'[1]Data 2026'!AB91)</f>
        <v>250</v>
      </c>
      <c r="AF79" s="685">
        <f>IF('[1]Data 2026'!AC91="","",'[1]Data 2026'!AC91)</f>
        <v>45823</v>
      </c>
      <c r="AG79" s="685" t="str">
        <f>IF('[1]Data 2026'!AD91="","",'[1]Data 2026'!AD91)</f>
        <v>WH-C</v>
      </c>
      <c r="AH79" s="686">
        <f>IF('[1]Data 2026'!AE91="","",'[1]Data 2026'!AE91)</f>
        <v>10</v>
      </c>
      <c r="AI79" s="685" t="str">
        <f>IF('[1]Data 2026'!AG91="","",'[1]Data 2026'!AG91)</f>
        <v>Diamond Shipping Services</v>
      </c>
      <c r="AJ79" s="685" t="str">
        <f>IF('[1]Data 2026'!AH91="","",'[1]Data 2026'!AH91)</f>
        <v>DUNAMIS/SITRACOM</v>
      </c>
      <c r="AK79" s="685" t="str">
        <f>IF('[1]Data 2026'!AI91="","",'[1]Data 2026'!AI91)</f>
        <v>COSCO</v>
      </c>
      <c r="AL79" s="685" t="str">
        <f>IF('[1]Data 2026'!AJ91="","",'[1]Data 2026'!AJ91)</f>
        <v>40FT</v>
      </c>
      <c r="AM79" s="692">
        <f>IF('[1]Data 2026'!AK91="","",'[1]Data 2026'!AK91)</f>
        <v>0.1</v>
      </c>
      <c r="AN79" s="685" t="str">
        <f>IF('[1]Data 2026'!AL91="","",'[1]Data 2026'!AL91)</f>
        <v>(01x250MTS)</v>
      </c>
      <c r="AO79" s="691">
        <f>IF('[1]Data 2026'!AM91="","",'[1]Data 2026'!AM91)</f>
        <v>275</v>
      </c>
      <c r="AP79" s="691" t="str">
        <f t="shared" si="16"/>
        <v/>
      </c>
      <c r="AQ79" s="685" t="str">
        <f>IF('[1]Data 2026'!AO91="","",'[1]Data 2026'!AO91)</f>
        <v/>
      </c>
      <c r="AR79" s="685" t="str">
        <f>IF('[1]Data 2026'!AP91="","",'[1]Data 2026'!AP91)</f>
        <v/>
      </c>
      <c r="AS79" s="685" t="str">
        <f>IF('[1]Data 2026'!AQ91="","",'[1]Data 2026'!AQ91)</f>
        <v/>
      </c>
      <c r="AT79" s="685" t="str">
        <f>IF('[1]Data 2026'!AR91="","",'[1]Data 2026'!AR91)</f>
        <v/>
      </c>
      <c r="AU79" s="685" t="str">
        <f>IF('[1]Data 2026'!AW91="","",'[1]Data 2026'!AW91)</f>
        <v/>
      </c>
      <c r="AV79" s="685" t="str">
        <f>IF('[1]Data 2026'!AX91="","",'[1]Data 2026'!AX91)</f>
        <v/>
      </c>
      <c r="AW79" s="685" t="str">
        <f>IF('[1]Data 2026'!AY91="","",'[1]Data 2026'!AY91)</f>
        <v/>
      </c>
      <c r="AX79" s="685" t="str">
        <f>IF('[1]Data 2026'!AZ91="","",'[1]Data 2026'!AZ91)</f>
        <v/>
      </c>
      <c r="AY79" s="685" t="str">
        <f>IF('[1]Data 2026'!BA91="","",'[1]Data 2026'!BA91)</f>
        <v/>
      </c>
      <c r="AZ79" s="685" t="str">
        <f>IF('[1]Data 2026'!AS91="","",'[1]Data 2026'!AS91)</f>
        <v/>
      </c>
      <c r="BA79" s="685" t="str">
        <f>IF('[1]Data 2026'!AT91="","",'[1]Data 2026'!AT91)</f>
        <v/>
      </c>
      <c r="BB79" s="685" t="str">
        <f>IF('[1]Data 2026'!AU91="","",'[1]Data 2026'!AU91)</f>
        <v/>
      </c>
      <c r="BC79" s="685" t="str">
        <f>IF('[1]Data 2026'!AV91="","",'[1]Data 2026'!AV91)</f>
        <v/>
      </c>
      <c r="BD79" s="685" t="str">
        <f>IF('[1]Data 2026'!AW91="","",'[1]Data 2026'!AW91)</f>
        <v/>
      </c>
      <c r="BE79" s="685" t="str">
        <f>IF('[1]Data 2026'!AX91="","",'[1]Data 2026'!AX91)</f>
        <v/>
      </c>
      <c r="BF79" s="685" t="str">
        <f>IF('[1]Data 2026'!BF91="","",'[1]Data 2026'!BF91)</f>
        <v>Diamond Shipping Services</v>
      </c>
      <c r="BG79" s="685" t="str">
        <f>IF('[1]Data 2026'!BG91="","",'[1]Data 2026'!BG91)</f>
        <v/>
      </c>
      <c r="BH79" s="685" t="str">
        <f>IF('[1]Data 2026'!BH91="","",'[1]Data 2026'!BH91)</f>
        <v/>
      </c>
      <c r="BI79" s="685" t="str">
        <f>IF('[1]Data 2026'!BI91="","",'[1]Data 2026'!BI91)</f>
        <v/>
      </c>
      <c r="BJ79" s="685" t="str">
        <f>IF('[1]Data 2026'!BJ91="","",'[1]Data 2026'!BJ91)</f>
        <v/>
      </c>
      <c r="BK79" s="685" t="str">
        <f>IF('[1]Data 2026'!BK91="","",'[1]Data 2026'!BK91)</f>
        <v/>
      </c>
      <c r="BL79" s="685" t="str">
        <f>IF('[1]Data 2026'!BL91="","",'[1]Data 2026'!BL91)</f>
        <v>DUNAMIS/SITRACOM</v>
      </c>
      <c r="BM79" s="685" t="str">
        <f>IF('[1]Data 2026'!BM91="","",'[1]Data 2026'!BM91)</f>
        <v/>
      </c>
      <c r="BN79" s="685" t="str">
        <f>IF('[1]Data 2026'!BN91="","",'[1]Data 2026'!BN91)</f>
        <v/>
      </c>
      <c r="BO79" s="685" t="str">
        <f>IF('[1]Data 2026'!BO91="","",'[1]Data 2026'!BO91)</f>
        <v/>
      </c>
      <c r="BP79" s="685" t="str">
        <f>IF('[1]Data 2026'!BP91="","",'[1]Data 2026'!BP91)</f>
        <v/>
      </c>
      <c r="BQ79" s="685" t="str">
        <f>IF('[1]Data 2026'!BQ91="","",'[1]Data 2026'!BQ91)</f>
        <v/>
      </c>
      <c r="BR79" s="685" t="str">
        <f>IF('[1]Data 2026'!BR91="","",'[1]Data 2026'!BR91)</f>
        <v/>
      </c>
      <c r="BS79" s="685" t="str">
        <f>IF('[1]Data 2026'!BS91="","",'[1]Data 2026'!BS91)</f>
        <v/>
      </c>
      <c r="BT79" s="685" t="str">
        <f>IF('[1]Data 2026'!BV91="","",'[1]Data 2026'!BV91)</f>
        <v/>
      </c>
      <c r="BU79" s="685" t="str">
        <f>IF('[1]Data 2026'!BW91="","",'[1]Data 2026'!BW91)</f>
        <v/>
      </c>
      <c r="BV79" s="685" t="str">
        <f>IF('[1]Data 2026'!BX91="","",'[1]Data 2026'!BX91)</f>
        <v/>
      </c>
      <c r="BW79" s="685" t="str">
        <f>IF('[1]Data 2026'!BY91="","",'[1]Data 2026'!BY91)</f>
        <v/>
      </c>
      <c r="BX79" s="685" t="str">
        <f>IF('[1]Data 2026'!BZ91="","",'[1]Data 2026'!BZ91)</f>
        <v/>
      </c>
      <c r="BY79" s="685" t="str">
        <f>IF('[1]Data 2026'!CA91="","",'[1]Data 2026'!CA91)</f>
        <v/>
      </c>
      <c r="BZ79" s="685" t="str">
        <f>IF('[1]Data 2026'!CB91="","",'[1]Data 2026'!CB91)</f>
        <v/>
      </c>
      <c r="CA79" s="685" t="str">
        <f>IF('[1]Data 2026'!CC91="","",'[1]Data 2026'!CC91)</f>
        <v/>
      </c>
      <c r="CB79" s="685" t="str">
        <f>IF('[1]Data 2026'!CD91="","",'[1]Data 2026'!CD91)</f>
        <v/>
      </c>
      <c r="CC79" s="685" t="str">
        <f>IF('[1]Data 2026'!CE91="","",'[1]Data 2026'!CE91)</f>
        <v/>
      </c>
      <c r="CD79" s="685" t="str">
        <f>IF('[1]Data 2026'!CF91="","",'[1]Data 2026'!CF91)</f>
        <v/>
      </c>
      <c r="CE79" s="685" t="str">
        <f>IF('[1]Data 2026'!CG91="","",'[1]Data 2026'!CG91)</f>
        <v/>
      </c>
      <c r="CF79" s="685" t="str">
        <f>IF('[1]Data 2026'!CH91="","",'[1]Data 2026'!CH91)</f>
        <v/>
      </c>
      <c r="CG79" s="685" t="str">
        <f>IF('[1]Data 2026'!CI91="","",'[1]Data 2026'!CI91)</f>
        <v/>
      </c>
      <c r="CH79" s="685" t="str">
        <f>IF('[1]Data 2026'!CJ91="","",'[1]Data 2026'!CJ91)</f>
        <v/>
      </c>
      <c r="CI79" s="685" t="str">
        <f>IF('[1]Data 2026'!CK91="","",'[1]Data 2026'!CK91)</f>
        <v/>
      </c>
      <c r="CJ79" s="685" t="str">
        <f>IF('[1]Data 2026'!CM91="","",'[1]Data 2026'!CM91)</f>
        <v/>
      </c>
      <c r="CK79" s="685" t="str">
        <f>IF('[1]Data 2026'!CN91="","",'[1]Data 2026'!CN91)</f>
        <v>Ajit</v>
      </c>
      <c r="CL79" s="691"/>
      <c r="CM79" s="691" t="str">
        <f>IF('[1]Data 2026'!CP91="","",'[1]Data 2026'!CP91)</f>
        <v/>
      </c>
      <c r="CN79" s="691"/>
      <c r="CO79" s="419"/>
      <c r="CP79" s="419"/>
      <c r="CQ79" s="419"/>
      <c r="CR79" s="686" t="str">
        <f t="shared" si="17"/>
        <v/>
      </c>
      <c r="CS79" s="686" t="str">
        <f t="shared" si="17"/>
        <v/>
      </c>
      <c r="CT79" s="686" t="str">
        <f t="shared" si="17"/>
        <v/>
      </c>
      <c r="CU79" s="686" t="str">
        <f t="shared" si="18"/>
        <v/>
      </c>
      <c r="CV79" s="686" t="str">
        <f t="shared" si="19"/>
        <v/>
      </c>
      <c r="CW79" s="685" t="str">
        <f t="shared" si="23"/>
        <v/>
      </c>
      <c r="CX79" s="685" t="str">
        <f t="shared" si="24"/>
        <v/>
      </c>
      <c r="CY79" s="693">
        <f t="shared" ca="1" si="20"/>
        <v>0</v>
      </c>
      <c r="CZ79" s="693" t="str">
        <f t="shared" si="21"/>
        <v/>
      </c>
    </row>
    <row r="80" spans="1:107">
      <c r="A80" s="682" t="str">
        <f t="shared" si="13"/>
        <v>C. CONTAINER RCVD, STUFFING AWAITED</v>
      </c>
      <c r="B80" s="699" t="s">
        <v>1206</v>
      </c>
      <c r="C80" s="684" t="str">
        <f t="shared" si="14"/>
        <v>LONG POSITION</v>
      </c>
      <c r="D80" s="685" t="str">
        <f t="shared" si="22"/>
        <v/>
      </c>
      <c r="E80" s="685" t="str">
        <f t="shared" si="15"/>
        <v/>
      </c>
      <c r="F80" s="686">
        <f>IF('[1]Data 2026'!D92="","",'[1]Data 2026'!D92)</f>
        <v>46</v>
      </c>
      <c r="G80" s="686">
        <f>IF('[1]Data 2026'!E92="","",'[1]Data 2026'!E92)</f>
        <v>200</v>
      </c>
      <c r="H80" s="687" t="str">
        <f>IF('[1]Data 2026'!H92="","",'[1]Data 2026'!H92)</f>
        <v>TBA</v>
      </c>
      <c r="I80" s="688">
        <f>IF('[1]Data 2026'!AA92="","",'[1]Data 2026'!AA92)</f>
        <v>250</v>
      </c>
      <c r="J80" s="685" t="str">
        <f>IF('[1]Data 2026'!K92="","",'[1]Data 2026'!K92)</f>
        <v>MAY-15th JUNE 2026</v>
      </c>
      <c r="K80" s="685">
        <v>46203</v>
      </c>
      <c r="L80" s="685" t="str">
        <f>IF('[1]Data 2026'!L92="","",'[1]Data 2026'!L92)</f>
        <v>VALENCY CI</v>
      </c>
      <c r="M80" s="685" t="str">
        <f>IF('[1]Data 2026'!M92="","",'[1]Data 2026'!M92)</f>
        <v>VALENCY VIETNAM-UNSOLD</v>
      </c>
      <c r="N80" s="685" t="s">
        <v>1194</v>
      </c>
      <c r="O80" s="689" t="str">
        <f>IF('[1]Data 2026'!N92="","",'[1]Data 2026'!N92)</f>
        <v>COSU6500597960-2</v>
      </c>
      <c r="P80" s="690" t="str">
        <f>IF('[1]Data 2026'!O92="","",'[1]Data 2026'!O92)</f>
        <v/>
      </c>
      <c r="Q80" s="685" t="str">
        <f>IF('[1]Data 2026'!P92="","",'[1]Data 2026'!P92)</f>
        <v/>
      </c>
      <c r="R80" s="685" t="str">
        <f>IF('[1]Data 2026'!Q92="","",'[1]Data 2026'!Q92)</f>
        <v>ABJ</v>
      </c>
      <c r="S80" s="685" t="s">
        <v>347</v>
      </c>
      <c r="T80" s="685" t="str">
        <f>IF('[1]Data 2026'!R92="","",'[1]Data 2026'!R92)</f>
        <v>HCMC, VIETNAM</v>
      </c>
      <c r="U80" s="685" t="str">
        <f>IF('[1]Data 2026'!S92="","",'[1]Data 2026'!S92)</f>
        <v>NORTHERN MAJESTIC</v>
      </c>
      <c r="V80" s="685">
        <f>IF('[1]Data 2026'!T92="","",'[1]Data 2026'!T92)</f>
        <v>46167</v>
      </c>
      <c r="W80" s="685" t="str">
        <f>IF('[1]Data 2026'!U92="","",'[1]Data 2026'!U92)</f>
        <v/>
      </c>
      <c r="X80" s="685" t="str">
        <f>IF('[1]Data 2026'!V92="","",'[1]Data 2026'!V92)</f>
        <v/>
      </c>
      <c r="Y80" s="685" t="str">
        <f>IF('[1]Data 2026'!W92="","",'[1]Data 2026'!W92)</f>
        <v/>
      </c>
      <c r="Z80" s="685" t="str">
        <f>IF('[1]Data 2026'!X92="","",'[1]Data 2026'!X92)</f>
        <v/>
      </c>
      <c r="AA80" s="685"/>
      <c r="AB80" s="685">
        <f>IF('[1]Data 2026'!Y92="","",'[1]Data 2026'!Y92)</f>
        <v>46181</v>
      </c>
      <c r="AC80" s="685" t="str">
        <f>IF('[1]Data 2026'!Z92="","",'[1]Data 2026'!Z92)</f>
        <v/>
      </c>
      <c r="AD80" s="691">
        <f>IF('[1]Data 2026'!AA92="","",'[1]Data 2026'!AA92)</f>
        <v>250</v>
      </c>
      <c r="AE80" s="691">
        <f>IF('[1]Data 2026'!AB92="","",'[1]Data 2026'!AB92)</f>
        <v>250</v>
      </c>
      <c r="AF80" s="685">
        <f>IF('[1]Data 2026'!AC92="","",'[1]Data 2026'!AC92)</f>
        <v>45823</v>
      </c>
      <c r="AG80" s="685" t="str">
        <f>IF('[1]Data 2026'!AD92="","",'[1]Data 2026'!AD92)</f>
        <v>WH-C</v>
      </c>
      <c r="AH80" s="686">
        <f>IF('[1]Data 2026'!AE92="","",'[1]Data 2026'!AE92)</f>
        <v>10</v>
      </c>
      <c r="AI80" s="685" t="str">
        <f>IF('[1]Data 2026'!AG92="","",'[1]Data 2026'!AG92)</f>
        <v>Diamond Shipping Services</v>
      </c>
      <c r="AJ80" s="685" t="str">
        <f>IF('[1]Data 2026'!AH92="","",'[1]Data 2026'!AH92)</f>
        <v>DUNAMIS/SITRACOM</v>
      </c>
      <c r="AK80" s="685" t="str">
        <f>IF('[1]Data 2026'!AI92="","",'[1]Data 2026'!AI92)</f>
        <v>COSCO</v>
      </c>
      <c r="AL80" s="685" t="str">
        <f>IF('[1]Data 2026'!AJ92="","",'[1]Data 2026'!AJ92)</f>
        <v>40FT</v>
      </c>
      <c r="AM80" s="692">
        <f>IF('[1]Data 2026'!AK92="","",'[1]Data 2026'!AK92)</f>
        <v>0.1</v>
      </c>
      <c r="AN80" s="685" t="str">
        <f>IF('[1]Data 2026'!AL92="","",'[1]Data 2026'!AL92)</f>
        <v>(01x250MTS)</v>
      </c>
      <c r="AO80" s="691">
        <f>IF('[1]Data 2026'!AM92="","",'[1]Data 2026'!AM92)</f>
        <v>275</v>
      </c>
      <c r="AP80" s="691" t="str">
        <f t="shared" si="16"/>
        <v/>
      </c>
      <c r="AQ80" s="685" t="str">
        <f>IF('[1]Data 2026'!AO92="","",'[1]Data 2026'!AO92)</f>
        <v/>
      </c>
      <c r="AR80" s="685" t="str">
        <f>IF('[1]Data 2026'!AP92="","",'[1]Data 2026'!AP92)</f>
        <v/>
      </c>
      <c r="AS80" s="685" t="str">
        <f>IF('[1]Data 2026'!AQ92="","",'[1]Data 2026'!AQ92)</f>
        <v/>
      </c>
      <c r="AT80" s="685" t="str">
        <f>IF('[1]Data 2026'!AR92="","",'[1]Data 2026'!AR92)</f>
        <v/>
      </c>
      <c r="AU80" s="685" t="str">
        <f>IF('[1]Data 2026'!AW92="","",'[1]Data 2026'!AW92)</f>
        <v/>
      </c>
      <c r="AV80" s="685" t="str">
        <f>IF('[1]Data 2026'!AX92="","",'[1]Data 2026'!AX92)</f>
        <v/>
      </c>
      <c r="AW80" s="685" t="str">
        <f>IF('[1]Data 2026'!AY92="","",'[1]Data 2026'!AY92)</f>
        <v/>
      </c>
      <c r="AX80" s="685" t="str">
        <f>IF('[1]Data 2026'!AZ92="","",'[1]Data 2026'!AZ92)</f>
        <v/>
      </c>
      <c r="AY80" s="685" t="str">
        <f>IF('[1]Data 2026'!BA92="","",'[1]Data 2026'!BA92)</f>
        <v/>
      </c>
      <c r="AZ80" s="685" t="str">
        <f>IF('[1]Data 2026'!AS92="","",'[1]Data 2026'!AS92)</f>
        <v/>
      </c>
      <c r="BA80" s="685" t="str">
        <f>IF('[1]Data 2026'!AT92="","",'[1]Data 2026'!AT92)</f>
        <v/>
      </c>
      <c r="BB80" s="685" t="str">
        <f>IF('[1]Data 2026'!AU92="","",'[1]Data 2026'!AU92)</f>
        <v/>
      </c>
      <c r="BC80" s="685" t="str">
        <f>IF('[1]Data 2026'!AV92="","",'[1]Data 2026'!AV92)</f>
        <v/>
      </c>
      <c r="BD80" s="685" t="str">
        <f>IF('[1]Data 2026'!AW92="","",'[1]Data 2026'!AW92)</f>
        <v/>
      </c>
      <c r="BE80" s="685" t="str">
        <f>IF('[1]Data 2026'!AX92="","",'[1]Data 2026'!AX92)</f>
        <v/>
      </c>
      <c r="BF80" s="685" t="str">
        <f>IF('[1]Data 2026'!BF92="","",'[1]Data 2026'!BF92)</f>
        <v>Diamond Shipping Services</v>
      </c>
      <c r="BG80" s="685" t="str">
        <f>IF('[1]Data 2026'!BG92="","",'[1]Data 2026'!BG92)</f>
        <v/>
      </c>
      <c r="BH80" s="685" t="str">
        <f>IF('[1]Data 2026'!BH92="","",'[1]Data 2026'!BH92)</f>
        <v/>
      </c>
      <c r="BI80" s="685" t="str">
        <f>IF('[1]Data 2026'!BI92="","",'[1]Data 2026'!BI92)</f>
        <v/>
      </c>
      <c r="BJ80" s="685" t="str">
        <f>IF('[1]Data 2026'!BJ92="","",'[1]Data 2026'!BJ92)</f>
        <v/>
      </c>
      <c r="BK80" s="685" t="str">
        <f>IF('[1]Data 2026'!BK92="","",'[1]Data 2026'!BK92)</f>
        <v/>
      </c>
      <c r="BL80" s="685" t="str">
        <f>IF('[1]Data 2026'!BL92="","",'[1]Data 2026'!BL92)</f>
        <v>DUNAMIS/SITRACOM</v>
      </c>
      <c r="BM80" s="685" t="str">
        <f>IF('[1]Data 2026'!BM92="","",'[1]Data 2026'!BM92)</f>
        <v/>
      </c>
      <c r="BN80" s="685" t="str">
        <f>IF('[1]Data 2026'!BN92="","",'[1]Data 2026'!BN92)</f>
        <v/>
      </c>
      <c r="BO80" s="685" t="str">
        <f>IF('[1]Data 2026'!BO92="","",'[1]Data 2026'!BO92)</f>
        <v/>
      </c>
      <c r="BP80" s="685" t="str">
        <f>IF('[1]Data 2026'!BP92="","",'[1]Data 2026'!BP92)</f>
        <v/>
      </c>
      <c r="BQ80" s="685" t="str">
        <f>IF('[1]Data 2026'!BQ92="","",'[1]Data 2026'!BQ92)</f>
        <v/>
      </c>
      <c r="BR80" s="685" t="str">
        <f>IF('[1]Data 2026'!BR92="","",'[1]Data 2026'!BR92)</f>
        <v/>
      </c>
      <c r="BS80" s="685" t="str">
        <f>IF('[1]Data 2026'!BS92="","",'[1]Data 2026'!BS92)</f>
        <v/>
      </c>
      <c r="BT80" s="685" t="str">
        <f>IF('[1]Data 2026'!BV92="","",'[1]Data 2026'!BV92)</f>
        <v/>
      </c>
      <c r="BU80" s="685" t="str">
        <f>IF('[1]Data 2026'!BW92="","",'[1]Data 2026'!BW92)</f>
        <v/>
      </c>
      <c r="BV80" s="685" t="str">
        <f>IF('[1]Data 2026'!BX92="","",'[1]Data 2026'!BX92)</f>
        <v/>
      </c>
      <c r="BW80" s="685" t="str">
        <f>IF('[1]Data 2026'!BY92="","",'[1]Data 2026'!BY92)</f>
        <v/>
      </c>
      <c r="BX80" s="685" t="str">
        <f>IF('[1]Data 2026'!BZ92="","",'[1]Data 2026'!BZ92)</f>
        <v/>
      </c>
      <c r="BY80" s="685" t="str">
        <f>IF('[1]Data 2026'!CA92="","",'[1]Data 2026'!CA92)</f>
        <v/>
      </c>
      <c r="BZ80" s="685" t="str">
        <f>IF('[1]Data 2026'!CB92="","",'[1]Data 2026'!CB92)</f>
        <v/>
      </c>
      <c r="CA80" s="685" t="str">
        <f>IF('[1]Data 2026'!CC92="","",'[1]Data 2026'!CC92)</f>
        <v/>
      </c>
      <c r="CB80" s="685" t="str">
        <f>IF('[1]Data 2026'!CD92="","",'[1]Data 2026'!CD92)</f>
        <v/>
      </c>
      <c r="CC80" s="685" t="str">
        <f>IF('[1]Data 2026'!CE92="","",'[1]Data 2026'!CE92)</f>
        <v/>
      </c>
      <c r="CD80" s="685" t="str">
        <f>IF('[1]Data 2026'!CF92="","",'[1]Data 2026'!CF92)</f>
        <v/>
      </c>
      <c r="CE80" s="685" t="str">
        <f>IF('[1]Data 2026'!CG92="","",'[1]Data 2026'!CG92)</f>
        <v/>
      </c>
      <c r="CF80" s="685" t="str">
        <f>IF('[1]Data 2026'!CH92="","",'[1]Data 2026'!CH92)</f>
        <v/>
      </c>
      <c r="CG80" s="685" t="str">
        <f>IF('[1]Data 2026'!CI92="","",'[1]Data 2026'!CI92)</f>
        <v/>
      </c>
      <c r="CH80" s="685" t="str">
        <f>IF('[1]Data 2026'!CJ92="","",'[1]Data 2026'!CJ92)</f>
        <v/>
      </c>
      <c r="CI80" s="685" t="str">
        <f>IF('[1]Data 2026'!CK92="","",'[1]Data 2026'!CK92)</f>
        <v/>
      </c>
      <c r="CJ80" s="685" t="str">
        <f>IF('[1]Data 2026'!CM92="","",'[1]Data 2026'!CM92)</f>
        <v/>
      </c>
      <c r="CK80" s="685" t="str">
        <f>IF('[1]Data 2026'!CN92="","",'[1]Data 2026'!CN92)</f>
        <v>Ajit</v>
      </c>
      <c r="CL80" s="691"/>
      <c r="CM80" s="691" t="str">
        <f>IF('[1]Data 2026'!CP92="","",'[1]Data 2026'!CP92)</f>
        <v/>
      </c>
      <c r="CN80" s="691"/>
      <c r="CO80" s="419"/>
      <c r="CP80" s="419"/>
      <c r="CQ80" s="419"/>
      <c r="CR80" s="686" t="str">
        <f t="shared" si="17"/>
        <v/>
      </c>
      <c r="CS80" s="686" t="str">
        <f t="shared" si="17"/>
        <v/>
      </c>
      <c r="CT80" s="686" t="str">
        <f t="shared" si="17"/>
        <v/>
      </c>
      <c r="CU80" s="686" t="str">
        <f t="shared" si="18"/>
        <v/>
      </c>
      <c r="CV80" s="686" t="str">
        <f t="shared" si="19"/>
        <v/>
      </c>
      <c r="CW80" s="685" t="str">
        <f t="shared" si="23"/>
        <v/>
      </c>
      <c r="CX80" s="685" t="str">
        <f t="shared" si="24"/>
        <v/>
      </c>
      <c r="CY80" s="693">
        <f t="shared" ca="1" si="20"/>
        <v>0</v>
      </c>
      <c r="CZ80" s="693" t="str">
        <f t="shared" si="21"/>
        <v/>
      </c>
    </row>
    <row r="81" spans="1:104">
      <c r="A81" s="682" t="str">
        <f t="shared" si="13"/>
        <v>B. BOOKING DONE, CONTAINERS AWAITED</v>
      </c>
      <c r="B81" s="699" t="s">
        <v>1206</v>
      </c>
      <c r="C81" s="684" t="str">
        <f t="shared" si="14"/>
        <v>CLOSED POSITION</v>
      </c>
      <c r="D81" s="685" t="str">
        <f t="shared" si="22"/>
        <v/>
      </c>
      <c r="E81" s="685" t="str">
        <f t="shared" si="15"/>
        <v/>
      </c>
      <c r="F81" s="686">
        <f>IF('[1]Data 2026'!D93="","",'[1]Data 2026'!D93)</f>
        <v>45</v>
      </c>
      <c r="G81" s="686">
        <f>IF('[1]Data 2026'!E93="","",'[1]Data 2026'!E93)</f>
        <v>200</v>
      </c>
      <c r="H81" s="687" t="str">
        <f>IF('[1]Data 2026'!H93="","",'[1]Data 2026'!H93)</f>
        <v>32016315-3</v>
      </c>
      <c r="I81" s="688">
        <f>IF('[1]Data 2026'!AA93="","",'[1]Data 2026'!AA93)</f>
        <v>250</v>
      </c>
      <c r="J81" s="685" t="str">
        <f>IF('[1]Data 2026'!K93="","",'[1]Data 2026'!K93)</f>
        <v>MAY-15th JUNE 2026</v>
      </c>
      <c r="K81" s="685">
        <v>46203</v>
      </c>
      <c r="L81" s="685" t="str">
        <f>IF('[1]Data 2026'!L93="","",'[1]Data 2026'!L93)</f>
        <v>VALENCY CI</v>
      </c>
      <c r="M81" s="685" t="str">
        <f>IF('[1]Data 2026'!M93="","",'[1]Data 2026'!M93)</f>
        <v>VIET PHI AGRICULTURE</v>
      </c>
      <c r="N81" s="685" t="s">
        <v>1194</v>
      </c>
      <c r="O81" s="689" t="str">
        <f>IF('[1]Data 2026'!N93="","",'[1]Data 2026'!N93)</f>
        <v>COSU6500598340-1</v>
      </c>
      <c r="P81" s="690" t="str">
        <f>IF('[1]Data 2026'!O93="","",'[1]Data 2026'!O93)</f>
        <v/>
      </c>
      <c r="Q81" s="685" t="str">
        <f>IF('[1]Data 2026'!P93="","",'[1]Data 2026'!P93)</f>
        <v/>
      </c>
      <c r="R81" s="685" t="str">
        <f>IF('[1]Data 2026'!Q93="","",'[1]Data 2026'!Q93)</f>
        <v>ABJ</v>
      </c>
      <c r="S81" s="685" t="s">
        <v>347</v>
      </c>
      <c r="T81" s="685" t="str">
        <f>IF('[1]Data 2026'!R93="","",'[1]Data 2026'!R93)</f>
        <v>HCMC, VIETNAM</v>
      </c>
      <c r="U81" s="685" t="str">
        <f>IF('[1]Data 2026'!S93="","",'[1]Data 2026'!S93)</f>
        <v>NORTHERN MAJESTIC</v>
      </c>
      <c r="V81" s="685" t="str">
        <f>IF('[1]Data 2026'!T93="","",'[1]Data 2026'!T93)</f>
        <v/>
      </c>
      <c r="W81" s="685" t="str">
        <f>IF('[1]Data 2026'!U93="","",'[1]Data 2026'!U93)</f>
        <v/>
      </c>
      <c r="X81" s="685" t="str">
        <f>IF('[1]Data 2026'!V93="","",'[1]Data 2026'!V93)</f>
        <v/>
      </c>
      <c r="Y81" s="685" t="str">
        <f>IF('[1]Data 2026'!W93="","",'[1]Data 2026'!W93)</f>
        <v/>
      </c>
      <c r="Z81" s="685" t="str">
        <f>IF('[1]Data 2026'!X93="","",'[1]Data 2026'!X93)</f>
        <v/>
      </c>
      <c r="AA81" s="685"/>
      <c r="AB81" s="685">
        <f>IF('[1]Data 2026'!Y93="","",'[1]Data 2026'!Y93)</f>
        <v>46181</v>
      </c>
      <c r="AC81" s="685" t="str">
        <f>IF('[1]Data 2026'!Z93="","",'[1]Data 2026'!Z93)</f>
        <v/>
      </c>
      <c r="AD81" s="691">
        <f>IF('[1]Data 2026'!AA93="","",'[1]Data 2026'!AA93)</f>
        <v>250</v>
      </c>
      <c r="AE81" s="691">
        <f>IF('[1]Data 2026'!AB93="","",'[1]Data 2026'!AB93)</f>
        <v>250</v>
      </c>
      <c r="AF81" s="685">
        <f>IF('[1]Data 2026'!AC93="","",'[1]Data 2026'!AC93)</f>
        <v>45823</v>
      </c>
      <c r="AG81" s="685" t="str">
        <f>IF('[1]Data 2026'!AD93="","",'[1]Data 2026'!AD93)</f>
        <v>Ex-Olam</v>
      </c>
      <c r="AH81" s="686">
        <f>IF('[1]Data 2026'!AE93="","",'[1]Data 2026'!AE93)</f>
        <v>10</v>
      </c>
      <c r="AI81" s="685" t="str">
        <f>IF('[1]Data 2026'!AG93="","",'[1]Data 2026'!AG93)</f>
        <v>Diamond Shipping Services</v>
      </c>
      <c r="AJ81" s="685" t="str">
        <f>IF('[1]Data 2026'!AH93="","",'[1]Data 2026'!AH93)</f>
        <v>DUNAMIS/SITRACOM</v>
      </c>
      <c r="AK81" s="685" t="str">
        <f>IF('[1]Data 2026'!AI93="","",'[1]Data 2026'!AI93)</f>
        <v>COSCO</v>
      </c>
      <c r="AL81" s="685" t="str">
        <f>IF('[1]Data 2026'!AJ93="","",'[1]Data 2026'!AJ93)</f>
        <v>40FT</v>
      </c>
      <c r="AM81" s="692">
        <f>IF('[1]Data 2026'!AK93="","",'[1]Data 2026'!AK93)</f>
        <v>0.1</v>
      </c>
      <c r="AN81" s="685" t="str">
        <f>IF('[1]Data 2026'!AL93="","",'[1]Data 2026'!AL93)</f>
        <v>(01x250MTS)</v>
      </c>
      <c r="AO81" s="691">
        <f>IF('[1]Data 2026'!AM93="","",'[1]Data 2026'!AM93)</f>
        <v>275</v>
      </c>
      <c r="AP81" s="691" t="str">
        <f t="shared" si="16"/>
        <v/>
      </c>
      <c r="AQ81" s="685" t="str">
        <f>IF('[1]Data 2026'!AO93="","",'[1]Data 2026'!AO93)</f>
        <v/>
      </c>
      <c r="AR81" s="685" t="str">
        <f>IF('[1]Data 2026'!AP93="","",'[1]Data 2026'!AP93)</f>
        <v/>
      </c>
      <c r="AS81" s="685" t="str">
        <f>IF('[1]Data 2026'!AQ93="","",'[1]Data 2026'!AQ93)</f>
        <v/>
      </c>
      <c r="AT81" s="685" t="str">
        <f>IF('[1]Data 2026'!AR93="","",'[1]Data 2026'!AR93)</f>
        <v/>
      </c>
      <c r="AU81" s="685" t="str">
        <f>IF('[1]Data 2026'!AW93="","",'[1]Data 2026'!AW93)</f>
        <v/>
      </c>
      <c r="AV81" s="685" t="str">
        <f>IF('[1]Data 2026'!AX93="","",'[1]Data 2026'!AX93)</f>
        <v/>
      </c>
      <c r="AW81" s="685" t="str">
        <f>IF('[1]Data 2026'!AY93="","",'[1]Data 2026'!AY93)</f>
        <v/>
      </c>
      <c r="AX81" s="685" t="str">
        <f>IF('[1]Data 2026'!AZ93="","",'[1]Data 2026'!AZ93)</f>
        <v/>
      </c>
      <c r="AY81" s="685" t="str">
        <f>IF('[1]Data 2026'!BA93="","",'[1]Data 2026'!BA93)</f>
        <v/>
      </c>
      <c r="AZ81" s="685" t="str">
        <f>IF('[1]Data 2026'!AS93="","",'[1]Data 2026'!AS93)</f>
        <v/>
      </c>
      <c r="BA81" s="685" t="str">
        <f>IF('[1]Data 2026'!AT93="","",'[1]Data 2026'!AT93)</f>
        <v/>
      </c>
      <c r="BB81" s="685" t="str">
        <f>IF('[1]Data 2026'!AU93="","",'[1]Data 2026'!AU93)</f>
        <v/>
      </c>
      <c r="BC81" s="685" t="str">
        <f>IF('[1]Data 2026'!AV93="","",'[1]Data 2026'!AV93)</f>
        <v/>
      </c>
      <c r="BD81" s="685" t="str">
        <f>IF('[1]Data 2026'!AW93="","",'[1]Data 2026'!AW93)</f>
        <v/>
      </c>
      <c r="BE81" s="685" t="str">
        <f>IF('[1]Data 2026'!AX93="","",'[1]Data 2026'!AX93)</f>
        <v/>
      </c>
      <c r="BF81" s="685" t="str">
        <f>IF('[1]Data 2026'!BF93="","",'[1]Data 2026'!BF93)</f>
        <v>Diamond Shipping Services</v>
      </c>
      <c r="BG81" s="685" t="str">
        <f>IF('[1]Data 2026'!BG93="","",'[1]Data 2026'!BG93)</f>
        <v/>
      </c>
      <c r="BH81" s="685" t="str">
        <f>IF('[1]Data 2026'!BH93="","",'[1]Data 2026'!BH93)</f>
        <v/>
      </c>
      <c r="BI81" s="685" t="str">
        <f>IF('[1]Data 2026'!BI93="","",'[1]Data 2026'!BI93)</f>
        <v/>
      </c>
      <c r="BJ81" s="685" t="str">
        <f>IF('[1]Data 2026'!BJ93="","",'[1]Data 2026'!BJ93)</f>
        <v/>
      </c>
      <c r="BK81" s="685" t="str">
        <f>IF('[1]Data 2026'!BK93="","",'[1]Data 2026'!BK93)</f>
        <v/>
      </c>
      <c r="BL81" s="685" t="str">
        <f>IF('[1]Data 2026'!BL93="","",'[1]Data 2026'!BL93)</f>
        <v>DUNAMIS/SITRACOM</v>
      </c>
      <c r="BM81" s="685" t="str">
        <f>IF('[1]Data 2026'!BM93="","",'[1]Data 2026'!BM93)</f>
        <v/>
      </c>
      <c r="BN81" s="685" t="str">
        <f>IF('[1]Data 2026'!BN93="","",'[1]Data 2026'!BN93)</f>
        <v/>
      </c>
      <c r="BO81" s="685" t="str">
        <f>IF('[1]Data 2026'!BO93="","",'[1]Data 2026'!BO93)</f>
        <v/>
      </c>
      <c r="BP81" s="685" t="str">
        <f>IF('[1]Data 2026'!BP93="","",'[1]Data 2026'!BP93)</f>
        <v/>
      </c>
      <c r="BQ81" s="685" t="str">
        <f>IF('[1]Data 2026'!BQ93="","",'[1]Data 2026'!BQ93)</f>
        <v/>
      </c>
      <c r="BR81" s="685" t="str">
        <f>IF('[1]Data 2026'!BR93="","",'[1]Data 2026'!BR93)</f>
        <v/>
      </c>
      <c r="BS81" s="685" t="str">
        <f>IF('[1]Data 2026'!BS93="","",'[1]Data 2026'!BS93)</f>
        <v/>
      </c>
      <c r="BT81" s="685" t="str">
        <f>IF('[1]Data 2026'!BV93="","",'[1]Data 2026'!BV93)</f>
        <v/>
      </c>
      <c r="BU81" s="685" t="str">
        <f>IF('[1]Data 2026'!BW93="","",'[1]Data 2026'!BW93)</f>
        <v/>
      </c>
      <c r="BV81" s="685" t="str">
        <f>IF('[1]Data 2026'!BX93="","",'[1]Data 2026'!BX93)</f>
        <v/>
      </c>
      <c r="BW81" s="685" t="str">
        <f>IF('[1]Data 2026'!BY93="","",'[1]Data 2026'!BY93)</f>
        <v/>
      </c>
      <c r="BX81" s="685" t="str">
        <f>IF('[1]Data 2026'!BZ93="","",'[1]Data 2026'!BZ93)</f>
        <v/>
      </c>
      <c r="BY81" s="685" t="str">
        <f>IF('[1]Data 2026'!CA93="","",'[1]Data 2026'!CA93)</f>
        <v/>
      </c>
      <c r="BZ81" s="685" t="str">
        <f>IF('[1]Data 2026'!CB93="","",'[1]Data 2026'!CB93)</f>
        <v/>
      </c>
      <c r="CA81" s="685" t="str">
        <f>IF('[1]Data 2026'!CC93="","",'[1]Data 2026'!CC93)</f>
        <v/>
      </c>
      <c r="CB81" s="685" t="str">
        <f>IF('[1]Data 2026'!CD93="","",'[1]Data 2026'!CD93)</f>
        <v/>
      </c>
      <c r="CC81" s="685" t="str">
        <f>IF('[1]Data 2026'!CE93="","",'[1]Data 2026'!CE93)</f>
        <v/>
      </c>
      <c r="CD81" s="685" t="str">
        <f>IF('[1]Data 2026'!CF93="","",'[1]Data 2026'!CF93)</f>
        <v/>
      </c>
      <c r="CE81" s="685" t="str">
        <f>IF('[1]Data 2026'!CG93="","",'[1]Data 2026'!CG93)</f>
        <v/>
      </c>
      <c r="CF81" s="685" t="str">
        <f>IF('[1]Data 2026'!CH93="","",'[1]Data 2026'!CH93)</f>
        <v/>
      </c>
      <c r="CG81" s="685" t="str">
        <f>IF('[1]Data 2026'!CI93="","",'[1]Data 2026'!CI93)</f>
        <v/>
      </c>
      <c r="CH81" s="685" t="str">
        <f>IF('[1]Data 2026'!CJ93="","",'[1]Data 2026'!CJ93)</f>
        <v/>
      </c>
      <c r="CI81" s="685" t="str">
        <f>IF('[1]Data 2026'!CK93="","",'[1]Data 2026'!CK93)</f>
        <v/>
      </c>
      <c r="CJ81" s="685" t="str">
        <f>IF('[1]Data 2026'!CM93="","",'[1]Data 2026'!CM93)</f>
        <v/>
      </c>
      <c r="CK81" s="685" t="str">
        <f>IF('[1]Data 2026'!CN93="","",'[1]Data 2026'!CN93)</f>
        <v>Sugmaran</v>
      </c>
      <c r="CL81" s="691"/>
      <c r="CM81" s="691" t="str">
        <f>IF('[1]Data 2026'!CP93="","",'[1]Data 2026'!CP93)</f>
        <v/>
      </c>
      <c r="CN81" s="691"/>
      <c r="CO81" s="419"/>
      <c r="CP81" s="419"/>
      <c r="CQ81" s="419"/>
      <c r="CR81" s="686" t="str">
        <f t="shared" si="17"/>
        <v/>
      </c>
      <c r="CS81" s="686" t="str">
        <f t="shared" si="17"/>
        <v/>
      </c>
      <c r="CT81" s="686" t="str">
        <f t="shared" si="17"/>
        <v/>
      </c>
      <c r="CU81" s="686" t="str">
        <f t="shared" si="18"/>
        <v/>
      </c>
      <c r="CV81" s="686" t="str">
        <f t="shared" si="19"/>
        <v/>
      </c>
      <c r="CW81" s="685" t="str">
        <f t="shared" si="23"/>
        <v/>
      </c>
      <c r="CX81" s="685" t="str">
        <f t="shared" si="24"/>
        <v/>
      </c>
      <c r="CY81" s="693">
        <f t="shared" ca="1" si="20"/>
        <v>0</v>
      </c>
      <c r="CZ81" s="693" t="str">
        <f t="shared" si="21"/>
        <v/>
      </c>
    </row>
    <row r="82" spans="1:104">
      <c r="A82" s="682" t="str">
        <f t="shared" si="13"/>
        <v>B. BOOKING DONE, CONTAINERS AWAITED</v>
      </c>
      <c r="B82" s="699" t="s">
        <v>1206</v>
      </c>
      <c r="C82" s="684" t="str">
        <f t="shared" si="14"/>
        <v>CLOSED POSITION</v>
      </c>
      <c r="D82" s="685" t="str">
        <f t="shared" si="22"/>
        <v/>
      </c>
      <c r="E82" s="685" t="str">
        <f t="shared" si="15"/>
        <v/>
      </c>
      <c r="F82" s="686">
        <f>IF('[1]Data 2026'!D94="","",'[1]Data 2026'!D94)</f>
        <v>45</v>
      </c>
      <c r="G82" s="686">
        <f>IF('[1]Data 2026'!E94="","",'[1]Data 2026'!E94)</f>
        <v>200</v>
      </c>
      <c r="H82" s="687" t="str">
        <f>IF('[1]Data 2026'!H94="","",'[1]Data 2026'!H94)</f>
        <v>32016315-4</v>
      </c>
      <c r="I82" s="688">
        <f>IF('[1]Data 2026'!AA94="","",'[1]Data 2026'!AA94)</f>
        <v>250</v>
      </c>
      <c r="J82" s="685" t="str">
        <f>IF('[1]Data 2026'!K94="","",'[1]Data 2026'!K94)</f>
        <v>MAY-15th JUNE 2026</v>
      </c>
      <c r="K82" s="685">
        <v>46188</v>
      </c>
      <c r="L82" s="685" t="str">
        <f>IF('[1]Data 2026'!L94="","",'[1]Data 2026'!L94)</f>
        <v>VALENCY CI</v>
      </c>
      <c r="M82" s="685" t="str">
        <f>IF('[1]Data 2026'!M94="","",'[1]Data 2026'!M94)</f>
        <v>VIET PHI AGRICULTURE</v>
      </c>
      <c r="N82" s="685" t="s">
        <v>1194</v>
      </c>
      <c r="O82" s="689" t="str">
        <f>IF('[1]Data 2026'!N94="","",'[1]Data 2026'!N94)</f>
        <v>COSU6500598340-2</v>
      </c>
      <c r="P82" s="690" t="str">
        <f>IF('[1]Data 2026'!O94="","",'[1]Data 2026'!O94)</f>
        <v/>
      </c>
      <c r="Q82" s="685" t="str">
        <f>IF('[1]Data 2026'!P94="","",'[1]Data 2026'!P94)</f>
        <v/>
      </c>
      <c r="R82" s="685" t="str">
        <f>IF('[1]Data 2026'!Q94="","",'[1]Data 2026'!Q94)</f>
        <v>ABJ</v>
      </c>
      <c r="S82" s="685" t="s">
        <v>347</v>
      </c>
      <c r="T82" s="685" t="str">
        <f>IF('[1]Data 2026'!R94="","",'[1]Data 2026'!R94)</f>
        <v>HCMC, VIETNAM</v>
      </c>
      <c r="U82" s="685" t="str">
        <f>IF('[1]Data 2026'!S94="","",'[1]Data 2026'!S94)</f>
        <v>NORTHERN MAJESTIC</v>
      </c>
      <c r="V82" s="685" t="str">
        <f>IF('[1]Data 2026'!T94="","",'[1]Data 2026'!T94)</f>
        <v/>
      </c>
      <c r="W82" s="685" t="str">
        <f>IF('[1]Data 2026'!U94="","",'[1]Data 2026'!U94)</f>
        <v/>
      </c>
      <c r="X82" s="685" t="str">
        <f>IF('[1]Data 2026'!V94="","",'[1]Data 2026'!V94)</f>
        <v/>
      </c>
      <c r="Y82" s="685" t="str">
        <f>IF('[1]Data 2026'!W94="","",'[1]Data 2026'!W94)</f>
        <v/>
      </c>
      <c r="Z82" s="685" t="str">
        <f>IF('[1]Data 2026'!X94="","",'[1]Data 2026'!X94)</f>
        <v/>
      </c>
      <c r="AA82" s="685"/>
      <c r="AB82" s="685">
        <f>IF('[1]Data 2026'!Y94="","",'[1]Data 2026'!Y94)</f>
        <v>46181</v>
      </c>
      <c r="AC82" s="685" t="str">
        <f>IF('[1]Data 2026'!Z94="","",'[1]Data 2026'!Z94)</f>
        <v/>
      </c>
      <c r="AD82" s="691">
        <f>IF('[1]Data 2026'!AA94="","",'[1]Data 2026'!AA94)</f>
        <v>250</v>
      </c>
      <c r="AE82" s="691">
        <f>IF('[1]Data 2026'!AB94="","",'[1]Data 2026'!AB94)</f>
        <v>250</v>
      </c>
      <c r="AF82" s="685">
        <f>IF('[1]Data 2026'!AC94="","",'[1]Data 2026'!AC94)</f>
        <v>45823</v>
      </c>
      <c r="AG82" s="685" t="str">
        <f>IF('[1]Data 2026'!AD94="","",'[1]Data 2026'!AD94)</f>
        <v>Ex-Olam</v>
      </c>
      <c r="AH82" s="686">
        <f>IF('[1]Data 2026'!AE94="","",'[1]Data 2026'!AE94)</f>
        <v>10</v>
      </c>
      <c r="AI82" s="685" t="str">
        <f>IF('[1]Data 2026'!AG94="","",'[1]Data 2026'!AG94)</f>
        <v>Diamond Shipping Services</v>
      </c>
      <c r="AJ82" s="685" t="str">
        <f>IF('[1]Data 2026'!AH94="","",'[1]Data 2026'!AH94)</f>
        <v>DUNAMIS/SITRACOM</v>
      </c>
      <c r="AK82" s="685" t="str">
        <f>IF('[1]Data 2026'!AI94="","",'[1]Data 2026'!AI94)</f>
        <v>COSCO</v>
      </c>
      <c r="AL82" s="685" t="str">
        <f>IF('[1]Data 2026'!AJ94="","",'[1]Data 2026'!AJ94)</f>
        <v>40FT</v>
      </c>
      <c r="AM82" s="692">
        <f>IF('[1]Data 2026'!AK94="","",'[1]Data 2026'!AK94)</f>
        <v>0.1</v>
      </c>
      <c r="AN82" s="685" t="str">
        <f>IF('[1]Data 2026'!AL94="","",'[1]Data 2026'!AL94)</f>
        <v>(01x250MTS)</v>
      </c>
      <c r="AO82" s="691">
        <f>IF('[1]Data 2026'!AM94="","",'[1]Data 2026'!AM94)</f>
        <v>275</v>
      </c>
      <c r="AP82" s="691" t="str">
        <f t="shared" si="16"/>
        <v/>
      </c>
      <c r="AQ82" s="685" t="str">
        <f>IF('[1]Data 2026'!AO94="","",'[1]Data 2026'!AO94)</f>
        <v/>
      </c>
      <c r="AR82" s="685" t="str">
        <f>IF('[1]Data 2026'!AP94="","",'[1]Data 2026'!AP94)</f>
        <v/>
      </c>
      <c r="AS82" s="685" t="str">
        <f>IF('[1]Data 2026'!AQ94="","",'[1]Data 2026'!AQ94)</f>
        <v/>
      </c>
      <c r="AT82" s="685" t="str">
        <f>IF('[1]Data 2026'!AR94="","",'[1]Data 2026'!AR94)</f>
        <v/>
      </c>
      <c r="AU82" s="685" t="str">
        <f>IF('[1]Data 2026'!AW94="","",'[1]Data 2026'!AW94)</f>
        <v/>
      </c>
      <c r="AV82" s="685" t="str">
        <f>IF('[1]Data 2026'!AX94="","",'[1]Data 2026'!AX94)</f>
        <v/>
      </c>
      <c r="AW82" s="685" t="str">
        <f>IF('[1]Data 2026'!AY94="","",'[1]Data 2026'!AY94)</f>
        <v/>
      </c>
      <c r="AX82" s="685" t="str">
        <f>IF('[1]Data 2026'!AZ94="","",'[1]Data 2026'!AZ94)</f>
        <v/>
      </c>
      <c r="AY82" s="685" t="str">
        <f>IF('[1]Data 2026'!BA94="","",'[1]Data 2026'!BA94)</f>
        <v/>
      </c>
      <c r="AZ82" s="685" t="str">
        <f>IF('[1]Data 2026'!AS94="","",'[1]Data 2026'!AS94)</f>
        <v/>
      </c>
      <c r="BA82" s="685" t="str">
        <f>IF('[1]Data 2026'!AT94="","",'[1]Data 2026'!AT94)</f>
        <v/>
      </c>
      <c r="BB82" s="685" t="str">
        <f>IF('[1]Data 2026'!AU94="","",'[1]Data 2026'!AU94)</f>
        <v/>
      </c>
      <c r="BC82" s="685" t="str">
        <f>IF('[1]Data 2026'!AV94="","",'[1]Data 2026'!AV94)</f>
        <v/>
      </c>
      <c r="BD82" s="685" t="str">
        <f>IF('[1]Data 2026'!AW94="","",'[1]Data 2026'!AW94)</f>
        <v/>
      </c>
      <c r="BE82" s="685" t="str">
        <f>IF('[1]Data 2026'!AX94="","",'[1]Data 2026'!AX94)</f>
        <v/>
      </c>
      <c r="BF82" s="685" t="str">
        <f>IF('[1]Data 2026'!BF94="","",'[1]Data 2026'!BF94)</f>
        <v>Diamond Shipping Services</v>
      </c>
      <c r="BG82" s="685" t="str">
        <f>IF('[1]Data 2026'!BG94="","",'[1]Data 2026'!BG94)</f>
        <v/>
      </c>
      <c r="BH82" s="685" t="str">
        <f>IF('[1]Data 2026'!BH94="","",'[1]Data 2026'!BH94)</f>
        <v/>
      </c>
      <c r="BI82" s="685" t="str">
        <f>IF('[1]Data 2026'!BI94="","",'[1]Data 2026'!BI94)</f>
        <v/>
      </c>
      <c r="BJ82" s="685" t="str">
        <f>IF('[1]Data 2026'!BJ94="","",'[1]Data 2026'!BJ94)</f>
        <v/>
      </c>
      <c r="BK82" s="685" t="str">
        <f>IF('[1]Data 2026'!BK94="","",'[1]Data 2026'!BK94)</f>
        <v/>
      </c>
      <c r="BL82" s="685" t="str">
        <f>IF('[1]Data 2026'!BL94="","",'[1]Data 2026'!BL94)</f>
        <v>DUNAMIS/SITRACOM</v>
      </c>
      <c r="BM82" s="685" t="str">
        <f>IF('[1]Data 2026'!BM94="","",'[1]Data 2026'!BM94)</f>
        <v/>
      </c>
      <c r="BN82" s="685" t="str">
        <f>IF('[1]Data 2026'!BN94="","",'[1]Data 2026'!BN94)</f>
        <v/>
      </c>
      <c r="BO82" s="685" t="str">
        <f>IF('[1]Data 2026'!BO94="","",'[1]Data 2026'!BO94)</f>
        <v/>
      </c>
      <c r="BP82" s="685" t="str">
        <f>IF('[1]Data 2026'!BP94="","",'[1]Data 2026'!BP94)</f>
        <v/>
      </c>
      <c r="BQ82" s="685" t="str">
        <f>IF('[1]Data 2026'!BQ94="","",'[1]Data 2026'!BQ94)</f>
        <v/>
      </c>
      <c r="BR82" s="685" t="str">
        <f>IF('[1]Data 2026'!BR94="","",'[1]Data 2026'!BR94)</f>
        <v/>
      </c>
      <c r="BS82" s="685" t="str">
        <f>IF('[1]Data 2026'!BS94="","",'[1]Data 2026'!BS94)</f>
        <v/>
      </c>
      <c r="BT82" s="685" t="str">
        <f>IF('[1]Data 2026'!BV94="","",'[1]Data 2026'!BV94)</f>
        <v/>
      </c>
      <c r="BU82" s="685" t="str">
        <f>IF('[1]Data 2026'!BW94="","",'[1]Data 2026'!BW94)</f>
        <v/>
      </c>
      <c r="BV82" s="685" t="str">
        <f>IF('[1]Data 2026'!BX94="","",'[1]Data 2026'!BX94)</f>
        <v/>
      </c>
      <c r="BW82" s="685" t="str">
        <f>IF('[1]Data 2026'!BY94="","",'[1]Data 2026'!BY94)</f>
        <v/>
      </c>
      <c r="BX82" s="685" t="str">
        <f>IF('[1]Data 2026'!BZ94="","",'[1]Data 2026'!BZ94)</f>
        <v/>
      </c>
      <c r="BY82" s="685" t="str">
        <f>IF('[1]Data 2026'!CA94="","",'[1]Data 2026'!CA94)</f>
        <v/>
      </c>
      <c r="BZ82" s="685" t="str">
        <f>IF('[1]Data 2026'!CB94="","",'[1]Data 2026'!CB94)</f>
        <v/>
      </c>
      <c r="CA82" s="685" t="str">
        <f>IF('[1]Data 2026'!CC94="","",'[1]Data 2026'!CC94)</f>
        <v/>
      </c>
      <c r="CB82" s="685" t="str">
        <f>IF('[1]Data 2026'!CD94="","",'[1]Data 2026'!CD94)</f>
        <v/>
      </c>
      <c r="CC82" s="685" t="str">
        <f>IF('[1]Data 2026'!CE94="","",'[1]Data 2026'!CE94)</f>
        <v/>
      </c>
      <c r="CD82" s="685" t="str">
        <f>IF('[1]Data 2026'!CF94="","",'[1]Data 2026'!CF94)</f>
        <v/>
      </c>
      <c r="CE82" s="685" t="str">
        <f>IF('[1]Data 2026'!CG94="","",'[1]Data 2026'!CG94)</f>
        <v/>
      </c>
      <c r="CF82" s="685" t="str">
        <f>IF('[1]Data 2026'!CH94="","",'[1]Data 2026'!CH94)</f>
        <v/>
      </c>
      <c r="CG82" s="685" t="str">
        <f>IF('[1]Data 2026'!CI94="","",'[1]Data 2026'!CI94)</f>
        <v/>
      </c>
      <c r="CH82" s="685" t="str">
        <f>IF('[1]Data 2026'!CJ94="","",'[1]Data 2026'!CJ94)</f>
        <v/>
      </c>
      <c r="CI82" s="685" t="str">
        <f>IF('[1]Data 2026'!CK94="","",'[1]Data 2026'!CK94)</f>
        <v/>
      </c>
      <c r="CJ82" s="685" t="str">
        <f>IF('[1]Data 2026'!CM94="","",'[1]Data 2026'!CM94)</f>
        <v/>
      </c>
      <c r="CK82" s="685" t="str">
        <f>IF('[1]Data 2026'!CN94="","",'[1]Data 2026'!CN94)</f>
        <v>Sugmaran</v>
      </c>
      <c r="CL82" s="691"/>
      <c r="CM82" s="691" t="str">
        <f>IF('[1]Data 2026'!CP94="","",'[1]Data 2026'!CP94)</f>
        <v/>
      </c>
      <c r="CN82" s="691"/>
      <c r="CO82" s="419"/>
      <c r="CP82" s="419"/>
      <c r="CQ82" s="419"/>
      <c r="CR82" s="686" t="str">
        <f t="shared" si="17"/>
        <v/>
      </c>
      <c r="CS82" s="686" t="str">
        <f t="shared" si="17"/>
        <v/>
      </c>
      <c r="CT82" s="686" t="str">
        <f t="shared" si="17"/>
        <v/>
      </c>
      <c r="CU82" s="686" t="str">
        <f t="shared" si="18"/>
        <v/>
      </c>
      <c r="CV82" s="686" t="str">
        <f t="shared" si="19"/>
        <v/>
      </c>
      <c r="CW82" s="685" t="str">
        <f t="shared" si="23"/>
        <v/>
      </c>
      <c r="CX82" s="685" t="str">
        <f t="shared" si="24"/>
        <v/>
      </c>
      <c r="CY82" s="693">
        <f t="shared" ca="1" si="20"/>
        <v>0</v>
      </c>
      <c r="CZ82" s="693" t="str">
        <f t="shared" si="21"/>
        <v/>
      </c>
    </row>
    <row r="83" spans="1:104">
      <c r="A83" s="682" t="str">
        <f t="shared" si="13"/>
        <v>B. BOOKING DONE, CONTAINERS AWAITED</v>
      </c>
      <c r="B83" s="699" t="s">
        <v>1206</v>
      </c>
      <c r="C83" s="684" t="str">
        <f t="shared" si="14"/>
        <v>CLOSED POSITION</v>
      </c>
      <c r="D83" s="685" t="str">
        <f t="shared" si="22"/>
        <v/>
      </c>
      <c r="E83" s="685" t="str">
        <f t="shared" si="15"/>
        <v/>
      </c>
      <c r="F83" s="686">
        <f>IF('[1]Data 2026'!D95="","",'[1]Data 2026'!D95)</f>
        <v>45</v>
      </c>
      <c r="G83" s="686">
        <f>IF('[1]Data 2026'!E95="","",'[1]Data 2026'!E95)</f>
        <v>200</v>
      </c>
      <c r="H83" s="687" t="str">
        <f>IF('[1]Data 2026'!H95="","",'[1]Data 2026'!H95)</f>
        <v>32016315-5</v>
      </c>
      <c r="I83" s="688">
        <f>IF('[1]Data 2026'!AA95="","",'[1]Data 2026'!AA95)</f>
        <v>250</v>
      </c>
      <c r="J83" s="685" t="str">
        <f>IF('[1]Data 2026'!K95="","",'[1]Data 2026'!K95)</f>
        <v>MAY-15th JUNE 2026</v>
      </c>
      <c r="K83" s="685">
        <v>46203</v>
      </c>
      <c r="L83" s="685" t="str">
        <f>IF('[1]Data 2026'!L95="","",'[1]Data 2026'!L95)</f>
        <v>VALENCY CI</v>
      </c>
      <c r="M83" s="685" t="str">
        <f>IF('[1]Data 2026'!M95="","",'[1]Data 2026'!M95)</f>
        <v>VIET PHI AGRICULTURE</v>
      </c>
      <c r="N83" s="685" t="s">
        <v>1194</v>
      </c>
      <c r="O83" s="689" t="str">
        <f>IF('[1]Data 2026'!N95="","",'[1]Data 2026'!N95)</f>
        <v>COSU6500598280-1</v>
      </c>
      <c r="P83" s="690" t="str">
        <f>IF('[1]Data 2026'!O95="","",'[1]Data 2026'!O95)</f>
        <v/>
      </c>
      <c r="Q83" s="685" t="str">
        <f>IF('[1]Data 2026'!P95="","",'[1]Data 2026'!P95)</f>
        <v/>
      </c>
      <c r="R83" s="685" t="str">
        <f>IF('[1]Data 2026'!Q95="","",'[1]Data 2026'!Q95)</f>
        <v>ABJ</v>
      </c>
      <c r="S83" s="685" t="s">
        <v>347</v>
      </c>
      <c r="T83" s="685" t="str">
        <f>IF('[1]Data 2026'!R95="","",'[1]Data 2026'!R95)</f>
        <v>HCMC, VIETNAM</v>
      </c>
      <c r="U83" s="685" t="str">
        <f>IF('[1]Data 2026'!S95="","",'[1]Data 2026'!S95)</f>
        <v>NORTHERN MAJESTIC</v>
      </c>
      <c r="V83" s="685" t="str">
        <f>IF('[1]Data 2026'!T95="","",'[1]Data 2026'!T95)</f>
        <v/>
      </c>
      <c r="W83" s="685" t="str">
        <f>IF('[1]Data 2026'!U95="","",'[1]Data 2026'!U95)</f>
        <v/>
      </c>
      <c r="X83" s="685" t="str">
        <f>IF('[1]Data 2026'!V95="","",'[1]Data 2026'!V95)</f>
        <v/>
      </c>
      <c r="Y83" s="685" t="str">
        <f>IF('[1]Data 2026'!W95="","",'[1]Data 2026'!W95)</f>
        <v/>
      </c>
      <c r="Z83" s="685" t="str">
        <f>IF('[1]Data 2026'!X95="","",'[1]Data 2026'!X95)</f>
        <v/>
      </c>
      <c r="AA83" s="685"/>
      <c r="AB83" s="685">
        <f>IF('[1]Data 2026'!Y95="","",'[1]Data 2026'!Y95)</f>
        <v>46181</v>
      </c>
      <c r="AC83" s="685" t="str">
        <f>IF('[1]Data 2026'!Z95="","",'[1]Data 2026'!Z95)</f>
        <v/>
      </c>
      <c r="AD83" s="691">
        <f>IF('[1]Data 2026'!AA95="","",'[1]Data 2026'!AA95)</f>
        <v>250</v>
      </c>
      <c r="AE83" s="691">
        <f>IF('[1]Data 2026'!AB95="","",'[1]Data 2026'!AB95)</f>
        <v>250</v>
      </c>
      <c r="AF83" s="685">
        <f>IF('[1]Data 2026'!AC95="","",'[1]Data 2026'!AC95)</f>
        <v>45823</v>
      </c>
      <c r="AG83" s="685" t="str">
        <f>IF('[1]Data 2026'!AD95="","",'[1]Data 2026'!AD95)</f>
        <v>Ex-Olam</v>
      </c>
      <c r="AH83" s="686">
        <f>IF('[1]Data 2026'!AE95="","",'[1]Data 2026'!AE95)</f>
        <v>10</v>
      </c>
      <c r="AI83" s="685" t="str">
        <f>IF('[1]Data 2026'!AG95="","",'[1]Data 2026'!AG95)</f>
        <v>Diamond Shipping Services</v>
      </c>
      <c r="AJ83" s="685" t="str">
        <f>IF('[1]Data 2026'!AH95="","",'[1]Data 2026'!AH95)</f>
        <v>DUNAMIS/SITRACOM</v>
      </c>
      <c r="AK83" s="685" t="str">
        <f>IF('[1]Data 2026'!AI95="","",'[1]Data 2026'!AI95)</f>
        <v>COSCO</v>
      </c>
      <c r="AL83" s="685" t="str">
        <f>IF('[1]Data 2026'!AJ95="","",'[1]Data 2026'!AJ95)</f>
        <v>40FT</v>
      </c>
      <c r="AM83" s="692">
        <f>IF('[1]Data 2026'!AK95="","",'[1]Data 2026'!AK95)</f>
        <v>0.1</v>
      </c>
      <c r="AN83" s="685" t="str">
        <f>IF('[1]Data 2026'!AL95="","",'[1]Data 2026'!AL95)</f>
        <v>(01x250MTS)</v>
      </c>
      <c r="AO83" s="691">
        <f>IF('[1]Data 2026'!AM95="","",'[1]Data 2026'!AM95)</f>
        <v>275</v>
      </c>
      <c r="AP83" s="691" t="str">
        <f t="shared" si="16"/>
        <v/>
      </c>
      <c r="AQ83" s="685" t="str">
        <f>IF('[1]Data 2026'!AO95="","",'[1]Data 2026'!AO95)</f>
        <v/>
      </c>
      <c r="AR83" s="685" t="str">
        <f>IF('[1]Data 2026'!AP95="","",'[1]Data 2026'!AP95)</f>
        <v/>
      </c>
      <c r="AS83" s="685" t="str">
        <f>IF('[1]Data 2026'!AQ95="","",'[1]Data 2026'!AQ95)</f>
        <v/>
      </c>
      <c r="AT83" s="685" t="str">
        <f>IF('[1]Data 2026'!AR95="","",'[1]Data 2026'!AR95)</f>
        <v/>
      </c>
      <c r="AU83" s="685" t="str">
        <f>IF('[1]Data 2026'!AW95="","",'[1]Data 2026'!AW95)</f>
        <v/>
      </c>
      <c r="AV83" s="685" t="str">
        <f>IF('[1]Data 2026'!AX95="","",'[1]Data 2026'!AX95)</f>
        <v/>
      </c>
      <c r="AW83" s="685" t="str">
        <f>IF('[1]Data 2026'!AY95="","",'[1]Data 2026'!AY95)</f>
        <v/>
      </c>
      <c r="AX83" s="685" t="str">
        <f>IF('[1]Data 2026'!AZ95="","",'[1]Data 2026'!AZ95)</f>
        <v/>
      </c>
      <c r="AY83" s="685" t="str">
        <f>IF('[1]Data 2026'!BA95="","",'[1]Data 2026'!BA95)</f>
        <v/>
      </c>
      <c r="AZ83" s="685" t="str">
        <f>IF('[1]Data 2026'!AS95="","",'[1]Data 2026'!AS95)</f>
        <v/>
      </c>
      <c r="BA83" s="685" t="str">
        <f>IF('[1]Data 2026'!AT95="","",'[1]Data 2026'!AT95)</f>
        <v/>
      </c>
      <c r="BB83" s="685" t="str">
        <f>IF('[1]Data 2026'!AU95="","",'[1]Data 2026'!AU95)</f>
        <v/>
      </c>
      <c r="BC83" s="685" t="str">
        <f>IF('[1]Data 2026'!AV95="","",'[1]Data 2026'!AV95)</f>
        <v/>
      </c>
      <c r="BD83" s="685" t="str">
        <f>IF('[1]Data 2026'!AW95="","",'[1]Data 2026'!AW95)</f>
        <v/>
      </c>
      <c r="BE83" s="685" t="str">
        <f>IF('[1]Data 2026'!AX95="","",'[1]Data 2026'!AX95)</f>
        <v/>
      </c>
      <c r="BF83" s="685" t="str">
        <f>IF('[1]Data 2026'!BF95="","",'[1]Data 2026'!BF95)</f>
        <v>Diamond Shipping Services</v>
      </c>
      <c r="BG83" s="685" t="str">
        <f>IF('[1]Data 2026'!BG95="","",'[1]Data 2026'!BG95)</f>
        <v/>
      </c>
      <c r="BH83" s="685" t="str">
        <f>IF('[1]Data 2026'!BH95="","",'[1]Data 2026'!BH95)</f>
        <v/>
      </c>
      <c r="BI83" s="685" t="str">
        <f>IF('[1]Data 2026'!BI95="","",'[1]Data 2026'!BI95)</f>
        <v/>
      </c>
      <c r="BJ83" s="685" t="str">
        <f>IF('[1]Data 2026'!BJ95="","",'[1]Data 2026'!BJ95)</f>
        <v/>
      </c>
      <c r="BK83" s="685" t="str">
        <f>IF('[1]Data 2026'!BK95="","",'[1]Data 2026'!BK95)</f>
        <v/>
      </c>
      <c r="BL83" s="685" t="str">
        <f>IF('[1]Data 2026'!BL95="","",'[1]Data 2026'!BL95)</f>
        <v>DUNAMIS/SITRACOM</v>
      </c>
      <c r="BM83" s="685" t="str">
        <f>IF('[1]Data 2026'!BM95="","",'[1]Data 2026'!BM95)</f>
        <v/>
      </c>
      <c r="BN83" s="685" t="str">
        <f>IF('[1]Data 2026'!BN95="","",'[1]Data 2026'!BN95)</f>
        <v/>
      </c>
      <c r="BO83" s="685" t="str">
        <f>IF('[1]Data 2026'!BO95="","",'[1]Data 2026'!BO95)</f>
        <v/>
      </c>
      <c r="BP83" s="685" t="str">
        <f>IF('[1]Data 2026'!BP95="","",'[1]Data 2026'!BP95)</f>
        <v/>
      </c>
      <c r="BQ83" s="685" t="str">
        <f>IF('[1]Data 2026'!BQ95="","",'[1]Data 2026'!BQ95)</f>
        <v/>
      </c>
      <c r="BR83" s="685" t="str">
        <f>IF('[1]Data 2026'!BR95="","",'[1]Data 2026'!BR95)</f>
        <v/>
      </c>
      <c r="BS83" s="685" t="str">
        <f>IF('[1]Data 2026'!BS95="","",'[1]Data 2026'!BS95)</f>
        <v/>
      </c>
      <c r="BT83" s="685" t="str">
        <f>IF('[1]Data 2026'!BV95="","",'[1]Data 2026'!BV95)</f>
        <v/>
      </c>
      <c r="BU83" s="685" t="str">
        <f>IF('[1]Data 2026'!BW95="","",'[1]Data 2026'!BW95)</f>
        <v/>
      </c>
      <c r="BV83" s="685" t="str">
        <f>IF('[1]Data 2026'!BX95="","",'[1]Data 2026'!BX95)</f>
        <v/>
      </c>
      <c r="BW83" s="685" t="str">
        <f>IF('[1]Data 2026'!BY95="","",'[1]Data 2026'!BY95)</f>
        <v/>
      </c>
      <c r="BX83" s="685" t="str">
        <f>IF('[1]Data 2026'!BZ95="","",'[1]Data 2026'!BZ95)</f>
        <v/>
      </c>
      <c r="BY83" s="685" t="str">
        <f>IF('[1]Data 2026'!CA95="","",'[1]Data 2026'!CA95)</f>
        <v/>
      </c>
      <c r="BZ83" s="685" t="str">
        <f>IF('[1]Data 2026'!CB95="","",'[1]Data 2026'!CB95)</f>
        <v/>
      </c>
      <c r="CA83" s="685" t="str">
        <f>IF('[1]Data 2026'!CC95="","",'[1]Data 2026'!CC95)</f>
        <v/>
      </c>
      <c r="CB83" s="685" t="str">
        <f>IF('[1]Data 2026'!CD95="","",'[1]Data 2026'!CD95)</f>
        <v/>
      </c>
      <c r="CC83" s="685" t="str">
        <f>IF('[1]Data 2026'!CE95="","",'[1]Data 2026'!CE95)</f>
        <v/>
      </c>
      <c r="CD83" s="685" t="str">
        <f>IF('[1]Data 2026'!CF95="","",'[1]Data 2026'!CF95)</f>
        <v/>
      </c>
      <c r="CE83" s="685" t="str">
        <f>IF('[1]Data 2026'!CG95="","",'[1]Data 2026'!CG95)</f>
        <v/>
      </c>
      <c r="CF83" s="685" t="str">
        <f>IF('[1]Data 2026'!CH95="","",'[1]Data 2026'!CH95)</f>
        <v/>
      </c>
      <c r="CG83" s="685" t="str">
        <f>IF('[1]Data 2026'!CI95="","",'[1]Data 2026'!CI95)</f>
        <v/>
      </c>
      <c r="CH83" s="685" t="str">
        <f>IF('[1]Data 2026'!CJ95="","",'[1]Data 2026'!CJ95)</f>
        <v/>
      </c>
      <c r="CI83" s="685" t="str">
        <f>IF('[1]Data 2026'!CK95="","",'[1]Data 2026'!CK95)</f>
        <v/>
      </c>
      <c r="CJ83" s="685" t="str">
        <f>IF('[1]Data 2026'!CM95="","",'[1]Data 2026'!CM95)</f>
        <v/>
      </c>
      <c r="CK83" s="685" t="str">
        <f>IF('[1]Data 2026'!CN95="","",'[1]Data 2026'!CN95)</f>
        <v>Sugmaran</v>
      </c>
      <c r="CL83" s="691"/>
      <c r="CM83" s="691" t="str">
        <f>IF('[1]Data 2026'!CP95="","",'[1]Data 2026'!CP95)</f>
        <v/>
      </c>
      <c r="CN83" s="691"/>
      <c r="CO83" s="419"/>
      <c r="CP83" s="419"/>
      <c r="CQ83" s="419"/>
      <c r="CR83" s="686" t="str">
        <f t="shared" si="17"/>
        <v/>
      </c>
      <c r="CS83" s="686" t="str">
        <f t="shared" si="17"/>
        <v/>
      </c>
      <c r="CT83" s="686" t="str">
        <f t="shared" si="17"/>
        <v/>
      </c>
      <c r="CU83" s="686" t="str">
        <f t="shared" si="18"/>
        <v/>
      </c>
      <c r="CV83" s="686" t="str">
        <f t="shared" si="19"/>
        <v/>
      </c>
      <c r="CW83" s="685" t="str">
        <f t="shared" si="23"/>
        <v/>
      </c>
      <c r="CX83" s="685" t="str">
        <f t="shared" si="24"/>
        <v/>
      </c>
      <c r="CY83" s="693">
        <f t="shared" ca="1" si="20"/>
        <v>0</v>
      </c>
      <c r="CZ83" s="693" t="str">
        <f t="shared" si="21"/>
        <v/>
      </c>
    </row>
    <row r="84" spans="1:104">
      <c r="A84" s="682" t="str">
        <f t="shared" si="13"/>
        <v>B. BOOKING DONE, CONTAINERS AWAITED</v>
      </c>
      <c r="B84" s="699" t="s">
        <v>1206</v>
      </c>
      <c r="C84" s="684" t="str">
        <f t="shared" si="14"/>
        <v>CLOSED POSITION</v>
      </c>
      <c r="D84" s="685" t="str">
        <f t="shared" si="22"/>
        <v/>
      </c>
      <c r="E84" s="685" t="str">
        <f t="shared" si="15"/>
        <v/>
      </c>
      <c r="F84" s="686">
        <f>IF('[1]Data 2026'!D96="","",'[1]Data 2026'!D96)</f>
        <v>45</v>
      </c>
      <c r="G84" s="686">
        <f>IF('[1]Data 2026'!E96="","",'[1]Data 2026'!E96)</f>
        <v>200</v>
      </c>
      <c r="H84" s="687" t="str">
        <f>IF('[1]Data 2026'!H96="","",'[1]Data 2026'!H96)</f>
        <v>32016315-6</v>
      </c>
      <c r="I84" s="688">
        <f>IF('[1]Data 2026'!AA96="","",'[1]Data 2026'!AA96)</f>
        <v>250</v>
      </c>
      <c r="J84" s="685" t="str">
        <f>IF('[1]Data 2026'!K96="","",'[1]Data 2026'!K96)</f>
        <v>MAY-15th JUNE 2026</v>
      </c>
      <c r="K84" s="685">
        <v>46203</v>
      </c>
      <c r="L84" s="685" t="str">
        <f>IF('[1]Data 2026'!L96="","",'[1]Data 2026'!L96)</f>
        <v>VALENCY CI</v>
      </c>
      <c r="M84" s="685" t="str">
        <f>IF('[1]Data 2026'!M96="","",'[1]Data 2026'!M96)</f>
        <v>VIET PHI AGRICULTURE</v>
      </c>
      <c r="N84" s="685" t="s">
        <v>1194</v>
      </c>
      <c r="O84" s="689" t="str">
        <f>IF('[1]Data 2026'!N96="","",'[1]Data 2026'!N96)</f>
        <v>COSU6500598280-2</v>
      </c>
      <c r="P84" s="690" t="str">
        <f>IF('[1]Data 2026'!O96="","",'[1]Data 2026'!O96)</f>
        <v/>
      </c>
      <c r="Q84" s="685" t="str">
        <f>IF('[1]Data 2026'!P96="","",'[1]Data 2026'!P96)</f>
        <v/>
      </c>
      <c r="R84" s="685" t="str">
        <f>IF('[1]Data 2026'!Q96="","",'[1]Data 2026'!Q96)</f>
        <v>ABJ</v>
      </c>
      <c r="S84" s="685" t="s">
        <v>347</v>
      </c>
      <c r="T84" s="685" t="str">
        <f>IF('[1]Data 2026'!R96="","",'[1]Data 2026'!R96)</f>
        <v>HCMC, VIETNAM</v>
      </c>
      <c r="U84" s="685" t="str">
        <f>IF('[1]Data 2026'!S96="","",'[1]Data 2026'!S96)</f>
        <v>NORTHERN MAJESTIC</v>
      </c>
      <c r="V84" s="685" t="str">
        <f>IF('[1]Data 2026'!T96="","",'[1]Data 2026'!T96)</f>
        <v/>
      </c>
      <c r="W84" s="685" t="str">
        <f>IF('[1]Data 2026'!U96="","",'[1]Data 2026'!U96)</f>
        <v/>
      </c>
      <c r="X84" s="685" t="str">
        <f>IF('[1]Data 2026'!V96="","",'[1]Data 2026'!V96)</f>
        <v/>
      </c>
      <c r="Y84" s="685" t="str">
        <f>IF('[1]Data 2026'!W96="","",'[1]Data 2026'!W96)</f>
        <v/>
      </c>
      <c r="Z84" s="685" t="str">
        <f>IF('[1]Data 2026'!X96="","",'[1]Data 2026'!X96)</f>
        <v/>
      </c>
      <c r="AA84" s="685"/>
      <c r="AB84" s="685">
        <f>IF('[1]Data 2026'!Y96="","",'[1]Data 2026'!Y96)</f>
        <v>46181</v>
      </c>
      <c r="AC84" s="685" t="str">
        <f>IF('[1]Data 2026'!Z96="","",'[1]Data 2026'!Z96)</f>
        <v/>
      </c>
      <c r="AD84" s="691">
        <f>IF('[1]Data 2026'!AA96="","",'[1]Data 2026'!AA96)</f>
        <v>250</v>
      </c>
      <c r="AE84" s="691">
        <f>IF('[1]Data 2026'!AB96="","",'[1]Data 2026'!AB96)</f>
        <v>250</v>
      </c>
      <c r="AF84" s="685">
        <f>IF('[1]Data 2026'!AC96="","",'[1]Data 2026'!AC96)</f>
        <v>45823</v>
      </c>
      <c r="AG84" s="685" t="str">
        <f>IF('[1]Data 2026'!AD96="","",'[1]Data 2026'!AD96)</f>
        <v>Ex-Olam</v>
      </c>
      <c r="AH84" s="686">
        <f>IF('[1]Data 2026'!AE96="","",'[1]Data 2026'!AE96)</f>
        <v>10</v>
      </c>
      <c r="AI84" s="685" t="str">
        <f>IF('[1]Data 2026'!AG96="","",'[1]Data 2026'!AG96)</f>
        <v>Diamond Shipping Services</v>
      </c>
      <c r="AJ84" s="685" t="str">
        <f>IF('[1]Data 2026'!AH96="","",'[1]Data 2026'!AH96)</f>
        <v>DUNAMIS/SITRACOM</v>
      </c>
      <c r="AK84" s="685" t="str">
        <f>IF('[1]Data 2026'!AI96="","",'[1]Data 2026'!AI96)</f>
        <v>COSCO</v>
      </c>
      <c r="AL84" s="685" t="str">
        <f>IF('[1]Data 2026'!AJ96="","",'[1]Data 2026'!AJ96)</f>
        <v>40FT</v>
      </c>
      <c r="AM84" s="692">
        <f>IF('[1]Data 2026'!AK96="","",'[1]Data 2026'!AK96)</f>
        <v>0.1</v>
      </c>
      <c r="AN84" s="685" t="str">
        <f>IF('[1]Data 2026'!AL96="","",'[1]Data 2026'!AL96)</f>
        <v>(01x250MTS)</v>
      </c>
      <c r="AO84" s="691">
        <f>IF('[1]Data 2026'!AM96="","",'[1]Data 2026'!AM96)</f>
        <v>275</v>
      </c>
      <c r="AP84" s="691" t="str">
        <f t="shared" si="16"/>
        <v/>
      </c>
      <c r="AQ84" s="685" t="str">
        <f>IF('[1]Data 2026'!AO96="","",'[1]Data 2026'!AO96)</f>
        <v/>
      </c>
      <c r="AR84" s="685" t="str">
        <f>IF('[1]Data 2026'!AP96="","",'[1]Data 2026'!AP96)</f>
        <v/>
      </c>
      <c r="AS84" s="685" t="str">
        <f>IF('[1]Data 2026'!AQ96="","",'[1]Data 2026'!AQ96)</f>
        <v/>
      </c>
      <c r="AT84" s="685" t="str">
        <f>IF('[1]Data 2026'!AR96="","",'[1]Data 2026'!AR96)</f>
        <v/>
      </c>
      <c r="AU84" s="685" t="str">
        <f>IF('[1]Data 2026'!AW96="","",'[1]Data 2026'!AW96)</f>
        <v/>
      </c>
      <c r="AV84" s="685" t="str">
        <f>IF('[1]Data 2026'!AX96="","",'[1]Data 2026'!AX96)</f>
        <v/>
      </c>
      <c r="AW84" s="685" t="str">
        <f>IF('[1]Data 2026'!AY96="","",'[1]Data 2026'!AY96)</f>
        <v/>
      </c>
      <c r="AX84" s="685" t="str">
        <f>IF('[1]Data 2026'!AZ96="","",'[1]Data 2026'!AZ96)</f>
        <v/>
      </c>
      <c r="AY84" s="685" t="str">
        <f>IF('[1]Data 2026'!BA96="","",'[1]Data 2026'!BA96)</f>
        <v/>
      </c>
      <c r="AZ84" s="685" t="str">
        <f>IF('[1]Data 2026'!AS96="","",'[1]Data 2026'!AS96)</f>
        <v/>
      </c>
      <c r="BA84" s="685" t="str">
        <f>IF('[1]Data 2026'!AT96="","",'[1]Data 2026'!AT96)</f>
        <v/>
      </c>
      <c r="BB84" s="685" t="str">
        <f>IF('[1]Data 2026'!AU96="","",'[1]Data 2026'!AU96)</f>
        <v/>
      </c>
      <c r="BC84" s="685" t="str">
        <f>IF('[1]Data 2026'!AV96="","",'[1]Data 2026'!AV96)</f>
        <v/>
      </c>
      <c r="BD84" s="685" t="str">
        <f>IF('[1]Data 2026'!AW96="","",'[1]Data 2026'!AW96)</f>
        <v/>
      </c>
      <c r="BE84" s="685" t="str">
        <f>IF('[1]Data 2026'!AX96="","",'[1]Data 2026'!AX96)</f>
        <v/>
      </c>
      <c r="BF84" s="685" t="str">
        <f>IF('[1]Data 2026'!BF96="","",'[1]Data 2026'!BF96)</f>
        <v>Diamond Shipping Services</v>
      </c>
      <c r="BG84" s="685" t="str">
        <f>IF('[1]Data 2026'!BG96="","",'[1]Data 2026'!BG96)</f>
        <v/>
      </c>
      <c r="BH84" s="685" t="str">
        <f>IF('[1]Data 2026'!BH96="","",'[1]Data 2026'!BH96)</f>
        <v/>
      </c>
      <c r="BI84" s="685" t="str">
        <f>IF('[1]Data 2026'!BI96="","",'[1]Data 2026'!BI96)</f>
        <v/>
      </c>
      <c r="BJ84" s="685" t="str">
        <f>IF('[1]Data 2026'!BJ96="","",'[1]Data 2026'!BJ96)</f>
        <v/>
      </c>
      <c r="BK84" s="685" t="str">
        <f>IF('[1]Data 2026'!BK96="","",'[1]Data 2026'!BK96)</f>
        <v/>
      </c>
      <c r="BL84" s="685" t="str">
        <f>IF('[1]Data 2026'!BL96="","",'[1]Data 2026'!BL96)</f>
        <v>DUNAMIS/SITRACOM</v>
      </c>
      <c r="BM84" s="685" t="str">
        <f>IF('[1]Data 2026'!BM96="","",'[1]Data 2026'!BM96)</f>
        <v/>
      </c>
      <c r="BN84" s="685" t="str">
        <f>IF('[1]Data 2026'!BN96="","",'[1]Data 2026'!BN96)</f>
        <v/>
      </c>
      <c r="BO84" s="685" t="str">
        <f>IF('[1]Data 2026'!BO96="","",'[1]Data 2026'!BO96)</f>
        <v/>
      </c>
      <c r="BP84" s="685" t="str">
        <f>IF('[1]Data 2026'!BP96="","",'[1]Data 2026'!BP96)</f>
        <v/>
      </c>
      <c r="BQ84" s="685" t="str">
        <f>IF('[1]Data 2026'!BQ96="","",'[1]Data 2026'!BQ96)</f>
        <v/>
      </c>
      <c r="BR84" s="685" t="str">
        <f>IF('[1]Data 2026'!BR96="","",'[1]Data 2026'!BR96)</f>
        <v/>
      </c>
      <c r="BS84" s="685" t="str">
        <f>IF('[1]Data 2026'!BS96="","",'[1]Data 2026'!BS96)</f>
        <v/>
      </c>
      <c r="BT84" s="685" t="str">
        <f>IF('[1]Data 2026'!BV96="","",'[1]Data 2026'!BV96)</f>
        <v/>
      </c>
      <c r="BU84" s="685" t="str">
        <f>IF('[1]Data 2026'!BW96="","",'[1]Data 2026'!BW96)</f>
        <v/>
      </c>
      <c r="BV84" s="685" t="str">
        <f>IF('[1]Data 2026'!BX96="","",'[1]Data 2026'!BX96)</f>
        <v/>
      </c>
      <c r="BW84" s="685" t="str">
        <f>IF('[1]Data 2026'!BY96="","",'[1]Data 2026'!BY96)</f>
        <v/>
      </c>
      <c r="BX84" s="685" t="str">
        <f>IF('[1]Data 2026'!BZ96="","",'[1]Data 2026'!BZ96)</f>
        <v/>
      </c>
      <c r="BY84" s="685" t="str">
        <f>IF('[1]Data 2026'!CA96="","",'[1]Data 2026'!CA96)</f>
        <v/>
      </c>
      <c r="BZ84" s="685" t="str">
        <f>IF('[1]Data 2026'!CB96="","",'[1]Data 2026'!CB96)</f>
        <v/>
      </c>
      <c r="CA84" s="685" t="str">
        <f>IF('[1]Data 2026'!CC96="","",'[1]Data 2026'!CC96)</f>
        <v/>
      </c>
      <c r="CB84" s="685" t="str">
        <f>IF('[1]Data 2026'!CD96="","",'[1]Data 2026'!CD96)</f>
        <v/>
      </c>
      <c r="CC84" s="685" t="str">
        <f>IF('[1]Data 2026'!CE96="","",'[1]Data 2026'!CE96)</f>
        <v/>
      </c>
      <c r="CD84" s="685" t="str">
        <f>IF('[1]Data 2026'!CF96="","",'[1]Data 2026'!CF96)</f>
        <v/>
      </c>
      <c r="CE84" s="685" t="str">
        <f>IF('[1]Data 2026'!CG96="","",'[1]Data 2026'!CG96)</f>
        <v/>
      </c>
      <c r="CF84" s="685" t="str">
        <f>IF('[1]Data 2026'!CH96="","",'[1]Data 2026'!CH96)</f>
        <v/>
      </c>
      <c r="CG84" s="685" t="str">
        <f>IF('[1]Data 2026'!CI96="","",'[1]Data 2026'!CI96)</f>
        <v/>
      </c>
      <c r="CH84" s="685" t="str">
        <f>IF('[1]Data 2026'!CJ96="","",'[1]Data 2026'!CJ96)</f>
        <v/>
      </c>
      <c r="CI84" s="685" t="str">
        <f>IF('[1]Data 2026'!CK96="","",'[1]Data 2026'!CK96)</f>
        <v/>
      </c>
      <c r="CJ84" s="685" t="str">
        <f>IF('[1]Data 2026'!CM96="","",'[1]Data 2026'!CM96)</f>
        <v/>
      </c>
      <c r="CK84" s="685" t="str">
        <f>IF('[1]Data 2026'!CN96="","",'[1]Data 2026'!CN96)</f>
        <v>Sugmaran</v>
      </c>
      <c r="CL84" s="691"/>
      <c r="CM84" s="691" t="str">
        <f>IF('[1]Data 2026'!CP96="","",'[1]Data 2026'!CP96)</f>
        <v/>
      </c>
      <c r="CN84" s="691"/>
      <c r="CO84" s="419"/>
      <c r="CP84" s="419"/>
      <c r="CQ84" s="419"/>
      <c r="CR84" s="686" t="str">
        <f t="shared" si="17"/>
        <v/>
      </c>
      <c r="CS84" s="686" t="str">
        <f t="shared" si="17"/>
        <v/>
      </c>
      <c r="CT84" s="686" t="str">
        <f t="shared" si="17"/>
        <v/>
      </c>
      <c r="CU84" s="686" t="str">
        <f t="shared" si="18"/>
        <v/>
      </c>
      <c r="CV84" s="686" t="str">
        <f t="shared" si="19"/>
        <v/>
      </c>
      <c r="CW84" s="685" t="str">
        <f t="shared" si="23"/>
        <v/>
      </c>
      <c r="CX84" s="685" t="str">
        <f t="shared" si="24"/>
        <v/>
      </c>
      <c r="CY84" s="693">
        <f t="shared" ca="1" si="20"/>
        <v>0</v>
      </c>
      <c r="CZ84" s="693" t="str">
        <f t="shared" si="21"/>
        <v/>
      </c>
    </row>
    <row r="85" spans="1:104">
      <c r="A85" s="682" t="str">
        <f t="shared" si="13"/>
        <v>E. STUFFED, GATE IN AWAITED</v>
      </c>
      <c r="B85" s="700" t="s">
        <v>1206</v>
      </c>
      <c r="C85" s="684" t="str">
        <f t="shared" si="14"/>
        <v>LONG POSITION</v>
      </c>
      <c r="D85" s="685" t="str">
        <f t="shared" si="22"/>
        <v/>
      </c>
      <c r="E85" s="685" t="str">
        <f t="shared" si="15"/>
        <v/>
      </c>
      <c r="F85" s="686">
        <f>IF('[1]Data 2026'!D97="","",'[1]Data 2026'!D97)</f>
        <v>47</v>
      </c>
      <c r="G85" s="686">
        <f>IF('[1]Data 2026'!E97="","",'[1]Data 2026'!E97)</f>
        <v>200</v>
      </c>
      <c r="H85" s="687" t="str">
        <f>IF('[1]Data 2026'!H97="","",'[1]Data 2026'!H97)</f>
        <v>TBA</v>
      </c>
      <c r="I85" s="688">
        <f>IF('[1]Data 2026'!AA97="","",'[1]Data 2026'!AA97)</f>
        <v>250</v>
      </c>
      <c r="J85" s="685" t="str">
        <f>IF('[1]Data 2026'!K97="","",'[1]Data 2026'!K97)</f>
        <v>MAY-15th JUNE 2026</v>
      </c>
      <c r="K85" s="685">
        <v>46204</v>
      </c>
      <c r="L85" s="685" t="str">
        <f>IF('[1]Data 2026'!L97="","",'[1]Data 2026'!L97)</f>
        <v>SCOOP COJAIS</v>
      </c>
      <c r="M85" s="685" t="str">
        <f>IF('[1]Data 2026'!M97="","",'[1]Data 2026'!M97)</f>
        <v>VALENCY VIETNAM-UNSOLD</v>
      </c>
      <c r="N85" s="685" t="s">
        <v>1194</v>
      </c>
      <c r="O85" s="689" t="str">
        <f>IF('[1]Data 2026'!N97="","",'[1]Data 2026'!N97)</f>
        <v>COSU6500871010</v>
      </c>
      <c r="P85" s="701" t="str">
        <f>IF('[1]Data 2026'!O97="","",'[1]Data 2026'!O97)</f>
        <v/>
      </c>
      <c r="Q85" s="685" t="str">
        <f>IF('[1]Data 2026'!P97="","",'[1]Data 2026'!P97)</f>
        <v/>
      </c>
      <c r="R85" s="685" t="str">
        <f>IF('[1]Data 2026'!Q97="","",'[1]Data 2026'!Q97)</f>
        <v>ABJ</v>
      </c>
      <c r="S85" s="685" t="s">
        <v>347</v>
      </c>
      <c r="T85" s="685" t="str">
        <f>IF('[1]Data 2026'!R97="","",'[1]Data 2026'!R97)</f>
        <v>HCMC, VIETNAM</v>
      </c>
      <c r="U85" s="685" t="str">
        <f>IF('[1]Data 2026'!S97="","",'[1]Data 2026'!S97)</f>
        <v>NORTHERN MAJESTIC</v>
      </c>
      <c r="V85" s="685">
        <f>IF('[1]Data 2026'!T97="","",'[1]Data 2026'!T97)</f>
        <v>46165</v>
      </c>
      <c r="W85" s="685">
        <f>IF('[1]Data 2026'!U97="","",'[1]Data 2026'!U97)</f>
        <v>46165</v>
      </c>
      <c r="X85" s="685">
        <f>IF('[1]Data 2026'!V97="","",'[1]Data 2026'!V97)</f>
        <v>46168</v>
      </c>
      <c r="Y85" s="685" t="str">
        <f>IF('[1]Data 2026'!W97="","",'[1]Data 2026'!W97)</f>
        <v/>
      </c>
      <c r="Z85" s="685" t="str">
        <f>IF('[1]Data 2026'!X97="","",'[1]Data 2026'!X97)</f>
        <v/>
      </c>
      <c r="AA85" s="685"/>
      <c r="AB85" s="685">
        <f>IF('[1]Data 2026'!Y97="","",'[1]Data 2026'!Y97)</f>
        <v>46181</v>
      </c>
      <c r="AC85" s="685" t="str">
        <f>IF('[1]Data 2026'!Z97="","",'[1]Data 2026'!Z97)</f>
        <v/>
      </c>
      <c r="AD85" s="691">
        <f>IF('[1]Data 2026'!AA97="","",'[1]Data 2026'!AA97)</f>
        <v>250</v>
      </c>
      <c r="AE85" s="691">
        <f>IF('[1]Data 2026'!AB97="","",'[1]Data 2026'!AB97)</f>
        <v>250</v>
      </c>
      <c r="AF85" s="685">
        <f>IF('[1]Data 2026'!AC97="","",'[1]Data 2026'!AC97)</f>
        <v>45823</v>
      </c>
      <c r="AG85" s="685" t="str">
        <f>IF('[1]Data 2026'!AD97="","",'[1]Data 2026'!AD97)</f>
        <v>KONE WH</v>
      </c>
      <c r="AH85" s="686">
        <f>IF('[1]Data 2026'!AE97="","",'[1]Data 2026'!AE97)</f>
        <v>10</v>
      </c>
      <c r="AI85" s="685" t="str">
        <f>IF('[1]Data 2026'!AG97="","",'[1]Data 2026'!AG97)</f>
        <v>Diamond Shipping Services</v>
      </c>
      <c r="AJ85" s="685" t="str">
        <f>IF('[1]Data 2026'!AH97="","",'[1]Data 2026'!AH97)</f>
        <v>DUNAMIS/SITRACOM</v>
      </c>
      <c r="AK85" s="685" t="str">
        <f>IF('[1]Data 2026'!AI97="","",'[1]Data 2026'!AI97)</f>
        <v>COSCO</v>
      </c>
      <c r="AL85" s="685" t="str">
        <f>IF('[1]Data 2026'!AJ97="","",'[1]Data 2026'!AJ97)</f>
        <v>40FT</v>
      </c>
      <c r="AM85" s="692">
        <f>IF('[1]Data 2026'!AK97="","",'[1]Data 2026'!AK97)</f>
        <v>0.1</v>
      </c>
      <c r="AN85" s="685" t="str">
        <f>IF('[1]Data 2026'!AL97="","",'[1]Data 2026'!AL97)</f>
        <v>(01x250MTS)</v>
      </c>
      <c r="AO85" s="691">
        <f>IF('[1]Data 2026'!AM97="","",'[1]Data 2026'!AM97)</f>
        <v>275</v>
      </c>
      <c r="AP85" s="691" t="str">
        <f t="shared" si="16"/>
        <v/>
      </c>
      <c r="AQ85" s="685" t="str">
        <f>IF('[1]Data 2026'!AO97="","",'[1]Data 2026'!AO97)</f>
        <v/>
      </c>
      <c r="AR85" s="685" t="str">
        <f>IF('[1]Data 2026'!AP97="","",'[1]Data 2026'!AP97)</f>
        <v/>
      </c>
      <c r="AS85" s="685" t="str">
        <f>IF('[1]Data 2026'!AQ97="","",'[1]Data 2026'!AQ97)</f>
        <v/>
      </c>
      <c r="AT85" s="685" t="str">
        <f>IF('[1]Data 2026'!AR97="","",'[1]Data 2026'!AR97)</f>
        <v/>
      </c>
      <c r="AU85" s="685" t="str">
        <f>IF('[1]Data 2026'!AW97="","",'[1]Data 2026'!AW97)</f>
        <v/>
      </c>
      <c r="AV85" s="685" t="str">
        <f>IF('[1]Data 2026'!AX97="","",'[1]Data 2026'!AX97)</f>
        <v/>
      </c>
      <c r="AW85" s="685" t="str">
        <f>IF('[1]Data 2026'!AY97="","",'[1]Data 2026'!AY97)</f>
        <v/>
      </c>
      <c r="AX85" s="685" t="str">
        <f>IF('[1]Data 2026'!AZ97="","",'[1]Data 2026'!AZ97)</f>
        <v/>
      </c>
      <c r="AY85" s="685" t="str">
        <f>IF('[1]Data 2026'!BA97="","",'[1]Data 2026'!BA97)</f>
        <v/>
      </c>
      <c r="AZ85" s="685" t="str">
        <f>IF('[1]Data 2026'!AS97="","",'[1]Data 2026'!AS97)</f>
        <v/>
      </c>
      <c r="BA85" s="685" t="str">
        <f>IF('[1]Data 2026'!AT97="","",'[1]Data 2026'!AT97)</f>
        <v/>
      </c>
      <c r="BB85" s="685" t="str">
        <f>IF('[1]Data 2026'!AU97="","",'[1]Data 2026'!AU97)</f>
        <v/>
      </c>
      <c r="BC85" s="685" t="str">
        <f>IF('[1]Data 2026'!AV97="","",'[1]Data 2026'!AV97)</f>
        <v/>
      </c>
      <c r="BD85" s="685" t="str">
        <f>IF('[1]Data 2026'!AW97="","",'[1]Data 2026'!AW97)</f>
        <v/>
      </c>
      <c r="BE85" s="685" t="str">
        <f>IF('[1]Data 2026'!AX97="","",'[1]Data 2026'!AX97)</f>
        <v/>
      </c>
      <c r="BF85" s="685" t="str">
        <f>IF('[1]Data 2026'!BF97="","",'[1]Data 2026'!BF97)</f>
        <v>Diamond Shipping Services</v>
      </c>
      <c r="BG85" s="685" t="str">
        <f>IF('[1]Data 2026'!BG97="","",'[1]Data 2026'!BG97)</f>
        <v/>
      </c>
      <c r="BH85" s="685" t="str">
        <f>IF('[1]Data 2026'!BH97="","",'[1]Data 2026'!BH97)</f>
        <v/>
      </c>
      <c r="BI85" s="685" t="str">
        <f>IF('[1]Data 2026'!BI97="","",'[1]Data 2026'!BI97)</f>
        <v/>
      </c>
      <c r="BJ85" s="685" t="str">
        <f>IF('[1]Data 2026'!BJ97="","",'[1]Data 2026'!BJ97)</f>
        <v/>
      </c>
      <c r="BK85" s="685" t="str">
        <f>IF('[1]Data 2026'!BK97="","",'[1]Data 2026'!BK97)</f>
        <v/>
      </c>
      <c r="BL85" s="685" t="str">
        <f>IF('[1]Data 2026'!BL97="","",'[1]Data 2026'!BL97)</f>
        <v>DUNAMIS/SITRACOM</v>
      </c>
      <c r="BM85" s="685" t="str">
        <f>IF('[1]Data 2026'!BM97="","",'[1]Data 2026'!BM97)</f>
        <v/>
      </c>
      <c r="BN85" s="685" t="str">
        <f>IF('[1]Data 2026'!BN97="","",'[1]Data 2026'!BN97)</f>
        <v/>
      </c>
      <c r="BO85" s="685" t="str">
        <f>IF('[1]Data 2026'!BO97="","",'[1]Data 2026'!BO97)</f>
        <v/>
      </c>
      <c r="BP85" s="685" t="str">
        <f>IF('[1]Data 2026'!BP97="","",'[1]Data 2026'!BP97)</f>
        <v/>
      </c>
      <c r="BQ85" s="685" t="str">
        <f>IF('[1]Data 2026'!BQ97="","",'[1]Data 2026'!BQ97)</f>
        <v/>
      </c>
      <c r="BR85" s="685" t="str">
        <f>IF('[1]Data 2026'!BR97="","",'[1]Data 2026'!BR97)</f>
        <v/>
      </c>
      <c r="BS85" s="685" t="str">
        <f>IF('[1]Data 2026'!BS97="","",'[1]Data 2026'!BS97)</f>
        <v/>
      </c>
      <c r="BT85" s="685" t="str">
        <f>IF('[1]Data 2026'!BV97="","",'[1]Data 2026'!BV97)</f>
        <v/>
      </c>
      <c r="BU85" s="685" t="str">
        <f>IF('[1]Data 2026'!BW97="","",'[1]Data 2026'!BW97)</f>
        <v/>
      </c>
      <c r="BV85" s="685" t="str">
        <f>IF('[1]Data 2026'!BX97="","",'[1]Data 2026'!BX97)</f>
        <v/>
      </c>
      <c r="BW85" s="685" t="str">
        <f>IF('[1]Data 2026'!BY97="","",'[1]Data 2026'!BY97)</f>
        <v/>
      </c>
      <c r="BX85" s="685" t="str">
        <f>IF('[1]Data 2026'!BZ97="","",'[1]Data 2026'!BZ97)</f>
        <v/>
      </c>
      <c r="BY85" s="685" t="str">
        <f>IF('[1]Data 2026'!CA97="","",'[1]Data 2026'!CA97)</f>
        <v/>
      </c>
      <c r="BZ85" s="685" t="str">
        <f>IF('[1]Data 2026'!CB97="","",'[1]Data 2026'!CB97)</f>
        <v/>
      </c>
      <c r="CA85" s="685" t="str">
        <f>IF('[1]Data 2026'!CC97="","",'[1]Data 2026'!CC97)</f>
        <v/>
      </c>
      <c r="CB85" s="685" t="str">
        <f>IF('[1]Data 2026'!CD97="","",'[1]Data 2026'!CD97)</f>
        <v/>
      </c>
      <c r="CC85" s="685" t="str">
        <f>IF('[1]Data 2026'!CE97="","",'[1]Data 2026'!CE97)</f>
        <v/>
      </c>
      <c r="CD85" s="685" t="str">
        <f>IF('[1]Data 2026'!CF97="","",'[1]Data 2026'!CF97)</f>
        <v/>
      </c>
      <c r="CE85" s="685" t="str">
        <f>IF('[1]Data 2026'!CG97="","",'[1]Data 2026'!CG97)</f>
        <v/>
      </c>
      <c r="CF85" s="685" t="str">
        <f>IF('[1]Data 2026'!CH97="","",'[1]Data 2026'!CH97)</f>
        <v/>
      </c>
      <c r="CG85" s="685" t="str">
        <f>IF('[1]Data 2026'!CI97="","",'[1]Data 2026'!CI97)</f>
        <v/>
      </c>
      <c r="CH85" s="685" t="str">
        <f>IF('[1]Data 2026'!CJ97="","",'[1]Data 2026'!CJ97)</f>
        <v/>
      </c>
      <c r="CI85" s="685" t="str">
        <f>IF('[1]Data 2026'!CK97="","",'[1]Data 2026'!CK97)</f>
        <v/>
      </c>
      <c r="CJ85" s="685" t="str">
        <f>IF('[1]Data 2026'!CM97="","",'[1]Data 2026'!CM97)</f>
        <v/>
      </c>
      <c r="CK85" s="685" t="str">
        <f>IF('[1]Data 2026'!CN97="","",'[1]Data 2026'!CN97)</f>
        <v/>
      </c>
      <c r="CL85" s="691"/>
      <c r="CM85" s="691" t="str">
        <f>IF('[1]Data 2026'!CP97="","",'[1]Data 2026'!CP97)</f>
        <v/>
      </c>
      <c r="CN85" s="691"/>
      <c r="CO85" s="419"/>
      <c r="CP85" s="419"/>
      <c r="CQ85" s="419"/>
      <c r="CR85" s="686">
        <f t="shared" ref="CR85:CR128" si="25">IFERROR(W85-V85,"")</f>
        <v>0</v>
      </c>
    </row>
    <row r="86" spans="1:104">
      <c r="A86" s="682" t="str">
        <f t="shared" si="13"/>
        <v>A. BOOKING PENDING</v>
      </c>
      <c r="B86" s="695"/>
      <c r="C86" s="684" t="str">
        <f t="shared" si="14"/>
        <v>SHORT POSITION</v>
      </c>
      <c r="D86" s="685" t="str">
        <f t="shared" si="22"/>
        <v/>
      </c>
      <c r="E86" s="685" t="str">
        <f t="shared" si="15"/>
        <v/>
      </c>
      <c r="F86" s="686">
        <f>IF('[1]Data 2026'!D98="","",'[1]Data 2026'!D98)</f>
        <v>46</v>
      </c>
      <c r="G86" s="686">
        <f>IF('[1]Data 2026'!E98="","",'[1]Data 2026'!E98)</f>
        <v>200</v>
      </c>
      <c r="H86" s="687">
        <f>IF('[1]Data 2026'!H98="","",'[1]Data 2026'!H98)</f>
        <v>32016355</v>
      </c>
      <c r="I86" s="688">
        <f>IF('[1]Data 2026'!AA98="","",'[1]Data 2026'!AA98)</f>
        <v>250</v>
      </c>
      <c r="J86" s="685" t="str">
        <f>IF('[1]Data 2026'!K98="","",'[1]Data 2026'!K98)</f>
        <v>MAY/JUNE 2026</v>
      </c>
      <c r="K86" s="685">
        <v>46205</v>
      </c>
      <c r="L86" s="685" t="str">
        <f>IF('[1]Data 2026'!L98="","",'[1]Data 2026'!L98)</f>
        <v>VALENCY CI</v>
      </c>
      <c r="M86" s="685" t="str">
        <f>IF('[1]Data 2026'!M98="","",'[1]Data 2026'!M98)</f>
        <v xml:space="preserve">THAO NGUYEN COMPANY LIMITED  </v>
      </c>
      <c r="N86" s="685" t="s">
        <v>1194</v>
      </c>
      <c r="O86" s="689" t="str">
        <f>IF('[1]Data 2026'!N98="","",'[1]Data 2026'!N98)</f>
        <v/>
      </c>
      <c r="P86" s="701" t="str">
        <f>IF('[1]Data 2026'!O98="","",'[1]Data 2026'!O98)</f>
        <v/>
      </c>
      <c r="Q86" s="685" t="str">
        <f>IF('[1]Data 2026'!P98="","",'[1]Data 2026'!P98)</f>
        <v/>
      </c>
      <c r="R86" s="685" t="str">
        <f>IF('[1]Data 2026'!Q98="","",'[1]Data 2026'!Q98)</f>
        <v>ABJ</v>
      </c>
      <c r="S86" s="685" t="s">
        <v>347</v>
      </c>
      <c r="T86" s="685" t="str">
        <f>IF('[1]Data 2026'!R98="","",'[1]Data 2026'!R98)</f>
        <v>HCMC, VIETNAM</v>
      </c>
      <c r="U86" s="685" t="str">
        <f>IF('[1]Data 2026'!S98="","",'[1]Data 2026'!S98)</f>
        <v/>
      </c>
      <c r="V86" s="685" t="str">
        <f>IF('[1]Data 2026'!T98="","",'[1]Data 2026'!T98)</f>
        <v/>
      </c>
      <c r="W86" s="685" t="str">
        <f>IF('[1]Data 2026'!U98="","",'[1]Data 2026'!U98)</f>
        <v/>
      </c>
      <c r="X86" s="685" t="str">
        <f>IF('[1]Data 2026'!V98="","",'[1]Data 2026'!V98)</f>
        <v/>
      </c>
      <c r="Y86" s="685" t="str">
        <f>IF('[1]Data 2026'!W98="","",'[1]Data 2026'!W98)</f>
        <v/>
      </c>
      <c r="Z86" s="685" t="str">
        <f>IF('[1]Data 2026'!X98="","",'[1]Data 2026'!X98)</f>
        <v/>
      </c>
      <c r="AA86" s="685"/>
      <c r="AB86" s="685" t="str">
        <f>IF('[1]Data 2026'!Y98="","",'[1]Data 2026'!Y98)</f>
        <v/>
      </c>
      <c r="AC86" s="685" t="str">
        <f>IF('[1]Data 2026'!Z98="","",'[1]Data 2026'!Z98)</f>
        <v/>
      </c>
      <c r="AD86" s="691">
        <f>IF('[1]Data 2026'!AA98="","",'[1]Data 2026'!AA98)</f>
        <v>250</v>
      </c>
      <c r="AE86" s="691">
        <f>IF('[1]Data 2026'!AB98="","",'[1]Data 2026'!AB98)</f>
        <v>250</v>
      </c>
      <c r="AF86" s="685">
        <f>IF('[1]Data 2026'!AC98="","",'[1]Data 2026'!AC98)</f>
        <v>45838</v>
      </c>
      <c r="AG86" s="685" t="str">
        <f>IF('[1]Data 2026'!AD98="","",'[1]Data 2026'!AD98)</f>
        <v/>
      </c>
      <c r="AH86" s="686">
        <f>IF('[1]Data 2026'!AE98="","",'[1]Data 2026'!AE98)</f>
        <v>10</v>
      </c>
      <c r="AI86" s="685" t="str">
        <f>IF('[1]Data 2026'!AG98="","",'[1]Data 2026'!AG98)</f>
        <v/>
      </c>
      <c r="AJ86" s="685" t="str">
        <f>IF('[1]Data 2026'!AH98="","",'[1]Data 2026'!AH98)</f>
        <v>TBA</v>
      </c>
      <c r="AK86" s="685" t="str">
        <f>IF('[1]Data 2026'!AI98="","",'[1]Data 2026'!AI98)</f>
        <v>TBA</v>
      </c>
      <c r="AL86" s="685" t="str">
        <f>IF('[1]Data 2026'!AJ98="","",'[1]Data 2026'!AJ98)</f>
        <v>40FT</v>
      </c>
      <c r="AM86" s="692">
        <f>IF('[1]Data 2026'!AK98="","",'[1]Data 2026'!AK98)</f>
        <v>0.1</v>
      </c>
      <c r="AN86" s="685" t="str">
        <f>IF('[1]Data 2026'!AL98="","",'[1]Data 2026'!AL98)</f>
        <v>(01x250MTS)</v>
      </c>
      <c r="AO86" s="691">
        <f>IF('[1]Data 2026'!AM98="","",'[1]Data 2026'!AM98)</f>
        <v>275</v>
      </c>
      <c r="AP86" s="691" t="str">
        <f t="shared" si="16"/>
        <v/>
      </c>
      <c r="AQ86" s="685" t="str">
        <f>IF('[1]Data 2026'!AO98="","",'[1]Data 2026'!AO98)</f>
        <v/>
      </c>
      <c r="AR86" s="685" t="str">
        <f>IF('[1]Data 2026'!AP98="","",'[1]Data 2026'!AP98)</f>
        <v/>
      </c>
      <c r="AS86" s="685" t="str">
        <f>IF('[1]Data 2026'!AQ98="","",'[1]Data 2026'!AQ98)</f>
        <v/>
      </c>
      <c r="AT86" s="685" t="str">
        <f>IF('[1]Data 2026'!AR98="","",'[1]Data 2026'!AR98)</f>
        <v/>
      </c>
      <c r="AU86" s="685" t="str">
        <f>IF('[1]Data 2026'!AW98="","",'[1]Data 2026'!AW98)</f>
        <v/>
      </c>
      <c r="AV86" s="685" t="str">
        <f>IF('[1]Data 2026'!AX98="","",'[1]Data 2026'!AX98)</f>
        <v/>
      </c>
      <c r="AW86" s="685" t="str">
        <f>IF('[1]Data 2026'!AY98="","",'[1]Data 2026'!AY98)</f>
        <v/>
      </c>
      <c r="AX86" s="685" t="str">
        <f>IF('[1]Data 2026'!AZ98="","",'[1]Data 2026'!AZ98)</f>
        <v/>
      </c>
      <c r="AY86" s="685" t="str">
        <f>IF('[1]Data 2026'!BA98="","",'[1]Data 2026'!BA98)</f>
        <v/>
      </c>
      <c r="AZ86" s="685" t="str">
        <f>IF('[1]Data 2026'!AS98="","",'[1]Data 2026'!AS98)</f>
        <v/>
      </c>
      <c r="BA86" s="685" t="str">
        <f>IF('[1]Data 2026'!AT98="","",'[1]Data 2026'!AT98)</f>
        <v/>
      </c>
      <c r="BB86" s="685" t="str">
        <f>IF('[1]Data 2026'!AU98="","",'[1]Data 2026'!AU98)</f>
        <v/>
      </c>
      <c r="BC86" s="685" t="str">
        <f>IF('[1]Data 2026'!AV98="","",'[1]Data 2026'!AV98)</f>
        <v/>
      </c>
      <c r="BD86" s="685" t="str">
        <f>IF('[1]Data 2026'!AW98="","",'[1]Data 2026'!AW98)</f>
        <v/>
      </c>
      <c r="BE86" s="685" t="str">
        <f>IF('[1]Data 2026'!AX98="","",'[1]Data 2026'!AX98)</f>
        <v/>
      </c>
      <c r="BF86" s="685" t="str">
        <f>IF('[1]Data 2026'!BF98="","",'[1]Data 2026'!BF98)</f>
        <v/>
      </c>
      <c r="BG86" s="685" t="str">
        <f>IF('[1]Data 2026'!BG98="","",'[1]Data 2026'!BG98)</f>
        <v/>
      </c>
      <c r="BH86" s="685" t="str">
        <f>IF('[1]Data 2026'!BH98="","",'[1]Data 2026'!BH98)</f>
        <v/>
      </c>
      <c r="BI86" s="685" t="str">
        <f>IF('[1]Data 2026'!BI98="","",'[1]Data 2026'!BI98)</f>
        <v/>
      </c>
      <c r="BJ86" s="685" t="str">
        <f>IF('[1]Data 2026'!BJ98="","",'[1]Data 2026'!BJ98)</f>
        <v/>
      </c>
      <c r="BK86" s="685" t="str">
        <f>IF('[1]Data 2026'!BK98="","",'[1]Data 2026'!BK98)</f>
        <v/>
      </c>
      <c r="BL86" s="685" t="str">
        <f>IF('[1]Data 2026'!BL98="","",'[1]Data 2026'!BL98)</f>
        <v/>
      </c>
      <c r="BM86" s="685" t="str">
        <f>IF('[1]Data 2026'!BM98="","",'[1]Data 2026'!BM98)</f>
        <v/>
      </c>
      <c r="BN86" s="685" t="str">
        <f>IF('[1]Data 2026'!BN98="","",'[1]Data 2026'!BN98)</f>
        <v/>
      </c>
      <c r="BO86" s="685" t="str">
        <f>IF('[1]Data 2026'!BO98="","",'[1]Data 2026'!BO98)</f>
        <v/>
      </c>
      <c r="BP86" s="685" t="str">
        <f>IF('[1]Data 2026'!BP98="","",'[1]Data 2026'!BP98)</f>
        <v/>
      </c>
      <c r="BQ86" s="685" t="str">
        <f>IF('[1]Data 2026'!BQ98="","",'[1]Data 2026'!BQ98)</f>
        <v/>
      </c>
      <c r="BR86" s="685" t="str">
        <f>IF('[1]Data 2026'!BR98="","",'[1]Data 2026'!BR98)</f>
        <v/>
      </c>
      <c r="BS86" s="685" t="str">
        <f>IF('[1]Data 2026'!BS98="","",'[1]Data 2026'!BS98)</f>
        <v/>
      </c>
      <c r="BT86" s="685" t="str">
        <f>IF('[1]Data 2026'!BV98="","",'[1]Data 2026'!BV98)</f>
        <v/>
      </c>
      <c r="BU86" s="685" t="str">
        <f>IF('[1]Data 2026'!BW98="","",'[1]Data 2026'!BW98)</f>
        <v/>
      </c>
      <c r="BV86" s="685" t="str">
        <f>IF('[1]Data 2026'!BX98="","",'[1]Data 2026'!BX98)</f>
        <v/>
      </c>
      <c r="BW86" s="685" t="str">
        <f>IF('[1]Data 2026'!BY98="","",'[1]Data 2026'!BY98)</f>
        <v/>
      </c>
      <c r="BX86" s="685" t="str">
        <f>IF('[1]Data 2026'!BZ98="","",'[1]Data 2026'!BZ98)</f>
        <v/>
      </c>
      <c r="BY86" s="685" t="str">
        <f>IF('[1]Data 2026'!CA98="","",'[1]Data 2026'!CA98)</f>
        <v/>
      </c>
      <c r="BZ86" s="685" t="str">
        <f>IF('[1]Data 2026'!CB98="","",'[1]Data 2026'!CB98)</f>
        <v/>
      </c>
      <c r="CA86" s="685" t="str">
        <f>IF('[1]Data 2026'!CC98="","",'[1]Data 2026'!CC98)</f>
        <v/>
      </c>
      <c r="CB86" s="685" t="str">
        <f>IF('[1]Data 2026'!CD98="","",'[1]Data 2026'!CD98)</f>
        <v/>
      </c>
      <c r="CC86" s="685" t="str">
        <f>IF('[1]Data 2026'!CE98="","",'[1]Data 2026'!CE98)</f>
        <v/>
      </c>
      <c r="CD86" s="685" t="str">
        <f>IF('[1]Data 2026'!CF98="","",'[1]Data 2026'!CF98)</f>
        <v/>
      </c>
      <c r="CE86" s="685" t="str">
        <f>IF('[1]Data 2026'!CG98="","",'[1]Data 2026'!CG98)</f>
        <v/>
      </c>
      <c r="CF86" s="685" t="str">
        <f>IF('[1]Data 2026'!CH98="","",'[1]Data 2026'!CH98)</f>
        <v/>
      </c>
      <c r="CG86" s="685" t="str">
        <f>IF('[1]Data 2026'!CI98="","",'[1]Data 2026'!CI98)</f>
        <v/>
      </c>
      <c r="CH86" s="685" t="str">
        <f>IF('[1]Data 2026'!CJ98="","",'[1]Data 2026'!CJ98)</f>
        <v/>
      </c>
      <c r="CI86" s="685" t="str">
        <f>IF('[1]Data 2026'!CK98="","",'[1]Data 2026'!CK98)</f>
        <v/>
      </c>
      <c r="CJ86" s="685" t="str">
        <f>IF('[1]Data 2026'!CM98="","",'[1]Data 2026'!CM98)</f>
        <v/>
      </c>
      <c r="CK86" s="685" t="str">
        <f>IF('[1]Data 2026'!CN98="","",'[1]Data 2026'!CN98)</f>
        <v/>
      </c>
      <c r="CL86" s="691"/>
      <c r="CM86" s="691" t="str">
        <f>IF('[1]Data 2026'!CP98="","",'[1]Data 2026'!CP98)</f>
        <v/>
      </c>
      <c r="CN86" s="691"/>
      <c r="CO86" s="419"/>
      <c r="CP86" s="419"/>
      <c r="CQ86" s="419"/>
      <c r="CR86" s="686" t="str">
        <f t="shared" si="25"/>
        <v/>
      </c>
    </row>
    <row r="87" spans="1:104">
      <c r="A87" s="682" t="str">
        <f t="shared" si="13"/>
        <v>A. BOOKING PENDING</v>
      </c>
      <c r="B87" s="695"/>
      <c r="C87" s="684" t="str">
        <f t="shared" si="14"/>
        <v>SHORT POSITION</v>
      </c>
      <c r="D87" s="685" t="str">
        <f t="shared" si="22"/>
        <v/>
      </c>
      <c r="E87" s="685" t="str">
        <f t="shared" si="15"/>
        <v/>
      </c>
      <c r="F87" s="686">
        <f>IF('[1]Data 2026'!D99="","",'[1]Data 2026'!D99)</f>
        <v>47</v>
      </c>
      <c r="G87" s="686">
        <f>IF('[1]Data 2026'!E99="","",'[1]Data 2026'!E99)</f>
        <v>200</v>
      </c>
      <c r="H87" s="687">
        <f>IF('[1]Data 2026'!H99="","",'[1]Data 2026'!H99)</f>
        <v>32016364</v>
      </c>
      <c r="I87" s="688">
        <f>IF('[1]Data 2026'!AA99="","",'[1]Data 2026'!AA99)</f>
        <v>250</v>
      </c>
      <c r="J87" s="685" t="str">
        <f>IF('[1]Data 2026'!K99="","",'[1]Data 2026'!K99)</f>
        <v>MAY/JUNE 2026</v>
      </c>
      <c r="K87" s="685">
        <v>46206</v>
      </c>
      <c r="L87" s="685" t="str">
        <f>IF('[1]Data 2026'!L99="","",'[1]Data 2026'!L99)</f>
        <v>VALENCY CI</v>
      </c>
      <c r="M87" s="685" t="str">
        <f>IF('[1]Data 2026'!M99="","",'[1]Data 2026'!M99)</f>
        <v>HOANG SON I JOINT STOCK COMPANY LIMITED</v>
      </c>
      <c r="N87" s="685" t="s">
        <v>1194</v>
      </c>
      <c r="O87" s="689" t="str">
        <f>IF('[1]Data 2026'!N99="","",'[1]Data 2026'!N99)</f>
        <v/>
      </c>
      <c r="P87" s="701" t="str">
        <f>IF('[1]Data 2026'!O99="","",'[1]Data 2026'!O99)</f>
        <v/>
      </c>
      <c r="Q87" s="685" t="str">
        <f>IF('[1]Data 2026'!P99="","",'[1]Data 2026'!P99)</f>
        <v/>
      </c>
      <c r="R87" s="685" t="str">
        <f>IF('[1]Data 2026'!Q99="","",'[1]Data 2026'!Q99)</f>
        <v>ABJ</v>
      </c>
      <c r="S87" s="685" t="s">
        <v>347</v>
      </c>
      <c r="T87" s="685" t="str">
        <f>IF('[1]Data 2026'!R99="","",'[1]Data 2026'!R99)</f>
        <v>HCMC, VIETNAM</v>
      </c>
      <c r="U87" s="685" t="str">
        <f>IF('[1]Data 2026'!S99="","",'[1]Data 2026'!S99)</f>
        <v/>
      </c>
      <c r="V87" s="685" t="str">
        <f>IF('[1]Data 2026'!T99="","",'[1]Data 2026'!T99)</f>
        <v/>
      </c>
      <c r="W87" s="685" t="str">
        <f>IF('[1]Data 2026'!U99="","",'[1]Data 2026'!U99)</f>
        <v/>
      </c>
      <c r="X87" s="685" t="str">
        <f>IF('[1]Data 2026'!V99="","",'[1]Data 2026'!V99)</f>
        <v/>
      </c>
      <c r="Y87" s="685" t="str">
        <f>IF('[1]Data 2026'!W99="","",'[1]Data 2026'!W99)</f>
        <v/>
      </c>
      <c r="Z87" s="685" t="str">
        <f>IF('[1]Data 2026'!X99="","",'[1]Data 2026'!X99)</f>
        <v/>
      </c>
      <c r="AA87" s="685"/>
      <c r="AB87" s="685" t="str">
        <f>IF('[1]Data 2026'!Y99="","",'[1]Data 2026'!Y99)</f>
        <v/>
      </c>
      <c r="AC87" s="685" t="str">
        <f>IF('[1]Data 2026'!Z99="","",'[1]Data 2026'!Z99)</f>
        <v/>
      </c>
      <c r="AD87" s="691">
        <f>IF('[1]Data 2026'!AA99="","",'[1]Data 2026'!AA99)</f>
        <v>250</v>
      </c>
      <c r="AE87" s="691">
        <f>IF('[1]Data 2026'!AB99="","",'[1]Data 2026'!AB99)</f>
        <v>250</v>
      </c>
      <c r="AF87" s="685">
        <f>IF('[1]Data 2026'!AC99="","",'[1]Data 2026'!AC99)</f>
        <v>45838</v>
      </c>
      <c r="AG87" s="685" t="str">
        <f>IF('[1]Data 2026'!AD99="","",'[1]Data 2026'!AD99)</f>
        <v/>
      </c>
      <c r="AH87" s="686">
        <f>IF('[1]Data 2026'!AE99="","",'[1]Data 2026'!AE99)</f>
        <v>10</v>
      </c>
      <c r="AI87" s="685" t="str">
        <f>IF('[1]Data 2026'!AG99="","",'[1]Data 2026'!AG99)</f>
        <v/>
      </c>
      <c r="AJ87" s="685" t="str">
        <f>IF('[1]Data 2026'!AH99="","",'[1]Data 2026'!AH99)</f>
        <v>TBA</v>
      </c>
      <c r="AK87" s="685" t="str">
        <f>IF('[1]Data 2026'!AI99="","",'[1]Data 2026'!AI99)</f>
        <v>TBA</v>
      </c>
      <c r="AL87" s="685" t="str">
        <f>IF('[1]Data 2026'!AJ99="","",'[1]Data 2026'!AJ99)</f>
        <v>40FT</v>
      </c>
      <c r="AM87" s="692">
        <f>IF('[1]Data 2026'!AK99="","",'[1]Data 2026'!AK99)</f>
        <v>0.1</v>
      </c>
      <c r="AN87" s="685" t="str">
        <f>IF('[1]Data 2026'!AL99="","",'[1]Data 2026'!AL99)</f>
        <v>(01x250MTS)</v>
      </c>
      <c r="AO87" s="691">
        <f>IF('[1]Data 2026'!AM99="","",'[1]Data 2026'!AM99)</f>
        <v>275</v>
      </c>
      <c r="AP87" s="691" t="str">
        <f t="shared" si="16"/>
        <v/>
      </c>
      <c r="AQ87" s="685" t="str">
        <f>IF('[1]Data 2026'!AO99="","",'[1]Data 2026'!AO99)</f>
        <v/>
      </c>
      <c r="AR87" s="685" t="str">
        <f>IF('[1]Data 2026'!AP99="","",'[1]Data 2026'!AP99)</f>
        <v/>
      </c>
      <c r="AS87" s="685" t="str">
        <f>IF('[1]Data 2026'!AQ99="","",'[1]Data 2026'!AQ99)</f>
        <v/>
      </c>
      <c r="AT87" s="685" t="str">
        <f>IF('[1]Data 2026'!AR99="","",'[1]Data 2026'!AR99)</f>
        <v/>
      </c>
      <c r="AU87" s="685" t="str">
        <f>IF('[1]Data 2026'!AW99="","",'[1]Data 2026'!AW99)</f>
        <v/>
      </c>
      <c r="AV87" s="685" t="str">
        <f>IF('[1]Data 2026'!AX99="","",'[1]Data 2026'!AX99)</f>
        <v/>
      </c>
      <c r="AW87" s="685" t="str">
        <f>IF('[1]Data 2026'!AY99="","",'[1]Data 2026'!AY99)</f>
        <v/>
      </c>
      <c r="AX87" s="685" t="str">
        <f>IF('[1]Data 2026'!AZ99="","",'[1]Data 2026'!AZ99)</f>
        <v/>
      </c>
      <c r="AY87" s="685" t="str">
        <f>IF('[1]Data 2026'!BA99="","",'[1]Data 2026'!BA99)</f>
        <v/>
      </c>
      <c r="AZ87" s="685" t="str">
        <f>IF('[1]Data 2026'!AS99="","",'[1]Data 2026'!AS99)</f>
        <v/>
      </c>
      <c r="BA87" s="685" t="str">
        <f>IF('[1]Data 2026'!AT99="","",'[1]Data 2026'!AT99)</f>
        <v/>
      </c>
      <c r="BB87" s="685" t="str">
        <f>IF('[1]Data 2026'!AU99="","",'[1]Data 2026'!AU99)</f>
        <v/>
      </c>
      <c r="BC87" s="685" t="str">
        <f>IF('[1]Data 2026'!AV99="","",'[1]Data 2026'!AV99)</f>
        <v/>
      </c>
      <c r="BD87" s="685" t="str">
        <f>IF('[1]Data 2026'!AW99="","",'[1]Data 2026'!AW99)</f>
        <v/>
      </c>
      <c r="BE87" s="685" t="str">
        <f>IF('[1]Data 2026'!AX99="","",'[1]Data 2026'!AX99)</f>
        <v/>
      </c>
      <c r="BF87" s="685" t="str">
        <f>IF('[1]Data 2026'!BF99="","",'[1]Data 2026'!BF99)</f>
        <v/>
      </c>
      <c r="BG87" s="685" t="str">
        <f>IF('[1]Data 2026'!BG99="","",'[1]Data 2026'!BG99)</f>
        <v/>
      </c>
      <c r="BH87" s="685" t="str">
        <f>IF('[1]Data 2026'!BH99="","",'[1]Data 2026'!BH99)</f>
        <v/>
      </c>
      <c r="BI87" s="685" t="str">
        <f>IF('[1]Data 2026'!BI99="","",'[1]Data 2026'!BI99)</f>
        <v/>
      </c>
      <c r="BJ87" s="685" t="str">
        <f>IF('[1]Data 2026'!BJ99="","",'[1]Data 2026'!BJ99)</f>
        <v/>
      </c>
      <c r="BK87" s="685" t="str">
        <f>IF('[1]Data 2026'!BK99="","",'[1]Data 2026'!BK99)</f>
        <v/>
      </c>
      <c r="BL87" s="685" t="str">
        <f>IF('[1]Data 2026'!BL99="","",'[1]Data 2026'!BL99)</f>
        <v/>
      </c>
      <c r="BM87" s="685" t="str">
        <f>IF('[1]Data 2026'!BM99="","",'[1]Data 2026'!BM99)</f>
        <v/>
      </c>
      <c r="BN87" s="685" t="str">
        <f>IF('[1]Data 2026'!BN99="","",'[1]Data 2026'!BN99)</f>
        <v/>
      </c>
      <c r="BO87" s="685" t="str">
        <f>IF('[1]Data 2026'!BO99="","",'[1]Data 2026'!BO99)</f>
        <v/>
      </c>
      <c r="BP87" s="685" t="str">
        <f>IF('[1]Data 2026'!BP99="","",'[1]Data 2026'!BP99)</f>
        <v/>
      </c>
      <c r="BQ87" s="685" t="str">
        <f>IF('[1]Data 2026'!BQ99="","",'[1]Data 2026'!BQ99)</f>
        <v/>
      </c>
      <c r="BR87" s="685" t="str">
        <f>IF('[1]Data 2026'!BR99="","",'[1]Data 2026'!BR99)</f>
        <v/>
      </c>
      <c r="BS87" s="685" t="str">
        <f>IF('[1]Data 2026'!BS99="","",'[1]Data 2026'!BS99)</f>
        <v/>
      </c>
      <c r="BT87" s="685" t="str">
        <f>IF('[1]Data 2026'!BV99="","",'[1]Data 2026'!BV99)</f>
        <v/>
      </c>
      <c r="BU87" s="685" t="str">
        <f>IF('[1]Data 2026'!BW99="","",'[1]Data 2026'!BW99)</f>
        <v/>
      </c>
      <c r="BV87" s="685" t="str">
        <f>IF('[1]Data 2026'!BX99="","",'[1]Data 2026'!BX99)</f>
        <v/>
      </c>
      <c r="BW87" s="685" t="str">
        <f>IF('[1]Data 2026'!BY99="","",'[1]Data 2026'!BY99)</f>
        <v/>
      </c>
      <c r="BX87" s="685" t="str">
        <f>IF('[1]Data 2026'!BZ99="","",'[1]Data 2026'!BZ99)</f>
        <v/>
      </c>
      <c r="BY87" s="685" t="str">
        <f>IF('[1]Data 2026'!CA99="","",'[1]Data 2026'!CA99)</f>
        <v/>
      </c>
      <c r="BZ87" s="685" t="str">
        <f>IF('[1]Data 2026'!CB99="","",'[1]Data 2026'!CB99)</f>
        <v/>
      </c>
      <c r="CA87" s="685" t="str">
        <f>IF('[1]Data 2026'!CC99="","",'[1]Data 2026'!CC99)</f>
        <v/>
      </c>
      <c r="CB87" s="685" t="str">
        <f>IF('[1]Data 2026'!CD99="","",'[1]Data 2026'!CD99)</f>
        <v/>
      </c>
      <c r="CC87" s="685" t="str">
        <f>IF('[1]Data 2026'!CE99="","",'[1]Data 2026'!CE99)</f>
        <v/>
      </c>
      <c r="CD87" s="685" t="str">
        <f>IF('[1]Data 2026'!CF99="","",'[1]Data 2026'!CF99)</f>
        <v/>
      </c>
      <c r="CE87" s="685" t="str">
        <f>IF('[1]Data 2026'!CG99="","",'[1]Data 2026'!CG99)</f>
        <v/>
      </c>
      <c r="CF87" s="685" t="str">
        <f>IF('[1]Data 2026'!CH99="","",'[1]Data 2026'!CH99)</f>
        <v/>
      </c>
      <c r="CG87" s="685" t="str">
        <f>IF('[1]Data 2026'!CI99="","",'[1]Data 2026'!CI99)</f>
        <v/>
      </c>
      <c r="CH87" s="685" t="str">
        <f>IF('[1]Data 2026'!CJ99="","",'[1]Data 2026'!CJ99)</f>
        <v/>
      </c>
      <c r="CI87" s="685" t="str">
        <f>IF('[1]Data 2026'!CK99="","",'[1]Data 2026'!CK99)</f>
        <v/>
      </c>
      <c r="CJ87" s="685" t="str">
        <f>IF('[1]Data 2026'!CM99="","",'[1]Data 2026'!CM99)</f>
        <v/>
      </c>
      <c r="CK87" s="685" t="str">
        <f>IF('[1]Data 2026'!CN99="","",'[1]Data 2026'!CN99)</f>
        <v/>
      </c>
      <c r="CL87" s="691"/>
      <c r="CM87" s="691" t="str">
        <f>IF('[1]Data 2026'!CP99="","",'[1]Data 2026'!CP99)</f>
        <v/>
      </c>
      <c r="CN87" s="691"/>
      <c r="CO87" s="419"/>
      <c r="CP87" s="419"/>
      <c r="CQ87" s="419"/>
      <c r="CR87" s="686" t="str">
        <f t="shared" si="25"/>
        <v/>
      </c>
    </row>
    <row r="88" spans="1:104">
      <c r="A88" s="682" t="str">
        <f t="shared" si="13"/>
        <v>A. BOOKING PENDING</v>
      </c>
      <c r="B88" s="695"/>
      <c r="C88" s="684" t="str">
        <f t="shared" si="14"/>
        <v>SHORT POSITION</v>
      </c>
      <c r="D88" s="685" t="str">
        <f t="shared" si="22"/>
        <v/>
      </c>
      <c r="E88" s="685" t="str">
        <f t="shared" si="15"/>
        <v/>
      </c>
      <c r="F88" s="686">
        <f>IF('[1]Data 2026'!D100="","",'[1]Data 2026'!D100)</f>
        <v>46</v>
      </c>
      <c r="G88" s="686">
        <f>IF('[1]Data 2026'!E100="","",'[1]Data 2026'!E100)</f>
        <v>200</v>
      </c>
      <c r="H88" s="687" t="str">
        <f>IF('[1]Data 2026'!H100="","",'[1]Data 2026'!H100)</f>
        <v>RCN/2026/1001</v>
      </c>
      <c r="I88" s="688">
        <f>IF('[1]Data 2026'!AA100="","",'[1]Data 2026'!AA100)</f>
        <v>250</v>
      </c>
      <c r="J88" s="685" t="str">
        <f>IF('[1]Data 2026'!K100="","",'[1]Data 2026'!K100)</f>
        <v>JUNE/JULY 2026</v>
      </c>
      <c r="K88" s="685">
        <v>46207</v>
      </c>
      <c r="L88" s="685" t="str">
        <f>IF('[1]Data 2026'!L100="","",'[1]Data 2026'!L100)</f>
        <v>VALENCY CI</v>
      </c>
      <c r="M88" s="685" t="str">
        <f>IF('[1]Data 2026'!M100="","",'[1]Data 2026'!M100)</f>
        <v>XUAN TEO ONE MEMBER 
COMPANY LIMITED</v>
      </c>
      <c r="N88" s="685" t="s">
        <v>1194</v>
      </c>
      <c r="O88" s="689" t="str">
        <f>IF('[1]Data 2026'!N100="","",'[1]Data 2026'!N100)</f>
        <v/>
      </c>
      <c r="P88" s="701" t="str">
        <f>IF('[1]Data 2026'!O100="","",'[1]Data 2026'!O100)</f>
        <v/>
      </c>
      <c r="Q88" s="685" t="str">
        <f>IF('[1]Data 2026'!P100="","",'[1]Data 2026'!P100)</f>
        <v/>
      </c>
      <c r="R88" s="685" t="str">
        <f>IF('[1]Data 2026'!Q100="","",'[1]Data 2026'!Q100)</f>
        <v>ABJ</v>
      </c>
      <c r="S88" s="685" t="s">
        <v>347</v>
      </c>
      <c r="T88" s="685" t="str">
        <f>IF('[1]Data 2026'!R100="","",'[1]Data 2026'!R100)</f>
        <v>HCMC, VIETNAM</v>
      </c>
      <c r="U88" s="685" t="str">
        <f>IF('[1]Data 2026'!S100="","",'[1]Data 2026'!S100)</f>
        <v/>
      </c>
      <c r="V88" s="685" t="str">
        <f>IF('[1]Data 2026'!T100="","",'[1]Data 2026'!T100)</f>
        <v/>
      </c>
      <c r="W88" s="685" t="str">
        <f>IF('[1]Data 2026'!U100="","",'[1]Data 2026'!U100)</f>
        <v/>
      </c>
      <c r="X88" s="685" t="str">
        <f>IF('[1]Data 2026'!V100="","",'[1]Data 2026'!V100)</f>
        <v/>
      </c>
      <c r="Y88" s="685" t="str">
        <f>IF('[1]Data 2026'!W100="","",'[1]Data 2026'!W100)</f>
        <v/>
      </c>
      <c r="Z88" s="685" t="str">
        <f>IF('[1]Data 2026'!X100="","",'[1]Data 2026'!X100)</f>
        <v/>
      </c>
      <c r="AA88" s="685"/>
      <c r="AB88" s="685" t="str">
        <f>IF('[1]Data 2026'!Y100="","",'[1]Data 2026'!Y100)</f>
        <v/>
      </c>
      <c r="AC88" s="685" t="str">
        <f>IF('[1]Data 2026'!Z100="","",'[1]Data 2026'!Z100)</f>
        <v/>
      </c>
      <c r="AD88" s="691">
        <f>IF('[1]Data 2026'!AA100="","",'[1]Data 2026'!AA100)</f>
        <v>250</v>
      </c>
      <c r="AE88" s="691">
        <f>IF('[1]Data 2026'!AB100="","",'[1]Data 2026'!AB100)</f>
        <v>250</v>
      </c>
      <c r="AF88" s="685">
        <f>IF('[1]Data 2026'!AC100="","",'[1]Data 2026'!AC100)</f>
        <v>45838</v>
      </c>
      <c r="AG88" s="685" t="str">
        <f>IF('[1]Data 2026'!AD100="","",'[1]Data 2026'!AD100)</f>
        <v/>
      </c>
      <c r="AH88" s="686">
        <f>IF('[1]Data 2026'!AE100="","",'[1]Data 2026'!AE100)</f>
        <v>10</v>
      </c>
      <c r="AI88" s="685" t="str">
        <f>IF('[1]Data 2026'!AG100="","",'[1]Data 2026'!AG100)</f>
        <v/>
      </c>
      <c r="AJ88" s="685" t="str">
        <f>IF('[1]Data 2026'!AH100="","",'[1]Data 2026'!AH100)</f>
        <v>TBA</v>
      </c>
      <c r="AK88" s="685" t="str">
        <f>IF('[1]Data 2026'!AI100="","",'[1]Data 2026'!AI100)</f>
        <v>TBA</v>
      </c>
      <c r="AL88" s="685" t="str">
        <f>IF('[1]Data 2026'!AJ100="","",'[1]Data 2026'!AJ100)</f>
        <v>40FT</v>
      </c>
      <c r="AM88" s="692">
        <f>IF('[1]Data 2026'!AK100="","",'[1]Data 2026'!AK100)</f>
        <v>0.1</v>
      </c>
      <c r="AN88" s="685" t="str">
        <f>IF('[1]Data 2026'!AL100="","",'[1]Data 2026'!AL100)</f>
        <v>(01x250MTS)</v>
      </c>
      <c r="AO88" s="691">
        <f>IF('[1]Data 2026'!AM100="","",'[1]Data 2026'!AM100)</f>
        <v>275</v>
      </c>
      <c r="AP88" s="691" t="str">
        <f t="shared" si="16"/>
        <v/>
      </c>
      <c r="AQ88" s="685" t="str">
        <f>IF('[1]Data 2026'!AO100="","",'[1]Data 2026'!AO100)</f>
        <v/>
      </c>
      <c r="AR88" s="685" t="str">
        <f>IF('[1]Data 2026'!AP100="","",'[1]Data 2026'!AP100)</f>
        <v/>
      </c>
      <c r="AS88" s="685" t="str">
        <f>IF('[1]Data 2026'!AQ100="","",'[1]Data 2026'!AQ100)</f>
        <v/>
      </c>
      <c r="AT88" s="685" t="str">
        <f>IF('[1]Data 2026'!AR100="","",'[1]Data 2026'!AR100)</f>
        <v/>
      </c>
      <c r="AU88" s="685" t="str">
        <f>IF('[1]Data 2026'!AW100="","",'[1]Data 2026'!AW100)</f>
        <v/>
      </c>
      <c r="AV88" s="685" t="str">
        <f>IF('[1]Data 2026'!AX100="","",'[1]Data 2026'!AX100)</f>
        <v/>
      </c>
      <c r="AW88" s="685" t="str">
        <f>IF('[1]Data 2026'!AY100="","",'[1]Data 2026'!AY100)</f>
        <v/>
      </c>
      <c r="AX88" s="685" t="str">
        <f>IF('[1]Data 2026'!AZ100="","",'[1]Data 2026'!AZ100)</f>
        <v/>
      </c>
      <c r="AY88" s="685" t="str">
        <f>IF('[1]Data 2026'!BA100="","",'[1]Data 2026'!BA100)</f>
        <v/>
      </c>
      <c r="AZ88" s="685" t="str">
        <f>IF('[1]Data 2026'!AS100="","",'[1]Data 2026'!AS100)</f>
        <v/>
      </c>
      <c r="BA88" s="685" t="str">
        <f>IF('[1]Data 2026'!AT100="","",'[1]Data 2026'!AT100)</f>
        <v/>
      </c>
      <c r="BB88" s="685" t="str">
        <f>IF('[1]Data 2026'!AU100="","",'[1]Data 2026'!AU100)</f>
        <v/>
      </c>
      <c r="BC88" s="685" t="str">
        <f>IF('[1]Data 2026'!AV100="","",'[1]Data 2026'!AV100)</f>
        <v/>
      </c>
      <c r="BD88" s="685" t="str">
        <f>IF('[1]Data 2026'!AW100="","",'[1]Data 2026'!AW100)</f>
        <v/>
      </c>
      <c r="BE88" s="685" t="str">
        <f>IF('[1]Data 2026'!AX100="","",'[1]Data 2026'!AX100)</f>
        <v/>
      </c>
      <c r="BF88" s="685" t="str">
        <f>IF('[1]Data 2026'!BF100="","",'[1]Data 2026'!BF100)</f>
        <v/>
      </c>
      <c r="BG88" s="685" t="str">
        <f>IF('[1]Data 2026'!BG100="","",'[1]Data 2026'!BG100)</f>
        <v/>
      </c>
      <c r="BH88" s="685" t="str">
        <f>IF('[1]Data 2026'!BH100="","",'[1]Data 2026'!BH100)</f>
        <v/>
      </c>
      <c r="BI88" s="685" t="str">
        <f>IF('[1]Data 2026'!BI100="","",'[1]Data 2026'!BI100)</f>
        <v/>
      </c>
      <c r="BJ88" s="685" t="str">
        <f>IF('[1]Data 2026'!BJ100="","",'[1]Data 2026'!BJ100)</f>
        <v/>
      </c>
      <c r="BK88" s="685" t="str">
        <f>IF('[1]Data 2026'!BK100="","",'[1]Data 2026'!BK100)</f>
        <v/>
      </c>
      <c r="BL88" s="685" t="str">
        <f>IF('[1]Data 2026'!BL100="","",'[1]Data 2026'!BL100)</f>
        <v/>
      </c>
      <c r="BM88" s="685" t="str">
        <f>IF('[1]Data 2026'!BM100="","",'[1]Data 2026'!BM100)</f>
        <v/>
      </c>
      <c r="BN88" s="685" t="str">
        <f>IF('[1]Data 2026'!BN100="","",'[1]Data 2026'!BN100)</f>
        <v/>
      </c>
      <c r="BO88" s="685" t="str">
        <f>IF('[1]Data 2026'!BO100="","",'[1]Data 2026'!BO100)</f>
        <v/>
      </c>
      <c r="BP88" s="685" t="str">
        <f>IF('[1]Data 2026'!BP100="","",'[1]Data 2026'!BP100)</f>
        <v/>
      </c>
      <c r="BQ88" s="685" t="str">
        <f>IF('[1]Data 2026'!BQ100="","",'[1]Data 2026'!BQ100)</f>
        <v/>
      </c>
      <c r="BR88" s="685" t="str">
        <f>IF('[1]Data 2026'!BR100="","",'[1]Data 2026'!BR100)</f>
        <v/>
      </c>
      <c r="BS88" s="685" t="str">
        <f>IF('[1]Data 2026'!BS100="","",'[1]Data 2026'!BS100)</f>
        <v/>
      </c>
      <c r="BT88" s="685" t="str">
        <f>IF('[1]Data 2026'!BV100="","",'[1]Data 2026'!BV100)</f>
        <v/>
      </c>
      <c r="BU88" s="685" t="str">
        <f>IF('[1]Data 2026'!BW100="","",'[1]Data 2026'!BW100)</f>
        <v/>
      </c>
      <c r="BV88" s="685" t="str">
        <f>IF('[1]Data 2026'!BX100="","",'[1]Data 2026'!BX100)</f>
        <v/>
      </c>
      <c r="BW88" s="685" t="str">
        <f>IF('[1]Data 2026'!BY100="","",'[1]Data 2026'!BY100)</f>
        <v/>
      </c>
      <c r="BX88" s="685" t="str">
        <f>IF('[1]Data 2026'!BZ100="","",'[1]Data 2026'!BZ100)</f>
        <v/>
      </c>
      <c r="BY88" s="685" t="str">
        <f>IF('[1]Data 2026'!CA100="","",'[1]Data 2026'!CA100)</f>
        <v/>
      </c>
      <c r="BZ88" s="685" t="str">
        <f>IF('[1]Data 2026'!CB100="","",'[1]Data 2026'!CB100)</f>
        <v/>
      </c>
      <c r="CA88" s="685" t="str">
        <f>IF('[1]Data 2026'!CC100="","",'[1]Data 2026'!CC100)</f>
        <v/>
      </c>
      <c r="CB88" s="685" t="str">
        <f>IF('[1]Data 2026'!CD100="","",'[1]Data 2026'!CD100)</f>
        <v/>
      </c>
      <c r="CC88" s="685" t="str">
        <f>IF('[1]Data 2026'!CE100="","",'[1]Data 2026'!CE100)</f>
        <v/>
      </c>
      <c r="CD88" s="685" t="str">
        <f>IF('[1]Data 2026'!CF100="","",'[1]Data 2026'!CF100)</f>
        <v/>
      </c>
      <c r="CE88" s="685" t="str">
        <f>IF('[1]Data 2026'!CG100="","",'[1]Data 2026'!CG100)</f>
        <v/>
      </c>
      <c r="CF88" s="685" t="str">
        <f>IF('[1]Data 2026'!CH100="","",'[1]Data 2026'!CH100)</f>
        <v/>
      </c>
      <c r="CG88" s="685" t="str">
        <f>IF('[1]Data 2026'!CI100="","",'[1]Data 2026'!CI100)</f>
        <v/>
      </c>
      <c r="CH88" s="685" t="str">
        <f>IF('[1]Data 2026'!CJ100="","",'[1]Data 2026'!CJ100)</f>
        <v/>
      </c>
      <c r="CI88" s="685" t="str">
        <f>IF('[1]Data 2026'!CK100="","",'[1]Data 2026'!CK100)</f>
        <v/>
      </c>
      <c r="CJ88" s="685" t="str">
        <f>IF('[1]Data 2026'!CM100="","",'[1]Data 2026'!CM100)</f>
        <v/>
      </c>
      <c r="CK88" s="685" t="str">
        <f>IF('[1]Data 2026'!CN100="","",'[1]Data 2026'!CN100)</f>
        <v/>
      </c>
      <c r="CL88" s="691"/>
      <c r="CM88" s="691" t="str">
        <f>IF('[1]Data 2026'!CP100="","",'[1]Data 2026'!CP100)</f>
        <v/>
      </c>
      <c r="CN88" s="691"/>
      <c r="CO88" s="419"/>
      <c r="CP88" s="419"/>
      <c r="CQ88" s="419"/>
      <c r="CR88" s="686" t="str">
        <f t="shared" si="25"/>
        <v/>
      </c>
    </row>
    <row r="89" spans="1:104">
      <c r="A89" s="682" t="str">
        <f t="shared" si="13"/>
        <v>A. BOOKING PENDING</v>
      </c>
      <c r="B89" s="695"/>
      <c r="C89" s="684" t="str">
        <f t="shared" si="14"/>
        <v>SHORT POSITION</v>
      </c>
      <c r="D89" s="685" t="str">
        <f t="shared" si="22"/>
        <v/>
      </c>
      <c r="E89" s="685" t="str">
        <f t="shared" si="15"/>
        <v/>
      </c>
      <c r="F89" s="686">
        <f>IF('[1]Data 2026'!D101="","",'[1]Data 2026'!D101)</f>
        <v>46</v>
      </c>
      <c r="G89" s="686">
        <f>IF('[1]Data 2026'!E101="","",'[1]Data 2026'!E101)</f>
        <v>200</v>
      </c>
      <c r="H89" s="687" t="str">
        <f>IF('[1]Data 2026'!H101="","",'[1]Data 2026'!H101)</f>
        <v>RCN/2026/1002</v>
      </c>
      <c r="I89" s="688">
        <f>IF('[1]Data 2026'!AA101="","",'[1]Data 2026'!AA101)</f>
        <v>250</v>
      </c>
      <c r="J89" s="685" t="str">
        <f>IF('[1]Data 2026'!K101="","",'[1]Data 2026'!K101)</f>
        <v>JUNE/JULY 2026</v>
      </c>
      <c r="K89" s="685">
        <v>46208</v>
      </c>
      <c r="L89" s="685" t="str">
        <f>IF('[1]Data 2026'!L101="","",'[1]Data 2026'!L101)</f>
        <v>VALENCY CI</v>
      </c>
      <c r="M89" s="685" t="str">
        <f>IF('[1]Data 2026'!M101="","",'[1]Data 2026'!M101)</f>
        <v>XUAN TEO ONE MEMBER 
COMPANY LIMITED</v>
      </c>
      <c r="N89" s="685" t="s">
        <v>1194</v>
      </c>
      <c r="O89" s="689" t="str">
        <f>IF('[1]Data 2026'!N101="","",'[1]Data 2026'!N101)</f>
        <v/>
      </c>
      <c r="P89" s="701" t="str">
        <f>IF('[1]Data 2026'!O101="","",'[1]Data 2026'!O101)</f>
        <v/>
      </c>
      <c r="Q89" s="685" t="str">
        <f>IF('[1]Data 2026'!P101="","",'[1]Data 2026'!P101)</f>
        <v/>
      </c>
      <c r="R89" s="685" t="str">
        <f>IF('[1]Data 2026'!Q101="","",'[1]Data 2026'!Q101)</f>
        <v>ABJ</v>
      </c>
      <c r="S89" s="685" t="s">
        <v>347</v>
      </c>
      <c r="T89" s="685" t="str">
        <f>IF('[1]Data 2026'!R101="","",'[1]Data 2026'!R101)</f>
        <v>HCMC, VIETNAM</v>
      </c>
      <c r="U89" s="685" t="str">
        <f>IF('[1]Data 2026'!S101="","",'[1]Data 2026'!S101)</f>
        <v/>
      </c>
      <c r="V89" s="685" t="str">
        <f>IF('[1]Data 2026'!T101="","",'[1]Data 2026'!T101)</f>
        <v/>
      </c>
      <c r="W89" s="685" t="str">
        <f>IF('[1]Data 2026'!U101="","",'[1]Data 2026'!U101)</f>
        <v/>
      </c>
      <c r="X89" s="685" t="str">
        <f>IF('[1]Data 2026'!V101="","",'[1]Data 2026'!V101)</f>
        <v/>
      </c>
      <c r="Y89" s="685" t="str">
        <f>IF('[1]Data 2026'!W101="","",'[1]Data 2026'!W101)</f>
        <v/>
      </c>
      <c r="Z89" s="685" t="str">
        <f>IF('[1]Data 2026'!X101="","",'[1]Data 2026'!X101)</f>
        <v/>
      </c>
      <c r="AA89" s="685"/>
      <c r="AB89" s="685" t="str">
        <f>IF('[1]Data 2026'!Y101="","",'[1]Data 2026'!Y101)</f>
        <v/>
      </c>
      <c r="AC89" s="685" t="str">
        <f>IF('[1]Data 2026'!Z101="","",'[1]Data 2026'!Z101)</f>
        <v/>
      </c>
      <c r="AD89" s="691">
        <f>IF('[1]Data 2026'!AA101="","",'[1]Data 2026'!AA101)</f>
        <v>250</v>
      </c>
      <c r="AE89" s="691">
        <f>IF('[1]Data 2026'!AB101="","",'[1]Data 2026'!AB101)</f>
        <v>250</v>
      </c>
      <c r="AF89" s="685">
        <f>IF('[1]Data 2026'!AC101="","",'[1]Data 2026'!AC101)</f>
        <v>45838</v>
      </c>
      <c r="AG89" s="685" t="str">
        <f>IF('[1]Data 2026'!AD101="","",'[1]Data 2026'!AD101)</f>
        <v/>
      </c>
      <c r="AH89" s="686">
        <f>IF('[1]Data 2026'!AE101="","",'[1]Data 2026'!AE101)</f>
        <v>10</v>
      </c>
      <c r="AI89" s="685" t="str">
        <f>IF('[1]Data 2026'!AG101="","",'[1]Data 2026'!AG101)</f>
        <v/>
      </c>
      <c r="AJ89" s="685" t="str">
        <f>IF('[1]Data 2026'!AH101="","",'[1]Data 2026'!AH101)</f>
        <v>TBA</v>
      </c>
      <c r="AK89" s="685" t="str">
        <f>IF('[1]Data 2026'!AI101="","",'[1]Data 2026'!AI101)</f>
        <v>TBA</v>
      </c>
      <c r="AL89" s="685" t="str">
        <f>IF('[1]Data 2026'!AJ101="","",'[1]Data 2026'!AJ101)</f>
        <v>40FT</v>
      </c>
      <c r="AM89" s="692">
        <f>IF('[1]Data 2026'!AK101="","",'[1]Data 2026'!AK101)</f>
        <v>0.1</v>
      </c>
      <c r="AN89" s="685" t="str">
        <f>IF('[1]Data 2026'!AL101="","",'[1]Data 2026'!AL101)</f>
        <v>(01x250MTS)</v>
      </c>
      <c r="AO89" s="691">
        <f>IF('[1]Data 2026'!AM101="","",'[1]Data 2026'!AM101)</f>
        <v>275</v>
      </c>
      <c r="AP89" s="691" t="str">
        <f t="shared" si="16"/>
        <v/>
      </c>
      <c r="AQ89" s="685" t="str">
        <f>IF('[1]Data 2026'!AO101="","",'[1]Data 2026'!AO101)</f>
        <v/>
      </c>
      <c r="AR89" s="685" t="str">
        <f>IF('[1]Data 2026'!AP101="","",'[1]Data 2026'!AP101)</f>
        <v/>
      </c>
      <c r="AS89" s="685" t="str">
        <f>IF('[1]Data 2026'!AQ101="","",'[1]Data 2026'!AQ101)</f>
        <v/>
      </c>
      <c r="AT89" s="685" t="str">
        <f>IF('[1]Data 2026'!AR101="","",'[1]Data 2026'!AR101)</f>
        <v/>
      </c>
      <c r="AU89" s="685" t="str">
        <f>IF('[1]Data 2026'!AW101="","",'[1]Data 2026'!AW101)</f>
        <v/>
      </c>
      <c r="AV89" s="685" t="str">
        <f>IF('[1]Data 2026'!AX101="","",'[1]Data 2026'!AX101)</f>
        <v/>
      </c>
      <c r="AW89" s="685" t="str">
        <f>IF('[1]Data 2026'!AY101="","",'[1]Data 2026'!AY101)</f>
        <v/>
      </c>
      <c r="AX89" s="685" t="str">
        <f>IF('[1]Data 2026'!AZ101="","",'[1]Data 2026'!AZ101)</f>
        <v/>
      </c>
      <c r="AY89" s="685" t="str">
        <f>IF('[1]Data 2026'!BA101="","",'[1]Data 2026'!BA101)</f>
        <v/>
      </c>
      <c r="AZ89" s="685" t="str">
        <f>IF('[1]Data 2026'!AS101="","",'[1]Data 2026'!AS101)</f>
        <v/>
      </c>
      <c r="BA89" s="685" t="str">
        <f>IF('[1]Data 2026'!AT101="","",'[1]Data 2026'!AT101)</f>
        <v/>
      </c>
      <c r="BB89" s="685" t="str">
        <f>IF('[1]Data 2026'!AU101="","",'[1]Data 2026'!AU101)</f>
        <v/>
      </c>
      <c r="BC89" s="685" t="str">
        <f>IF('[1]Data 2026'!AV101="","",'[1]Data 2026'!AV101)</f>
        <v/>
      </c>
      <c r="BD89" s="685" t="str">
        <f>IF('[1]Data 2026'!AW101="","",'[1]Data 2026'!AW101)</f>
        <v/>
      </c>
      <c r="BE89" s="685" t="str">
        <f>IF('[1]Data 2026'!AX101="","",'[1]Data 2026'!AX101)</f>
        <v/>
      </c>
      <c r="BF89" s="685" t="str">
        <f>IF('[1]Data 2026'!BF101="","",'[1]Data 2026'!BF101)</f>
        <v/>
      </c>
      <c r="BG89" s="685" t="str">
        <f>IF('[1]Data 2026'!BG101="","",'[1]Data 2026'!BG101)</f>
        <v/>
      </c>
      <c r="BH89" s="685" t="str">
        <f>IF('[1]Data 2026'!BH101="","",'[1]Data 2026'!BH101)</f>
        <v/>
      </c>
      <c r="BI89" s="685" t="str">
        <f>IF('[1]Data 2026'!BI101="","",'[1]Data 2026'!BI101)</f>
        <v/>
      </c>
      <c r="BJ89" s="685" t="str">
        <f>IF('[1]Data 2026'!BJ101="","",'[1]Data 2026'!BJ101)</f>
        <v/>
      </c>
      <c r="BK89" s="685" t="str">
        <f>IF('[1]Data 2026'!BK101="","",'[1]Data 2026'!BK101)</f>
        <v/>
      </c>
      <c r="BL89" s="685" t="str">
        <f>IF('[1]Data 2026'!BL101="","",'[1]Data 2026'!BL101)</f>
        <v/>
      </c>
      <c r="BM89" s="685" t="str">
        <f>IF('[1]Data 2026'!BM101="","",'[1]Data 2026'!BM101)</f>
        <v/>
      </c>
      <c r="BN89" s="685" t="str">
        <f>IF('[1]Data 2026'!BN101="","",'[1]Data 2026'!BN101)</f>
        <v/>
      </c>
      <c r="BO89" s="685" t="str">
        <f>IF('[1]Data 2026'!BO101="","",'[1]Data 2026'!BO101)</f>
        <v/>
      </c>
      <c r="BP89" s="685" t="str">
        <f>IF('[1]Data 2026'!BP101="","",'[1]Data 2026'!BP101)</f>
        <v/>
      </c>
      <c r="BQ89" s="685" t="str">
        <f>IF('[1]Data 2026'!BQ101="","",'[1]Data 2026'!BQ101)</f>
        <v/>
      </c>
      <c r="BR89" s="685" t="str">
        <f>IF('[1]Data 2026'!BR101="","",'[1]Data 2026'!BR101)</f>
        <v/>
      </c>
      <c r="BS89" s="685" t="str">
        <f>IF('[1]Data 2026'!BS101="","",'[1]Data 2026'!BS101)</f>
        <v/>
      </c>
      <c r="BT89" s="685" t="str">
        <f>IF('[1]Data 2026'!BV101="","",'[1]Data 2026'!BV101)</f>
        <v/>
      </c>
      <c r="BU89" s="685" t="str">
        <f>IF('[1]Data 2026'!BW101="","",'[1]Data 2026'!BW101)</f>
        <v/>
      </c>
      <c r="BV89" s="685" t="str">
        <f>IF('[1]Data 2026'!BX101="","",'[1]Data 2026'!BX101)</f>
        <v/>
      </c>
      <c r="BW89" s="685" t="str">
        <f>IF('[1]Data 2026'!BY101="","",'[1]Data 2026'!BY101)</f>
        <v/>
      </c>
      <c r="BX89" s="685" t="str">
        <f>IF('[1]Data 2026'!BZ101="","",'[1]Data 2026'!BZ101)</f>
        <v/>
      </c>
      <c r="BY89" s="685" t="str">
        <f>IF('[1]Data 2026'!CA101="","",'[1]Data 2026'!CA101)</f>
        <v/>
      </c>
      <c r="BZ89" s="685" t="str">
        <f>IF('[1]Data 2026'!CB101="","",'[1]Data 2026'!CB101)</f>
        <v/>
      </c>
      <c r="CA89" s="685" t="str">
        <f>IF('[1]Data 2026'!CC101="","",'[1]Data 2026'!CC101)</f>
        <v/>
      </c>
      <c r="CB89" s="685" t="str">
        <f>IF('[1]Data 2026'!CD101="","",'[1]Data 2026'!CD101)</f>
        <v/>
      </c>
      <c r="CC89" s="685" t="str">
        <f>IF('[1]Data 2026'!CE101="","",'[1]Data 2026'!CE101)</f>
        <v/>
      </c>
      <c r="CD89" s="685" t="str">
        <f>IF('[1]Data 2026'!CF101="","",'[1]Data 2026'!CF101)</f>
        <v/>
      </c>
      <c r="CE89" s="685" t="str">
        <f>IF('[1]Data 2026'!CG101="","",'[1]Data 2026'!CG101)</f>
        <v/>
      </c>
      <c r="CF89" s="685" t="str">
        <f>IF('[1]Data 2026'!CH101="","",'[1]Data 2026'!CH101)</f>
        <v/>
      </c>
      <c r="CG89" s="685" t="str">
        <f>IF('[1]Data 2026'!CI101="","",'[1]Data 2026'!CI101)</f>
        <v/>
      </c>
      <c r="CH89" s="685" t="str">
        <f>IF('[1]Data 2026'!CJ101="","",'[1]Data 2026'!CJ101)</f>
        <v/>
      </c>
      <c r="CI89" s="685" t="str">
        <f>IF('[1]Data 2026'!CK101="","",'[1]Data 2026'!CK101)</f>
        <v/>
      </c>
      <c r="CJ89" s="685" t="str">
        <f>IF('[1]Data 2026'!CM101="","",'[1]Data 2026'!CM101)</f>
        <v/>
      </c>
      <c r="CK89" s="685" t="str">
        <f>IF('[1]Data 2026'!CN101="","",'[1]Data 2026'!CN101)</f>
        <v/>
      </c>
      <c r="CL89" s="691"/>
      <c r="CM89" s="691" t="str">
        <f>IF('[1]Data 2026'!CP101="","",'[1]Data 2026'!CP101)</f>
        <v/>
      </c>
      <c r="CN89" s="691"/>
      <c r="CO89" s="419"/>
      <c r="CP89" s="419"/>
      <c r="CQ89" s="419"/>
      <c r="CR89" s="686" t="str">
        <f t="shared" si="25"/>
        <v/>
      </c>
    </row>
    <row r="90" spans="1:104">
      <c r="A90" s="682" t="str">
        <f t="shared" si="13"/>
        <v>A. BOOKING PENDING</v>
      </c>
      <c r="B90" s="695"/>
      <c r="C90" s="684" t="str">
        <f t="shared" si="14"/>
        <v>SHORT POSITION</v>
      </c>
      <c r="D90" s="685" t="str">
        <f t="shared" si="22"/>
        <v/>
      </c>
      <c r="E90" s="685" t="str">
        <f t="shared" si="15"/>
        <v/>
      </c>
      <c r="F90" s="686">
        <f>IF('[1]Data 2026'!D102="","",'[1]Data 2026'!D102)</f>
        <v>46</v>
      </c>
      <c r="G90" s="686">
        <f>IF('[1]Data 2026'!E102="","",'[1]Data 2026'!E102)</f>
        <v>200</v>
      </c>
      <c r="H90" s="687" t="str">
        <f>IF('[1]Data 2026'!H102="","",'[1]Data 2026'!H102)</f>
        <v>RCN/2026/1003</v>
      </c>
      <c r="I90" s="688">
        <f>IF('[1]Data 2026'!AA102="","",'[1]Data 2026'!AA102)</f>
        <v>250</v>
      </c>
      <c r="J90" s="685" t="str">
        <f>IF('[1]Data 2026'!K102="","",'[1]Data 2026'!K102)</f>
        <v>JUNE/JULY 2026</v>
      </c>
      <c r="K90" s="685">
        <v>46209</v>
      </c>
      <c r="L90" s="685" t="str">
        <f>IF('[1]Data 2026'!L102="","",'[1]Data 2026'!L102)</f>
        <v>VALENCY CI</v>
      </c>
      <c r="M90" s="685" t="str">
        <f>IF('[1]Data 2026'!M102="","",'[1]Data 2026'!M102)</f>
        <v>XUAN TEO ONE MEMBER 
COMPANY LIMITED</v>
      </c>
      <c r="N90" s="685" t="s">
        <v>1194</v>
      </c>
      <c r="O90" s="689" t="str">
        <f>IF('[1]Data 2026'!N102="","",'[1]Data 2026'!N102)</f>
        <v/>
      </c>
      <c r="P90" s="701" t="str">
        <f>IF('[1]Data 2026'!O102="","",'[1]Data 2026'!O102)</f>
        <v/>
      </c>
      <c r="Q90" s="685" t="str">
        <f>IF('[1]Data 2026'!P102="","",'[1]Data 2026'!P102)</f>
        <v/>
      </c>
      <c r="R90" s="685" t="str">
        <f>IF('[1]Data 2026'!Q102="","",'[1]Data 2026'!Q102)</f>
        <v>ABJ</v>
      </c>
      <c r="S90" s="685" t="s">
        <v>347</v>
      </c>
      <c r="T90" s="685" t="str">
        <f>IF('[1]Data 2026'!R102="","",'[1]Data 2026'!R102)</f>
        <v>HCMC, VIETNAM</v>
      </c>
      <c r="U90" s="685" t="str">
        <f>IF('[1]Data 2026'!S102="","",'[1]Data 2026'!S102)</f>
        <v/>
      </c>
      <c r="V90" s="685" t="str">
        <f>IF('[1]Data 2026'!T102="","",'[1]Data 2026'!T102)</f>
        <v/>
      </c>
      <c r="W90" s="685" t="str">
        <f>IF('[1]Data 2026'!U102="","",'[1]Data 2026'!U102)</f>
        <v/>
      </c>
      <c r="X90" s="685" t="str">
        <f>IF('[1]Data 2026'!V102="","",'[1]Data 2026'!V102)</f>
        <v/>
      </c>
      <c r="Y90" s="685" t="str">
        <f>IF('[1]Data 2026'!W102="","",'[1]Data 2026'!W102)</f>
        <v/>
      </c>
      <c r="Z90" s="685" t="str">
        <f>IF('[1]Data 2026'!X102="","",'[1]Data 2026'!X102)</f>
        <v/>
      </c>
      <c r="AA90" s="685"/>
      <c r="AB90" s="685" t="str">
        <f>IF('[1]Data 2026'!Y102="","",'[1]Data 2026'!Y102)</f>
        <v/>
      </c>
      <c r="AC90" s="685" t="str">
        <f>IF('[1]Data 2026'!Z102="","",'[1]Data 2026'!Z102)</f>
        <v/>
      </c>
      <c r="AD90" s="691">
        <f>IF('[1]Data 2026'!AA102="","",'[1]Data 2026'!AA102)</f>
        <v>250</v>
      </c>
      <c r="AE90" s="691">
        <f>IF('[1]Data 2026'!AB102="","",'[1]Data 2026'!AB102)</f>
        <v>250</v>
      </c>
      <c r="AF90" s="685">
        <f>IF('[1]Data 2026'!AC102="","",'[1]Data 2026'!AC102)</f>
        <v>45869</v>
      </c>
      <c r="AG90" s="685" t="str">
        <f>IF('[1]Data 2026'!AD102="","",'[1]Data 2026'!AD102)</f>
        <v/>
      </c>
      <c r="AH90" s="686">
        <f>IF('[1]Data 2026'!AE102="","",'[1]Data 2026'!AE102)</f>
        <v>10</v>
      </c>
      <c r="AI90" s="685" t="str">
        <f>IF('[1]Data 2026'!AG102="","",'[1]Data 2026'!AG102)</f>
        <v/>
      </c>
      <c r="AJ90" s="685" t="str">
        <f>IF('[1]Data 2026'!AH102="","",'[1]Data 2026'!AH102)</f>
        <v>TBA</v>
      </c>
      <c r="AK90" s="685" t="str">
        <f>IF('[1]Data 2026'!AI102="","",'[1]Data 2026'!AI102)</f>
        <v>TBA</v>
      </c>
      <c r="AL90" s="685" t="str">
        <f>IF('[1]Data 2026'!AJ102="","",'[1]Data 2026'!AJ102)</f>
        <v>40FT</v>
      </c>
      <c r="AM90" s="692">
        <f>IF('[1]Data 2026'!AK102="","",'[1]Data 2026'!AK102)</f>
        <v>0.1</v>
      </c>
      <c r="AN90" s="685" t="str">
        <f>IF('[1]Data 2026'!AL102="","",'[1]Data 2026'!AL102)</f>
        <v>(01x250MTS)</v>
      </c>
      <c r="AO90" s="691">
        <f>IF('[1]Data 2026'!AM102="","",'[1]Data 2026'!AM102)</f>
        <v>275</v>
      </c>
      <c r="AP90" s="691" t="str">
        <f t="shared" si="16"/>
        <v/>
      </c>
      <c r="AQ90" s="685" t="str">
        <f>IF('[1]Data 2026'!AO102="","",'[1]Data 2026'!AO102)</f>
        <v/>
      </c>
      <c r="AR90" s="685" t="str">
        <f>IF('[1]Data 2026'!AP102="","",'[1]Data 2026'!AP102)</f>
        <v/>
      </c>
      <c r="AS90" s="685" t="str">
        <f>IF('[1]Data 2026'!AQ102="","",'[1]Data 2026'!AQ102)</f>
        <v/>
      </c>
      <c r="AT90" s="685" t="str">
        <f>IF('[1]Data 2026'!AR102="","",'[1]Data 2026'!AR102)</f>
        <v/>
      </c>
      <c r="AU90" s="685" t="str">
        <f>IF('[1]Data 2026'!AW102="","",'[1]Data 2026'!AW102)</f>
        <v/>
      </c>
      <c r="AV90" s="685" t="str">
        <f>IF('[1]Data 2026'!AX102="","",'[1]Data 2026'!AX102)</f>
        <v/>
      </c>
      <c r="AW90" s="685" t="str">
        <f>IF('[1]Data 2026'!AY102="","",'[1]Data 2026'!AY102)</f>
        <v/>
      </c>
      <c r="AX90" s="685" t="str">
        <f>IF('[1]Data 2026'!AZ102="","",'[1]Data 2026'!AZ102)</f>
        <v/>
      </c>
      <c r="AY90" s="685" t="str">
        <f>IF('[1]Data 2026'!BA102="","",'[1]Data 2026'!BA102)</f>
        <v/>
      </c>
      <c r="AZ90" s="685" t="str">
        <f>IF('[1]Data 2026'!AS102="","",'[1]Data 2026'!AS102)</f>
        <v/>
      </c>
      <c r="BA90" s="685" t="str">
        <f>IF('[1]Data 2026'!AT102="","",'[1]Data 2026'!AT102)</f>
        <v/>
      </c>
      <c r="BB90" s="685" t="str">
        <f>IF('[1]Data 2026'!AU102="","",'[1]Data 2026'!AU102)</f>
        <v/>
      </c>
      <c r="BC90" s="685" t="str">
        <f>IF('[1]Data 2026'!AV102="","",'[1]Data 2026'!AV102)</f>
        <v/>
      </c>
      <c r="BD90" s="685" t="str">
        <f>IF('[1]Data 2026'!AW102="","",'[1]Data 2026'!AW102)</f>
        <v/>
      </c>
      <c r="BE90" s="685" t="str">
        <f>IF('[1]Data 2026'!AX102="","",'[1]Data 2026'!AX102)</f>
        <v/>
      </c>
      <c r="BF90" s="685" t="str">
        <f>IF('[1]Data 2026'!BF102="","",'[1]Data 2026'!BF102)</f>
        <v/>
      </c>
      <c r="BG90" s="685" t="str">
        <f>IF('[1]Data 2026'!BG102="","",'[1]Data 2026'!BG102)</f>
        <v/>
      </c>
      <c r="BH90" s="685" t="str">
        <f>IF('[1]Data 2026'!BH102="","",'[1]Data 2026'!BH102)</f>
        <v/>
      </c>
      <c r="BI90" s="685" t="str">
        <f>IF('[1]Data 2026'!BI102="","",'[1]Data 2026'!BI102)</f>
        <v/>
      </c>
      <c r="BJ90" s="685" t="str">
        <f>IF('[1]Data 2026'!BJ102="","",'[1]Data 2026'!BJ102)</f>
        <v/>
      </c>
      <c r="BK90" s="685" t="str">
        <f>IF('[1]Data 2026'!BK102="","",'[1]Data 2026'!BK102)</f>
        <v/>
      </c>
      <c r="BL90" s="685" t="str">
        <f>IF('[1]Data 2026'!BL102="","",'[1]Data 2026'!BL102)</f>
        <v/>
      </c>
      <c r="BM90" s="685" t="str">
        <f>IF('[1]Data 2026'!BM102="","",'[1]Data 2026'!BM102)</f>
        <v/>
      </c>
      <c r="BN90" s="685" t="str">
        <f>IF('[1]Data 2026'!BN102="","",'[1]Data 2026'!BN102)</f>
        <v/>
      </c>
      <c r="BO90" s="685" t="str">
        <f>IF('[1]Data 2026'!BO102="","",'[1]Data 2026'!BO102)</f>
        <v/>
      </c>
      <c r="BP90" s="685" t="str">
        <f>IF('[1]Data 2026'!BP102="","",'[1]Data 2026'!BP102)</f>
        <v/>
      </c>
      <c r="BQ90" s="685" t="str">
        <f>IF('[1]Data 2026'!BQ102="","",'[1]Data 2026'!BQ102)</f>
        <v/>
      </c>
      <c r="BR90" s="685" t="str">
        <f>IF('[1]Data 2026'!BR102="","",'[1]Data 2026'!BR102)</f>
        <v/>
      </c>
      <c r="BS90" s="685" t="str">
        <f>IF('[1]Data 2026'!BS102="","",'[1]Data 2026'!BS102)</f>
        <v/>
      </c>
      <c r="BT90" s="685" t="str">
        <f>IF('[1]Data 2026'!BV102="","",'[1]Data 2026'!BV102)</f>
        <v/>
      </c>
      <c r="BU90" s="685" t="str">
        <f>IF('[1]Data 2026'!BW102="","",'[1]Data 2026'!BW102)</f>
        <v/>
      </c>
      <c r="BV90" s="685" t="str">
        <f>IF('[1]Data 2026'!BX102="","",'[1]Data 2026'!BX102)</f>
        <v/>
      </c>
      <c r="BW90" s="685" t="str">
        <f>IF('[1]Data 2026'!BY102="","",'[1]Data 2026'!BY102)</f>
        <v/>
      </c>
      <c r="BX90" s="685" t="str">
        <f>IF('[1]Data 2026'!BZ102="","",'[1]Data 2026'!BZ102)</f>
        <v/>
      </c>
      <c r="BY90" s="685" t="str">
        <f>IF('[1]Data 2026'!CA102="","",'[1]Data 2026'!CA102)</f>
        <v/>
      </c>
      <c r="BZ90" s="685" t="str">
        <f>IF('[1]Data 2026'!CB102="","",'[1]Data 2026'!CB102)</f>
        <v/>
      </c>
      <c r="CA90" s="685" t="str">
        <f>IF('[1]Data 2026'!CC102="","",'[1]Data 2026'!CC102)</f>
        <v/>
      </c>
      <c r="CB90" s="685" t="str">
        <f>IF('[1]Data 2026'!CD102="","",'[1]Data 2026'!CD102)</f>
        <v/>
      </c>
      <c r="CC90" s="685" t="str">
        <f>IF('[1]Data 2026'!CE102="","",'[1]Data 2026'!CE102)</f>
        <v/>
      </c>
      <c r="CD90" s="685" t="str">
        <f>IF('[1]Data 2026'!CF102="","",'[1]Data 2026'!CF102)</f>
        <v/>
      </c>
      <c r="CE90" s="685" t="str">
        <f>IF('[1]Data 2026'!CG102="","",'[1]Data 2026'!CG102)</f>
        <v/>
      </c>
      <c r="CF90" s="685" t="str">
        <f>IF('[1]Data 2026'!CH102="","",'[1]Data 2026'!CH102)</f>
        <v/>
      </c>
      <c r="CG90" s="685" t="str">
        <f>IF('[1]Data 2026'!CI102="","",'[1]Data 2026'!CI102)</f>
        <v/>
      </c>
      <c r="CH90" s="685" t="str">
        <f>IF('[1]Data 2026'!CJ102="","",'[1]Data 2026'!CJ102)</f>
        <v/>
      </c>
      <c r="CI90" s="685" t="str">
        <f>IF('[1]Data 2026'!CK102="","",'[1]Data 2026'!CK102)</f>
        <v/>
      </c>
      <c r="CJ90" s="685" t="str">
        <f>IF('[1]Data 2026'!CM102="","",'[1]Data 2026'!CM102)</f>
        <v/>
      </c>
      <c r="CK90" s="685" t="str">
        <f>IF('[1]Data 2026'!CN102="","",'[1]Data 2026'!CN102)</f>
        <v/>
      </c>
      <c r="CL90" s="691"/>
      <c r="CM90" s="691" t="str">
        <f>IF('[1]Data 2026'!CP102="","",'[1]Data 2026'!CP102)</f>
        <v/>
      </c>
      <c r="CN90" s="691"/>
      <c r="CO90" s="419"/>
      <c r="CP90" s="419"/>
      <c r="CQ90" s="419"/>
      <c r="CR90" s="686" t="str">
        <f t="shared" si="25"/>
        <v/>
      </c>
    </row>
    <row r="91" spans="1:104">
      <c r="A91" s="682" t="str">
        <f t="shared" si="13"/>
        <v>A. BOOKING PENDING</v>
      </c>
      <c r="B91" s="695"/>
      <c r="C91" s="684" t="str">
        <f t="shared" si="14"/>
        <v>SHORT POSITION</v>
      </c>
      <c r="D91" s="685" t="str">
        <f t="shared" si="22"/>
        <v/>
      </c>
      <c r="E91" s="685" t="str">
        <f t="shared" si="15"/>
        <v/>
      </c>
      <c r="F91" s="686">
        <f>IF('[1]Data 2026'!D103="","",'[1]Data 2026'!D103)</f>
        <v>46</v>
      </c>
      <c r="G91" s="686">
        <f>IF('[1]Data 2026'!E103="","",'[1]Data 2026'!E103)</f>
        <v>200</v>
      </c>
      <c r="H91" s="687" t="str">
        <f>IF('[1]Data 2026'!H103="","",'[1]Data 2026'!H103)</f>
        <v>RCN/2026/1004</v>
      </c>
      <c r="I91" s="688">
        <f>IF('[1]Data 2026'!AA103="","",'[1]Data 2026'!AA103)</f>
        <v>250</v>
      </c>
      <c r="J91" s="685" t="str">
        <f>IF('[1]Data 2026'!K103="","",'[1]Data 2026'!K103)</f>
        <v>JUNE/JULY 2026</v>
      </c>
      <c r="K91" s="685">
        <v>46210</v>
      </c>
      <c r="L91" s="685" t="str">
        <f>IF('[1]Data 2026'!L103="","",'[1]Data 2026'!L103)</f>
        <v>VALENCY CI</v>
      </c>
      <c r="M91" s="685" t="str">
        <f>IF('[1]Data 2026'!M103="","",'[1]Data 2026'!M103)</f>
        <v>XUAN TEO ONE MEMBER 
COMPANY LIMITED</v>
      </c>
      <c r="N91" s="685" t="s">
        <v>1194</v>
      </c>
      <c r="O91" s="689" t="str">
        <f>IF('[1]Data 2026'!N103="","",'[1]Data 2026'!N103)</f>
        <v/>
      </c>
      <c r="P91" s="701" t="str">
        <f>IF('[1]Data 2026'!O103="","",'[1]Data 2026'!O103)</f>
        <v/>
      </c>
      <c r="Q91" s="685" t="str">
        <f>IF('[1]Data 2026'!P103="","",'[1]Data 2026'!P103)</f>
        <v/>
      </c>
      <c r="R91" s="685" t="str">
        <f>IF('[1]Data 2026'!Q103="","",'[1]Data 2026'!Q103)</f>
        <v>ABJ</v>
      </c>
      <c r="S91" s="685" t="s">
        <v>347</v>
      </c>
      <c r="T91" s="685" t="str">
        <f>IF('[1]Data 2026'!R103="","",'[1]Data 2026'!R103)</f>
        <v>HCMC, VIETNAM</v>
      </c>
      <c r="U91" s="685" t="str">
        <f>IF('[1]Data 2026'!S103="","",'[1]Data 2026'!S103)</f>
        <v/>
      </c>
      <c r="V91" s="685" t="str">
        <f>IF('[1]Data 2026'!T103="","",'[1]Data 2026'!T103)</f>
        <v/>
      </c>
      <c r="W91" s="685" t="str">
        <f>IF('[1]Data 2026'!U103="","",'[1]Data 2026'!U103)</f>
        <v/>
      </c>
      <c r="X91" s="685" t="str">
        <f>IF('[1]Data 2026'!V103="","",'[1]Data 2026'!V103)</f>
        <v/>
      </c>
      <c r="Y91" s="685" t="str">
        <f>IF('[1]Data 2026'!W103="","",'[1]Data 2026'!W103)</f>
        <v/>
      </c>
      <c r="Z91" s="685" t="str">
        <f>IF('[1]Data 2026'!X103="","",'[1]Data 2026'!X103)</f>
        <v/>
      </c>
      <c r="AA91" s="685"/>
      <c r="AB91" s="685" t="str">
        <f>IF('[1]Data 2026'!Y103="","",'[1]Data 2026'!Y103)</f>
        <v/>
      </c>
      <c r="AC91" s="685" t="str">
        <f>IF('[1]Data 2026'!Z103="","",'[1]Data 2026'!Z103)</f>
        <v/>
      </c>
      <c r="AD91" s="691">
        <f>IF('[1]Data 2026'!AA103="","",'[1]Data 2026'!AA103)</f>
        <v>250</v>
      </c>
      <c r="AE91" s="691">
        <f>IF('[1]Data 2026'!AB103="","",'[1]Data 2026'!AB103)</f>
        <v>250</v>
      </c>
      <c r="AF91" s="685">
        <f>IF('[1]Data 2026'!AC103="","",'[1]Data 2026'!AC103)</f>
        <v>45869</v>
      </c>
      <c r="AG91" s="685" t="str">
        <f>IF('[1]Data 2026'!AD103="","",'[1]Data 2026'!AD103)</f>
        <v/>
      </c>
      <c r="AH91" s="686">
        <f>IF('[1]Data 2026'!AE103="","",'[1]Data 2026'!AE103)</f>
        <v>10</v>
      </c>
      <c r="AI91" s="685" t="str">
        <f>IF('[1]Data 2026'!AG103="","",'[1]Data 2026'!AG103)</f>
        <v/>
      </c>
      <c r="AJ91" s="685" t="str">
        <f>IF('[1]Data 2026'!AH103="","",'[1]Data 2026'!AH103)</f>
        <v>TBA</v>
      </c>
      <c r="AK91" s="685" t="str">
        <f>IF('[1]Data 2026'!AI103="","",'[1]Data 2026'!AI103)</f>
        <v>TBA</v>
      </c>
      <c r="AL91" s="685" t="str">
        <f>IF('[1]Data 2026'!AJ103="","",'[1]Data 2026'!AJ103)</f>
        <v>40FT</v>
      </c>
      <c r="AM91" s="692">
        <f>IF('[1]Data 2026'!AK103="","",'[1]Data 2026'!AK103)</f>
        <v>0.1</v>
      </c>
      <c r="AN91" s="685" t="str">
        <f>IF('[1]Data 2026'!AL103="","",'[1]Data 2026'!AL103)</f>
        <v>(01x250MTS)</v>
      </c>
      <c r="AO91" s="691">
        <f>IF('[1]Data 2026'!AM103="","",'[1]Data 2026'!AM103)</f>
        <v>275</v>
      </c>
      <c r="AP91" s="691" t="str">
        <f t="shared" si="16"/>
        <v/>
      </c>
      <c r="AQ91" s="685" t="str">
        <f>IF('[1]Data 2026'!AO103="","",'[1]Data 2026'!AO103)</f>
        <v/>
      </c>
      <c r="AR91" s="685" t="str">
        <f>IF('[1]Data 2026'!AP103="","",'[1]Data 2026'!AP103)</f>
        <v/>
      </c>
      <c r="AS91" s="685" t="str">
        <f>IF('[1]Data 2026'!AQ103="","",'[1]Data 2026'!AQ103)</f>
        <v/>
      </c>
      <c r="AT91" s="685" t="str">
        <f>IF('[1]Data 2026'!AR103="","",'[1]Data 2026'!AR103)</f>
        <v/>
      </c>
      <c r="AU91" s="685" t="str">
        <f>IF('[1]Data 2026'!AW103="","",'[1]Data 2026'!AW103)</f>
        <v/>
      </c>
      <c r="AV91" s="685" t="str">
        <f>IF('[1]Data 2026'!AX103="","",'[1]Data 2026'!AX103)</f>
        <v/>
      </c>
      <c r="AW91" s="685" t="str">
        <f>IF('[1]Data 2026'!AY103="","",'[1]Data 2026'!AY103)</f>
        <v/>
      </c>
      <c r="AX91" s="685" t="str">
        <f>IF('[1]Data 2026'!AZ103="","",'[1]Data 2026'!AZ103)</f>
        <v/>
      </c>
      <c r="AY91" s="685" t="str">
        <f>IF('[1]Data 2026'!BA103="","",'[1]Data 2026'!BA103)</f>
        <v/>
      </c>
      <c r="AZ91" s="685" t="str">
        <f>IF('[1]Data 2026'!AS103="","",'[1]Data 2026'!AS103)</f>
        <v/>
      </c>
      <c r="BA91" s="685" t="str">
        <f>IF('[1]Data 2026'!AT103="","",'[1]Data 2026'!AT103)</f>
        <v/>
      </c>
      <c r="BB91" s="685" t="str">
        <f>IF('[1]Data 2026'!AU103="","",'[1]Data 2026'!AU103)</f>
        <v/>
      </c>
      <c r="BC91" s="685" t="str">
        <f>IF('[1]Data 2026'!AV103="","",'[1]Data 2026'!AV103)</f>
        <v/>
      </c>
      <c r="BD91" s="685" t="str">
        <f>IF('[1]Data 2026'!AW103="","",'[1]Data 2026'!AW103)</f>
        <v/>
      </c>
      <c r="BE91" s="685" t="str">
        <f>IF('[1]Data 2026'!AX103="","",'[1]Data 2026'!AX103)</f>
        <v/>
      </c>
      <c r="BF91" s="685" t="str">
        <f>IF('[1]Data 2026'!BF103="","",'[1]Data 2026'!BF103)</f>
        <v/>
      </c>
      <c r="BG91" s="685" t="str">
        <f>IF('[1]Data 2026'!BG103="","",'[1]Data 2026'!BG103)</f>
        <v/>
      </c>
      <c r="BH91" s="685" t="str">
        <f>IF('[1]Data 2026'!BH103="","",'[1]Data 2026'!BH103)</f>
        <v/>
      </c>
      <c r="BI91" s="685" t="str">
        <f>IF('[1]Data 2026'!BI103="","",'[1]Data 2026'!BI103)</f>
        <v/>
      </c>
      <c r="BJ91" s="685" t="str">
        <f>IF('[1]Data 2026'!BJ103="","",'[1]Data 2026'!BJ103)</f>
        <v/>
      </c>
      <c r="BK91" s="685" t="str">
        <f>IF('[1]Data 2026'!BK103="","",'[1]Data 2026'!BK103)</f>
        <v/>
      </c>
      <c r="BL91" s="685" t="str">
        <f>IF('[1]Data 2026'!BL103="","",'[1]Data 2026'!BL103)</f>
        <v/>
      </c>
      <c r="BM91" s="685" t="str">
        <f>IF('[1]Data 2026'!BM103="","",'[1]Data 2026'!BM103)</f>
        <v/>
      </c>
      <c r="BN91" s="685" t="str">
        <f>IF('[1]Data 2026'!BN103="","",'[1]Data 2026'!BN103)</f>
        <v/>
      </c>
      <c r="BO91" s="685" t="str">
        <f>IF('[1]Data 2026'!BO103="","",'[1]Data 2026'!BO103)</f>
        <v/>
      </c>
      <c r="BP91" s="685" t="str">
        <f>IF('[1]Data 2026'!BP103="","",'[1]Data 2026'!BP103)</f>
        <v/>
      </c>
      <c r="BQ91" s="685" t="str">
        <f>IF('[1]Data 2026'!BQ103="","",'[1]Data 2026'!BQ103)</f>
        <v/>
      </c>
      <c r="BR91" s="685" t="str">
        <f>IF('[1]Data 2026'!BR103="","",'[1]Data 2026'!BR103)</f>
        <v/>
      </c>
      <c r="BS91" s="685" t="str">
        <f>IF('[1]Data 2026'!BS103="","",'[1]Data 2026'!BS103)</f>
        <v/>
      </c>
      <c r="BT91" s="685" t="str">
        <f>IF('[1]Data 2026'!BV103="","",'[1]Data 2026'!BV103)</f>
        <v/>
      </c>
      <c r="BU91" s="685" t="str">
        <f>IF('[1]Data 2026'!BW103="","",'[1]Data 2026'!BW103)</f>
        <v/>
      </c>
      <c r="BV91" s="685" t="str">
        <f>IF('[1]Data 2026'!BX103="","",'[1]Data 2026'!BX103)</f>
        <v/>
      </c>
      <c r="BW91" s="685" t="str">
        <f>IF('[1]Data 2026'!BY103="","",'[1]Data 2026'!BY103)</f>
        <v/>
      </c>
      <c r="BX91" s="685" t="str">
        <f>IF('[1]Data 2026'!BZ103="","",'[1]Data 2026'!BZ103)</f>
        <v/>
      </c>
      <c r="BY91" s="685" t="str">
        <f>IF('[1]Data 2026'!CA103="","",'[1]Data 2026'!CA103)</f>
        <v/>
      </c>
      <c r="BZ91" s="685" t="str">
        <f>IF('[1]Data 2026'!CB103="","",'[1]Data 2026'!CB103)</f>
        <v/>
      </c>
      <c r="CA91" s="685" t="str">
        <f>IF('[1]Data 2026'!CC103="","",'[1]Data 2026'!CC103)</f>
        <v/>
      </c>
      <c r="CB91" s="685" t="str">
        <f>IF('[1]Data 2026'!CD103="","",'[1]Data 2026'!CD103)</f>
        <v/>
      </c>
      <c r="CC91" s="685" t="str">
        <f>IF('[1]Data 2026'!CE103="","",'[1]Data 2026'!CE103)</f>
        <v/>
      </c>
      <c r="CD91" s="685" t="str">
        <f>IF('[1]Data 2026'!CF103="","",'[1]Data 2026'!CF103)</f>
        <v/>
      </c>
      <c r="CE91" s="685" t="str">
        <f>IF('[1]Data 2026'!CG103="","",'[1]Data 2026'!CG103)</f>
        <v/>
      </c>
      <c r="CF91" s="685" t="str">
        <f>IF('[1]Data 2026'!CH103="","",'[1]Data 2026'!CH103)</f>
        <v/>
      </c>
      <c r="CG91" s="685" t="str">
        <f>IF('[1]Data 2026'!CI103="","",'[1]Data 2026'!CI103)</f>
        <v/>
      </c>
      <c r="CH91" s="685" t="str">
        <f>IF('[1]Data 2026'!CJ103="","",'[1]Data 2026'!CJ103)</f>
        <v/>
      </c>
      <c r="CI91" s="685" t="str">
        <f>IF('[1]Data 2026'!CK103="","",'[1]Data 2026'!CK103)</f>
        <v/>
      </c>
      <c r="CJ91" s="685" t="str">
        <f>IF('[1]Data 2026'!CM103="","",'[1]Data 2026'!CM103)</f>
        <v/>
      </c>
      <c r="CK91" s="685" t="str">
        <f>IF('[1]Data 2026'!CN103="","",'[1]Data 2026'!CN103)</f>
        <v/>
      </c>
      <c r="CL91" s="691"/>
      <c r="CM91" s="691" t="str">
        <f>IF('[1]Data 2026'!CP103="","",'[1]Data 2026'!CP103)</f>
        <v/>
      </c>
      <c r="CN91" s="691"/>
      <c r="CO91" s="419"/>
      <c r="CP91" s="419"/>
      <c r="CQ91" s="419"/>
      <c r="CR91" s="686" t="str">
        <f t="shared" si="25"/>
        <v/>
      </c>
    </row>
    <row r="92" spans="1:104">
      <c r="A92" s="682" t="str">
        <f t="shared" si="13"/>
        <v>A. BOOKING PENDING</v>
      </c>
      <c r="B92" s="695"/>
      <c r="C92" s="684" t="str">
        <f t="shared" si="14"/>
        <v>SHORT POSITION</v>
      </c>
      <c r="D92" s="685" t="str">
        <f t="shared" si="22"/>
        <v/>
      </c>
      <c r="E92" s="685" t="str">
        <f t="shared" si="15"/>
        <v/>
      </c>
      <c r="F92" s="686">
        <f>IF('[1]Data 2026'!D104="","",'[1]Data 2026'!D104)</f>
        <v>46</v>
      </c>
      <c r="G92" s="686">
        <f>IF('[1]Data 2026'!E104="","",'[1]Data 2026'!E104)</f>
        <v>200</v>
      </c>
      <c r="H92" s="687" t="str">
        <f>IF('[1]Data 2026'!H104="","",'[1]Data 2026'!H104)</f>
        <v>32016411-1</v>
      </c>
      <c r="I92" s="688">
        <f>IF('[1]Data 2026'!AA104="","",'[1]Data 2026'!AA104)</f>
        <v>250</v>
      </c>
      <c r="J92" s="685" t="str">
        <f>IF('[1]Data 2026'!K104="","",'[1]Data 2026'!K104)</f>
        <v>MAY/JUNE 2026</v>
      </c>
      <c r="K92" s="685">
        <v>46211</v>
      </c>
      <c r="L92" s="685" t="str">
        <f>IF('[1]Data 2026'!L104="","",'[1]Data 2026'!L104)</f>
        <v>VALENCY CI</v>
      </c>
      <c r="M92" s="685" t="str">
        <f>IF('[1]Data 2026'!M104="","",'[1]Data 2026'!M104)</f>
        <v>TERRA NUTS GROUP JOINT STOCK COMPANY</v>
      </c>
      <c r="N92" s="685" t="s">
        <v>1194</v>
      </c>
      <c r="O92" s="689" t="str">
        <f>IF('[1]Data 2026'!N104="","",'[1]Data 2026'!N104)</f>
        <v/>
      </c>
      <c r="P92" s="701" t="str">
        <f>IF('[1]Data 2026'!O104="","",'[1]Data 2026'!O104)</f>
        <v/>
      </c>
      <c r="Q92" s="685" t="str">
        <f>IF('[1]Data 2026'!P104="","",'[1]Data 2026'!P104)</f>
        <v/>
      </c>
      <c r="R92" s="685" t="str">
        <f>IF('[1]Data 2026'!Q104="","",'[1]Data 2026'!Q104)</f>
        <v>ABJ</v>
      </c>
      <c r="S92" s="685" t="s">
        <v>347</v>
      </c>
      <c r="T92" s="685" t="str">
        <f>IF('[1]Data 2026'!R104="","",'[1]Data 2026'!R104)</f>
        <v>HCMC, VIETNAM</v>
      </c>
      <c r="U92" s="685" t="str">
        <f>IF('[1]Data 2026'!S104="","",'[1]Data 2026'!S104)</f>
        <v/>
      </c>
      <c r="V92" s="685" t="str">
        <f>IF('[1]Data 2026'!T104="","",'[1]Data 2026'!T104)</f>
        <v/>
      </c>
      <c r="W92" s="685" t="str">
        <f>IF('[1]Data 2026'!U104="","",'[1]Data 2026'!U104)</f>
        <v/>
      </c>
      <c r="X92" s="685" t="str">
        <f>IF('[1]Data 2026'!V104="","",'[1]Data 2026'!V104)</f>
        <v/>
      </c>
      <c r="Y92" s="685" t="str">
        <f>IF('[1]Data 2026'!W104="","",'[1]Data 2026'!W104)</f>
        <v/>
      </c>
      <c r="Z92" s="685" t="str">
        <f>IF('[1]Data 2026'!X104="","",'[1]Data 2026'!X104)</f>
        <v/>
      </c>
      <c r="AA92" s="685"/>
      <c r="AB92" s="685" t="str">
        <f>IF('[1]Data 2026'!Y104="","",'[1]Data 2026'!Y104)</f>
        <v/>
      </c>
      <c r="AC92" s="685" t="str">
        <f>IF('[1]Data 2026'!Z104="","",'[1]Data 2026'!Z104)</f>
        <v/>
      </c>
      <c r="AD92" s="691">
        <f>IF('[1]Data 2026'!AA104="","",'[1]Data 2026'!AA104)</f>
        <v>250</v>
      </c>
      <c r="AE92" s="691">
        <f>IF('[1]Data 2026'!AB104="","",'[1]Data 2026'!AB104)</f>
        <v>250</v>
      </c>
      <c r="AF92" s="685">
        <f>IF('[1]Data 2026'!AC104="","",'[1]Data 2026'!AC104)</f>
        <v>45838</v>
      </c>
      <c r="AG92" s="685" t="str">
        <f>IF('[1]Data 2026'!AD104="","",'[1]Data 2026'!AD104)</f>
        <v/>
      </c>
      <c r="AH92" s="686">
        <f>IF('[1]Data 2026'!AE104="","",'[1]Data 2026'!AE104)</f>
        <v>10</v>
      </c>
      <c r="AI92" s="685" t="str">
        <f>IF('[1]Data 2026'!AG104="","",'[1]Data 2026'!AG104)</f>
        <v/>
      </c>
      <c r="AJ92" s="685" t="str">
        <f>IF('[1]Data 2026'!AH104="","",'[1]Data 2026'!AH104)</f>
        <v>TBA</v>
      </c>
      <c r="AK92" s="685" t="str">
        <f>IF('[1]Data 2026'!AI104="","",'[1]Data 2026'!AI104)</f>
        <v>TBA</v>
      </c>
      <c r="AL92" s="685" t="str">
        <f>IF('[1]Data 2026'!AJ104="","",'[1]Data 2026'!AJ104)</f>
        <v>40FT</v>
      </c>
      <c r="AM92" s="692">
        <f>IF('[1]Data 2026'!AK104="","",'[1]Data 2026'!AK104)</f>
        <v>0.1</v>
      </c>
      <c r="AN92" s="685" t="str">
        <f>IF('[1]Data 2026'!AL104="","",'[1]Data 2026'!AL104)</f>
        <v>(01x250MTS)</v>
      </c>
      <c r="AO92" s="691">
        <f>IF('[1]Data 2026'!AM104="","",'[1]Data 2026'!AM104)</f>
        <v>275</v>
      </c>
      <c r="AP92" s="691" t="str">
        <f t="shared" si="16"/>
        <v/>
      </c>
      <c r="AQ92" s="685" t="str">
        <f>IF('[1]Data 2026'!AO104="","",'[1]Data 2026'!AO104)</f>
        <v/>
      </c>
      <c r="AR92" s="685" t="str">
        <f>IF('[1]Data 2026'!AP104="","",'[1]Data 2026'!AP104)</f>
        <v/>
      </c>
      <c r="AS92" s="685" t="str">
        <f>IF('[1]Data 2026'!AQ104="","",'[1]Data 2026'!AQ104)</f>
        <v/>
      </c>
      <c r="AT92" s="685" t="str">
        <f>IF('[1]Data 2026'!AR104="","",'[1]Data 2026'!AR104)</f>
        <v/>
      </c>
      <c r="AU92" s="685" t="str">
        <f>IF('[1]Data 2026'!AW104="","",'[1]Data 2026'!AW104)</f>
        <v/>
      </c>
      <c r="AV92" s="685" t="str">
        <f>IF('[1]Data 2026'!AX104="","",'[1]Data 2026'!AX104)</f>
        <v/>
      </c>
      <c r="AW92" s="685" t="str">
        <f>IF('[1]Data 2026'!AY104="","",'[1]Data 2026'!AY104)</f>
        <v/>
      </c>
      <c r="AX92" s="685" t="str">
        <f>IF('[1]Data 2026'!AZ104="","",'[1]Data 2026'!AZ104)</f>
        <v/>
      </c>
      <c r="AY92" s="685" t="str">
        <f>IF('[1]Data 2026'!BA104="","",'[1]Data 2026'!BA104)</f>
        <v/>
      </c>
      <c r="AZ92" s="685" t="str">
        <f>IF('[1]Data 2026'!AS104="","",'[1]Data 2026'!AS104)</f>
        <v/>
      </c>
      <c r="BA92" s="685" t="str">
        <f>IF('[1]Data 2026'!AT104="","",'[1]Data 2026'!AT104)</f>
        <v/>
      </c>
      <c r="BB92" s="685" t="str">
        <f>IF('[1]Data 2026'!AU104="","",'[1]Data 2026'!AU104)</f>
        <v/>
      </c>
      <c r="BC92" s="685" t="str">
        <f>IF('[1]Data 2026'!AV104="","",'[1]Data 2026'!AV104)</f>
        <v/>
      </c>
      <c r="BD92" s="685" t="str">
        <f>IF('[1]Data 2026'!AW104="","",'[1]Data 2026'!AW104)</f>
        <v/>
      </c>
      <c r="BE92" s="685" t="str">
        <f>IF('[1]Data 2026'!AX104="","",'[1]Data 2026'!AX104)</f>
        <v/>
      </c>
      <c r="BF92" s="685" t="str">
        <f>IF('[1]Data 2026'!BF104="","",'[1]Data 2026'!BF104)</f>
        <v/>
      </c>
      <c r="BG92" s="685" t="str">
        <f>IF('[1]Data 2026'!BG104="","",'[1]Data 2026'!BG104)</f>
        <v/>
      </c>
      <c r="BH92" s="685" t="str">
        <f>IF('[1]Data 2026'!BH104="","",'[1]Data 2026'!BH104)</f>
        <v/>
      </c>
      <c r="BI92" s="685" t="str">
        <f>IF('[1]Data 2026'!BI104="","",'[1]Data 2026'!BI104)</f>
        <v/>
      </c>
      <c r="BJ92" s="685" t="str">
        <f>IF('[1]Data 2026'!BJ104="","",'[1]Data 2026'!BJ104)</f>
        <v/>
      </c>
      <c r="BK92" s="685" t="str">
        <f>IF('[1]Data 2026'!BK104="","",'[1]Data 2026'!BK104)</f>
        <v/>
      </c>
      <c r="BL92" s="685" t="str">
        <f>IF('[1]Data 2026'!BL104="","",'[1]Data 2026'!BL104)</f>
        <v/>
      </c>
      <c r="BM92" s="685" t="str">
        <f>IF('[1]Data 2026'!BM104="","",'[1]Data 2026'!BM104)</f>
        <v/>
      </c>
      <c r="BN92" s="685" t="str">
        <f>IF('[1]Data 2026'!BN104="","",'[1]Data 2026'!BN104)</f>
        <v/>
      </c>
      <c r="BO92" s="685" t="str">
        <f>IF('[1]Data 2026'!BO104="","",'[1]Data 2026'!BO104)</f>
        <v/>
      </c>
      <c r="BP92" s="685" t="str">
        <f>IF('[1]Data 2026'!BP104="","",'[1]Data 2026'!BP104)</f>
        <v/>
      </c>
      <c r="BQ92" s="685" t="str">
        <f>IF('[1]Data 2026'!BQ104="","",'[1]Data 2026'!BQ104)</f>
        <v/>
      </c>
      <c r="BR92" s="685" t="str">
        <f>IF('[1]Data 2026'!BR104="","",'[1]Data 2026'!BR104)</f>
        <v/>
      </c>
      <c r="BS92" s="685" t="str">
        <f>IF('[1]Data 2026'!BS104="","",'[1]Data 2026'!BS104)</f>
        <v/>
      </c>
      <c r="BT92" s="685" t="str">
        <f>IF('[1]Data 2026'!BV104="","",'[1]Data 2026'!BV104)</f>
        <v/>
      </c>
      <c r="BU92" s="685" t="str">
        <f>IF('[1]Data 2026'!BW104="","",'[1]Data 2026'!BW104)</f>
        <v/>
      </c>
      <c r="BV92" s="685" t="str">
        <f>IF('[1]Data 2026'!BX104="","",'[1]Data 2026'!BX104)</f>
        <v/>
      </c>
      <c r="BW92" s="685" t="str">
        <f>IF('[1]Data 2026'!BY104="","",'[1]Data 2026'!BY104)</f>
        <v/>
      </c>
      <c r="BX92" s="685" t="str">
        <f>IF('[1]Data 2026'!BZ104="","",'[1]Data 2026'!BZ104)</f>
        <v/>
      </c>
      <c r="BY92" s="685" t="str">
        <f>IF('[1]Data 2026'!CA104="","",'[1]Data 2026'!CA104)</f>
        <v/>
      </c>
      <c r="BZ92" s="685" t="str">
        <f>IF('[1]Data 2026'!CB104="","",'[1]Data 2026'!CB104)</f>
        <v/>
      </c>
      <c r="CA92" s="685" t="str">
        <f>IF('[1]Data 2026'!CC104="","",'[1]Data 2026'!CC104)</f>
        <v/>
      </c>
      <c r="CB92" s="685" t="str">
        <f>IF('[1]Data 2026'!CD104="","",'[1]Data 2026'!CD104)</f>
        <v/>
      </c>
      <c r="CC92" s="685" t="str">
        <f>IF('[1]Data 2026'!CE104="","",'[1]Data 2026'!CE104)</f>
        <v/>
      </c>
      <c r="CD92" s="685" t="str">
        <f>IF('[1]Data 2026'!CF104="","",'[1]Data 2026'!CF104)</f>
        <v/>
      </c>
      <c r="CE92" s="685" t="str">
        <f>IF('[1]Data 2026'!CG104="","",'[1]Data 2026'!CG104)</f>
        <v/>
      </c>
      <c r="CF92" s="685" t="str">
        <f>IF('[1]Data 2026'!CH104="","",'[1]Data 2026'!CH104)</f>
        <v/>
      </c>
      <c r="CG92" s="685" t="str">
        <f>IF('[1]Data 2026'!CI104="","",'[1]Data 2026'!CI104)</f>
        <v/>
      </c>
      <c r="CH92" s="685" t="str">
        <f>IF('[1]Data 2026'!CJ104="","",'[1]Data 2026'!CJ104)</f>
        <v/>
      </c>
      <c r="CI92" s="685" t="str">
        <f>IF('[1]Data 2026'!CK104="","",'[1]Data 2026'!CK104)</f>
        <v/>
      </c>
      <c r="CJ92" s="685" t="str">
        <f>IF('[1]Data 2026'!CM104="","",'[1]Data 2026'!CM104)</f>
        <v/>
      </c>
      <c r="CK92" s="685" t="str">
        <f>IF('[1]Data 2026'!CN104="","",'[1]Data 2026'!CN104)</f>
        <v/>
      </c>
      <c r="CL92" s="691"/>
      <c r="CM92" s="691" t="str">
        <f>IF('[1]Data 2026'!CP104="","",'[1]Data 2026'!CP104)</f>
        <v/>
      </c>
      <c r="CN92" s="691"/>
      <c r="CO92" s="419"/>
      <c r="CP92" s="419"/>
      <c r="CQ92" s="419"/>
      <c r="CR92" s="686" t="str">
        <f t="shared" si="25"/>
        <v/>
      </c>
    </row>
    <row r="93" spans="1:104">
      <c r="A93" s="682" t="str">
        <f t="shared" si="13"/>
        <v>A. BOOKING PENDING</v>
      </c>
      <c r="B93" s="695"/>
      <c r="C93" s="684" t="str">
        <f t="shared" si="14"/>
        <v>SHORT POSITION</v>
      </c>
      <c r="D93" s="685" t="str">
        <f t="shared" si="22"/>
        <v/>
      </c>
      <c r="E93" s="685" t="str">
        <f t="shared" si="15"/>
        <v/>
      </c>
      <c r="F93" s="686">
        <f>IF('[1]Data 2026'!D105="","",'[1]Data 2026'!D105)</f>
        <v>46</v>
      </c>
      <c r="G93" s="686">
        <f>IF('[1]Data 2026'!E105="","",'[1]Data 2026'!E105)</f>
        <v>200</v>
      </c>
      <c r="H93" s="687" t="str">
        <f>IF('[1]Data 2026'!H105="","",'[1]Data 2026'!H105)</f>
        <v>32016411-2</v>
      </c>
      <c r="I93" s="688">
        <f>IF('[1]Data 2026'!AA105="","",'[1]Data 2026'!AA105)</f>
        <v>250</v>
      </c>
      <c r="J93" s="685" t="str">
        <f>IF('[1]Data 2026'!K105="","",'[1]Data 2026'!K105)</f>
        <v>MAY/JUNE 2026</v>
      </c>
      <c r="K93" s="685">
        <v>46212</v>
      </c>
      <c r="L93" s="685" t="str">
        <f>IF('[1]Data 2026'!L105="","",'[1]Data 2026'!L105)</f>
        <v>VALENCY CI</v>
      </c>
      <c r="M93" s="685" t="str">
        <f>IF('[1]Data 2026'!M105="","",'[1]Data 2026'!M105)</f>
        <v>TERRA NUTS GROUP JOINT STOCK COMPANY</v>
      </c>
      <c r="N93" s="685" t="s">
        <v>1194</v>
      </c>
      <c r="O93" s="689" t="str">
        <f>IF('[1]Data 2026'!N105="","",'[1]Data 2026'!N105)</f>
        <v/>
      </c>
      <c r="P93" s="701" t="str">
        <f>IF('[1]Data 2026'!O105="","",'[1]Data 2026'!O105)</f>
        <v/>
      </c>
      <c r="Q93" s="685" t="str">
        <f>IF('[1]Data 2026'!P105="","",'[1]Data 2026'!P105)</f>
        <v/>
      </c>
      <c r="R93" s="685" t="str">
        <f>IF('[1]Data 2026'!Q105="","",'[1]Data 2026'!Q105)</f>
        <v>ABJ</v>
      </c>
      <c r="S93" s="685" t="s">
        <v>347</v>
      </c>
      <c r="T93" s="685" t="str">
        <f>IF('[1]Data 2026'!R105="","",'[1]Data 2026'!R105)</f>
        <v>HCMC, VIETNAM</v>
      </c>
      <c r="U93" s="685" t="str">
        <f>IF('[1]Data 2026'!S105="","",'[1]Data 2026'!S105)</f>
        <v/>
      </c>
      <c r="V93" s="685" t="str">
        <f>IF('[1]Data 2026'!T105="","",'[1]Data 2026'!T105)</f>
        <v/>
      </c>
      <c r="W93" s="685" t="str">
        <f>IF('[1]Data 2026'!U105="","",'[1]Data 2026'!U105)</f>
        <v/>
      </c>
      <c r="X93" s="685" t="str">
        <f>IF('[1]Data 2026'!V105="","",'[1]Data 2026'!V105)</f>
        <v/>
      </c>
      <c r="Y93" s="685" t="str">
        <f>IF('[1]Data 2026'!W105="","",'[1]Data 2026'!W105)</f>
        <v/>
      </c>
      <c r="Z93" s="685" t="str">
        <f>IF('[1]Data 2026'!X105="","",'[1]Data 2026'!X105)</f>
        <v/>
      </c>
      <c r="AA93" s="685"/>
      <c r="AB93" s="685" t="str">
        <f>IF('[1]Data 2026'!Y105="","",'[1]Data 2026'!Y105)</f>
        <v/>
      </c>
      <c r="AC93" s="685" t="str">
        <f>IF('[1]Data 2026'!Z105="","",'[1]Data 2026'!Z105)</f>
        <v/>
      </c>
      <c r="AD93" s="691">
        <f>IF('[1]Data 2026'!AA105="","",'[1]Data 2026'!AA105)</f>
        <v>250</v>
      </c>
      <c r="AE93" s="691">
        <f>IF('[1]Data 2026'!AB105="","",'[1]Data 2026'!AB105)</f>
        <v>250</v>
      </c>
      <c r="AF93" s="685">
        <f>IF('[1]Data 2026'!AC105="","",'[1]Data 2026'!AC105)</f>
        <v>45838</v>
      </c>
      <c r="AG93" s="685" t="str">
        <f>IF('[1]Data 2026'!AD105="","",'[1]Data 2026'!AD105)</f>
        <v/>
      </c>
      <c r="AH93" s="686">
        <f>IF('[1]Data 2026'!AE105="","",'[1]Data 2026'!AE105)</f>
        <v>10</v>
      </c>
      <c r="AI93" s="685" t="str">
        <f>IF('[1]Data 2026'!AG105="","",'[1]Data 2026'!AG105)</f>
        <v/>
      </c>
      <c r="AJ93" s="685" t="str">
        <f>IF('[1]Data 2026'!AH105="","",'[1]Data 2026'!AH105)</f>
        <v>TBA</v>
      </c>
      <c r="AK93" s="685" t="str">
        <f>IF('[1]Data 2026'!AI105="","",'[1]Data 2026'!AI105)</f>
        <v>TBA</v>
      </c>
      <c r="AL93" s="685" t="str">
        <f>IF('[1]Data 2026'!AJ105="","",'[1]Data 2026'!AJ105)</f>
        <v>40FT</v>
      </c>
      <c r="AM93" s="692">
        <f>IF('[1]Data 2026'!AK105="","",'[1]Data 2026'!AK105)</f>
        <v>0.1</v>
      </c>
      <c r="AN93" s="685" t="str">
        <f>IF('[1]Data 2026'!AL105="","",'[1]Data 2026'!AL105)</f>
        <v>(01x250MTS)</v>
      </c>
      <c r="AO93" s="691">
        <f>IF('[1]Data 2026'!AM105="","",'[1]Data 2026'!AM105)</f>
        <v>275</v>
      </c>
      <c r="AP93" s="691" t="str">
        <f t="shared" si="16"/>
        <v/>
      </c>
      <c r="AQ93" s="685" t="str">
        <f>IF('[1]Data 2026'!AO105="","",'[1]Data 2026'!AO105)</f>
        <v/>
      </c>
      <c r="AR93" s="685" t="str">
        <f>IF('[1]Data 2026'!AP105="","",'[1]Data 2026'!AP105)</f>
        <v/>
      </c>
      <c r="AS93" s="685" t="str">
        <f>IF('[1]Data 2026'!AQ105="","",'[1]Data 2026'!AQ105)</f>
        <v/>
      </c>
      <c r="AT93" s="685" t="str">
        <f>IF('[1]Data 2026'!AR105="","",'[1]Data 2026'!AR105)</f>
        <v/>
      </c>
      <c r="AU93" s="685" t="str">
        <f>IF('[1]Data 2026'!AW105="","",'[1]Data 2026'!AW105)</f>
        <v/>
      </c>
      <c r="AV93" s="685" t="str">
        <f>IF('[1]Data 2026'!AX105="","",'[1]Data 2026'!AX105)</f>
        <v/>
      </c>
      <c r="AW93" s="685" t="str">
        <f>IF('[1]Data 2026'!AY105="","",'[1]Data 2026'!AY105)</f>
        <v/>
      </c>
      <c r="AX93" s="685" t="str">
        <f>IF('[1]Data 2026'!AZ105="","",'[1]Data 2026'!AZ105)</f>
        <v/>
      </c>
      <c r="AY93" s="685" t="str">
        <f>IF('[1]Data 2026'!BA105="","",'[1]Data 2026'!BA105)</f>
        <v/>
      </c>
      <c r="AZ93" s="685" t="str">
        <f>IF('[1]Data 2026'!AS105="","",'[1]Data 2026'!AS105)</f>
        <v/>
      </c>
      <c r="BA93" s="685" t="str">
        <f>IF('[1]Data 2026'!AT105="","",'[1]Data 2026'!AT105)</f>
        <v/>
      </c>
      <c r="BB93" s="685" t="str">
        <f>IF('[1]Data 2026'!AU105="","",'[1]Data 2026'!AU105)</f>
        <v/>
      </c>
      <c r="BC93" s="685" t="str">
        <f>IF('[1]Data 2026'!AV105="","",'[1]Data 2026'!AV105)</f>
        <v/>
      </c>
      <c r="BD93" s="685" t="str">
        <f>IF('[1]Data 2026'!AW105="","",'[1]Data 2026'!AW105)</f>
        <v/>
      </c>
      <c r="BE93" s="685" t="str">
        <f>IF('[1]Data 2026'!AX105="","",'[1]Data 2026'!AX105)</f>
        <v/>
      </c>
      <c r="BF93" s="685" t="str">
        <f>IF('[1]Data 2026'!BF105="","",'[1]Data 2026'!BF105)</f>
        <v/>
      </c>
      <c r="BG93" s="685" t="str">
        <f>IF('[1]Data 2026'!BG105="","",'[1]Data 2026'!BG105)</f>
        <v/>
      </c>
      <c r="BH93" s="685" t="str">
        <f>IF('[1]Data 2026'!BH105="","",'[1]Data 2026'!BH105)</f>
        <v/>
      </c>
      <c r="BI93" s="685" t="str">
        <f>IF('[1]Data 2026'!BI105="","",'[1]Data 2026'!BI105)</f>
        <v/>
      </c>
      <c r="BJ93" s="685" t="str">
        <f>IF('[1]Data 2026'!BJ105="","",'[1]Data 2026'!BJ105)</f>
        <v/>
      </c>
      <c r="BK93" s="685" t="str">
        <f>IF('[1]Data 2026'!BK105="","",'[1]Data 2026'!BK105)</f>
        <v/>
      </c>
      <c r="BL93" s="685" t="str">
        <f>IF('[1]Data 2026'!BL105="","",'[1]Data 2026'!BL105)</f>
        <v/>
      </c>
      <c r="BM93" s="685" t="str">
        <f>IF('[1]Data 2026'!BM105="","",'[1]Data 2026'!BM105)</f>
        <v/>
      </c>
      <c r="BN93" s="685" t="str">
        <f>IF('[1]Data 2026'!BN105="","",'[1]Data 2026'!BN105)</f>
        <v/>
      </c>
      <c r="BO93" s="685" t="str">
        <f>IF('[1]Data 2026'!BO105="","",'[1]Data 2026'!BO105)</f>
        <v/>
      </c>
      <c r="BP93" s="685" t="str">
        <f>IF('[1]Data 2026'!BP105="","",'[1]Data 2026'!BP105)</f>
        <v/>
      </c>
      <c r="BQ93" s="685" t="str">
        <f>IF('[1]Data 2026'!BQ105="","",'[1]Data 2026'!BQ105)</f>
        <v/>
      </c>
      <c r="BR93" s="685" t="str">
        <f>IF('[1]Data 2026'!BR105="","",'[1]Data 2026'!BR105)</f>
        <v/>
      </c>
      <c r="BS93" s="685" t="str">
        <f>IF('[1]Data 2026'!BS105="","",'[1]Data 2026'!BS105)</f>
        <v/>
      </c>
      <c r="BT93" s="685" t="str">
        <f>IF('[1]Data 2026'!BV105="","",'[1]Data 2026'!BV105)</f>
        <v/>
      </c>
      <c r="BU93" s="685" t="str">
        <f>IF('[1]Data 2026'!BW105="","",'[1]Data 2026'!BW105)</f>
        <v/>
      </c>
      <c r="BV93" s="685" t="str">
        <f>IF('[1]Data 2026'!BX105="","",'[1]Data 2026'!BX105)</f>
        <v/>
      </c>
      <c r="BW93" s="685" t="str">
        <f>IF('[1]Data 2026'!BY105="","",'[1]Data 2026'!BY105)</f>
        <v/>
      </c>
      <c r="BX93" s="685" t="str">
        <f>IF('[1]Data 2026'!BZ105="","",'[1]Data 2026'!BZ105)</f>
        <v/>
      </c>
      <c r="BY93" s="685" t="str">
        <f>IF('[1]Data 2026'!CA105="","",'[1]Data 2026'!CA105)</f>
        <v/>
      </c>
      <c r="BZ93" s="685" t="str">
        <f>IF('[1]Data 2026'!CB105="","",'[1]Data 2026'!CB105)</f>
        <v/>
      </c>
      <c r="CA93" s="685" t="str">
        <f>IF('[1]Data 2026'!CC105="","",'[1]Data 2026'!CC105)</f>
        <v/>
      </c>
      <c r="CB93" s="685" t="str">
        <f>IF('[1]Data 2026'!CD105="","",'[1]Data 2026'!CD105)</f>
        <v/>
      </c>
      <c r="CC93" s="685" t="str">
        <f>IF('[1]Data 2026'!CE105="","",'[1]Data 2026'!CE105)</f>
        <v/>
      </c>
      <c r="CD93" s="685" t="str">
        <f>IF('[1]Data 2026'!CF105="","",'[1]Data 2026'!CF105)</f>
        <v/>
      </c>
      <c r="CE93" s="685" t="str">
        <f>IF('[1]Data 2026'!CG105="","",'[1]Data 2026'!CG105)</f>
        <v/>
      </c>
      <c r="CF93" s="685" t="str">
        <f>IF('[1]Data 2026'!CH105="","",'[1]Data 2026'!CH105)</f>
        <v/>
      </c>
      <c r="CG93" s="685" t="str">
        <f>IF('[1]Data 2026'!CI105="","",'[1]Data 2026'!CI105)</f>
        <v/>
      </c>
      <c r="CH93" s="685" t="str">
        <f>IF('[1]Data 2026'!CJ105="","",'[1]Data 2026'!CJ105)</f>
        <v/>
      </c>
      <c r="CI93" s="685" t="str">
        <f>IF('[1]Data 2026'!CK105="","",'[1]Data 2026'!CK105)</f>
        <v/>
      </c>
      <c r="CJ93" s="685" t="str">
        <f>IF('[1]Data 2026'!CM105="","",'[1]Data 2026'!CM105)</f>
        <v/>
      </c>
      <c r="CK93" s="685" t="str">
        <f>IF('[1]Data 2026'!CN105="","",'[1]Data 2026'!CN105)</f>
        <v/>
      </c>
      <c r="CL93" s="691"/>
      <c r="CM93" s="691" t="str">
        <f>IF('[1]Data 2026'!CP105="","",'[1]Data 2026'!CP105)</f>
        <v/>
      </c>
      <c r="CN93" s="691"/>
      <c r="CO93" s="419"/>
      <c r="CP93" s="419"/>
      <c r="CQ93" s="419"/>
      <c r="CR93" s="686" t="str">
        <f t="shared" si="25"/>
        <v/>
      </c>
    </row>
    <row r="94" spans="1:104">
      <c r="A94" s="682" t="str">
        <f t="shared" si="13"/>
        <v>A. BOOKING PENDING</v>
      </c>
      <c r="B94" s="695"/>
      <c r="C94" s="684" t="str">
        <f t="shared" si="14"/>
        <v>SHORT POSITION</v>
      </c>
      <c r="D94" s="685" t="str">
        <f t="shared" si="22"/>
        <v/>
      </c>
      <c r="E94" s="685" t="str">
        <f t="shared" si="15"/>
        <v/>
      </c>
      <c r="F94" s="686">
        <f>IF('[1]Data 2026'!D106="","",'[1]Data 2026'!D106)</f>
        <v>46</v>
      </c>
      <c r="G94" s="686">
        <f>IF('[1]Data 2026'!E106="","",'[1]Data 2026'!E106)</f>
        <v>200</v>
      </c>
      <c r="H94" s="687" t="str">
        <f>IF('[1]Data 2026'!H106="","",'[1]Data 2026'!H106)</f>
        <v>32016411-3</v>
      </c>
      <c r="I94" s="688">
        <f>IF('[1]Data 2026'!AA106="","",'[1]Data 2026'!AA106)</f>
        <v>250</v>
      </c>
      <c r="J94" s="685" t="str">
        <f>IF('[1]Data 2026'!K106="","",'[1]Data 2026'!K106)</f>
        <v>MAY/JUNE 2026</v>
      </c>
      <c r="K94" s="685">
        <v>46213</v>
      </c>
      <c r="L94" s="685" t="str">
        <f>IF('[1]Data 2026'!L106="","",'[1]Data 2026'!L106)</f>
        <v>VALENCY CI</v>
      </c>
      <c r="M94" s="685" t="str">
        <f>IF('[1]Data 2026'!M106="","",'[1]Data 2026'!M106)</f>
        <v>TERRA NUTS GROUP JOINT STOCK COMPANY</v>
      </c>
      <c r="N94" s="685" t="s">
        <v>1194</v>
      </c>
      <c r="O94" s="689" t="str">
        <f>IF('[1]Data 2026'!N106="","",'[1]Data 2026'!N106)</f>
        <v/>
      </c>
      <c r="P94" s="701" t="str">
        <f>IF('[1]Data 2026'!O106="","",'[1]Data 2026'!O106)</f>
        <v/>
      </c>
      <c r="Q94" s="685" t="str">
        <f>IF('[1]Data 2026'!P106="","",'[1]Data 2026'!P106)</f>
        <v/>
      </c>
      <c r="R94" s="685" t="str">
        <f>IF('[1]Data 2026'!Q106="","",'[1]Data 2026'!Q106)</f>
        <v>ABJ</v>
      </c>
      <c r="S94" s="685" t="s">
        <v>347</v>
      </c>
      <c r="T94" s="685" t="str">
        <f>IF('[1]Data 2026'!R106="","",'[1]Data 2026'!R106)</f>
        <v>HCMC, VIETNAM</v>
      </c>
      <c r="U94" s="685" t="str">
        <f>IF('[1]Data 2026'!S106="","",'[1]Data 2026'!S106)</f>
        <v/>
      </c>
      <c r="V94" s="685" t="str">
        <f>IF('[1]Data 2026'!T106="","",'[1]Data 2026'!T106)</f>
        <v/>
      </c>
      <c r="W94" s="685" t="str">
        <f>IF('[1]Data 2026'!U106="","",'[1]Data 2026'!U106)</f>
        <v/>
      </c>
      <c r="X94" s="685" t="str">
        <f>IF('[1]Data 2026'!V106="","",'[1]Data 2026'!V106)</f>
        <v/>
      </c>
      <c r="Y94" s="685" t="str">
        <f>IF('[1]Data 2026'!W106="","",'[1]Data 2026'!W106)</f>
        <v/>
      </c>
      <c r="Z94" s="685" t="str">
        <f>IF('[1]Data 2026'!X106="","",'[1]Data 2026'!X106)</f>
        <v/>
      </c>
      <c r="AA94" s="685"/>
      <c r="AB94" s="685" t="str">
        <f>IF('[1]Data 2026'!Y106="","",'[1]Data 2026'!Y106)</f>
        <v/>
      </c>
      <c r="AC94" s="685" t="str">
        <f>IF('[1]Data 2026'!Z106="","",'[1]Data 2026'!Z106)</f>
        <v/>
      </c>
      <c r="AD94" s="691">
        <f>IF('[1]Data 2026'!AA106="","",'[1]Data 2026'!AA106)</f>
        <v>250</v>
      </c>
      <c r="AE94" s="691">
        <f>IF('[1]Data 2026'!AB106="","",'[1]Data 2026'!AB106)</f>
        <v>250</v>
      </c>
      <c r="AF94" s="685">
        <f>IF('[1]Data 2026'!AC106="","",'[1]Data 2026'!AC106)</f>
        <v>45838</v>
      </c>
      <c r="AG94" s="685" t="str">
        <f>IF('[1]Data 2026'!AD106="","",'[1]Data 2026'!AD106)</f>
        <v/>
      </c>
      <c r="AH94" s="686">
        <f>IF('[1]Data 2026'!AE106="","",'[1]Data 2026'!AE106)</f>
        <v>10</v>
      </c>
      <c r="AI94" s="685" t="str">
        <f>IF('[1]Data 2026'!AG106="","",'[1]Data 2026'!AG106)</f>
        <v/>
      </c>
      <c r="AJ94" s="685" t="str">
        <f>IF('[1]Data 2026'!AH106="","",'[1]Data 2026'!AH106)</f>
        <v>TBA</v>
      </c>
      <c r="AK94" s="685" t="str">
        <f>IF('[1]Data 2026'!AI106="","",'[1]Data 2026'!AI106)</f>
        <v>TBA</v>
      </c>
      <c r="AL94" s="685" t="str">
        <f>IF('[1]Data 2026'!AJ106="","",'[1]Data 2026'!AJ106)</f>
        <v>40FT</v>
      </c>
      <c r="AM94" s="692">
        <f>IF('[1]Data 2026'!AK106="","",'[1]Data 2026'!AK106)</f>
        <v>0.1</v>
      </c>
      <c r="AN94" s="685" t="str">
        <f>IF('[1]Data 2026'!AL106="","",'[1]Data 2026'!AL106)</f>
        <v>(01x250MTS)</v>
      </c>
      <c r="AO94" s="691">
        <f>IF('[1]Data 2026'!AM106="","",'[1]Data 2026'!AM106)</f>
        <v>275</v>
      </c>
      <c r="AP94" s="691" t="str">
        <f t="shared" si="16"/>
        <v/>
      </c>
      <c r="AQ94" s="685" t="str">
        <f>IF('[1]Data 2026'!AO106="","",'[1]Data 2026'!AO106)</f>
        <v/>
      </c>
      <c r="AR94" s="685" t="str">
        <f>IF('[1]Data 2026'!AP106="","",'[1]Data 2026'!AP106)</f>
        <v/>
      </c>
      <c r="AS94" s="685" t="str">
        <f>IF('[1]Data 2026'!AQ106="","",'[1]Data 2026'!AQ106)</f>
        <v/>
      </c>
      <c r="AT94" s="685" t="str">
        <f>IF('[1]Data 2026'!AR106="","",'[1]Data 2026'!AR106)</f>
        <v/>
      </c>
      <c r="AU94" s="685" t="str">
        <f>IF('[1]Data 2026'!AW106="","",'[1]Data 2026'!AW106)</f>
        <v/>
      </c>
      <c r="AV94" s="685" t="str">
        <f>IF('[1]Data 2026'!AX106="","",'[1]Data 2026'!AX106)</f>
        <v/>
      </c>
      <c r="AW94" s="685" t="str">
        <f>IF('[1]Data 2026'!AY106="","",'[1]Data 2026'!AY106)</f>
        <v/>
      </c>
      <c r="AX94" s="685" t="str">
        <f>IF('[1]Data 2026'!AZ106="","",'[1]Data 2026'!AZ106)</f>
        <v/>
      </c>
      <c r="AY94" s="685" t="str">
        <f>IF('[1]Data 2026'!BA106="","",'[1]Data 2026'!BA106)</f>
        <v/>
      </c>
      <c r="AZ94" s="685" t="str">
        <f>IF('[1]Data 2026'!AS106="","",'[1]Data 2026'!AS106)</f>
        <v/>
      </c>
      <c r="BA94" s="685" t="str">
        <f>IF('[1]Data 2026'!AT106="","",'[1]Data 2026'!AT106)</f>
        <v/>
      </c>
      <c r="BB94" s="685" t="str">
        <f>IF('[1]Data 2026'!AU106="","",'[1]Data 2026'!AU106)</f>
        <v/>
      </c>
      <c r="BC94" s="685" t="str">
        <f>IF('[1]Data 2026'!AV106="","",'[1]Data 2026'!AV106)</f>
        <v/>
      </c>
      <c r="BD94" s="685" t="str">
        <f>IF('[1]Data 2026'!AW106="","",'[1]Data 2026'!AW106)</f>
        <v/>
      </c>
      <c r="BE94" s="685" t="str">
        <f>IF('[1]Data 2026'!AX106="","",'[1]Data 2026'!AX106)</f>
        <v/>
      </c>
      <c r="BF94" s="685" t="str">
        <f>IF('[1]Data 2026'!BF106="","",'[1]Data 2026'!BF106)</f>
        <v/>
      </c>
      <c r="BG94" s="685" t="str">
        <f>IF('[1]Data 2026'!BG106="","",'[1]Data 2026'!BG106)</f>
        <v/>
      </c>
      <c r="BH94" s="685" t="str">
        <f>IF('[1]Data 2026'!BH106="","",'[1]Data 2026'!BH106)</f>
        <v/>
      </c>
      <c r="BI94" s="685" t="str">
        <f>IF('[1]Data 2026'!BI106="","",'[1]Data 2026'!BI106)</f>
        <v/>
      </c>
      <c r="BJ94" s="685" t="str">
        <f>IF('[1]Data 2026'!BJ106="","",'[1]Data 2026'!BJ106)</f>
        <v/>
      </c>
      <c r="BK94" s="685" t="str">
        <f>IF('[1]Data 2026'!BK106="","",'[1]Data 2026'!BK106)</f>
        <v/>
      </c>
      <c r="BL94" s="685" t="str">
        <f>IF('[1]Data 2026'!BL106="","",'[1]Data 2026'!BL106)</f>
        <v/>
      </c>
      <c r="BM94" s="685" t="str">
        <f>IF('[1]Data 2026'!BM106="","",'[1]Data 2026'!BM106)</f>
        <v/>
      </c>
      <c r="BN94" s="685" t="str">
        <f>IF('[1]Data 2026'!BN106="","",'[1]Data 2026'!BN106)</f>
        <v/>
      </c>
      <c r="BO94" s="685" t="str">
        <f>IF('[1]Data 2026'!BO106="","",'[1]Data 2026'!BO106)</f>
        <v/>
      </c>
      <c r="BP94" s="685" t="str">
        <f>IF('[1]Data 2026'!BP106="","",'[1]Data 2026'!BP106)</f>
        <v/>
      </c>
      <c r="BQ94" s="685" t="str">
        <f>IF('[1]Data 2026'!BQ106="","",'[1]Data 2026'!BQ106)</f>
        <v/>
      </c>
      <c r="BR94" s="685" t="str">
        <f>IF('[1]Data 2026'!BR106="","",'[1]Data 2026'!BR106)</f>
        <v/>
      </c>
      <c r="BS94" s="685" t="str">
        <f>IF('[1]Data 2026'!BS106="","",'[1]Data 2026'!BS106)</f>
        <v/>
      </c>
      <c r="BT94" s="685" t="str">
        <f>IF('[1]Data 2026'!BV106="","",'[1]Data 2026'!BV106)</f>
        <v/>
      </c>
      <c r="BU94" s="685" t="str">
        <f>IF('[1]Data 2026'!BW106="","",'[1]Data 2026'!BW106)</f>
        <v/>
      </c>
      <c r="BV94" s="685" t="str">
        <f>IF('[1]Data 2026'!BX106="","",'[1]Data 2026'!BX106)</f>
        <v/>
      </c>
      <c r="BW94" s="685" t="str">
        <f>IF('[1]Data 2026'!BY106="","",'[1]Data 2026'!BY106)</f>
        <v/>
      </c>
      <c r="BX94" s="685" t="str">
        <f>IF('[1]Data 2026'!BZ106="","",'[1]Data 2026'!BZ106)</f>
        <v/>
      </c>
      <c r="BY94" s="685" t="str">
        <f>IF('[1]Data 2026'!CA106="","",'[1]Data 2026'!CA106)</f>
        <v/>
      </c>
      <c r="BZ94" s="685" t="str">
        <f>IF('[1]Data 2026'!CB106="","",'[1]Data 2026'!CB106)</f>
        <v/>
      </c>
      <c r="CA94" s="685" t="str">
        <f>IF('[1]Data 2026'!CC106="","",'[1]Data 2026'!CC106)</f>
        <v/>
      </c>
      <c r="CB94" s="685" t="str">
        <f>IF('[1]Data 2026'!CD106="","",'[1]Data 2026'!CD106)</f>
        <v/>
      </c>
      <c r="CC94" s="685" t="str">
        <f>IF('[1]Data 2026'!CE106="","",'[1]Data 2026'!CE106)</f>
        <v/>
      </c>
      <c r="CD94" s="685" t="str">
        <f>IF('[1]Data 2026'!CF106="","",'[1]Data 2026'!CF106)</f>
        <v/>
      </c>
      <c r="CE94" s="685" t="str">
        <f>IF('[1]Data 2026'!CG106="","",'[1]Data 2026'!CG106)</f>
        <v/>
      </c>
      <c r="CF94" s="685" t="str">
        <f>IF('[1]Data 2026'!CH106="","",'[1]Data 2026'!CH106)</f>
        <v/>
      </c>
      <c r="CG94" s="685" t="str">
        <f>IF('[1]Data 2026'!CI106="","",'[1]Data 2026'!CI106)</f>
        <v/>
      </c>
      <c r="CH94" s="685" t="str">
        <f>IF('[1]Data 2026'!CJ106="","",'[1]Data 2026'!CJ106)</f>
        <v/>
      </c>
      <c r="CI94" s="685" t="str">
        <f>IF('[1]Data 2026'!CK106="","",'[1]Data 2026'!CK106)</f>
        <v/>
      </c>
      <c r="CJ94" s="685" t="str">
        <f>IF('[1]Data 2026'!CM106="","",'[1]Data 2026'!CM106)</f>
        <v/>
      </c>
      <c r="CK94" s="685" t="str">
        <f>IF('[1]Data 2026'!CN106="","",'[1]Data 2026'!CN106)</f>
        <v/>
      </c>
      <c r="CL94" s="691"/>
      <c r="CM94" s="691" t="str">
        <f>IF('[1]Data 2026'!CP106="","",'[1]Data 2026'!CP106)</f>
        <v/>
      </c>
      <c r="CN94" s="691"/>
      <c r="CO94" s="419"/>
      <c r="CP94" s="419"/>
      <c r="CQ94" s="419"/>
      <c r="CR94" s="686" t="str">
        <f t="shared" si="25"/>
        <v/>
      </c>
    </row>
    <row r="95" spans="1:104">
      <c r="A95" s="682" t="str">
        <f t="shared" si="13"/>
        <v>A. BOOKING PENDING</v>
      </c>
      <c r="B95" s="695"/>
      <c r="C95" s="684" t="str">
        <f t="shared" si="14"/>
        <v>SHORT POSITION</v>
      </c>
      <c r="D95" s="685" t="str">
        <f t="shared" si="22"/>
        <v/>
      </c>
      <c r="E95" s="685" t="str">
        <f t="shared" si="15"/>
        <v/>
      </c>
      <c r="F95" s="686">
        <f>IF('[1]Data 2026'!D107="","",'[1]Data 2026'!D107)</f>
        <v>46</v>
      </c>
      <c r="G95" s="686">
        <f>IF('[1]Data 2026'!E107="","",'[1]Data 2026'!E107)</f>
        <v>200</v>
      </c>
      <c r="H95" s="687" t="str">
        <f>IF('[1]Data 2026'!H107="","",'[1]Data 2026'!H107)</f>
        <v>32016411-4</v>
      </c>
      <c r="I95" s="688">
        <f>IF('[1]Data 2026'!AA107="","",'[1]Data 2026'!AA107)</f>
        <v>250</v>
      </c>
      <c r="J95" s="685" t="str">
        <f>IF('[1]Data 2026'!K107="","",'[1]Data 2026'!K107)</f>
        <v>MAY/JUNE 2026</v>
      </c>
      <c r="K95" s="685">
        <v>46214</v>
      </c>
      <c r="L95" s="685" t="str">
        <f>IF('[1]Data 2026'!L107="","",'[1]Data 2026'!L107)</f>
        <v>VALENCY CI</v>
      </c>
      <c r="M95" s="685" t="str">
        <f>IF('[1]Data 2026'!M107="","",'[1]Data 2026'!M107)</f>
        <v>TERRA NUTS GROUP JOINT STOCK COMPANY</v>
      </c>
      <c r="N95" s="685" t="s">
        <v>1194</v>
      </c>
      <c r="O95" s="689" t="str">
        <f>IF('[1]Data 2026'!N107="","",'[1]Data 2026'!N107)</f>
        <v/>
      </c>
      <c r="P95" s="701" t="str">
        <f>IF('[1]Data 2026'!O107="","",'[1]Data 2026'!O107)</f>
        <v/>
      </c>
      <c r="Q95" s="685" t="str">
        <f>IF('[1]Data 2026'!P107="","",'[1]Data 2026'!P107)</f>
        <v/>
      </c>
      <c r="R95" s="685" t="str">
        <f>IF('[1]Data 2026'!Q107="","",'[1]Data 2026'!Q107)</f>
        <v>ABJ</v>
      </c>
      <c r="S95" s="685" t="s">
        <v>347</v>
      </c>
      <c r="T95" s="685" t="str">
        <f>IF('[1]Data 2026'!R107="","",'[1]Data 2026'!R107)</f>
        <v>HCMC, VIETNAM</v>
      </c>
      <c r="U95" s="685" t="str">
        <f>IF('[1]Data 2026'!S107="","",'[1]Data 2026'!S107)</f>
        <v/>
      </c>
      <c r="V95" s="685" t="str">
        <f>IF('[1]Data 2026'!T107="","",'[1]Data 2026'!T107)</f>
        <v/>
      </c>
      <c r="W95" s="685" t="str">
        <f>IF('[1]Data 2026'!U107="","",'[1]Data 2026'!U107)</f>
        <v/>
      </c>
      <c r="X95" s="685" t="str">
        <f>IF('[1]Data 2026'!V107="","",'[1]Data 2026'!V107)</f>
        <v/>
      </c>
      <c r="Y95" s="685" t="str">
        <f>IF('[1]Data 2026'!W107="","",'[1]Data 2026'!W107)</f>
        <v/>
      </c>
      <c r="Z95" s="685" t="str">
        <f>IF('[1]Data 2026'!X107="","",'[1]Data 2026'!X107)</f>
        <v/>
      </c>
      <c r="AA95" s="685"/>
      <c r="AB95" s="685" t="str">
        <f>IF('[1]Data 2026'!Y107="","",'[1]Data 2026'!Y107)</f>
        <v/>
      </c>
      <c r="AC95" s="685" t="str">
        <f>IF('[1]Data 2026'!Z107="","",'[1]Data 2026'!Z107)</f>
        <v/>
      </c>
      <c r="AD95" s="691">
        <f>IF('[1]Data 2026'!AA107="","",'[1]Data 2026'!AA107)</f>
        <v>250</v>
      </c>
      <c r="AE95" s="691">
        <f>IF('[1]Data 2026'!AB107="","",'[1]Data 2026'!AB107)</f>
        <v>250</v>
      </c>
      <c r="AF95" s="685">
        <f>IF('[1]Data 2026'!AC107="","",'[1]Data 2026'!AC107)</f>
        <v>45838</v>
      </c>
      <c r="AG95" s="685" t="str">
        <f>IF('[1]Data 2026'!AD107="","",'[1]Data 2026'!AD107)</f>
        <v/>
      </c>
      <c r="AH95" s="686">
        <f>IF('[1]Data 2026'!AE107="","",'[1]Data 2026'!AE107)</f>
        <v>10</v>
      </c>
      <c r="AI95" s="685" t="str">
        <f>IF('[1]Data 2026'!AG107="","",'[1]Data 2026'!AG107)</f>
        <v/>
      </c>
      <c r="AJ95" s="685" t="str">
        <f>IF('[1]Data 2026'!AH107="","",'[1]Data 2026'!AH107)</f>
        <v>TBA</v>
      </c>
      <c r="AK95" s="685" t="str">
        <f>IF('[1]Data 2026'!AI107="","",'[1]Data 2026'!AI107)</f>
        <v>TBA</v>
      </c>
      <c r="AL95" s="685" t="str">
        <f>IF('[1]Data 2026'!AJ107="","",'[1]Data 2026'!AJ107)</f>
        <v>40FT</v>
      </c>
      <c r="AM95" s="692">
        <f>IF('[1]Data 2026'!AK107="","",'[1]Data 2026'!AK107)</f>
        <v>0.1</v>
      </c>
      <c r="AN95" s="685" t="str">
        <f>IF('[1]Data 2026'!AL107="","",'[1]Data 2026'!AL107)</f>
        <v>(01x250MTS)</v>
      </c>
      <c r="AO95" s="691">
        <f>IF('[1]Data 2026'!AM107="","",'[1]Data 2026'!AM107)</f>
        <v>275</v>
      </c>
      <c r="AP95" s="691" t="str">
        <f t="shared" si="16"/>
        <v/>
      </c>
      <c r="AQ95" s="685" t="str">
        <f>IF('[1]Data 2026'!AO107="","",'[1]Data 2026'!AO107)</f>
        <v/>
      </c>
      <c r="AR95" s="685" t="str">
        <f>IF('[1]Data 2026'!AP107="","",'[1]Data 2026'!AP107)</f>
        <v/>
      </c>
      <c r="AS95" s="685" t="str">
        <f>IF('[1]Data 2026'!AQ107="","",'[1]Data 2026'!AQ107)</f>
        <v/>
      </c>
      <c r="AT95" s="685" t="str">
        <f>IF('[1]Data 2026'!AR107="","",'[1]Data 2026'!AR107)</f>
        <v/>
      </c>
      <c r="AU95" s="685" t="str">
        <f>IF('[1]Data 2026'!AW107="","",'[1]Data 2026'!AW107)</f>
        <v/>
      </c>
      <c r="AV95" s="685" t="str">
        <f>IF('[1]Data 2026'!AX107="","",'[1]Data 2026'!AX107)</f>
        <v/>
      </c>
      <c r="AW95" s="685" t="str">
        <f>IF('[1]Data 2026'!AY107="","",'[1]Data 2026'!AY107)</f>
        <v/>
      </c>
      <c r="AX95" s="685" t="str">
        <f>IF('[1]Data 2026'!AZ107="","",'[1]Data 2026'!AZ107)</f>
        <v/>
      </c>
      <c r="AY95" s="685" t="str">
        <f>IF('[1]Data 2026'!BA107="","",'[1]Data 2026'!BA107)</f>
        <v/>
      </c>
      <c r="AZ95" s="685" t="str">
        <f>IF('[1]Data 2026'!AS107="","",'[1]Data 2026'!AS107)</f>
        <v/>
      </c>
      <c r="BA95" s="685" t="str">
        <f>IF('[1]Data 2026'!AT107="","",'[1]Data 2026'!AT107)</f>
        <v/>
      </c>
      <c r="BB95" s="685" t="str">
        <f>IF('[1]Data 2026'!AU107="","",'[1]Data 2026'!AU107)</f>
        <v/>
      </c>
      <c r="BC95" s="685" t="str">
        <f>IF('[1]Data 2026'!AV107="","",'[1]Data 2026'!AV107)</f>
        <v/>
      </c>
      <c r="BD95" s="685" t="str">
        <f>IF('[1]Data 2026'!AW107="","",'[1]Data 2026'!AW107)</f>
        <v/>
      </c>
      <c r="BE95" s="685" t="str">
        <f>IF('[1]Data 2026'!AX107="","",'[1]Data 2026'!AX107)</f>
        <v/>
      </c>
      <c r="BF95" s="685" t="str">
        <f>IF('[1]Data 2026'!BF107="","",'[1]Data 2026'!BF107)</f>
        <v/>
      </c>
      <c r="BG95" s="685" t="str">
        <f>IF('[1]Data 2026'!BG107="","",'[1]Data 2026'!BG107)</f>
        <v/>
      </c>
      <c r="BH95" s="685" t="str">
        <f>IF('[1]Data 2026'!BH107="","",'[1]Data 2026'!BH107)</f>
        <v/>
      </c>
      <c r="BI95" s="685" t="str">
        <f>IF('[1]Data 2026'!BI107="","",'[1]Data 2026'!BI107)</f>
        <v/>
      </c>
      <c r="BJ95" s="685" t="str">
        <f>IF('[1]Data 2026'!BJ107="","",'[1]Data 2026'!BJ107)</f>
        <v/>
      </c>
      <c r="BK95" s="685" t="str">
        <f>IF('[1]Data 2026'!BK107="","",'[1]Data 2026'!BK107)</f>
        <v/>
      </c>
      <c r="BL95" s="685" t="str">
        <f>IF('[1]Data 2026'!BL107="","",'[1]Data 2026'!BL107)</f>
        <v/>
      </c>
      <c r="BM95" s="685" t="str">
        <f>IF('[1]Data 2026'!BM107="","",'[1]Data 2026'!BM107)</f>
        <v/>
      </c>
      <c r="BN95" s="685" t="str">
        <f>IF('[1]Data 2026'!BN107="","",'[1]Data 2026'!BN107)</f>
        <v/>
      </c>
      <c r="BO95" s="685" t="str">
        <f>IF('[1]Data 2026'!BO107="","",'[1]Data 2026'!BO107)</f>
        <v/>
      </c>
      <c r="BP95" s="685" t="str">
        <f>IF('[1]Data 2026'!BP107="","",'[1]Data 2026'!BP107)</f>
        <v/>
      </c>
      <c r="BQ95" s="685" t="str">
        <f>IF('[1]Data 2026'!BQ107="","",'[1]Data 2026'!BQ107)</f>
        <v/>
      </c>
      <c r="BR95" s="685" t="str">
        <f>IF('[1]Data 2026'!BR107="","",'[1]Data 2026'!BR107)</f>
        <v/>
      </c>
      <c r="BS95" s="685" t="str">
        <f>IF('[1]Data 2026'!BS107="","",'[1]Data 2026'!BS107)</f>
        <v/>
      </c>
      <c r="BT95" s="685" t="str">
        <f>IF('[1]Data 2026'!BV107="","",'[1]Data 2026'!BV107)</f>
        <v/>
      </c>
      <c r="BU95" s="685" t="str">
        <f>IF('[1]Data 2026'!BW107="","",'[1]Data 2026'!BW107)</f>
        <v/>
      </c>
      <c r="BV95" s="685" t="str">
        <f>IF('[1]Data 2026'!BX107="","",'[1]Data 2026'!BX107)</f>
        <v/>
      </c>
      <c r="BW95" s="685" t="str">
        <f>IF('[1]Data 2026'!BY107="","",'[1]Data 2026'!BY107)</f>
        <v/>
      </c>
      <c r="BX95" s="685" t="str">
        <f>IF('[1]Data 2026'!BZ107="","",'[1]Data 2026'!BZ107)</f>
        <v/>
      </c>
      <c r="BY95" s="685" t="str">
        <f>IF('[1]Data 2026'!CA107="","",'[1]Data 2026'!CA107)</f>
        <v/>
      </c>
      <c r="BZ95" s="685" t="str">
        <f>IF('[1]Data 2026'!CB107="","",'[1]Data 2026'!CB107)</f>
        <v/>
      </c>
      <c r="CA95" s="685" t="str">
        <f>IF('[1]Data 2026'!CC107="","",'[1]Data 2026'!CC107)</f>
        <v/>
      </c>
      <c r="CB95" s="685" t="str">
        <f>IF('[1]Data 2026'!CD107="","",'[1]Data 2026'!CD107)</f>
        <v/>
      </c>
      <c r="CC95" s="685" t="str">
        <f>IF('[1]Data 2026'!CE107="","",'[1]Data 2026'!CE107)</f>
        <v/>
      </c>
      <c r="CD95" s="685" t="str">
        <f>IF('[1]Data 2026'!CF107="","",'[1]Data 2026'!CF107)</f>
        <v/>
      </c>
      <c r="CE95" s="685" t="str">
        <f>IF('[1]Data 2026'!CG107="","",'[1]Data 2026'!CG107)</f>
        <v/>
      </c>
      <c r="CF95" s="685" t="str">
        <f>IF('[1]Data 2026'!CH107="","",'[1]Data 2026'!CH107)</f>
        <v/>
      </c>
      <c r="CG95" s="685" t="str">
        <f>IF('[1]Data 2026'!CI107="","",'[1]Data 2026'!CI107)</f>
        <v/>
      </c>
      <c r="CH95" s="685" t="str">
        <f>IF('[1]Data 2026'!CJ107="","",'[1]Data 2026'!CJ107)</f>
        <v/>
      </c>
      <c r="CI95" s="685" t="str">
        <f>IF('[1]Data 2026'!CK107="","",'[1]Data 2026'!CK107)</f>
        <v/>
      </c>
      <c r="CJ95" s="685" t="str">
        <f>IF('[1]Data 2026'!CM107="","",'[1]Data 2026'!CM107)</f>
        <v/>
      </c>
      <c r="CK95" s="685" t="str">
        <f>IF('[1]Data 2026'!CN107="","",'[1]Data 2026'!CN107)</f>
        <v/>
      </c>
      <c r="CL95" s="691"/>
      <c r="CM95" s="691" t="str">
        <f>IF('[1]Data 2026'!CP107="","",'[1]Data 2026'!CP107)</f>
        <v/>
      </c>
      <c r="CN95" s="691"/>
      <c r="CO95" s="419"/>
      <c r="CP95" s="419"/>
      <c r="CQ95" s="419"/>
      <c r="CR95" s="686" t="str">
        <f t="shared" si="25"/>
        <v/>
      </c>
    </row>
    <row r="96" spans="1:104">
      <c r="A96" s="682" t="str">
        <f t="shared" si="13"/>
        <v>A. BOOKING PENDING</v>
      </c>
      <c r="B96" s="695"/>
      <c r="C96" s="684" t="str">
        <f t="shared" si="14"/>
        <v>SHORT POSITION</v>
      </c>
      <c r="D96" s="685" t="str">
        <f t="shared" si="22"/>
        <v/>
      </c>
      <c r="E96" s="685" t="str">
        <f t="shared" si="15"/>
        <v/>
      </c>
      <c r="F96" s="686">
        <f>IF('[1]Data 2026'!D108="","",'[1]Data 2026'!D108)</f>
        <v>47</v>
      </c>
      <c r="G96" s="686">
        <f>IF('[1]Data 2026'!E108="","",'[1]Data 2026'!E108)</f>
        <v>200</v>
      </c>
      <c r="H96" s="687" t="str">
        <f>IF('[1]Data 2026'!H108="","",'[1]Data 2026'!H108)</f>
        <v>32016412-1</v>
      </c>
      <c r="I96" s="688">
        <f>IF('[1]Data 2026'!AA108="","",'[1]Data 2026'!AA108)</f>
        <v>250</v>
      </c>
      <c r="J96" s="685" t="str">
        <f>IF('[1]Data 2026'!K108="","",'[1]Data 2026'!K108)</f>
        <v>MAY/JUNE 2026</v>
      </c>
      <c r="K96" s="685">
        <v>46215</v>
      </c>
      <c r="L96" s="685" t="str">
        <f>IF('[1]Data 2026'!L108="","",'[1]Data 2026'!L108)</f>
        <v>VALENCY CI</v>
      </c>
      <c r="M96" s="685" t="str">
        <f>IF('[1]Data 2026'!M108="","",'[1]Data 2026'!M108)</f>
        <v>TERRA NUTS GROUP JOINT STOCK COMPANY</v>
      </c>
      <c r="N96" s="685" t="s">
        <v>1194</v>
      </c>
      <c r="O96" s="689" t="str">
        <f>IF('[1]Data 2026'!N108="","",'[1]Data 2026'!N108)</f>
        <v/>
      </c>
      <c r="P96" s="701" t="str">
        <f>IF('[1]Data 2026'!O108="","",'[1]Data 2026'!O108)</f>
        <v/>
      </c>
      <c r="Q96" s="685" t="str">
        <f>IF('[1]Data 2026'!P108="","",'[1]Data 2026'!P108)</f>
        <v/>
      </c>
      <c r="R96" s="685" t="str">
        <f>IF('[1]Data 2026'!Q108="","",'[1]Data 2026'!Q108)</f>
        <v>ABJ</v>
      </c>
      <c r="S96" s="685" t="s">
        <v>347</v>
      </c>
      <c r="T96" s="685" t="str">
        <f>IF('[1]Data 2026'!R108="","",'[1]Data 2026'!R108)</f>
        <v>HCMC, VIETNAM</v>
      </c>
      <c r="U96" s="685" t="str">
        <f>IF('[1]Data 2026'!S108="","",'[1]Data 2026'!S108)</f>
        <v/>
      </c>
      <c r="V96" s="685" t="str">
        <f>IF('[1]Data 2026'!T108="","",'[1]Data 2026'!T108)</f>
        <v/>
      </c>
      <c r="W96" s="685" t="str">
        <f>IF('[1]Data 2026'!U108="","",'[1]Data 2026'!U108)</f>
        <v/>
      </c>
      <c r="X96" s="685" t="str">
        <f>IF('[1]Data 2026'!V108="","",'[1]Data 2026'!V108)</f>
        <v/>
      </c>
      <c r="Y96" s="685" t="str">
        <f>IF('[1]Data 2026'!W108="","",'[1]Data 2026'!W108)</f>
        <v/>
      </c>
      <c r="Z96" s="685" t="str">
        <f>IF('[1]Data 2026'!X108="","",'[1]Data 2026'!X108)</f>
        <v/>
      </c>
      <c r="AA96" s="685"/>
      <c r="AB96" s="685" t="str">
        <f>IF('[1]Data 2026'!Y108="","",'[1]Data 2026'!Y108)</f>
        <v/>
      </c>
      <c r="AC96" s="685" t="str">
        <f>IF('[1]Data 2026'!Z108="","",'[1]Data 2026'!Z108)</f>
        <v/>
      </c>
      <c r="AD96" s="691">
        <f>IF('[1]Data 2026'!AA108="","",'[1]Data 2026'!AA108)</f>
        <v>250</v>
      </c>
      <c r="AE96" s="691">
        <f>IF('[1]Data 2026'!AB108="","",'[1]Data 2026'!AB108)</f>
        <v>250</v>
      </c>
      <c r="AF96" s="685">
        <f>IF('[1]Data 2026'!AC108="","",'[1]Data 2026'!AC108)</f>
        <v>45838</v>
      </c>
      <c r="AG96" s="685" t="str">
        <f>IF('[1]Data 2026'!AD108="","",'[1]Data 2026'!AD108)</f>
        <v/>
      </c>
      <c r="AH96" s="686">
        <f>IF('[1]Data 2026'!AE108="","",'[1]Data 2026'!AE108)</f>
        <v>10</v>
      </c>
      <c r="AI96" s="685" t="str">
        <f>IF('[1]Data 2026'!AG108="","",'[1]Data 2026'!AG108)</f>
        <v/>
      </c>
      <c r="AJ96" s="685" t="str">
        <f>IF('[1]Data 2026'!AH108="","",'[1]Data 2026'!AH108)</f>
        <v>TBA</v>
      </c>
      <c r="AK96" s="685" t="str">
        <f>IF('[1]Data 2026'!AI108="","",'[1]Data 2026'!AI108)</f>
        <v>TBA</v>
      </c>
      <c r="AL96" s="685" t="str">
        <f>IF('[1]Data 2026'!AJ108="","",'[1]Data 2026'!AJ108)</f>
        <v>40FT</v>
      </c>
      <c r="AM96" s="692">
        <f>IF('[1]Data 2026'!AK108="","",'[1]Data 2026'!AK108)</f>
        <v>0.1</v>
      </c>
      <c r="AN96" s="685" t="str">
        <f>IF('[1]Data 2026'!AL108="","",'[1]Data 2026'!AL108)</f>
        <v>(01x250MTS)</v>
      </c>
      <c r="AO96" s="691">
        <f>IF('[1]Data 2026'!AM108="","",'[1]Data 2026'!AM108)</f>
        <v>275</v>
      </c>
      <c r="AP96" s="691" t="str">
        <f t="shared" si="16"/>
        <v/>
      </c>
      <c r="AQ96" s="685" t="str">
        <f>IF('[1]Data 2026'!AO108="","",'[1]Data 2026'!AO108)</f>
        <v/>
      </c>
      <c r="AR96" s="685" t="str">
        <f>IF('[1]Data 2026'!AP108="","",'[1]Data 2026'!AP108)</f>
        <v/>
      </c>
      <c r="AS96" s="685" t="str">
        <f>IF('[1]Data 2026'!AQ108="","",'[1]Data 2026'!AQ108)</f>
        <v/>
      </c>
      <c r="AT96" s="685" t="str">
        <f>IF('[1]Data 2026'!AR108="","",'[1]Data 2026'!AR108)</f>
        <v/>
      </c>
      <c r="AU96" s="685" t="str">
        <f>IF('[1]Data 2026'!AW108="","",'[1]Data 2026'!AW108)</f>
        <v/>
      </c>
      <c r="AV96" s="685" t="str">
        <f>IF('[1]Data 2026'!AX108="","",'[1]Data 2026'!AX108)</f>
        <v/>
      </c>
      <c r="AW96" s="685" t="str">
        <f>IF('[1]Data 2026'!AY108="","",'[1]Data 2026'!AY108)</f>
        <v/>
      </c>
      <c r="AX96" s="685" t="str">
        <f>IF('[1]Data 2026'!AZ108="","",'[1]Data 2026'!AZ108)</f>
        <v/>
      </c>
      <c r="AY96" s="685" t="str">
        <f>IF('[1]Data 2026'!BA108="","",'[1]Data 2026'!BA108)</f>
        <v/>
      </c>
      <c r="AZ96" s="685" t="str">
        <f>IF('[1]Data 2026'!AS108="","",'[1]Data 2026'!AS108)</f>
        <v/>
      </c>
      <c r="BA96" s="685" t="str">
        <f>IF('[1]Data 2026'!AT108="","",'[1]Data 2026'!AT108)</f>
        <v/>
      </c>
      <c r="BB96" s="685" t="str">
        <f>IF('[1]Data 2026'!AU108="","",'[1]Data 2026'!AU108)</f>
        <v/>
      </c>
      <c r="BC96" s="685" t="str">
        <f>IF('[1]Data 2026'!AV108="","",'[1]Data 2026'!AV108)</f>
        <v/>
      </c>
      <c r="BD96" s="685" t="str">
        <f>IF('[1]Data 2026'!AW108="","",'[1]Data 2026'!AW108)</f>
        <v/>
      </c>
      <c r="BE96" s="685" t="str">
        <f>IF('[1]Data 2026'!AX108="","",'[1]Data 2026'!AX108)</f>
        <v/>
      </c>
      <c r="BF96" s="685" t="str">
        <f>IF('[1]Data 2026'!BF108="","",'[1]Data 2026'!BF108)</f>
        <v/>
      </c>
      <c r="BG96" s="685" t="str">
        <f>IF('[1]Data 2026'!BG108="","",'[1]Data 2026'!BG108)</f>
        <v/>
      </c>
      <c r="BH96" s="685" t="str">
        <f>IF('[1]Data 2026'!BH108="","",'[1]Data 2026'!BH108)</f>
        <v/>
      </c>
      <c r="BI96" s="685" t="str">
        <f>IF('[1]Data 2026'!BI108="","",'[1]Data 2026'!BI108)</f>
        <v/>
      </c>
      <c r="BJ96" s="685" t="str">
        <f>IF('[1]Data 2026'!BJ108="","",'[1]Data 2026'!BJ108)</f>
        <v/>
      </c>
      <c r="BK96" s="685" t="str">
        <f>IF('[1]Data 2026'!BK108="","",'[1]Data 2026'!BK108)</f>
        <v/>
      </c>
      <c r="BL96" s="685" t="str">
        <f>IF('[1]Data 2026'!BL108="","",'[1]Data 2026'!BL108)</f>
        <v/>
      </c>
      <c r="BM96" s="685" t="str">
        <f>IF('[1]Data 2026'!BM108="","",'[1]Data 2026'!BM108)</f>
        <v/>
      </c>
      <c r="BN96" s="685" t="str">
        <f>IF('[1]Data 2026'!BN108="","",'[1]Data 2026'!BN108)</f>
        <v/>
      </c>
      <c r="BO96" s="685" t="str">
        <f>IF('[1]Data 2026'!BO108="","",'[1]Data 2026'!BO108)</f>
        <v/>
      </c>
      <c r="BP96" s="685" t="str">
        <f>IF('[1]Data 2026'!BP108="","",'[1]Data 2026'!BP108)</f>
        <v/>
      </c>
      <c r="BQ96" s="685" t="str">
        <f>IF('[1]Data 2026'!BQ108="","",'[1]Data 2026'!BQ108)</f>
        <v/>
      </c>
      <c r="BR96" s="685" t="str">
        <f>IF('[1]Data 2026'!BR108="","",'[1]Data 2026'!BR108)</f>
        <v/>
      </c>
      <c r="BS96" s="685" t="str">
        <f>IF('[1]Data 2026'!BS108="","",'[1]Data 2026'!BS108)</f>
        <v/>
      </c>
      <c r="BT96" s="685" t="str">
        <f>IF('[1]Data 2026'!BV108="","",'[1]Data 2026'!BV108)</f>
        <v/>
      </c>
      <c r="BU96" s="685" t="str">
        <f>IF('[1]Data 2026'!BW108="","",'[1]Data 2026'!BW108)</f>
        <v/>
      </c>
      <c r="BV96" s="685" t="str">
        <f>IF('[1]Data 2026'!BX108="","",'[1]Data 2026'!BX108)</f>
        <v/>
      </c>
      <c r="BW96" s="685" t="str">
        <f>IF('[1]Data 2026'!BY108="","",'[1]Data 2026'!BY108)</f>
        <v/>
      </c>
      <c r="BX96" s="685" t="str">
        <f>IF('[1]Data 2026'!BZ108="","",'[1]Data 2026'!BZ108)</f>
        <v/>
      </c>
      <c r="BY96" s="685" t="str">
        <f>IF('[1]Data 2026'!CA108="","",'[1]Data 2026'!CA108)</f>
        <v/>
      </c>
      <c r="BZ96" s="685" t="str">
        <f>IF('[1]Data 2026'!CB108="","",'[1]Data 2026'!CB108)</f>
        <v/>
      </c>
      <c r="CA96" s="685" t="str">
        <f>IF('[1]Data 2026'!CC108="","",'[1]Data 2026'!CC108)</f>
        <v/>
      </c>
      <c r="CB96" s="685" t="str">
        <f>IF('[1]Data 2026'!CD108="","",'[1]Data 2026'!CD108)</f>
        <v/>
      </c>
      <c r="CC96" s="685" t="str">
        <f>IF('[1]Data 2026'!CE108="","",'[1]Data 2026'!CE108)</f>
        <v/>
      </c>
      <c r="CD96" s="685" t="str">
        <f>IF('[1]Data 2026'!CF108="","",'[1]Data 2026'!CF108)</f>
        <v/>
      </c>
      <c r="CE96" s="685" t="str">
        <f>IF('[1]Data 2026'!CG108="","",'[1]Data 2026'!CG108)</f>
        <v/>
      </c>
      <c r="CF96" s="685" t="str">
        <f>IF('[1]Data 2026'!CH108="","",'[1]Data 2026'!CH108)</f>
        <v/>
      </c>
      <c r="CG96" s="685" t="str">
        <f>IF('[1]Data 2026'!CI108="","",'[1]Data 2026'!CI108)</f>
        <v/>
      </c>
      <c r="CH96" s="685" t="str">
        <f>IF('[1]Data 2026'!CJ108="","",'[1]Data 2026'!CJ108)</f>
        <v/>
      </c>
      <c r="CI96" s="685" t="str">
        <f>IF('[1]Data 2026'!CK108="","",'[1]Data 2026'!CK108)</f>
        <v/>
      </c>
      <c r="CJ96" s="685" t="str">
        <f>IF('[1]Data 2026'!CM108="","",'[1]Data 2026'!CM108)</f>
        <v/>
      </c>
      <c r="CK96" s="685" t="str">
        <f>IF('[1]Data 2026'!CN108="","",'[1]Data 2026'!CN108)</f>
        <v/>
      </c>
      <c r="CL96" s="691"/>
      <c r="CM96" s="691" t="str">
        <f>IF('[1]Data 2026'!CP108="","",'[1]Data 2026'!CP108)</f>
        <v/>
      </c>
      <c r="CN96" s="691"/>
      <c r="CO96" s="419"/>
      <c r="CP96" s="419"/>
      <c r="CQ96" s="419"/>
      <c r="CR96" s="686" t="str">
        <f t="shared" si="25"/>
        <v/>
      </c>
    </row>
    <row r="97" spans="1:96">
      <c r="A97" s="682" t="str">
        <f t="shared" si="13"/>
        <v>A. BOOKING PENDING</v>
      </c>
      <c r="B97" s="695"/>
      <c r="C97" s="684" t="str">
        <f t="shared" si="14"/>
        <v>SHORT POSITION</v>
      </c>
      <c r="D97" s="685" t="str">
        <f t="shared" si="22"/>
        <v/>
      </c>
      <c r="E97" s="685" t="str">
        <f t="shared" si="15"/>
        <v/>
      </c>
      <c r="F97" s="686">
        <f>IF('[1]Data 2026'!D109="","",'[1]Data 2026'!D109)</f>
        <v>47</v>
      </c>
      <c r="G97" s="686">
        <f>IF('[1]Data 2026'!E109="","",'[1]Data 2026'!E109)</f>
        <v>200</v>
      </c>
      <c r="H97" s="687" t="str">
        <f>IF('[1]Data 2026'!H109="","",'[1]Data 2026'!H109)</f>
        <v>32016412-2</v>
      </c>
      <c r="I97" s="688">
        <f>IF('[1]Data 2026'!AA109="","",'[1]Data 2026'!AA109)</f>
        <v>250</v>
      </c>
      <c r="J97" s="685" t="str">
        <f>IF('[1]Data 2026'!K109="","",'[1]Data 2026'!K109)</f>
        <v>MAY/JUNE 2026</v>
      </c>
      <c r="K97" s="685">
        <v>46216</v>
      </c>
      <c r="L97" s="685" t="str">
        <f>IF('[1]Data 2026'!L109="","",'[1]Data 2026'!L109)</f>
        <v>VALENCY CI</v>
      </c>
      <c r="M97" s="685" t="str">
        <f>IF('[1]Data 2026'!M109="","",'[1]Data 2026'!M109)</f>
        <v>TERRA NUTS GROUP JOINT STOCK COMPANY</v>
      </c>
      <c r="N97" s="685" t="s">
        <v>1194</v>
      </c>
      <c r="O97" s="689" t="str">
        <f>IF('[1]Data 2026'!N109="","",'[1]Data 2026'!N109)</f>
        <v/>
      </c>
      <c r="P97" s="701" t="str">
        <f>IF('[1]Data 2026'!O109="","",'[1]Data 2026'!O109)</f>
        <v/>
      </c>
      <c r="Q97" s="685" t="str">
        <f>IF('[1]Data 2026'!P109="","",'[1]Data 2026'!P109)</f>
        <v/>
      </c>
      <c r="R97" s="685" t="str">
        <f>IF('[1]Data 2026'!Q109="","",'[1]Data 2026'!Q109)</f>
        <v>ABJ</v>
      </c>
      <c r="S97" s="685" t="s">
        <v>347</v>
      </c>
      <c r="T97" s="685" t="str">
        <f>IF('[1]Data 2026'!R109="","",'[1]Data 2026'!R109)</f>
        <v>HCMC, VIETNAM</v>
      </c>
      <c r="U97" s="685" t="str">
        <f>IF('[1]Data 2026'!S109="","",'[1]Data 2026'!S109)</f>
        <v/>
      </c>
      <c r="V97" s="685" t="str">
        <f>IF('[1]Data 2026'!T109="","",'[1]Data 2026'!T109)</f>
        <v/>
      </c>
      <c r="W97" s="685" t="str">
        <f>IF('[1]Data 2026'!U109="","",'[1]Data 2026'!U109)</f>
        <v/>
      </c>
      <c r="X97" s="685" t="str">
        <f>IF('[1]Data 2026'!V109="","",'[1]Data 2026'!V109)</f>
        <v/>
      </c>
      <c r="Y97" s="685" t="str">
        <f>IF('[1]Data 2026'!W109="","",'[1]Data 2026'!W109)</f>
        <v/>
      </c>
      <c r="Z97" s="685" t="str">
        <f>IF('[1]Data 2026'!X109="","",'[1]Data 2026'!X109)</f>
        <v/>
      </c>
      <c r="AA97" s="685"/>
      <c r="AB97" s="685" t="str">
        <f>IF('[1]Data 2026'!Y109="","",'[1]Data 2026'!Y109)</f>
        <v/>
      </c>
      <c r="AC97" s="685" t="str">
        <f>IF('[1]Data 2026'!Z109="","",'[1]Data 2026'!Z109)</f>
        <v/>
      </c>
      <c r="AD97" s="691">
        <f>IF('[1]Data 2026'!AA109="","",'[1]Data 2026'!AA109)</f>
        <v>250</v>
      </c>
      <c r="AE97" s="691">
        <f>IF('[1]Data 2026'!AB109="","",'[1]Data 2026'!AB109)</f>
        <v>250</v>
      </c>
      <c r="AF97" s="685">
        <f>IF('[1]Data 2026'!AC109="","",'[1]Data 2026'!AC109)</f>
        <v>45838</v>
      </c>
      <c r="AG97" s="685" t="str">
        <f>IF('[1]Data 2026'!AD109="","",'[1]Data 2026'!AD109)</f>
        <v/>
      </c>
      <c r="AH97" s="686">
        <f>IF('[1]Data 2026'!AE109="","",'[1]Data 2026'!AE109)</f>
        <v>10</v>
      </c>
      <c r="AI97" s="685" t="str">
        <f>IF('[1]Data 2026'!AG109="","",'[1]Data 2026'!AG109)</f>
        <v/>
      </c>
      <c r="AJ97" s="685" t="str">
        <f>IF('[1]Data 2026'!AH109="","",'[1]Data 2026'!AH109)</f>
        <v>TBA</v>
      </c>
      <c r="AK97" s="685" t="str">
        <f>IF('[1]Data 2026'!AI109="","",'[1]Data 2026'!AI109)</f>
        <v>TBA</v>
      </c>
      <c r="AL97" s="685" t="str">
        <f>IF('[1]Data 2026'!AJ109="","",'[1]Data 2026'!AJ109)</f>
        <v>40FT</v>
      </c>
      <c r="AM97" s="692">
        <f>IF('[1]Data 2026'!AK109="","",'[1]Data 2026'!AK109)</f>
        <v>0.1</v>
      </c>
      <c r="AN97" s="685" t="str">
        <f>IF('[1]Data 2026'!AL109="","",'[1]Data 2026'!AL109)</f>
        <v>(01x250MTS)</v>
      </c>
      <c r="AO97" s="691">
        <f>IF('[1]Data 2026'!AM109="","",'[1]Data 2026'!AM109)</f>
        <v>275</v>
      </c>
      <c r="AP97" s="691" t="str">
        <f t="shared" si="16"/>
        <v/>
      </c>
      <c r="AQ97" s="685" t="str">
        <f>IF('[1]Data 2026'!AO109="","",'[1]Data 2026'!AO109)</f>
        <v/>
      </c>
      <c r="AR97" s="685" t="str">
        <f>IF('[1]Data 2026'!AP109="","",'[1]Data 2026'!AP109)</f>
        <v/>
      </c>
      <c r="AS97" s="685" t="str">
        <f>IF('[1]Data 2026'!AQ109="","",'[1]Data 2026'!AQ109)</f>
        <v/>
      </c>
      <c r="AT97" s="685" t="str">
        <f>IF('[1]Data 2026'!AR109="","",'[1]Data 2026'!AR109)</f>
        <v/>
      </c>
      <c r="AU97" s="685" t="str">
        <f>IF('[1]Data 2026'!AW109="","",'[1]Data 2026'!AW109)</f>
        <v/>
      </c>
      <c r="AV97" s="685" t="str">
        <f>IF('[1]Data 2026'!AX109="","",'[1]Data 2026'!AX109)</f>
        <v/>
      </c>
      <c r="AW97" s="685" t="str">
        <f>IF('[1]Data 2026'!AY109="","",'[1]Data 2026'!AY109)</f>
        <v/>
      </c>
      <c r="AX97" s="685" t="str">
        <f>IF('[1]Data 2026'!AZ109="","",'[1]Data 2026'!AZ109)</f>
        <v/>
      </c>
      <c r="AY97" s="685" t="str">
        <f>IF('[1]Data 2026'!BA109="","",'[1]Data 2026'!BA109)</f>
        <v/>
      </c>
      <c r="AZ97" s="685" t="str">
        <f>IF('[1]Data 2026'!AS109="","",'[1]Data 2026'!AS109)</f>
        <v/>
      </c>
      <c r="BA97" s="685" t="str">
        <f>IF('[1]Data 2026'!AT109="","",'[1]Data 2026'!AT109)</f>
        <v/>
      </c>
      <c r="BB97" s="685" t="str">
        <f>IF('[1]Data 2026'!AU109="","",'[1]Data 2026'!AU109)</f>
        <v/>
      </c>
      <c r="BC97" s="685" t="str">
        <f>IF('[1]Data 2026'!AV109="","",'[1]Data 2026'!AV109)</f>
        <v/>
      </c>
      <c r="BD97" s="685" t="str">
        <f>IF('[1]Data 2026'!AW109="","",'[1]Data 2026'!AW109)</f>
        <v/>
      </c>
      <c r="BE97" s="685" t="str">
        <f>IF('[1]Data 2026'!AX109="","",'[1]Data 2026'!AX109)</f>
        <v/>
      </c>
      <c r="BF97" s="685" t="str">
        <f>IF('[1]Data 2026'!BF109="","",'[1]Data 2026'!BF109)</f>
        <v/>
      </c>
      <c r="BG97" s="685" t="str">
        <f>IF('[1]Data 2026'!BG109="","",'[1]Data 2026'!BG109)</f>
        <v/>
      </c>
      <c r="BH97" s="685" t="str">
        <f>IF('[1]Data 2026'!BH109="","",'[1]Data 2026'!BH109)</f>
        <v/>
      </c>
      <c r="BI97" s="685" t="str">
        <f>IF('[1]Data 2026'!BI109="","",'[1]Data 2026'!BI109)</f>
        <v/>
      </c>
      <c r="BJ97" s="685" t="str">
        <f>IF('[1]Data 2026'!BJ109="","",'[1]Data 2026'!BJ109)</f>
        <v/>
      </c>
      <c r="BK97" s="685" t="str">
        <f>IF('[1]Data 2026'!BK109="","",'[1]Data 2026'!BK109)</f>
        <v/>
      </c>
      <c r="BL97" s="685" t="str">
        <f>IF('[1]Data 2026'!BL109="","",'[1]Data 2026'!BL109)</f>
        <v/>
      </c>
      <c r="BM97" s="685" t="str">
        <f>IF('[1]Data 2026'!BM109="","",'[1]Data 2026'!BM109)</f>
        <v/>
      </c>
      <c r="BN97" s="685" t="str">
        <f>IF('[1]Data 2026'!BN109="","",'[1]Data 2026'!BN109)</f>
        <v/>
      </c>
      <c r="BO97" s="685" t="str">
        <f>IF('[1]Data 2026'!BO109="","",'[1]Data 2026'!BO109)</f>
        <v/>
      </c>
      <c r="BP97" s="685" t="str">
        <f>IF('[1]Data 2026'!BP109="","",'[1]Data 2026'!BP109)</f>
        <v/>
      </c>
      <c r="BQ97" s="685" t="str">
        <f>IF('[1]Data 2026'!BQ109="","",'[1]Data 2026'!BQ109)</f>
        <v/>
      </c>
      <c r="BR97" s="685" t="str">
        <f>IF('[1]Data 2026'!BR109="","",'[1]Data 2026'!BR109)</f>
        <v/>
      </c>
      <c r="BS97" s="685" t="str">
        <f>IF('[1]Data 2026'!BS109="","",'[1]Data 2026'!BS109)</f>
        <v/>
      </c>
      <c r="BT97" s="685" t="str">
        <f>IF('[1]Data 2026'!BV109="","",'[1]Data 2026'!BV109)</f>
        <v/>
      </c>
      <c r="BU97" s="685" t="str">
        <f>IF('[1]Data 2026'!BW109="","",'[1]Data 2026'!BW109)</f>
        <v/>
      </c>
      <c r="BV97" s="685" t="str">
        <f>IF('[1]Data 2026'!BX109="","",'[1]Data 2026'!BX109)</f>
        <v/>
      </c>
      <c r="BW97" s="685" t="str">
        <f>IF('[1]Data 2026'!BY109="","",'[1]Data 2026'!BY109)</f>
        <v/>
      </c>
      <c r="BX97" s="685" t="str">
        <f>IF('[1]Data 2026'!BZ109="","",'[1]Data 2026'!BZ109)</f>
        <v/>
      </c>
      <c r="BY97" s="685" t="str">
        <f>IF('[1]Data 2026'!CA109="","",'[1]Data 2026'!CA109)</f>
        <v/>
      </c>
      <c r="BZ97" s="685" t="str">
        <f>IF('[1]Data 2026'!CB109="","",'[1]Data 2026'!CB109)</f>
        <v/>
      </c>
      <c r="CA97" s="685" t="str">
        <f>IF('[1]Data 2026'!CC109="","",'[1]Data 2026'!CC109)</f>
        <v/>
      </c>
      <c r="CB97" s="685" t="str">
        <f>IF('[1]Data 2026'!CD109="","",'[1]Data 2026'!CD109)</f>
        <v/>
      </c>
      <c r="CC97" s="685" t="str">
        <f>IF('[1]Data 2026'!CE109="","",'[1]Data 2026'!CE109)</f>
        <v/>
      </c>
      <c r="CD97" s="685" t="str">
        <f>IF('[1]Data 2026'!CF109="","",'[1]Data 2026'!CF109)</f>
        <v/>
      </c>
      <c r="CE97" s="685" t="str">
        <f>IF('[1]Data 2026'!CG109="","",'[1]Data 2026'!CG109)</f>
        <v/>
      </c>
      <c r="CF97" s="685" t="str">
        <f>IF('[1]Data 2026'!CH109="","",'[1]Data 2026'!CH109)</f>
        <v/>
      </c>
      <c r="CG97" s="685" t="str">
        <f>IF('[1]Data 2026'!CI109="","",'[1]Data 2026'!CI109)</f>
        <v/>
      </c>
      <c r="CH97" s="685" t="str">
        <f>IF('[1]Data 2026'!CJ109="","",'[1]Data 2026'!CJ109)</f>
        <v/>
      </c>
      <c r="CI97" s="685" t="str">
        <f>IF('[1]Data 2026'!CK109="","",'[1]Data 2026'!CK109)</f>
        <v/>
      </c>
      <c r="CJ97" s="685" t="str">
        <f>IF('[1]Data 2026'!CM109="","",'[1]Data 2026'!CM109)</f>
        <v/>
      </c>
      <c r="CK97" s="685" t="str">
        <f>IF('[1]Data 2026'!CN109="","",'[1]Data 2026'!CN109)</f>
        <v/>
      </c>
      <c r="CL97" s="691"/>
      <c r="CM97" s="691" t="str">
        <f>IF('[1]Data 2026'!CP109="","",'[1]Data 2026'!CP109)</f>
        <v/>
      </c>
      <c r="CN97" s="691"/>
      <c r="CO97" s="419"/>
      <c r="CP97" s="419"/>
      <c r="CQ97" s="419"/>
      <c r="CR97" s="686" t="str">
        <f t="shared" si="25"/>
        <v/>
      </c>
    </row>
    <row r="98" spans="1:96">
      <c r="A98" s="682" t="str">
        <f t="shared" si="13"/>
        <v>A. BOOKING PENDING</v>
      </c>
      <c r="B98" s="695"/>
      <c r="C98" s="684" t="str">
        <f t="shared" si="14"/>
        <v>SHORT POSITION</v>
      </c>
      <c r="D98" s="685" t="str">
        <f t="shared" si="22"/>
        <v/>
      </c>
      <c r="E98" s="685" t="str">
        <f t="shared" si="15"/>
        <v/>
      </c>
      <c r="F98" s="686">
        <f>IF('[1]Data 2026'!D110="","",'[1]Data 2026'!D110)</f>
        <v>46</v>
      </c>
      <c r="G98" s="686">
        <f>IF('[1]Data 2026'!E110="","",'[1]Data 2026'!E110)</f>
        <v>200</v>
      </c>
      <c r="H98" s="687" t="str">
        <f>IF('[1]Data 2026'!H110="","",'[1]Data 2026'!H110)</f>
        <v>RCN/2026/1005</v>
      </c>
      <c r="I98" s="688">
        <f>IF('[1]Data 2026'!AA110="","",'[1]Data 2026'!AA110)</f>
        <v>250</v>
      </c>
      <c r="J98" s="685" t="str">
        <f>IF('[1]Data 2026'!K110="","",'[1]Data 2026'!K110)</f>
        <v>MAY/JUNE/JULY 2026</v>
      </c>
      <c r="K98" s="685">
        <v>46217</v>
      </c>
      <c r="L98" s="685" t="str">
        <f>IF('[1]Data 2026'!L110="","",'[1]Data 2026'!L110)</f>
        <v>VALENCY CI</v>
      </c>
      <c r="M98" s="685" t="str">
        <f>IF('[1]Data 2026'!M110="","",'[1]Data 2026'!M110)</f>
        <v>XUAN TEO ONE MEMBER 
COMPANY LIMITED</v>
      </c>
      <c r="N98" s="685" t="s">
        <v>1194</v>
      </c>
      <c r="O98" s="689" t="str">
        <f>IF('[1]Data 2026'!N110="","",'[1]Data 2026'!N110)</f>
        <v/>
      </c>
      <c r="P98" s="701" t="str">
        <f>IF('[1]Data 2026'!O110="","",'[1]Data 2026'!O110)</f>
        <v/>
      </c>
      <c r="Q98" s="685" t="str">
        <f>IF('[1]Data 2026'!P110="","",'[1]Data 2026'!P110)</f>
        <v/>
      </c>
      <c r="R98" s="685" t="str">
        <f>IF('[1]Data 2026'!Q110="","",'[1]Data 2026'!Q110)</f>
        <v>ABJ</v>
      </c>
      <c r="S98" s="685" t="s">
        <v>347</v>
      </c>
      <c r="T98" s="685" t="str">
        <f>IF('[1]Data 2026'!R110="","",'[1]Data 2026'!R110)</f>
        <v>HCMC, VIETNAM</v>
      </c>
      <c r="U98" s="685" t="str">
        <f>IF('[1]Data 2026'!S110="","",'[1]Data 2026'!S110)</f>
        <v/>
      </c>
      <c r="V98" s="685" t="str">
        <f>IF('[1]Data 2026'!T110="","",'[1]Data 2026'!T110)</f>
        <v/>
      </c>
      <c r="W98" s="685" t="str">
        <f>IF('[1]Data 2026'!U110="","",'[1]Data 2026'!U110)</f>
        <v/>
      </c>
      <c r="X98" s="685" t="str">
        <f>IF('[1]Data 2026'!V110="","",'[1]Data 2026'!V110)</f>
        <v/>
      </c>
      <c r="Y98" s="685" t="str">
        <f>IF('[1]Data 2026'!W110="","",'[1]Data 2026'!W110)</f>
        <v/>
      </c>
      <c r="Z98" s="685" t="str">
        <f>IF('[1]Data 2026'!X110="","",'[1]Data 2026'!X110)</f>
        <v/>
      </c>
      <c r="AA98" s="685"/>
      <c r="AB98" s="685" t="str">
        <f>IF('[1]Data 2026'!Y110="","",'[1]Data 2026'!Y110)</f>
        <v/>
      </c>
      <c r="AC98" s="685" t="str">
        <f>IF('[1]Data 2026'!Z110="","",'[1]Data 2026'!Z110)</f>
        <v/>
      </c>
      <c r="AD98" s="691">
        <f>IF('[1]Data 2026'!AA110="","",'[1]Data 2026'!AA110)</f>
        <v>250</v>
      </c>
      <c r="AE98" s="691">
        <f>IF('[1]Data 2026'!AB110="","",'[1]Data 2026'!AB110)</f>
        <v>250</v>
      </c>
      <c r="AF98" s="685">
        <f>IF('[1]Data 2026'!AC110="","",'[1]Data 2026'!AC110)</f>
        <v>45838</v>
      </c>
      <c r="AG98" s="685" t="str">
        <f>IF('[1]Data 2026'!AD110="","",'[1]Data 2026'!AD110)</f>
        <v/>
      </c>
      <c r="AH98" s="686">
        <f>IF('[1]Data 2026'!AE110="","",'[1]Data 2026'!AE110)</f>
        <v>10</v>
      </c>
      <c r="AI98" s="685" t="str">
        <f>IF('[1]Data 2026'!AG110="","",'[1]Data 2026'!AG110)</f>
        <v/>
      </c>
      <c r="AJ98" s="685" t="str">
        <f>IF('[1]Data 2026'!AH110="","",'[1]Data 2026'!AH110)</f>
        <v>TBA</v>
      </c>
      <c r="AK98" s="685" t="str">
        <f>IF('[1]Data 2026'!AI110="","",'[1]Data 2026'!AI110)</f>
        <v>TBA</v>
      </c>
      <c r="AL98" s="685" t="str">
        <f>IF('[1]Data 2026'!AJ110="","",'[1]Data 2026'!AJ110)</f>
        <v>40FT</v>
      </c>
      <c r="AM98" s="692">
        <f>IF('[1]Data 2026'!AK110="","",'[1]Data 2026'!AK110)</f>
        <v>0.1</v>
      </c>
      <c r="AN98" s="685" t="str">
        <f>IF('[1]Data 2026'!AL110="","",'[1]Data 2026'!AL110)</f>
        <v>(01x250MTS)</v>
      </c>
      <c r="AO98" s="691">
        <f>IF('[1]Data 2026'!AM110="","",'[1]Data 2026'!AM110)</f>
        <v>275</v>
      </c>
      <c r="AP98" s="691" t="str">
        <f t="shared" si="16"/>
        <v/>
      </c>
      <c r="AQ98" s="685" t="str">
        <f>IF('[1]Data 2026'!AO110="","",'[1]Data 2026'!AO110)</f>
        <v/>
      </c>
      <c r="AR98" s="685" t="str">
        <f>IF('[1]Data 2026'!AP110="","",'[1]Data 2026'!AP110)</f>
        <v/>
      </c>
      <c r="AS98" s="685" t="str">
        <f>IF('[1]Data 2026'!AQ110="","",'[1]Data 2026'!AQ110)</f>
        <v/>
      </c>
      <c r="AT98" s="685" t="str">
        <f>IF('[1]Data 2026'!AR110="","",'[1]Data 2026'!AR110)</f>
        <v/>
      </c>
      <c r="AU98" s="685" t="str">
        <f>IF('[1]Data 2026'!AW110="","",'[1]Data 2026'!AW110)</f>
        <v/>
      </c>
      <c r="AV98" s="685" t="str">
        <f>IF('[1]Data 2026'!AX110="","",'[1]Data 2026'!AX110)</f>
        <v/>
      </c>
      <c r="AW98" s="685" t="str">
        <f>IF('[1]Data 2026'!AY110="","",'[1]Data 2026'!AY110)</f>
        <v/>
      </c>
      <c r="AX98" s="685" t="str">
        <f>IF('[1]Data 2026'!AZ110="","",'[1]Data 2026'!AZ110)</f>
        <v/>
      </c>
      <c r="AY98" s="685" t="str">
        <f>IF('[1]Data 2026'!BA110="","",'[1]Data 2026'!BA110)</f>
        <v/>
      </c>
      <c r="AZ98" s="685" t="str">
        <f>IF('[1]Data 2026'!AS110="","",'[1]Data 2026'!AS110)</f>
        <v/>
      </c>
      <c r="BA98" s="685" t="str">
        <f>IF('[1]Data 2026'!AT110="","",'[1]Data 2026'!AT110)</f>
        <v/>
      </c>
      <c r="BB98" s="685" t="str">
        <f>IF('[1]Data 2026'!AU110="","",'[1]Data 2026'!AU110)</f>
        <v/>
      </c>
      <c r="BC98" s="685" t="str">
        <f>IF('[1]Data 2026'!AV110="","",'[1]Data 2026'!AV110)</f>
        <v/>
      </c>
      <c r="BD98" s="685" t="str">
        <f>IF('[1]Data 2026'!AW110="","",'[1]Data 2026'!AW110)</f>
        <v/>
      </c>
      <c r="BE98" s="685" t="str">
        <f>IF('[1]Data 2026'!AX110="","",'[1]Data 2026'!AX110)</f>
        <v/>
      </c>
      <c r="BF98" s="685" t="str">
        <f>IF('[1]Data 2026'!BF110="","",'[1]Data 2026'!BF110)</f>
        <v/>
      </c>
      <c r="BG98" s="685" t="str">
        <f>IF('[1]Data 2026'!BG110="","",'[1]Data 2026'!BG110)</f>
        <v/>
      </c>
      <c r="BH98" s="685" t="str">
        <f>IF('[1]Data 2026'!BH110="","",'[1]Data 2026'!BH110)</f>
        <v/>
      </c>
      <c r="BI98" s="685" t="str">
        <f>IF('[1]Data 2026'!BI110="","",'[1]Data 2026'!BI110)</f>
        <v/>
      </c>
      <c r="BJ98" s="685" t="str">
        <f>IF('[1]Data 2026'!BJ110="","",'[1]Data 2026'!BJ110)</f>
        <v/>
      </c>
      <c r="BK98" s="685" t="str">
        <f>IF('[1]Data 2026'!BK110="","",'[1]Data 2026'!BK110)</f>
        <v/>
      </c>
      <c r="BL98" s="685" t="str">
        <f>IF('[1]Data 2026'!BL110="","",'[1]Data 2026'!BL110)</f>
        <v/>
      </c>
      <c r="BM98" s="685" t="str">
        <f>IF('[1]Data 2026'!BM110="","",'[1]Data 2026'!BM110)</f>
        <v/>
      </c>
      <c r="BN98" s="685" t="str">
        <f>IF('[1]Data 2026'!BN110="","",'[1]Data 2026'!BN110)</f>
        <v/>
      </c>
      <c r="BO98" s="685" t="str">
        <f>IF('[1]Data 2026'!BO110="","",'[1]Data 2026'!BO110)</f>
        <v/>
      </c>
      <c r="BP98" s="685" t="str">
        <f>IF('[1]Data 2026'!BP110="","",'[1]Data 2026'!BP110)</f>
        <v/>
      </c>
      <c r="BQ98" s="685" t="str">
        <f>IF('[1]Data 2026'!BQ110="","",'[1]Data 2026'!BQ110)</f>
        <v/>
      </c>
      <c r="BR98" s="685" t="str">
        <f>IF('[1]Data 2026'!BR110="","",'[1]Data 2026'!BR110)</f>
        <v/>
      </c>
      <c r="BS98" s="685" t="str">
        <f>IF('[1]Data 2026'!BS110="","",'[1]Data 2026'!BS110)</f>
        <v/>
      </c>
      <c r="BT98" s="685" t="str">
        <f>IF('[1]Data 2026'!BV110="","",'[1]Data 2026'!BV110)</f>
        <v/>
      </c>
      <c r="BU98" s="685" t="str">
        <f>IF('[1]Data 2026'!BW110="","",'[1]Data 2026'!BW110)</f>
        <v/>
      </c>
      <c r="BV98" s="685" t="str">
        <f>IF('[1]Data 2026'!BX110="","",'[1]Data 2026'!BX110)</f>
        <v/>
      </c>
      <c r="BW98" s="685" t="str">
        <f>IF('[1]Data 2026'!BY110="","",'[1]Data 2026'!BY110)</f>
        <v/>
      </c>
      <c r="BX98" s="685" t="str">
        <f>IF('[1]Data 2026'!BZ110="","",'[1]Data 2026'!BZ110)</f>
        <v/>
      </c>
      <c r="BY98" s="685" t="str">
        <f>IF('[1]Data 2026'!CA110="","",'[1]Data 2026'!CA110)</f>
        <v/>
      </c>
      <c r="BZ98" s="685" t="str">
        <f>IF('[1]Data 2026'!CB110="","",'[1]Data 2026'!CB110)</f>
        <v/>
      </c>
      <c r="CA98" s="685" t="str">
        <f>IF('[1]Data 2026'!CC110="","",'[1]Data 2026'!CC110)</f>
        <v/>
      </c>
      <c r="CB98" s="685" t="str">
        <f>IF('[1]Data 2026'!CD110="","",'[1]Data 2026'!CD110)</f>
        <v/>
      </c>
      <c r="CC98" s="685" t="str">
        <f>IF('[1]Data 2026'!CE110="","",'[1]Data 2026'!CE110)</f>
        <v/>
      </c>
      <c r="CD98" s="685" t="str">
        <f>IF('[1]Data 2026'!CF110="","",'[1]Data 2026'!CF110)</f>
        <v/>
      </c>
      <c r="CE98" s="685" t="str">
        <f>IF('[1]Data 2026'!CG110="","",'[1]Data 2026'!CG110)</f>
        <v/>
      </c>
      <c r="CF98" s="685" t="str">
        <f>IF('[1]Data 2026'!CH110="","",'[1]Data 2026'!CH110)</f>
        <v/>
      </c>
      <c r="CG98" s="685" t="str">
        <f>IF('[1]Data 2026'!CI110="","",'[1]Data 2026'!CI110)</f>
        <v/>
      </c>
      <c r="CH98" s="685" t="str">
        <f>IF('[1]Data 2026'!CJ110="","",'[1]Data 2026'!CJ110)</f>
        <v/>
      </c>
      <c r="CI98" s="685" t="str">
        <f>IF('[1]Data 2026'!CK110="","",'[1]Data 2026'!CK110)</f>
        <v/>
      </c>
      <c r="CJ98" s="685" t="str">
        <f>IF('[1]Data 2026'!CM110="","",'[1]Data 2026'!CM110)</f>
        <v/>
      </c>
      <c r="CK98" s="685" t="str">
        <f>IF('[1]Data 2026'!CN110="","",'[1]Data 2026'!CN110)</f>
        <v/>
      </c>
      <c r="CL98" s="691"/>
      <c r="CM98" s="691" t="str">
        <f>IF('[1]Data 2026'!CP110="","",'[1]Data 2026'!CP110)</f>
        <v/>
      </c>
      <c r="CN98" s="691"/>
      <c r="CO98" s="419"/>
      <c r="CP98" s="419"/>
      <c r="CQ98" s="419"/>
      <c r="CR98" s="686" t="str">
        <f t="shared" si="25"/>
        <v/>
      </c>
    </row>
    <row r="99" spans="1:96">
      <c r="A99" s="682" t="str">
        <f t="shared" si="13"/>
        <v>A. BOOKING PENDING</v>
      </c>
      <c r="B99" s="695"/>
      <c r="C99" s="684" t="str">
        <f t="shared" si="14"/>
        <v>SHORT POSITION</v>
      </c>
      <c r="D99" s="685" t="str">
        <f t="shared" si="22"/>
        <v/>
      </c>
      <c r="E99" s="685" t="str">
        <f t="shared" si="15"/>
        <v/>
      </c>
      <c r="F99" s="686">
        <f>IF('[1]Data 2026'!D111="","",'[1]Data 2026'!D111)</f>
        <v>44</v>
      </c>
      <c r="G99" s="686">
        <f>IF('[1]Data 2026'!E111="","",'[1]Data 2026'!E111)</f>
        <v>200</v>
      </c>
      <c r="H99" s="687" t="str">
        <f>IF('[1]Data 2026'!H111="","",'[1]Data 2026'!H111)</f>
        <v>32016410-1</v>
      </c>
      <c r="I99" s="688">
        <f>IF('[1]Data 2026'!AA111="","",'[1]Data 2026'!AA111)</f>
        <v>250</v>
      </c>
      <c r="J99" s="685" t="str">
        <f>IF('[1]Data 2026'!K111="","",'[1]Data 2026'!K111)</f>
        <v>JUNE/JULY 2026</v>
      </c>
      <c r="K99" s="685">
        <v>46218</v>
      </c>
      <c r="L99" s="685" t="str">
        <f>IF('[1]Data 2026'!L111="","",'[1]Data 2026'!L111)</f>
        <v>VALENCY CI</v>
      </c>
      <c r="M99" s="685" t="str">
        <f>IF('[1]Data 2026'!M111="","",'[1]Data 2026'!M111)</f>
        <v>NGOC KHANG COMPANY</v>
      </c>
      <c r="N99" s="685" t="s">
        <v>1194</v>
      </c>
      <c r="O99" s="689" t="str">
        <f>IF('[1]Data 2026'!N111="","",'[1]Data 2026'!N111)</f>
        <v/>
      </c>
      <c r="P99" s="701" t="str">
        <f>IF('[1]Data 2026'!O111="","",'[1]Data 2026'!O111)</f>
        <v/>
      </c>
      <c r="Q99" s="685" t="str">
        <f>IF('[1]Data 2026'!P111="","",'[1]Data 2026'!P111)</f>
        <v/>
      </c>
      <c r="R99" s="685" t="str">
        <f>IF('[1]Data 2026'!Q111="","",'[1]Data 2026'!Q111)</f>
        <v>ABJ</v>
      </c>
      <c r="S99" s="685" t="s">
        <v>347</v>
      </c>
      <c r="T99" s="685" t="str">
        <f>IF('[1]Data 2026'!R111="","",'[1]Data 2026'!R111)</f>
        <v>HCMC, VIETNAM</v>
      </c>
      <c r="U99" s="685" t="str">
        <f>IF('[1]Data 2026'!S111="","",'[1]Data 2026'!S111)</f>
        <v/>
      </c>
      <c r="V99" s="685" t="str">
        <f>IF('[1]Data 2026'!T111="","",'[1]Data 2026'!T111)</f>
        <v/>
      </c>
      <c r="W99" s="685" t="str">
        <f>IF('[1]Data 2026'!U111="","",'[1]Data 2026'!U111)</f>
        <v/>
      </c>
      <c r="X99" s="685" t="str">
        <f>IF('[1]Data 2026'!V111="","",'[1]Data 2026'!V111)</f>
        <v/>
      </c>
      <c r="Y99" s="685" t="str">
        <f>IF('[1]Data 2026'!W111="","",'[1]Data 2026'!W111)</f>
        <v/>
      </c>
      <c r="Z99" s="685" t="str">
        <f>IF('[1]Data 2026'!X111="","",'[1]Data 2026'!X111)</f>
        <v/>
      </c>
      <c r="AA99" s="685"/>
      <c r="AB99" s="685" t="str">
        <f>IF('[1]Data 2026'!Y111="","",'[1]Data 2026'!Y111)</f>
        <v/>
      </c>
      <c r="AC99" s="685" t="str">
        <f>IF('[1]Data 2026'!Z111="","",'[1]Data 2026'!Z111)</f>
        <v/>
      </c>
      <c r="AD99" s="691">
        <f>IF('[1]Data 2026'!AA111="","",'[1]Data 2026'!AA111)</f>
        <v>250</v>
      </c>
      <c r="AE99" s="691">
        <f>IF('[1]Data 2026'!AB111="","",'[1]Data 2026'!AB111)</f>
        <v>250</v>
      </c>
      <c r="AF99" s="685">
        <f>IF('[1]Data 2026'!AC111="","",'[1]Data 2026'!AC111)</f>
        <v>45838</v>
      </c>
      <c r="AG99" s="685" t="str">
        <f>IF('[1]Data 2026'!AD111="","",'[1]Data 2026'!AD111)</f>
        <v/>
      </c>
      <c r="AH99" s="686">
        <f>IF('[1]Data 2026'!AE111="","",'[1]Data 2026'!AE111)</f>
        <v>10</v>
      </c>
      <c r="AI99" s="685" t="str">
        <f>IF('[1]Data 2026'!AG111="","",'[1]Data 2026'!AG111)</f>
        <v/>
      </c>
      <c r="AJ99" s="685" t="str">
        <f>IF('[1]Data 2026'!AH111="","",'[1]Data 2026'!AH111)</f>
        <v>TBA</v>
      </c>
      <c r="AK99" s="685" t="str">
        <f>IF('[1]Data 2026'!AI111="","",'[1]Data 2026'!AI111)</f>
        <v>TBA</v>
      </c>
      <c r="AL99" s="685" t="str">
        <f>IF('[1]Data 2026'!AJ111="","",'[1]Data 2026'!AJ111)</f>
        <v>40FT</v>
      </c>
      <c r="AM99" s="692">
        <f>IF('[1]Data 2026'!AK111="","",'[1]Data 2026'!AK111)</f>
        <v>0.1</v>
      </c>
      <c r="AN99" s="685" t="str">
        <f>IF('[1]Data 2026'!AL111="","",'[1]Data 2026'!AL111)</f>
        <v>(01x250MTS)</v>
      </c>
      <c r="AO99" s="691">
        <f>IF('[1]Data 2026'!AM111="","",'[1]Data 2026'!AM111)</f>
        <v>275</v>
      </c>
      <c r="AP99" s="691" t="str">
        <f t="shared" si="16"/>
        <v/>
      </c>
      <c r="AQ99" s="685" t="str">
        <f>IF('[1]Data 2026'!AO111="","",'[1]Data 2026'!AO111)</f>
        <v/>
      </c>
      <c r="AR99" s="685" t="str">
        <f>IF('[1]Data 2026'!AP111="","",'[1]Data 2026'!AP111)</f>
        <v/>
      </c>
      <c r="AS99" s="685" t="str">
        <f>IF('[1]Data 2026'!AQ111="","",'[1]Data 2026'!AQ111)</f>
        <v/>
      </c>
      <c r="AT99" s="685" t="str">
        <f>IF('[1]Data 2026'!AR111="","",'[1]Data 2026'!AR111)</f>
        <v/>
      </c>
      <c r="AU99" s="685" t="str">
        <f>IF('[1]Data 2026'!AW111="","",'[1]Data 2026'!AW111)</f>
        <v/>
      </c>
      <c r="AV99" s="685" t="str">
        <f>IF('[1]Data 2026'!AX111="","",'[1]Data 2026'!AX111)</f>
        <v/>
      </c>
      <c r="AW99" s="685" t="str">
        <f>IF('[1]Data 2026'!AY111="","",'[1]Data 2026'!AY111)</f>
        <v/>
      </c>
      <c r="AX99" s="685" t="str">
        <f>IF('[1]Data 2026'!AZ111="","",'[1]Data 2026'!AZ111)</f>
        <v/>
      </c>
      <c r="AY99" s="685" t="str">
        <f>IF('[1]Data 2026'!BA111="","",'[1]Data 2026'!BA111)</f>
        <v/>
      </c>
      <c r="AZ99" s="685" t="str">
        <f>IF('[1]Data 2026'!AS111="","",'[1]Data 2026'!AS111)</f>
        <v/>
      </c>
      <c r="BA99" s="685" t="str">
        <f>IF('[1]Data 2026'!AT111="","",'[1]Data 2026'!AT111)</f>
        <v/>
      </c>
      <c r="BB99" s="685" t="str">
        <f>IF('[1]Data 2026'!AU111="","",'[1]Data 2026'!AU111)</f>
        <v/>
      </c>
      <c r="BC99" s="685" t="str">
        <f>IF('[1]Data 2026'!AV111="","",'[1]Data 2026'!AV111)</f>
        <v/>
      </c>
      <c r="BD99" s="685" t="str">
        <f>IF('[1]Data 2026'!AW111="","",'[1]Data 2026'!AW111)</f>
        <v/>
      </c>
      <c r="BE99" s="685" t="str">
        <f>IF('[1]Data 2026'!AX111="","",'[1]Data 2026'!AX111)</f>
        <v/>
      </c>
      <c r="BF99" s="685" t="str">
        <f>IF('[1]Data 2026'!BF111="","",'[1]Data 2026'!BF111)</f>
        <v/>
      </c>
      <c r="BG99" s="685" t="str">
        <f>IF('[1]Data 2026'!BG111="","",'[1]Data 2026'!BG111)</f>
        <v/>
      </c>
      <c r="BH99" s="685" t="str">
        <f>IF('[1]Data 2026'!BH111="","",'[1]Data 2026'!BH111)</f>
        <v/>
      </c>
      <c r="BI99" s="685" t="str">
        <f>IF('[1]Data 2026'!BI111="","",'[1]Data 2026'!BI111)</f>
        <v/>
      </c>
      <c r="BJ99" s="685" t="str">
        <f>IF('[1]Data 2026'!BJ111="","",'[1]Data 2026'!BJ111)</f>
        <v/>
      </c>
      <c r="BK99" s="685" t="str">
        <f>IF('[1]Data 2026'!BK111="","",'[1]Data 2026'!BK111)</f>
        <v/>
      </c>
      <c r="BL99" s="685" t="str">
        <f>IF('[1]Data 2026'!BL111="","",'[1]Data 2026'!BL111)</f>
        <v/>
      </c>
      <c r="BM99" s="685" t="str">
        <f>IF('[1]Data 2026'!BM111="","",'[1]Data 2026'!BM111)</f>
        <v/>
      </c>
      <c r="BN99" s="685" t="str">
        <f>IF('[1]Data 2026'!BN111="","",'[1]Data 2026'!BN111)</f>
        <v/>
      </c>
      <c r="BO99" s="685" t="str">
        <f>IF('[1]Data 2026'!BO111="","",'[1]Data 2026'!BO111)</f>
        <v/>
      </c>
      <c r="BP99" s="685" t="str">
        <f>IF('[1]Data 2026'!BP111="","",'[1]Data 2026'!BP111)</f>
        <v/>
      </c>
      <c r="BQ99" s="685" t="str">
        <f>IF('[1]Data 2026'!BQ111="","",'[1]Data 2026'!BQ111)</f>
        <v/>
      </c>
      <c r="BR99" s="685" t="str">
        <f>IF('[1]Data 2026'!BR111="","",'[1]Data 2026'!BR111)</f>
        <v/>
      </c>
      <c r="BS99" s="685" t="str">
        <f>IF('[1]Data 2026'!BS111="","",'[1]Data 2026'!BS111)</f>
        <v/>
      </c>
      <c r="BT99" s="685" t="str">
        <f>IF('[1]Data 2026'!BV111="","",'[1]Data 2026'!BV111)</f>
        <v/>
      </c>
      <c r="BU99" s="685" t="str">
        <f>IF('[1]Data 2026'!BW111="","",'[1]Data 2026'!BW111)</f>
        <v/>
      </c>
      <c r="BV99" s="685" t="str">
        <f>IF('[1]Data 2026'!BX111="","",'[1]Data 2026'!BX111)</f>
        <v/>
      </c>
      <c r="BW99" s="685" t="str">
        <f>IF('[1]Data 2026'!BY111="","",'[1]Data 2026'!BY111)</f>
        <v/>
      </c>
      <c r="BX99" s="685" t="str">
        <f>IF('[1]Data 2026'!BZ111="","",'[1]Data 2026'!BZ111)</f>
        <v/>
      </c>
      <c r="BY99" s="685" t="str">
        <f>IF('[1]Data 2026'!CA111="","",'[1]Data 2026'!CA111)</f>
        <v/>
      </c>
      <c r="BZ99" s="685" t="str">
        <f>IF('[1]Data 2026'!CB111="","",'[1]Data 2026'!CB111)</f>
        <v/>
      </c>
      <c r="CA99" s="685" t="str">
        <f>IF('[1]Data 2026'!CC111="","",'[1]Data 2026'!CC111)</f>
        <v/>
      </c>
      <c r="CB99" s="685" t="str">
        <f>IF('[1]Data 2026'!CD111="","",'[1]Data 2026'!CD111)</f>
        <v/>
      </c>
      <c r="CC99" s="685" t="str">
        <f>IF('[1]Data 2026'!CE111="","",'[1]Data 2026'!CE111)</f>
        <v/>
      </c>
      <c r="CD99" s="685" t="str">
        <f>IF('[1]Data 2026'!CF111="","",'[1]Data 2026'!CF111)</f>
        <v/>
      </c>
      <c r="CE99" s="685" t="str">
        <f>IF('[1]Data 2026'!CG111="","",'[1]Data 2026'!CG111)</f>
        <v/>
      </c>
      <c r="CF99" s="685" t="str">
        <f>IF('[1]Data 2026'!CH111="","",'[1]Data 2026'!CH111)</f>
        <v/>
      </c>
      <c r="CG99" s="685" t="str">
        <f>IF('[1]Data 2026'!CI111="","",'[1]Data 2026'!CI111)</f>
        <v/>
      </c>
      <c r="CH99" s="685" t="str">
        <f>IF('[1]Data 2026'!CJ111="","",'[1]Data 2026'!CJ111)</f>
        <v/>
      </c>
      <c r="CI99" s="685" t="str">
        <f>IF('[1]Data 2026'!CK111="","",'[1]Data 2026'!CK111)</f>
        <v/>
      </c>
      <c r="CJ99" s="685" t="str">
        <f>IF('[1]Data 2026'!CM111="","",'[1]Data 2026'!CM111)</f>
        <v/>
      </c>
      <c r="CK99" s="685" t="str">
        <f>IF('[1]Data 2026'!CN111="","",'[1]Data 2026'!CN111)</f>
        <v/>
      </c>
      <c r="CL99" s="691"/>
      <c r="CM99" s="691" t="str">
        <f>IF('[1]Data 2026'!CP111="","",'[1]Data 2026'!CP111)</f>
        <v/>
      </c>
      <c r="CN99" s="691"/>
      <c r="CO99" s="419"/>
      <c r="CP99" s="419"/>
      <c r="CQ99" s="419"/>
      <c r="CR99" s="686" t="str">
        <f t="shared" si="25"/>
        <v/>
      </c>
    </row>
    <row r="100" spans="1:96">
      <c r="A100" s="682" t="str">
        <f t="shared" si="13"/>
        <v>A. BOOKING PENDING</v>
      </c>
      <c r="B100" s="695"/>
      <c r="C100" s="684" t="str">
        <f t="shared" si="14"/>
        <v>SHORT POSITION</v>
      </c>
      <c r="D100" s="685" t="str">
        <f t="shared" si="22"/>
        <v/>
      </c>
      <c r="E100" s="685" t="str">
        <f t="shared" si="15"/>
        <v/>
      </c>
      <c r="F100" s="686">
        <f>IF('[1]Data 2026'!D112="","",'[1]Data 2026'!D112)</f>
        <v>44</v>
      </c>
      <c r="G100" s="686">
        <f>IF('[1]Data 2026'!E112="","",'[1]Data 2026'!E112)</f>
        <v>200</v>
      </c>
      <c r="H100" s="687" t="str">
        <f>IF('[1]Data 2026'!H112="","",'[1]Data 2026'!H112)</f>
        <v>32016410-2</v>
      </c>
      <c r="I100" s="688">
        <f>IF('[1]Data 2026'!AA112="","",'[1]Data 2026'!AA112)</f>
        <v>250</v>
      </c>
      <c r="J100" s="685" t="str">
        <f>IF('[1]Data 2026'!K112="","",'[1]Data 2026'!K112)</f>
        <v>JUNE/JULY 2026</v>
      </c>
      <c r="K100" s="685">
        <v>46219</v>
      </c>
      <c r="L100" s="685" t="str">
        <f>IF('[1]Data 2026'!L112="","",'[1]Data 2026'!L112)</f>
        <v>VALENCY CI</v>
      </c>
      <c r="M100" s="685" t="str">
        <f>IF('[1]Data 2026'!M112="","",'[1]Data 2026'!M112)</f>
        <v>NGOC KHANG COMPANY</v>
      </c>
      <c r="N100" s="685" t="s">
        <v>1194</v>
      </c>
      <c r="O100" s="689" t="str">
        <f>IF('[1]Data 2026'!N112="","",'[1]Data 2026'!N112)</f>
        <v/>
      </c>
      <c r="P100" s="701" t="str">
        <f>IF('[1]Data 2026'!O112="","",'[1]Data 2026'!O112)</f>
        <v/>
      </c>
      <c r="Q100" s="685" t="str">
        <f>IF('[1]Data 2026'!P112="","",'[1]Data 2026'!P112)</f>
        <v/>
      </c>
      <c r="R100" s="685" t="str">
        <f>IF('[1]Data 2026'!Q112="","",'[1]Data 2026'!Q112)</f>
        <v>ABJ</v>
      </c>
      <c r="S100" s="685" t="s">
        <v>347</v>
      </c>
      <c r="T100" s="685" t="str">
        <f>IF('[1]Data 2026'!R112="","",'[1]Data 2026'!R112)</f>
        <v>HCMC, VIETNAM</v>
      </c>
      <c r="U100" s="685" t="str">
        <f>IF('[1]Data 2026'!S112="","",'[1]Data 2026'!S112)</f>
        <v/>
      </c>
      <c r="V100" s="685" t="str">
        <f>IF('[1]Data 2026'!T112="","",'[1]Data 2026'!T112)</f>
        <v/>
      </c>
      <c r="W100" s="685" t="str">
        <f>IF('[1]Data 2026'!U112="","",'[1]Data 2026'!U112)</f>
        <v/>
      </c>
      <c r="X100" s="685" t="str">
        <f>IF('[1]Data 2026'!V112="","",'[1]Data 2026'!V112)</f>
        <v/>
      </c>
      <c r="Y100" s="685" t="str">
        <f>IF('[1]Data 2026'!W112="","",'[1]Data 2026'!W112)</f>
        <v/>
      </c>
      <c r="Z100" s="685" t="str">
        <f>IF('[1]Data 2026'!X112="","",'[1]Data 2026'!X112)</f>
        <v/>
      </c>
      <c r="AA100" s="685"/>
      <c r="AB100" s="685" t="str">
        <f>IF('[1]Data 2026'!Y112="","",'[1]Data 2026'!Y112)</f>
        <v/>
      </c>
      <c r="AC100" s="685" t="str">
        <f>IF('[1]Data 2026'!Z112="","",'[1]Data 2026'!Z112)</f>
        <v/>
      </c>
      <c r="AD100" s="691">
        <f>IF('[1]Data 2026'!AA112="","",'[1]Data 2026'!AA112)</f>
        <v>250</v>
      </c>
      <c r="AE100" s="691">
        <f>IF('[1]Data 2026'!AB112="","",'[1]Data 2026'!AB112)</f>
        <v>250</v>
      </c>
      <c r="AF100" s="685">
        <f>IF('[1]Data 2026'!AC112="","",'[1]Data 2026'!AC112)</f>
        <v>45838</v>
      </c>
      <c r="AG100" s="685" t="str">
        <f>IF('[1]Data 2026'!AD112="","",'[1]Data 2026'!AD112)</f>
        <v/>
      </c>
      <c r="AH100" s="686">
        <f>IF('[1]Data 2026'!AE112="","",'[1]Data 2026'!AE112)</f>
        <v>10</v>
      </c>
      <c r="AI100" s="685" t="str">
        <f>IF('[1]Data 2026'!AG112="","",'[1]Data 2026'!AG112)</f>
        <v/>
      </c>
      <c r="AJ100" s="685" t="str">
        <f>IF('[1]Data 2026'!AH112="","",'[1]Data 2026'!AH112)</f>
        <v>TBA</v>
      </c>
      <c r="AK100" s="685" t="str">
        <f>IF('[1]Data 2026'!AI112="","",'[1]Data 2026'!AI112)</f>
        <v>TBA</v>
      </c>
      <c r="AL100" s="685" t="str">
        <f>IF('[1]Data 2026'!AJ112="","",'[1]Data 2026'!AJ112)</f>
        <v>40FT</v>
      </c>
      <c r="AM100" s="692">
        <f>IF('[1]Data 2026'!AK112="","",'[1]Data 2026'!AK112)</f>
        <v>0.1</v>
      </c>
      <c r="AN100" s="685" t="str">
        <f>IF('[1]Data 2026'!AL112="","",'[1]Data 2026'!AL112)</f>
        <v>(01x250MTS)</v>
      </c>
      <c r="AO100" s="691">
        <f>IF('[1]Data 2026'!AM112="","",'[1]Data 2026'!AM112)</f>
        <v>275</v>
      </c>
      <c r="AP100" s="691" t="str">
        <f t="shared" si="16"/>
        <v/>
      </c>
      <c r="AQ100" s="685" t="str">
        <f>IF('[1]Data 2026'!AO112="","",'[1]Data 2026'!AO112)</f>
        <v/>
      </c>
      <c r="AR100" s="685" t="str">
        <f>IF('[1]Data 2026'!AP112="","",'[1]Data 2026'!AP112)</f>
        <v/>
      </c>
      <c r="AS100" s="685" t="str">
        <f>IF('[1]Data 2026'!AQ112="","",'[1]Data 2026'!AQ112)</f>
        <v/>
      </c>
      <c r="AT100" s="685" t="str">
        <f>IF('[1]Data 2026'!AR112="","",'[1]Data 2026'!AR112)</f>
        <v/>
      </c>
      <c r="AU100" s="685" t="str">
        <f>IF('[1]Data 2026'!AW112="","",'[1]Data 2026'!AW112)</f>
        <v/>
      </c>
      <c r="AV100" s="685" t="str">
        <f>IF('[1]Data 2026'!AX112="","",'[1]Data 2026'!AX112)</f>
        <v/>
      </c>
      <c r="AW100" s="685" t="str">
        <f>IF('[1]Data 2026'!AY112="","",'[1]Data 2026'!AY112)</f>
        <v/>
      </c>
      <c r="AX100" s="685" t="str">
        <f>IF('[1]Data 2026'!AZ112="","",'[1]Data 2026'!AZ112)</f>
        <v/>
      </c>
      <c r="AY100" s="685" t="str">
        <f>IF('[1]Data 2026'!BA112="","",'[1]Data 2026'!BA112)</f>
        <v/>
      </c>
      <c r="AZ100" s="685" t="str">
        <f>IF('[1]Data 2026'!AS112="","",'[1]Data 2026'!AS112)</f>
        <v/>
      </c>
      <c r="BA100" s="685" t="str">
        <f>IF('[1]Data 2026'!AT112="","",'[1]Data 2026'!AT112)</f>
        <v/>
      </c>
      <c r="BB100" s="685" t="str">
        <f>IF('[1]Data 2026'!AU112="","",'[1]Data 2026'!AU112)</f>
        <v/>
      </c>
      <c r="BC100" s="685" t="str">
        <f>IF('[1]Data 2026'!AV112="","",'[1]Data 2026'!AV112)</f>
        <v/>
      </c>
      <c r="BD100" s="685" t="str">
        <f>IF('[1]Data 2026'!AW112="","",'[1]Data 2026'!AW112)</f>
        <v/>
      </c>
      <c r="BE100" s="685" t="str">
        <f>IF('[1]Data 2026'!AX112="","",'[1]Data 2026'!AX112)</f>
        <v/>
      </c>
      <c r="BF100" s="685" t="str">
        <f>IF('[1]Data 2026'!BF112="","",'[1]Data 2026'!BF112)</f>
        <v/>
      </c>
      <c r="BG100" s="685" t="str">
        <f>IF('[1]Data 2026'!BG112="","",'[1]Data 2026'!BG112)</f>
        <v/>
      </c>
      <c r="BH100" s="685" t="str">
        <f>IF('[1]Data 2026'!BH112="","",'[1]Data 2026'!BH112)</f>
        <v/>
      </c>
      <c r="BI100" s="685" t="str">
        <f>IF('[1]Data 2026'!BI112="","",'[1]Data 2026'!BI112)</f>
        <v/>
      </c>
      <c r="BJ100" s="685" t="str">
        <f>IF('[1]Data 2026'!BJ112="","",'[1]Data 2026'!BJ112)</f>
        <v/>
      </c>
      <c r="BK100" s="685" t="str">
        <f>IF('[1]Data 2026'!BK112="","",'[1]Data 2026'!BK112)</f>
        <v/>
      </c>
      <c r="BL100" s="685" t="str">
        <f>IF('[1]Data 2026'!BL112="","",'[1]Data 2026'!BL112)</f>
        <v/>
      </c>
      <c r="BM100" s="685" t="str">
        <f>IF('[1]Data 2026'!BM112="","",'[1]Data 2026'!BM112)</f>
        <v/>
      </c>
      <c r="BN100" s="685" t="str">
        <f>IF('[1]Data 2026'!BN112="","",'[1]Data 2026'!BN112)</f>
        <v/>
      </c>
      <c r="BO100" s="685" t="str">
        <f>IF('[1]Data 2026'!BO112="","",'[1]Data 2026'!BO112)</f>
        <v/>
      </c>
      <c r="BP100" s="685" t="str">
        <f>IF('[1]Data 2026'!BP112="","",'[1]Data 2026'!BP112)</f>
        <v/>
      </c>
      <c r="BQ100" s="685" t="str">
        <f>IF('[1]Data 2026'!BQ112="","",'[1]Data 2026'!BQ112)</f>
        <v/>
      </c>
      <c r="BR100" s="685" t="str">
        <f>IF('[1]Data 2026'!BR112="","",'[1]Data 2026'!BR112)</f>
        <v/>
      </c>
      <c r="BS100" s="685" t="str">
        <f>IF('[1]Data 2026'!BS112="","",'[1]Data 2026'!BS112)</f>
        <v/>
      </c>
      <c r="BT100" s="685" t="str">
        <f>IF('[1]Data 2026'!BV112="","",'[1]Data 2026'!BV112)</f>
        <v/>
      </c>
      <c r="BU100" s="685" t="str">
        <f>IF('[1]Data 2026'!BW112="","",'[1]Data 2026'!BW112)</f>
        <v/>
      </c>
      <c r="BV100" s="685" t="str">
        <f>IF('[1]Data 2026'!BX112="","",'[1]Data 2026'!BX112)</f>
        <v/>
      </c>
      <c r="BW100" s="685" t="str">
        <f>IF('[1]Data 2026'!BY112="","",'[1]Data 2026'!BY112)</f>
        <v/>
      </c>
      <c r="BX100" s="685" t="str">
        <f>IF('[1]Data 2026'!BZ112="","",'[1]Data 2026'!BZ112)</f>
        <v/>
      </c>
      <c r="BY100" s="685" t="str">
        <f>IF('[1]Data 2026'!CA112="","",'[1]Data 2026'!CA112)</f>
        <v/>
      </c>
      <c r="BZ100" s="685" t="str">
        <f>IF('[1]Data 2026'!CB112="","",'[1]Data 2026'!CB112)</f>
        <v/>
      </c>
      <c r="CA100" s="685" t="str">
        <f>IF('[1]Data 2026'!CC112="","",'[1]Data 2026'!CC112)</f>
        <v/>
      </c>
      <c r="CB100" s="685" t="str">
        <f>IF('[1]Data 2026'!CD112="","",'[1]Data 2026'!CD112)</f>
        <v/>
      </c>
      <c r="CC100" s="685" t="str">
        <f>IF('[1]Data 2026'!CE112="","",'[1]Data 2026'!CE112)</f>
        <v/>
      </c>
      <c r="CD100" s="685" t="str">
        <f>IF('[1]Data 2026'!CF112="","",'[1]Data 2026'!CF112)</f>
        <v/>
      </c>
      <c r="CE100" s="685" t="str">
        <f>IF('[1]Data 2026'!CG112="","",'[1]Data 2026'!CG112)</f>
        <v/>
      </c>
      <c r="CF100" s="685" t="str">
        <f>IF('[1]Data 2026'!CH112="","",'[1]Data 2026'!CH112)</f>
        <v/>
      </c>
      <c r="CG100" s="685" t="str">
        <f>IF('[1]Data 2026'!CI112="","",'[1]Data 2026'!CI112)</f>
        <v/>
      </c>
      <c r="CH100" s="685" t="str">
        <f>IF('[1]Data 2026'!CJ112="","",'[1]Data 2026'!CJ112)</f>
        <v/>
      </c>
      <c r="CI100" s="685" t="str">
        <f>IF('[1]Data 2026'!CK112="","",'[1]Data 2026'!CK112)</f>
        <v/>
      </c>
      <c r="CJ100" s="685" t="str">
        <f>IF('[1]Data 2026'!CM112="","",'[1]Data 2026'!CM112)</f>
        <v/>
      </c>
      <c r="CK100" s="685" t="str">
        <f>IF('[1]Data 2026'!CN112="","",'[1]Data 2026'!CN112)</f>
        <v/>
      </c>
      <c r="CL100" s="691"/>
      <c r="CM100" s="691" t="str">
        <f>IF('[1]Data 2026'!CP112="","",'[1]Data 2026'!CP112)</f>
        <v/>
      </c>
      <c r="CN100" s="691"/>
      <c r="CO100" s="419"/>
      <c r="CP100" s="419"/>
      <c r="CQ100" s="419"/>
      <c r="CR100" s="686" t="str">
        <f t="shared" si="25"/>
        <v/>
      </c>
    </row>
    <row r="101" spans="1:96">
      <c r="A101" s="682" t="str">
        <f t="shared" si="13"/>
        <v>A. BOOKING PENDING</v>
      </c>
      <c r="B101" s="695"/>
      <c r="C101" s="684" t="str">
        <f t="shared" si="14"/>
        <v>SHORT POSITION</v>
      </c>
      <c r="D101" s="685" t="str">
        <f t="shared" si="22"/>
        <v/>
      </c>
      <c r="E101" s="685" t="str">
        <f t="shared" si="15"/>
        <v/>
      </c>
      <c r="F101" s="686">
        <f>IF('[1]Data 2026'!D113="","",'[1]Data 2026'!D113)</f>
        <v>44</v>
      </c>
      <c r="G101" s="686">
        <f>IF('[1]Data 2026'!E113="","",'[1]Data 2026'!E113)</f>
        <v>200</v>
      </c>
      <c r="H101" s="687" t="str">
        <f>IF('[1]Data 2026'!H113="","",'[1]Data 2026'!H113)</f>
        <v>32016410-3</v>
      </c>
      <c r="I101" s="688">
        <f>IF('[1]Data 2026'!AA113="","",'[1]Data 2026'!AA113)</f>
        <v>350</v>
      </c>
      <c r="J101" s="685" t="str">
        <f>IF('[1]Data 2026'!K113="","",'[1]Data 2026'!K113)</f>
        <v>JUNE/JULY 2026</v>
      </c>
      <c r="K101" s="685">
        <v>46220</v>
      </c>
      <c r="L101" s="685" t="str">
        <f>IF('[1]Data 2026'!L113="","",'[1]Data 2026'!L113)</f>
        <v>VALENCY CI</v>
      </c>
      <c r="M101" s="685" t="str">
        <f>IF('[1]Data 2026'!M113="","",'[1]Data 2026'!M113)</f>
        <v>NGOC KHANG COMPANY</v>
      </c>
      <c r="N101" s="685" t="s">
        <v>1194</v>
      </c>
      <c r="O101" s="689" t="str">
        <f>IF('[1]Data 2026'!N113="","",'[1]Data 2026'!N113)</f>
        <v/>
      </c>
      <c r="P101" s="701" t="str">
        <f>IF('[1]Data 2026'!O113="","",'[1]Data 2026'!O113)</f>
        <v/>
      </c>
      <c r="Q101" s="685" t="str">
        <f>IF('[1]Data 2026'!P113="","",'[1]Data 2026'!P113)</f>
        <v/>
      </c>
      <c r="R101" s="685" t="str">
        <f>IF('[1]Data 2026'!Q113="","",'[1]Data 2026'!Q113)</f>
        <v>ABJ</v>
      </c>
      <c r="S101" s="685" t="s">
        <v>347</v>
      </c>
      <c r="T101" s="685" t="str">
        <f>IF('[1]Data 2026'!R113="","",'[1]Data 2026'!R113)</f>
        <v>HCMC, VIETNAM</v>
      </c>
      <c r="U101" s="685" t="str">
        <f>IF('[1]Data 2026'!S113="","",'[1]Data 2026'!S113)</f>
        <v/>
      </c>
      <c r="V101" s="685" t="str">
        <f>IF('[1]Data 2026'!T113="","",'[1]Data 2026'!T113)</f>
        <v/>
      </c>
      <c r="W101" s="685" t="str">
        <f>IF('[1]Data 2026'!U113="","",'[1]Data 2026'!U113)</f>
        <v/>
      </c>
      <c r="X101" s="685" t="str">
        <f>IF('[1]Data 2026'!V113="","",'[1]Data 2026'!V113)</f>
        <v/>
      </c>
      <c r="Y101" s="685" t="str">
        <f>IF('[1]Data 2026'!W113="","",'[1]Data 2026'!W113)</f>
        <v/>
      </c>
      <c r="Z101" s="685" t="str">
        <f>IF('[1]Data 2026'!X113="","",'[1]Data 2026'!X113)</f>
        <v/>
      </c>
      <c r="AA101" s="685"/>
      <c r="AB101" s="685" t="str">
        <f>IF('[1]Data 2026'!Y113="","",'[1]Data 2026'!Y113)</f>
        <v/>
      </c>
      <c r="AC101" s="685" t="str">
        <f>IF('[1]Data 2026'!Z113="","",'[1]Data 2026'!Z113)</f>
        <v/>
      </c>
      <c r="AD101" s="691">
        <f>IF('[1]Data 2026'!AA113="","",'[1]Data 2026'!AA113)</f>
        <v>350</v>
      </c>
      <c r="AE101" s="691">
        <f>IF('[1]Data 2026'!AB113="","",'[1]Data 2026'!AB113)</f>
        <v>350</v>
      </c>
      <c r="AF101" s="685">
        <f>IF('[1]Data 2026'!AC113="","",'[1]Data 2026'!AC113)</f>
        <v>45838</v>
      </c>
      <c r="AG101" s="685" t="str">
        <f>IF('[1]Data 2026'!AD113="","",'[1]Data 2026'!AD113)</f>
        <v/>
      </c>
      <c r="AH101" s="686">
        <f>IF('[1]Data 2026'!AE113="","",'[1]Data 2026'!AE113)</f>
        <v>14</v>
      </c>
      <c r="AI101" s="685" t="str">
        <f>IF('[1]Data 2026'!AG113="","",'[1]Data 2026'!AG113)</f>
        <v/>
      </c>
      <c r="AJ101" s="685" t="str">
        <f>IF('[1]Data 2026'!AH113="","",'[1]Data 2026'!AH113)</f>
        <v>TBA</v>
      </c>
      <c r="AK101" s="685" t="str">
        <f>IF('[1]Data 2026'!AI113="","",'[1]Data 2026'!AI113)</f>
        <v>TBA</v>
      </c>
      <c r="AL101" s="685" t="str">
        <f>IF('[1]Data 2026'!AJ113="","",'[1]Data 2026'!AJ113)</f>
        <v>40FT</v>
      </c>
      <c r="AM101" s="692">
        <f>IF('[1]Data 2026'!AK113="","",'[1]Data 2026'!AK113)</f>
        <v>0.1</v>
      </c>
      <c r="AN101" s="685" t="str">
        <f>IF('[1]Data 2026'!AL113="","",'[1]Data 2026'!AL113)</f>
        <v>(01x350MTS)</v>
      </c>
      <c r="AO101" s="691">
        <f>IF('[1]Data 2026'!AM113="","",'[1]Data 2026'!AM113)</f>
        <v>385</v>
      </c>
      <c r="AP101" s="691" t="str">
        <f t="shared" si="16"/>
        <v/>
      </c>
      <c r="AQ101" s="685" t="str">
        <f>IF('[1]Data 2026'!AO113="","",'[1]Data 2026'!AO113)</f>
        <v/>
      </c>
      <c r="AR101" s="685" t="str">
        <f>IF('[1]Data 2026'!AP113="","",'[1]Data 2026'!AP113)</f>
        <v/>
      </c>
      <c r="AS101" s="685" t="str">
        <f>IF('[1]Data 2026'!AQ113="","",'[1]Data 2026'!AQ113)</f>
        <v/>
      </c>
      <c r="AT101" s="685" t="str">
        <f>IF('[1]Data 2026'!AR113="","",'[1]Data 2026'!AR113)</f>
        <v/>
      </c>
      <c r="AU101" s="685" t="str">
        <f>IF('[1]Data 2026'!AW113="","",'[1]Data 2026'!AW113)</f>
        <v/>
      </c>
      <c r="AV101" s="685" t="str">
        <f>IF('[1]Data 2026'!AX113="","",'[1]Data 2026'!AX113)</f>
        <v/>
      </c>
      <c r="AW101" s="685" t="str">
        <f>IF('[1]Data 2026'!AY113="","",'[1]Data 2026'!AY113)</f>
        <v/>
      </c>
      <c r="AX101" s="685" t="str">
        <f>IF('[1]Data 2026'!AZ113="","",'[1]Data 2026'!AZ113)</f>
        <v/>
      </c>
      <c r="AY101" s="685" t="str">
        <f>IF('[1]Data 2026'!BA113="","",'[1]Data 2026'!BA113)</f>
        <v/>
      </c>
      <c r="AZ101" s="685" t="str">
        <f>IF('[1]Data 2026'!AS113="","",'[1]Data 2026'!AS113)</f>
        <v/>
      </c>
      <c r="BA101" s="685" t="str">
        <f>IF('[1]Data 2026'!AT113="","",'[1]Data 2026'!AT113)</f>
        <v/>
      </c>
      <c r="BB101" s="685" t="str">
        <f>IF('[1]Data 2026'!AU113="","",'[1]Data 2026'!AU113)</f>
        <v/>
      </c>
      <c r="BC101" s="685" t="str">
        <f>IF('[1]Data 2026'!AV113="","",'[1]Data 2026'!AV113)</f>
        <v/>
      </c>
      <c r="BD101" s="685" t="str">
        <f>IF('[1]Data 2026'!AW113="","",'[1]Data 2026'!AW113)</f>
        <v/>
      </c>
      <c r="BE101" s="685" t="str">
        <f>IF('[1]Data 2026'!AX113="","",'[1]Data 2026'!AX113)</f>
        <v/>
      </c>
      <c r="BF101" s="685" t="str">
        <f>IF('[1]Data 2026'!BF113="","",'[1]Data 2026'!BF113)</f>
        <v/>
      </c>
      <c r="BG101" s="685" t="str">
        <f>IF('[1]Data 2026'!BG113="","",'[1]Data 2026'!BG113)</f>
        <v/>
      </c>
      <c r="BH101" s="685" t="str">
        <f>IF('[1]Data 2026'!BH113="","",'[1]Data 2026'!BH113)</f>
        <v/>
      </c>
      <c r="BI101" s="685" t="str">
        <f>IF('[1]Data 2026'!BI113="","",'[1]Data 2026'!BI113)</f>
        <v/>
      </c>
      <c r="BJ101" s="685" t="str">
        <f>IF('[1]Data 2026'!BJ113="","",'[1]Data 2026'!BJ113)</f>
        <v/>
      </c>
      <c r="BK101" s="685" t="str">
        <f>IF('[1]Data 2026'!BK113="","",'[1]Data 2026'!BK113)</f>
        <v/>
      </c>
      <c r="BL101" s="685" t="str">
        <f>IF('[1]Data 2026'!BL113="","",'[1]Data 2026'!BL113)</f>
        <v/>
      </c>
      <c r="BM101" s="685" t="str">
        <f>IF('[1]Data 2026'!BM113="","",'[1]Data 2026'!BM113)</f>
        <v/>
      </c>
      <c r="BN101" s="685" t="str">
        <f>IF('[1]Data 2026'!BN113="","",'[1]Data 2026'!BN113)</f>
        <v/>
      </c>
      <c r="BO101" s="685" t="str">
        <f>IF('[1]Data 2026'!BO113="","",'[1]Data 2026'!BO113)</f>
        <v/>
      </c>
      <c r="BP101" s="685" t="str">
        <f>IF('[1]Data 2026'!BP113="","",'[1]Data 2026'!BP113)</f>
        <v/>
      </c>
      <c r="BQ101" s="685" t="str">
        <f>IF('[1]Data 2026'!BQ113="","",'[1]Data 2026'!BQ113)</f>
        <v/>
      </c>
      <c r="BR101" s="685" t="str">
        <f>IF('[1]Data 2026'!BR113="","",'[1]Data 2026'!BR113)</f>
        <v/>
      </c>
      <c r="BS101" s="685" t="str">
        <f>IF('[1]Data 2026'!BS113="","",'[1]Data 2026'!BS113)</f>
        <v/>
      </c>
      <c r="BT101" s="685" t="str">
        <f>IF('[1]Data 2026'!BV113="","",'[1]Data 2026'!BV113)</f>
        <v/>
      </c>
      <c r="BU101" s="685" t="str">
        <f>IF('[1]Data 2026'!BW113="","",'[1]Data 2026'!BW113)</f>
        <v/>
      </c>
      <c r="BV101" s="685" t="str">
        <f>IF('[1]Data 2026'!BX113="","",'[1]Data 2026'!BX113)</f>
        <v/>
      </c>
      <c r="BW101" s="685" t="str">
        <f>IF('[1]Data 2026'!BY113="","",'[1]Data 2026'!BY113)</f>
        <v/>
      </c>
      <c r="BX101" s="685" t="str">
        <f>IF('[1]Data 2026'!BZ113="","",'[1]Data 2026'!BZ113)</f>
        <v/>
      </c>
      <c r="BY101" s="685" t="str">
        <f>IF('[1]Data 2026'!CA113="","",'[1]Data 2026'!CA113)</f>
        <v/>
      </c>
      <c r="BZ101" s="685" t="str">
        <f>IF('[1]Data 2026'!CB113="","",'[1]Data 2026'!CB113)</f>
        <v/>
      </c>
      <c r="CA101" s="685" t="str">
        <f>IF('[1]Data 2026'!CC113="","",'[1]Data 2026'!CC113)</f>
        <v/>
      </c>
      <c r="CB101" s="685" t="str">
        <f>IF('[1]Data 2026'!CD113="","",'[1]Data 2026'!CD113)</f>
        <v/>
      </c>
      <c r="CC101" s="685" t="str">
        <f>IF('[1]Data 2026'!CE113="","",'[1]Data 2026'!CE113)</f>
        <v/>
      </c>
      <c r="CD101" s="685" t="str">
        <f>IF('[1]Data 2026'!CF113="","",'[1]Data 2026'!CF113)</f>
        <v/>
      </c>
      <c r="CE101" s="685" t="str">
        <f>IF('[1]Data 2026'!CG113="","",'[1]Data 2026'!CG113)</f>
        <v/>
      </c>
      <c r="CF101" s="685" t="str">
        <f>IF('[1]Data 2026'!CH113="","",'[1]Data 2026'!CH113)</f>
        <v/>
      </c>
      <c r="CG101" s="685" t="str">
        <f>IF('[1]Data 2026'!CI113="","",'[1]Data 2026'!CI113)</f>
        <v/>
      </c>
      <c r="CH101" s="685" t="str">
        <f>IF('[1]Data 2026'!CJ113="","",'[1]Data 2026'!CJ113)</f>
        <v/>
      </c>
      <c r="CI101" s="685" t="str">
        <f>IF('[1]Data 2026'!CK113="","",'[1]Data 2026'!CK113)</f>
        <v/>
      </c>
      <c r="CJ101" s="685" t="str">
        <f>IF('[1]Data 2026'!CM113="","",'[1]Data 2026'!CM113)</f>
        <v/>
      </c>
      <c r="CK101" s="685" t="str">
        <f>IF('[1]Data 2026'!CN113="","",'[1]Data 2026'!CN113)</f>
        <v/>
      </c>
      <c r="CL101" s="691"/>
      <c r="CM101" s="691" t="str">
        <f>IF('[1]Data 2026'!CP113="","",'[1]Data 2026'!CP113)</f>
        <v/>
      </c>
      <c r="CN101" s="691"/>
      <c r="CO101" s="419"/>
      <c r="CP101" s="419"/>
      <c r="CQ101" s="419"/>
      <c r="CR101" s="686" t="str">
        <f t="shared" si="25"/>
        <v/>
      </c>
    </row>
    <row r="102" spans="1:96">
      <c r="A102" s="682" t="e">
        <f t="shared" si="13"/>
        <v>#REF!</v>
      </c>
      <c r="B102" s="695"/>
      <c r="C102" s="684" t="e">
        <f t="shared" si="14"/>
        <v>#REF!</v>
      </c>
      <c r="D102" s="685" t="e">
        <f t="shared" si="22"/>
        <v>#REF!</v>
      </c>
      <c r="E102" s="685" t="e">
        <f t="shared" si="15"/>
        <v>#REF!</v>
      </c>
      <c r="F102" s="686" t="e">
        <f>IF('[1]Data 2026'!#REF!="","",'[1]Data 2026'!#REF!)</f>
        <v>#REF!</v>
      </c>
      <c r="G102" s="686" t="e">
        <f>IF('[1]Data 2026'!#REF!="","",'[1]Data 2026'!#REF!)</f>
        <v>#REF!</v>
      </c>
      <c r="H102" s="687" t="e">
        <f>IF('[1]Data 2026'!#REF!="","",'[1]Data 2026'!#REF!)</f>
        <v>#REF!</v>
      </c>
      <c r="I102" s="688" t="e">
        <f>IF('[1]Data 2026'!#REF!="","",'[1]Data 2026'!#REF!)</f>
        <v>#REF!</v>
      </c>
      <c r="J102" s="685" t="e">
        <f>IF('[1]Data 2026'!#REF!="","",'[1]Data 2026'!#REF!)</f>
        <v>#REF!</v>
      </c>
      <c r="K102" s="685">
        <v>46221</v>
      </c>
      <c r="L102" s="685" t="e">
        <f>IF('[1]Data 2026'!#REF!="","",'[1]Data 2026'!#REF!)</f>
        <v>#REF!</v>
      </c>
      <c r="M102" s="685" t="e">
        <f>IF('[1]Data 2026'!#REF!="","",'[1]Data 2026'!#REF!)</f>
        <v>#REF!</v>
      </c>
      <c r="N102" s="685" t="s">
        <v>1194</v>
      </c>
      <c r="O102" s="689" t="e">
        <f>IF('[1]Data 2026'!#REF!="","",'[1]Data 2026'!#REF!)</f>
        <v>#REF!</v>
      </c>
      <c r="P102" s="701" t="e">
        <f>IF('[1]Data 2026'!#REF!="","",'[1]Data 2026'!#REF!)</f>
        <v>#REF!</v>
      </c>
      <c r="Q102" s="685" t="e">
        <f>IF('[1]Data 2026'!#REF!="","",'[1]Data 2026'!#REF!)</f>
        <v>#REF!</v>
      </c>
      <c r="R102" s="685" t="e">
        <f>IF('[1]Data 2026'!#REF!="","",'[1]Data 2026'!#REF!)</f>
        <v>#REF!</v>
      </c>
      <c r="S102" s="685" t="s">
        <v>347</v>
      </c>
      <c r="T102" s="685" t="e">
        <f>IF('[1]Data 2026'!#REF!="","",'[1]Data 2026'!#REF!)</f>
        <v>#REF!</v>
      </c>
      <c r="U102" s="685" t="e">
        <f>IF('[1]Data 2026'!#REF!="","",'[1]Data 2026'!#REF!)</f>
        <v>#REF!</v>
      </c>
      <c r="V102" s="685" t="e">
        <f>IF('[1]Data 2026'!#REF!="","",'[1]Data 2026'!#REF!)</f>
        <v>#REF!</v>
      </c>
      <c r="W102" s="685" t="e">
        <f>IF('[1]Data 2026'!#REF!="","",'[1]Data 2026'!#REF!)</f>
        <v>#REF!</v>
      </c>
      <c r="X102" s="685" t="e">
        <f>IF('[1]Data 2026'!#REF!="","",'[1]Data 2026'!#REF!)</f>
        <v>#REF!</v>
      </c>
      <c r="Y102" s="685" t="e">
        <f>IF('[1]Data 2026'!#REF!="","",'[1]Data 2026'!#REF!)</f>
        <v>#REF!</v>
      </c>
      <c r="Z102" s="685" t="e">
        <f>IF('[1]Data 2026'!#REF!="","",'[1]Data 2026'!#REF!)</f>
        <v>#REF!</v>
      </c>
      <c r="AA102" s="685"/>
      <c r="AB102" s="685" t="e">
        <f>IF('[1]Data 2026'!#REF!="","",'[1]Data 2026'!#REF!)</f>
        <v>#REF!</v>
      </c>
      <c r="AC102" s="685" t="e">
        <f>IF('[1]Data 2026'!#REF!="","",'[1]Data 2026'!#REF!)</f>
        <v>#REF!</v>
      </c>
      <c r="AD102" s="691" t="e">
        <f>IF('[1]Data 2026'!#REF!="","",'[1]Data 2026'!#REF!)</f>
        <v>#REF!</v>
      </c>
      <c r="AE102" s="691" t="e">
        <f>IF('[1]Data 2026'!#REF!="","",'[1]Data 2026'!#REF!)</f>
        <v>#REF!</v>
      </c>
      <c r="AF102" s="685" t="e">
        <f>IF('[1]Data 2026'!#REF!="","",'[1]Data 2026'!#REF!)</f>
        <v>#REF!</v>
      </c>
      <c r="AG102" s="685" t="e">
        <f>IF('[1]Data 2026'!#REF!="","",'[1]Data 2026'!#REF!)</f>
        <v>#REF!</v>
      </c>
      <c r="AH102" s="686" t="e">
        <f>IF('[1]Data 2026'!#REF!="","",'[1]Data 2026'!#REF!)</f>
        <v>#REF!</v>
      </c>
      <c r="AI102" s="685" t="e">
        <f>IF('[1]Data 2026'!#REF!="","",'[1]Data 2026'!#REF!)</f>
        <v>#REF!</v>
      </c>
      <c r="AJ102" s="685" t="e">
        <f>IF('[1]Data 2026'!#REF!="","",'[1]Data 2026'!#REF!)</f>
        <v>#REF!</v>
      </c>
      <c r="AK102" s="685" t="e">
        <f>IF('[1]Data 2026'!#REF!="","",'[1]Data 2026'!#REF!)</f>
        <v>#REF!</v>
      </c>
      <c r="AL102" s="685" t="e">
        <f>IF('[1]Data 2026'!#REF!="","",'[1]Data 2026'!#REF!)</f>
        <v>#REF!</v>
      </c>
      <c r="AM102" s="692" t="e">
        <f>IF('[1]Data 2026'!#REF!="","",'[1]Data 2026'!#REF!)</f>
        <v>#REF!</v>
      </c>
      <c r="AN102" s="685" t="e">
        <f>IF('[1]Data 2026'!#REF!="","",'[1]Data 2026'!#REF!)</f>
        <v>#REF!</v>
      </c>
      <c r="AO102" s="691" t="e">
        <f>IF('[1]Data 2026'!#REF!="","",'[1]Data 2026'!#REF!)</f>
        <v>#REF!</v>
      </c>
      <c r="AP102" s="691" t="e">
        <f t="shared" si="16"/>
        <v>#REF!</v>
      </c>
      <c r="AQ102" s="685" t="e">
        <f>IF('[1]Data 2026'!#REF!="","",'[1]Data 2026'!#REF!)</f>
        <v>#REF!</v>
      </c>
      <c r="AR102" s="685" t="e">
        <f>IF('[1]Data 2026'!#REF!="","",'[1]Data 2026'!#REF!)</f>
        <v>#REF!</v>
      </c>
      <c r="AS102" s="685" t="e">
        <f>IF('[1]Data 2026'!#REF!="","",'[1]Data 2026'!#REF!)</f>
        <v>#REF!</v>
      </c>
      <c r="AT102" s="685" t="e">
        <f>IF('[1]Data 2026'!#REF!="","",'[1]Data 2026'!#REF!)</f>
        <v>#REF!</v>
      </c>
      <c r="AU102" s="685" t="e">
        <f>IF('[1]Data 2026'!#REF!="","",'[1]Data 2026'!#REF!)</f>
        <v>#REF!</v>
      </c>
      <c r="AV102" s="685" t="e">
        <f>IF('[1]Data 2026'!#REF!="","",'[1]Data 2026'!#REF!)</f>
        <v>#REF!</v>
      </c>
      <c r="AW102" s="685" t="e">
        <f>IF('[1]Data 2026'!#REF!="","",'[1]Data 2026'!#REF!)</f>
        <v>#REF!</v>
      </c>
      <c r="AX102" s="685" t="e">
        <f>IF('[1]Data 2026'!#REF!="","",'[1]Data 2026'!#REF!)</f>
        <v>#REF!</v>
      </c>
      <c r="AY102" s="685" t="e">
        <f>IF('[1]Data 2026'!#REF!="","",'[1]Data 2026'!#REF!)</f>
        <v>#REF!</v>
      </c>
      <c r="AZ102" s="685" t="e">
        <f>IF('[1]Data 2026'!#REF!="","",'[1]Data 2026'!#REF!)</f>
        <v>#REF!</v>
      </c>
      <c r="BA102" s="685" t="e">
        <f>IF('[1]Data 2026'!#REF!="","",'[1]Data 2026'!#REF!)</f>
        <v>#REF!</v>
      </c>
      <c r="BB102" s="685" t="e">
        <f>IF('[1]Data 2026'!#REF!="","",'[1]Data 2026'!#REF!)</f>
        <v>#REF!</v>
      </c>
      <c r="BC102" s="685" t="e">
        <f>IF('[1]Data 2026'!#REF!="","",'[1]Data 2026'!#REF!)</f>
        <v>#REF!</v>
      </c>
      <c r="BD102" s="685" t="e">
        <f>IF('[1]Data 2026'!#REF!="","",'[1]Data 2026'!#REF!)</f>
        <v>#REF!</v>
      </c>
      <c r="BE102" s="685" t="e">
        <f>IF('[1]Data 2026'!#REF!="","",'[1]Data 2026'!#REF!)</f>
        <v>#REF!</v>
      </c>
      <c r="BF102" s="685" t="e">
        <f>IF('[1]Data 2026'!#REF!="","",'[1]Data 2026'!#REF!)</f>
        <v>#REF!</v>
      </c>
      <c r="BG102" s="685" t="e">
        <f>IF('[1]Data 2026'!#REF!="","",'[1]Data 2026'!#REF!)</f>
        <v>#REF!</v>
      </c>
      <c r="BH102" s="685" t="e">
        <f>IF('[1]Data 2026'!#REF!="","",'[1]Data 2026'!#REF!)</f>
        <v>#REF!</v>
      </c>
      <c r="BI102" s="685" t="e">
        <f>IF('[1]Data 2026'!#REF!="","",'[1]Data 2026'!#REF!)</f>
        <v>#REF!</v>
      </c>
      <c r="BJ102" s="685" t="e">
        <f>IF('[1]Data 2026'!#REF!="","",'[1]Data 2026'!#REF!)</f>
        <v>#REF!</v>
      </c>
      <c r="BK102" s="685" t="e">
        <f>IF('[1]Data 2026'!#REF!="","",'[1]Data 2026'!#REF!)</f>
        <v>#REF!</v>
      </c>
      <c r="BL102" s="685" t="e">
        <f>IF('[1]Data 2026'!#REF!="","",'[1]Data 2026'!#REF!)</f>
        <v>#REF!</v>
      </c>
      <c r="BM102" s="685" t="e">
        <f>IF('[1]Data 2026'!#REF!="","",'[1]Data 2026'!#REF!)</f>
        <v>#REF!</v>
      </c>
      <c r="BN102" s="685" t="e">
        <f>IF('[1]Data 2026'!#REF!="","",'[1]Data 2026'!#REF!)</f>
        <v>#REF!</v>
      </c>
      <c r="BO102" s="685" t="e">
        <f>IF('[1]Data 2026'!#REF!="","",'[1]Data 2026'!#REF!)</f>
        <v>#REF!</v>
      </c>
      <c r="BP102" s="685" t="e">
        <f>IF('[1]Data 2026'!#REF!="","",'[1]Data 2026'!#REF!)</f>
        <v>#REF!</v>
      </c>
      <c r="BQ102" s="685" t="e">
        <f>IF('[1]Data 2026'!#REF!="","",'[1]Data 2026'!#REF!)</f>
        <v>#REF!</v>
      </c>
      <c r="BR102" s="685" t="e">
        <f>IF('[1]Data 2026'!#REF!="","",'[1]Data 2026'!#REF!)</f>
        <v>#REF!</v>
      </c>
      <c r="BS102" s="685" t="e">
        <f>IF('[1]Data 2026'!#REF!="","",'[1]Data 2026'!#REF!)</f>
        <v>#REF!</v>
      </c>
      <c r="BT102" s="685" t="e">
        <f>IF('[1]Data 2026'!#REF!="","",'[1]Data 2026'!#REF!)</f>
        <v>#REF!</v>
      </c>
      <c r="BU102" s="685" t="e">
        <f>IF('[1]Data 2026'!#REF!="","",'[1]Data 2026'!#REF!)</f>
        <v>#REF!</v>
      </c>
      <c r="BV102" s="685" t="e">
        <f>IF('[1]Data 2026'!#REF!="","",'[1]Data 2026'!#REF!)</f>
        <v>#REF!</v>
      </c>
      <c r="BW102" s="685" t="e">
        <f>IF('[1]Data 2026'!#REF!="","",'[1]Data 2026'!#REF!)</f>
        <v>#REF!</v>
      </c>
      <c r="BX102" s="685" t="e">
        <f>IF('[1]Data 2026'!#REF!="","",'[1]Data 2026'!#REF!)</f>
        <v>#REF!</v>
      </c>
      <c r="BY102" s="685" t="e">
        <f>IF('[1]Data 2026'!#REF!="","",'[1]Data 2026'!#REF!)</f>
        <v>#REF!</v>
      </c>
      <c r="BZ102" s="685" t="e">
        <f>IF('[1]Data 2026'!#REF!="","",'[1]Data 2026'!#REF!)</f>
        <v>#REF!</v>
      </c>
      <c r="CA102" s="685" t="e">
        <f>IF('[1]Data 2026'!#REF!="","",'[1]Data 2026'!#REF!)</f>
        <v>#REF!</v>
      </c>
      <c r="CB102" s="685" t="e">
        <f>IF('[1]Data 2026'!#REF!="","",'[1]Data 2026'!#REF!)</f>
        <v>#REF!</v>
      </c>
      <c r="CC102" s="685" t="e">
        <f>IF('[1]Data 2026'!#REF!="","",'[1]Data 2026'!#REF!)</f>
        <v>#REF!</v>
      </c>
      <c r="CD102" s="685" t="e">
        <f>IF('[1]Data 2026'!#REF!="","",'[1]Data 2026'!#REF!)</f>
        <v>#REF!</v>
      </c>
      <c r="CE102" s="685" t="e">
        <f>IF('[1]Data 2026'!#REF!="","",'[1]Data 2026'!#REF!)</f>
        <v>#REF!</v>
      </c>
      <c r="CF102" s="685" t="e">
        <f>IF('[1]Data 2026'!#REF!="","",'[1]Data 2026'!#REF!)</f>
        <v>#REF!</v>
      </c>
      <c r="CG102" s="685" t="e">
        <f>IF('[1]Data 2026'!#REF!="","",'[1]Data 2026'!#REF!)</f>
        <v>#REF!</v>
      </c>
      <c r="CH102" s="685" t="e">
        <f>IF('[1]Data 2026'!#REF!="","",'[1]Data 2026'!#REF!)</f>
        <v>#REF!</v>
      </c>
      <c r="CI102" s="685" t="e">
        <f>IF('[1]Data 2026'!#REF!="","",'[1]Data 2026'!#REF!)</f>
        <v>#REF!</v>
      </c>
      <c r="CJ102" s="685" t="e">
        <f>IF('[1]Data 2026'!#REF!="","",'[1]Data 2026'!#REF!)</f>
        <v>#REF!</v>
      </c>
      <c r="CK102" s="685" t="e">
        <f>IF('[1]Data 2026'!#REF!="","",'[1]Data 2026'!#REF!)</f>
        <v>#REF!</v>
      </c>
      <c r="CL102" s="691"/>
      <c r="CM102" s="691" t="e">
        <f>IF('[1]Data 2026'!#REF!="","",'[1]Data 2026'!#REF!)</f>
        <v>#REF!</v>
      </c>
      <c r="CN102" s="691"/>
      <c r="CO102" s="419"/>
      <c r="CP102" s="419"/>
      <c r="CQ102" s="419"/>
      <c r="CR102" s="686" t="str">
        <f t="shared" si="25"/>
        <v/>
      </c>
    </row>
    <row r="103" spans="1:96">
      <c r="A103" s="682" t="str">
        <f t="shared" si="13"/>
        <v>A. BOOKING PENDING</v>
      </c>
      <c r="B103" s="695"/>
      <c r="C103" s="684" t="str">
        <f t="shared" si="14"/>
        <v>SHORT POSITION</v>
      </c>
      <c r="D103" s="685" t="str">
        <f t="shared" si="22"/>
        <v/>
      </c>
      <c r="E103" s="685" t="str">
        <f t="shared" si="15"/>
        <v/>
      </c>
      <c r="F103" s="686">
        <f>IF('[1]Data 2026'!D114="","",'[1]Data 2026'!D114)</f>
        <v>44</v>
      </c>
      <c r="G103" s="686">
        <f>IF('[1]Data 2026'!E114="","",'[1]Data 2026'!E114)</f>
        <v>200</v>
      </c>
      <c r="H103" s="687" t="str">
        <f>IF('[1]Data 2026'!H114="","",'[1]Data 2026'!H114)</f>
        <v>32016406-1</v>
      </c>
      <c r="I103" s="688">
        <f>IF('[1]Data 2026'!AA114="","",'[1]Data 2026'!AA114)</f>
        <v>250</v>
      </c>
      <c r="J103" s="685" t="str">
        <f>IF('[1]Data 2026'!K114="","",'[1]Data 2026'!K114)</f>
        <v>JUNE/JULY 2026</v>
      </c>
      <c r="K103" s="685">
        <v>46222</v>
      </c>
      <c r="L103" s="685" t="str">
        <f>IF('[1]Data 2026'!L114="","",'[1]Data 2026'!L114)</f>
        <v>VALENCY CI</v>
      </c>
      <c r="M103" s="685" t="str">
        <f>IF('[1]Data 2026'!M114="","",'[1]Data 2026'!M114)</f>
        <v>HOANG SON I JOINT STOCK COMPANY</v>
      </c>
      <c r="N103" s="685" t="s">
        <v>1194</v>
      </c>
      <c r="O103" s="689" t="str">
        <f>IF('[1]Data 2026'!N114="","",'[1]Data 2026'!N114)</f>
        <v/>
      </c>
      <c r="P103" s="701" t="str">
        <f>IF('[1]Data 2026'!O114="","",'[1]Data 2026'!O114)</f>
        <v/>
      </c>
      <c r="Q103" s="685" t="str">
        <f>IF('[1]Data 2026'!P114="","",'[1]Data 2026'!P114)</f>
        <v/>
      </c>
      <c r="R103" s="685" t="str">
        <f>IF('[1]Data 2026'!Q114="","",'[1]Data 2026'!Q114)</f>
        <v>ABJ</v>
      </c>
      <c r="S103" s="685" t="s">
        <v>347</v>
      </c>
      <c r="T103" s="685" t="str">
        <f>IF('[1]Data 2026'!R114="","",'[1]Data 2026'!R114)</f>
        <v>HCMC, VIETNAM</v>
      </c>
      <c r="U103" s="685" t="str">
        <f>IF('[1]Data 2026'!S114="","",'[1]Data 2026'!S114)</f>
        <v/>
      </c>
      <c r="V103" s="685" t="str">
        <f>IF('[1]Data 2026'!T114="","",'[1]Data 2026'!T114)</f>
        <v/>
      </c>
      <c r="W103" s="685" t="str">
        <f>IF('[1]Data 2026'!U114="","",'[1]Data 2026'!U114)</f>
        <v/>
      </c>
      <c r="X103" s="685" t="str">
        <f>IF('[1]Data 2026'!V114="","",'[1]Data 2026'!V114)</f>
        <v/>
      </c>
      <c r="Y103" s="685" t="str">
        <f>IF('[1]Data 2026'!W114="","",'[1]Data 2026'!W114)</f>
        <v/>
      </c>
      <c r="Z103" s="685" t="str">
        <f>IF('[1]Data 2026'!X114="","",'[1]Data 2026'!X114)</f>
        <v/>
      </c>
      <c r="AA103" s="685"/>
      <c r="AB103" s="685" t="str">
        <f>IF('[1]Data 2026'!Y114="","",'[1]Data 2026'!Y114)</f>
        <v/>
      </c>
      <c r="AC103" s="685" t="str">
        <f>IF('[1]Data 2026'!Z114="","",'[1]Data 2026'!Z114)</f>
        <v/>
      </c>
      <c r="AD103" s="691">
        <f>IF('[1]Data 2026'!AA114="","",'[1]Data 2026'!AA114)</f>
        <v>250</v>
      </c>
      <c r="AE103" s="691">
        <f>IF('[1]Data 2026'!AB114="","",'[1]Data 2026'!AB114)</f>
        <v>250</v>
      </c>
      <c r="AF103" s="685">
        <f>IF('[1]Data 2026'!AC114="","",'[1]Data 2026'!AC114)</f>
        <v>45838</v>
      </c>
      <c r="AG103" s="685" t="str">
        <f>IF('[1]Data 2026'!AD114="","",'[1]Data 2026'!AD114)</f>
        <v/>
      </c>
      <c r="AH103" s="686">
        <f>IF('[1]Data 2026'!AE114="","",'[1]Data 2026'!AE114)</f>
        <v>10</v>
      </c>
      <c r="AI103" s="685" t="str">
        <f>IF('[1]Data 2026'!AG114="","",'[1]Data 2026'!AG114)</f>
        <v/>
      </c>
      <c r="AJ103" s="685" t="str">
        <f>IF('[1]Data 2026'!AH114="","",'[1]Data 2026'!AH114)</f>
        <v>TBA</v>
      </c>
      <c r="AK103" s="685" t="str">
        <f>IF('[1]Data 2026'!AI114="","",'[1]Data 2026'!AI114)</f>
        <v>TBA</v>
      </c>
      <c r="AL103" s="685" t="str">
        <f>IF('[1]Data 2026'!AJ114="","",'[1]Data 2026'!AJ114)</f>
        <v>40FT</v>
      </c>
      <c r="AM103" s="692">
        <f>IF('[1]Data 2026'!AK114="","",'[1]Data 2026'!AK114)</f>
        <v>0.1</v>
      </c>
      <c r="AN103" s="685" t="str">
        <f>IF('[1]Data 2026'!AL114="","",'[1]Data 2026'!AL114)</f>
        <v>(01x250MTS)</v>
      </c>
      <c r="AO103" s="691">
        <f>IF('[1]Data 2026'!AM114="","",'[1]Data 2026'!AM114)</f>
        <v>275</v>
      </c>
      <c r="AP103" s="691" t="str">
        <f t="shared" si="16"/>
        <v/>
      </c>
      <c r="AQ103" s="685" t="str">
        <f>IF('[1]Data 2026'!AO114="","",'[1]Data 2026'!AO114)</f>
        <v/>
      </c>
      <c r="AR103" s="685" t="str">
        <f>IF('[1]Data 2026'!AP114="","",'[1]Data 2026'!AP114)</f>
        <v/>
      </c>
      <c r="AS103" s="685" t="str">
        <f>IF('[1]Data 2026'!AQ114="","",'[1]Data 2026'!AQ114)</f>
        <v/>
      </c>
      <c r="AT103" s="685" t="str">
        <f>IF('[1]Data 2026'!AR114="","",'[1]Data 2026'!AR114)</f>
        <v/>
      </c>
      <c r="AU103" s="685" t="str">
        <f>IF('[1]Data 2026'!AW114="","",'[1]Data 2026'!AW114)</f>
        <v/>
      </c>
      <c r="AV103" s="685" t="str">
        <f>IF('[1]Data 2026'!AX114="","",'[1]Data 2026'!AX114)</f>
        <v/>
      </c>
      <c r="AW103" s="685" t="str">
        <f>IF('[1]Data 2026'!AY114="","",'[1]Data 2026'!AY114)</f>
        <v/>
      </c>
      <c r="AX103" s="685" t="str">
        <f>IF('[1]Data 2026'!AZ114="","",'[1]Data 2026'!AZ114)</f>
        <v/>
      </c>
      <c r="AY103" s="685" t="str">
        <f>IF('[1]Data 2026'!BA114="","",'[1]Data 2026'!BA114)</f>
        <v/>
      </c>
      <c r="AZ103" s="685" t="str">
        <f>IF('[1]Data 2026'!AS114="","",'[1]Data 2026'!AS114)</f>
        <v/>
      </c>
      <c r="BA103" s="685" t="str">
        <f>IF('[1]Data 2026'!AT114="","",'[1]Data 2026'!AT114)</f>
        <v/>
      </c>
      <c r="BB103" s="685" t="str">
        <f>IF('[1]Data 2026'!AU114="","",'[1]Data 2026'!AU114)</f>
        <v/>
      </c>
      <c r="BC103" s="685" t="str">
        <f>IF('[1]Data 2026'!AV114="","",'[1]Data 2026'!AV114)</f>
        <v/>
      </c>
      <c r="BD103" s="685" t="str">
        <f>IF('[1]Data 2026'!AW114="","",'[1]Data 2026'!AW114)</f>
        <v/>
      </c>
      <c r="BE103" s="685" t="str">
        <f>IF('[1]Data 2026'!AX114="","",'[1]Data 2026'!AX114)</f>
        <v/>
      </c>
      <c r="BF103" s="685" t="str">
        <f>IF('[1]Data 2026'!BF114="","",'[1]Data 2026'!BF114)</f>
        <v/>
      </c>
      <c r="BG103" s="685" t="str">
        <f>IF('[1]Data 2026'!BG114="","",'[1]Data 2026'!BG114)</f>
        <v/>
      </c>
      <c r="BH103" s="685" t="str">
        <f>IF('[1]Data 2026'!BH114="","",'[1]Data 2026'!BH114)</f>
        <v/>
      </c>
      <c r="BI103" s="685" t="str">
        <f>IF('[1]Data 2026'!BI114="","",'[1]Data 2026'!BI114)</f>
        <v/>
      </c>
      <c r="BJ103" s="685" t="str">
        <f>IF('[1]Data 2026'!BJ114="","",'[1]Data 2026'!BJ114)</f>
        <v/>
      </c>
      <c r="BK103" s="685" t="str">
        <f>IF('[1]Data 2026'!BK114="","",'[1]Data 2026'!BK114)</f>
        <v/>
      </c>
      <c r="BL103" s="685" t="str">
        <f>IF('[1]Data 2026'!BL114="","",'[1]Data 2026'!BL114)</f>
        <v/>
      </c>
      <c r="BM103" s="685" t="str">
        <f>IF('[1]Data 2026'!BM114="","",'[1]Data 2026'!BM114)</f>
        <v/>
      </c>
      <c r="BN103" s="685" t="str">
        <f>IF('[1]Data 2026'!BN114="","",'[1]Data 2026'!BN114)</f>
        <v/>
      </c>
      <c r="BO103" s="685" t="str">
        <f>IF('[1]Data 2026'!BO114="","",'[1]Data 2026'!BO114)</f>
        <v/>
      </c>
      <c r="BP103" s="685" t="str">
        <f>IF('[1]Data 2026'!BP114="","",'[1]Data 2026'!BP114)</f>
        <v/>
      </c>
      <c r="BQ103" s="685" t="str">
        <f>IF('[1]Data 2026'!BQ114="","",'[1]Data 2026'!BQ114)</f>
        <v/>
      </c>
      <c r="BR103" s="685" t="str">
        <f>IF('[1]Data 2026'!BR114="","",'[1]Data 2026'!BR114)</f>
        <v/>
      </c>
      <c r="BS103" s="685" t="str">
        <f>IF('[1]Data 2026'!BS114="","",'[1]Data 2026'!BS114)</f>
        <v/>
      </c>
      <c r="BT103" s="685" t="str">
        <f>IF('[1]Data 2026'!BV114="","",'[1]Data 2026'!BV114)</f>
        <v/>
      </c>
      <c r="BU103" s="685" t="str">
        <f>IF('[1]Data 2026'!BW114="","",'[1]Data 2026'!BW114)</f>
        <v/>
      </c>
      <c r="BV103" s="685" t="str">
        <f>IF('[1]Data 2026'!BX114="","",'[1]Data 2026'!BX114)</f>
        <v/>
      </c>
      <c r="BW103" s="685" t="str">
        <f>IF('[1]Data 2026'!BY114="","",'[1]Data 2026'!BY114)</f>
        <v/>
      </c>
      <c r="BX103" s="685" t="str">
        <f>IF('[1]Data 2026'!BZ114="","",'[1]Data 2026'!BZ114)</f>
        <v/>
      </c>
      <c r="BY103" s="685" t="str">
        <f>IF('[1]Data 2026'!CA114="","",'[1]Data 2026'!CA114)</f>
        <v/>
      </c>
      <c r="BZ103" s="685" t="str">
        <f>IF('[1]Data 2026'!CB114="","",'[1]Data 2026'!CB114)</f>
        <v/>
      </c>
      <c r="CA103" s="685" t="str">
        <f>IF('[1]Data 2026'!CC114="","",'[1]Data 2026'!CC114)</f>
        <v/>
      </c>
      <c r="CB103" s="685" t="str">
        <f>IF('[1]Data 2026'!CD114="","",'[1]Data 2026'!CD114)</f>
        <v/>
      </c>
      <c r="CC103" s="685" t="str">
        <f>IF('[1]Data 2026'!CE114="","",'[1]Data 2026'!CE114)</f>
        <v/>
      </c>
      <c r="CD103" s="685" t="str">
        <f>IF('[1]Data 2026'!CF114="","",'[1]Data 2026'!CF114)</f>
        <v/>
      </c>
      <c r="CE103" s="685" t="str">
        <f>IF('[1]Data 2026'!CG114="","",'[1]Data 2026'!CG114)</f>
        <v/>
      </c>
      <c r="CF103" s="685" t="str">
        <f>IF('[1]Data 2026'!CH114="","",'[1]Data 2026'!CH114)</f>
        <v/>
      </c>
      <c r="CG103" s="685" t="str">
        <f>IF('[1]Data 2026'!CI114="","",'[1]Data 2026'!CI114)</f>
        <v/>
      </c>
      <c r="CH103" s="685" t="str">
        <f>IF('[1]Data 2026'!CJ114="","",'[1]Data 2026'!CJ114)</f>
        <v/>
      </c>
      <c r="CI103" s="685" t="str">
        <f>IF('[1]Data 2026'!CK114="","",'[1]Data 2026'!CK114)</f>
        <v/>
      </c>
      <c r="CJ103" s="685" t="str">
        <f>IF('[1]Data 2026'!CM114="","",'[1]Data 2026'!CM114)</f>
        <v/>
      </c>
      <c r="CK103" s="685" t="str">
        <f>IF('[1]Data 2026'!CN114="","",'[1]Data 2026'!CN114)</f>
        <v/>
      </c>
      <c r="CL103" s="691"/>
      <c r="CM103" s="691" t="str">
        <f>IF('[1]Data 2026'!CP114="","",'[1]Data 2026'!CP114)</f>
        <v/>
      </c>
      <c r="CN103" s="691"/>
      <c r="CO103" s="419"/>
      <c r="CP103" s="419"/>
      <c r="CQ103" s="419"/>
      <c r="CR103" s="686" t="str">
        <f t="shared" si="25"/>
        <v/>
      </c>
    </row>
    <row r="104" spans="1:96">
      <c r="A104" s="682" t="str">
        <f t="shared" si="13"/>
        <v>A. BOOKING PENDING</v>
      </c>
      <c r="B104" s="695"/>
      <c r="C104" s="684" t="str">
        <f t="shared" si="14"/>
        <v>SHORT POSITION</v>
      </c>
      <c r="D104" s="685" t="str">
        <f t="shared" si="22"/>
        <v/>
      </c>
      <c r="E104" s="685" t="str">
        <f t="shared" si="15"/>
        <v/>
      </c>
      <c r="F104" s="686">
        <f>IF('[1]Data 2026'!D115="","",'[1]Data 2026'!D115)</f>
        <v>44</v>
      </c>
      <c r="G104" s="686">
        <f>IF('[1]Data 2026'!E115="","",'[1]Data 2026'!E115)</f>
        <v>200</v>
      </c>
      <c r="H104" s="687" t="str">
        <f>IF('[1]Data 2026'!H115="","",'[1]Data 2026'!H115)</f>
        <v>32016406-2</v>
      </c>
      <c r="I104" s="688">
        <f>IF('[1]Data 2026'!AA115="","",'[1]Data 2026'!AA115)</f>
        <v>250</v>
      </c>
      <c r="J104" s="685" t="str">
        <f>IF('[1]Data 2026'!K115="","",'[1]Data 2026'!K115)</f>
        <v>JUNE/JULY 2026</v>
      </c>
      <c r="K104" s="685">
        <v>46223</v>
      </c>
      <c r="L104" s="685" t="str">
        <f>IF('[1]Data 2026'!L115="","",'[1]Data 2026'!L115)</f>
        <v>VALENCY CI</v>
      </c>
      <c r="M104" s="685" t="str">
        <f>IF('[1]Data 2026'!M115="","",'[1]Data 2026'!M115)</f>
        <v>HOANG SON I JOINT STOCK COMPANY</v>
      </c>
      <c r="N104" s="685" t="s">
        <v>1194</v>
      </c>
      <c r="O104" s="689" t="str">
        <f>IF('[1]Data 2026'!N115="","",'[1]Data 2026'!N115)</f>
        <v/>
      </c>
      <c r="P104" s="701" t="str">
        <f>IF('[1]Data 2026'!O115="","",'[1]Data 2026'!O115)</f>
        <v/>
      </c>
      <c r="Q104" s="685" t="str">
        <f>IF('[1]Data 2026'!P115="","",'[1]Data 2026'!P115)</f>
        <v/>
      </c>
      <c r="R104" s="685" t="str">
        <f>IF('[1]Data 2026'!Q115="","",'[1]Data 2026'!Q115)</f>
        <v>ABJ</v>
      </c>
      <c r="S104" s="685" t="s">
        <v>347</v>
      </c>
      <c r="T104" s="685" t="str">
        <f>IF('[1]Data 2026'!R115="","",'[1]Data 2026'!R115)</f>
        <v>HCMC, VIETNAM</v>
      </c>
      <c r="U104" s="685" t="str">
        <f>IF('[1]Data 2026'!S115="","",'[1]Data 2026'!S115)</f>
        <v/>
      </c>
      <c r="V104" s="685" t="str">
        <f>IF('[1]Data 2026'!T115="","",'[1]Data 2026'!T115)</f>
        <v/>
      </c>
      <c r="W104" s="685" t="str">
        <f>IF('[1]Data 2026'!U115="","",'[1]Data 2026'!U115)</f>
        <v/>
      </c>
      <c r="X104" s="685" t="str">
        <f>IF('[1]Data 2026'!V115="","",'[1]Data 2026'!V115)</f>
        <v/>
      </c>
      <c r="Y104" s="685" t="str">
        <f>IF('[1]Data 2026'!W115="","",'[1]Data 2026'!W115)</f>
        <v/>
      </c>
      <c r="Z104" s="685" t="str">
        <f>IF('[1]Data 2026'!X115="","",'[1]Data 2026'!X115)</f>
        <v/>
      </c>
      <c r="AA104" s="685"/>
      <c r="AB104" s="685" t="str">
        <f>IF('[1]Data 2026'!Y115="","",'[1]Data 2026'!Y115)</f>
        <v/>
      </c>
      <c r="AC104" s="685" t="str">
        <f>IF('[1]Data 2026'!Z115="","",'[1]Data 2026'!Z115)</f>
        <v/>
      </c>
      <c r="AD104" s="691">
        <f>IF('[1]Data 2026'!AA115="","",'[1]Data 2026'!AA115)</f>
        <v>250</v>
      </c>
      <c r="AE104" s="691">
        <f>IF('[1]Data 2026'!AB115="","",'[1]Data 2026'!AB115)</f>
        <v>250</v>
      </c>
      <c r="AF104" s="685">
        <f>IF('[1]Data 2026'!AC115="","",'[1]Data 2026'!AC115)</f>
        <v>45838</v>
      </c>
      <c r="AG104" s="685" t="str">
        <f>IF('[1]Data 2026'!AD115="","",'[1]Data 2026'!AD115)</f>
        <v/>
      </c>
      <c r="AH104" s="686">
        <f>IF('[1]Data 2026'!AE115="","",'[1]Data 2026'!AE115)</f>
        <v>10</v>
      </c>
      <c r="AI104" s="685" t="str">
        <f>IF('[1]Data 2026'!AG115="","",'[1]Data 2026'!AG115)</f>
        <v/>
      </c>
      <c r="AJ104" s="685" t="str">
        <f>IF('[1]Data 2026'!AH115="","",'[1]Data 2026'!AH115)</f>
        <v>TBA</v>
      </c>
      <c r="AK104" s="685" t="str">
        <f>IF('[1]Data 2026'!AI115="","",'[1]Data 2026'!AI115)</f>
        <v>TBA</v>
      </c>
      <c r="AL104" s="685" t="str">
        <f>IF('[1]Data 2026'!AJ115="","",'[1]Data 2026'!AJ115)</f>
        <v>40FT</v>
      </c>
      <c r="AM104" s="692">
        <f>IF('[1]Data 2026'!AK115="","",'[1]Data 2026'!AK115)</f>
        <v>0.1</v>
      </c>
      <c r="AN104" s="685" t="str">
        <f>IF('[1]Data 2026'!AL115="","",'[1]Data 2026'!AL115)</f>
        <v>(01x250MTS)</v>
      </c>
      <c r="AO104" s="691">
        <f>IF('[1]Data 2026'!AM115="","",'[1]Data 2026'!AM115)</f>
        <v>275</v>
      </c>
      <c r="AP104" s="691" t="str">
        <f t="shared" si="16"/>
        <v/>
      </c>
      <c r="AQ104" s="685" t="str">
        <f>IF('[1]Data 2026'!AO115="","",'[1]Data 2026'!AO115)</f>
        <v/>
      </c>
      <c r="AR104" s="685" t="str">
        <f>IF('[1]Data 2026'!AP115="","",'[1]Data 2026'!AP115)</f>
        <v/>
      </c>
      <c r="AS104" s="685" t="str">
        <f>IF('[1]Data 2026'!AQ115="","",'[1]Data 2026'!AQ115)</f>
        <v/>
      </c>
      <c r="AT104" s="685" t="str">
        <f>IF('[1]Data 2026'!AR115="","",'[1]Data 2026'!AR115)</f>
        <v/>
      </c>
      <c r="AU104" s="685" t="str">
        <f>IF('[1]Data 2026'!AW115="","",'[1]Data 2026'!AW115)</f>
        <v/>
      </c>
      <c r="AV104" s="685" t="str">
        <f>IF('[1]Data 2026'!AX115="","",'[1]Data 2026'!AX115)</f>
        <v/>
      </c>
      <c r="AW104" s="685" t="str">
        <f>IF('[1]Data 2026'!AY115="","",'[1]Data 2026'!AY115)</f>
        <v/>
      </c>
      <c r="AX104" s="685" t="str">
        <f>IF('[1]Data 2026'!AZ115="","",'[1]Data 2026'!AZ115)</f>
        <v/>
      </c>
      <c r="AY104" s="685" t="str">
        <f>IF('[1]Data 2026'!BA115="","",'[1]Data 2026'!BA115)</f>
        <v/>
      </c>
      <c r="AZ104" s="685" t="str">
        <f>IF('[1]Data 2026'!AS115="","",'[1]Data 2026'!AS115)</f>
        <v/>
      </c>
      <c r="BA104" s="685" t="str">
        <f>IF('[1]Data 2026'!AT115="","",'[1]Data 2026'!AT115)</f>
        <v/>
      </c>
      <c r="BB104" s="685" t="str">
        <f>IF('[1]Data 2026'!AU115="","",'[1]Data 2026'!AU115)</f>
        <v/>
      </c>
      <c r="BC104" s="685" t="str">
        <f>IF('[1]Data 2026'!AV115="","",'[1]Data 2026'!AV115)</f>
        <v/>
      </c>
      <c r="BD104" s="685" t="str">
        <f>IF('[1]Data 2026'!AW115="","",'[1]Data 2026'!AW115)</f>
        <v/>
      </c>
      <c r="BE104" s="685" t="str">
        <f>IF('[1]Data 2026'!AX115="","",'[1]Data 2026'!AX115)</f>
        <v/>
      </c>
      <c r="BF104" s="685" t="str">
        <f>IF('[1]Data 2026'!BF115="","",'[1]Data 2026'!BF115)</f>
        <v/>
      </c>
      <c r="BG104" s="685" t="str">
        <f>IF('[1]Data 2026'!BG115="","",'[1]Data 2026'!BG115)</f>
        <v/>
      </c>
      <c r="BH104" s="685" t="str">
        <f>IF('[1]Data 2026'!BH115="","",'[1]Data 2026'!BH115)</f>
        <v/>
      </c>
      <c r="BI104" s="685" t="str">
        <f>IF('[1]Data 2026'!BI115="","",'[1]Data 2026'!BI115)</f>
        <v/>
      </c>
      <c r="BJ104" s="685" t="str">
        <f>IF('[1]Data 2026'!BJ115="","",'[1]Data 2026'!BJ115)</f>
        <v/>
      </c>
      <c r="BK104" s="685" t="str">
        <f>IF('[1]Data 2026'!BK115="","",'[1]Data 2026'!BK115)</f>
        <v/>
      </c>
      <c r="BL104" s="685" t="str">
        <f>IF('[1]Data 2026'!BL115="","",'[1]Data 2026'!BL115)</f>
        <v/>
      </c>
      <c r="BM104" s="685" t="str">
        <f>IF('[1]Data 2026'!BM115="","",'[1]Data 2026'!BM115)</f>
        <v/>
      </c>
      <c r="BN104" s="685" t="str">
        <f>IF('[1]Data 2026'!BN115="","",'[1]Data 2026'!BN115)</f>
        <v/>
      </c>
      <c r="BO104" s="685" t="str">
        <f>IF('[1]Data 2026'!BO115="","",'[1]Data 2026'!BO115)</f>
        <v/>
      </c>
      <c r="BP104" s="685" t="str">
        <f>IF('[1]Data 2026'!BP115="","",'[1]Data 2026'!BP115)</f>
        <v/>
      </c>
      <c r="BQ104" s="685" t="str">
        <f>IF('[1]Data 2026'!BQ115="","",'[1]Data 2026'!BQ115)</f>
        <v/>
      </c>
      <c r="BR104" s="685" t="str">
        <f>IF('[1]Data 2026'!BR115="","",'[1]Data 2026'!BR115)</f>
        <v/>
      </c>
      <c r="BS104" s="685" t="str">
        <f>IF('[1]Data 2026'!BS115="","",'[1]Data 2026'!BS115)</f>
        <v/>
      </c>
      <c r="BT104" s="685" t="str">
        <f>IF('[1]Data 2026'!BV115="","",'[1]Data 2026'!BV115)</f>
        <v/>
      </c>
      <c r="BU104" s="685" t="str">
        <f>IF('[1]Data 2026'!BW115="","",'[1]Data 2026'!BW115)</f>
        <v/>
      </c>
      <c r="BV104" s="685" t="str">
        <f>IF('[1]Data 2026'!BX115="","",'[1]Data 2026'!BX115)</f>
        <v/>
      </c>
      <c r="BW104" s="685" t="str">
        <f>IF('[1]Data 2026'!BY115="","",'[1]Data 2026'!BY115)</f>
        <v/>
      </c>
      <c r="BX104" s="685" t="str">
        <f>IF('[1]Data 2026'!BZ115="","",'[1]Data 2026'!BZ115)</f>
        <v/>
      </c>
      <c r="BY104" s="685" t="str">
        <f>IF('[1]Data 2026'!CA115="","",'[1]Data 2026'!CA115)</f>
        <v/>
      </c>
      <c r="BZ104" s="685" t="str">
        <f>IF('[1]Data 2026'!CB115="","",'[1]Data 2026'!CB115)</f>
        <v/>
      </c>
      <c r="CA104" s="685" t="str">
        <f>IF('[1]Data 2026'!CC115="","",'[1]Data 2026'!CC115)</f>
        <v/>
      </c>
      <c r="CB104" s="685" t="str">
        <f>IF('[1]Data 2026'!CD115="","",'[1]Data 2026'!CD115)</f>
        <v/>
      </c>
      <c r="CC104" s="685" t="str">
        <f>IF('[1]Data 2026'!CE115="","",'[1]Data 2026'!CE115)</f>
        <v/>
      </c>
      <c r="CD104" s="685" t="str">
        <f>IF('[1]Data 2026'!CF115="","",'[1]Data 2026'!CF115)</f>
        <v/>
      </c>
      <c r="CE104" s="685" t="str">
        <f>IF('[1]Data 2026'!CG115="","",'[1]Data 2026'!CG115)</f>
        <v/>
      </c>
      <c r="CF104" s="685" t="str">
        <f>IF('[1]Data 2026'!CH115="","",'[1]Data 2026'!CH115)</f>
        <v/>
      </c>
      <c r="CG104" s="685" t="str">
        <f>IF('[1]Data 2026'!CI115="","",'[1]Data 2026'!CI115)</f>
        <v/>
      </c>
      <c r="CH104" s="685" t="str">
        <f>IF('[1]Data 2026'!CJ115="","",'[1]Data 2026'!CJ115)</f>
        <v/>
      </c>
      <c r="CI104" s="685" t="str">
        <f>IF('[1]Data 2026'!CK115="","",'[1]Data 2026'!CK115)</f>
        <v/>
      </c>
      <c r="CJ104" s="685" t="str">
        <f>IF('[1]Data 2026'!CM115="","",'[1]Data 2026'!CM115)</f>
        <v/>
      </c>
      <c r="CK104" s="685" t="str">
        <f>IF('[1]Data 2026'!CN115="","",'[1]Data 2026'!CN115)</f>
        <v/>
      </c>
      <c r="CL104" s="691"/>
      <c r="CM104" s="691" t="str">
        <f>IF('[1]Data 2026'!CP115="","",'[1]Data 2026'!CP115)</f>
        <v/>
      </c>
      <c r="CN104" s="691"/>
      <c r="CO104" s="419"/>
      <c r="CP104" s="419"/>
      <c r="CQ104" s="419"/>
      <c r="CR104" s="686" t="str">
        <f t="shared" si="25"/>
        <v/>
      </c>
    </row>
    <row r="105" spans="1:96">
      <c r="A105" s="682" t="str">
        <f t="shared" si="13"/>
        <v>A. BOOKING PENDING</v>
      </c>
      <c r="B105" s="695"/>
      <c r="C105" s="684" t="str">
        <f t="shared" si="14"/>
        <v>SHORT POSITION</v>
      </c>
      <c r="D105" s="685" t="str">
        <f t="shared" si="22"/>
        <v/>
      </c>
      <c r="E105" s="685" t="str">
        <f t="shared" si="15"/>
        <v/>
      </c>
      <c r="F105" s="686">
        <f>IF('[1]Data 2026'!D116="","",'[1]Data 2026'!D116)</f>
        <v>44</v>
      </c>
      <c r="G105" s="686">
        <f>IF('[1]Data 2026'!E116="","",'[1]Data 2026'!E116)</f>
        <v>200</v>
      </c>
      <c r="H105" s="687" t="str">
        <f>IF('[1]Data 2026'!H116="","",'[1]Data 2026'!H116)</f>
        <v>32016406-3</v>
      </c>
      <c r="I105" s="688">
        <f>IF('[1]Data 2026'!AA116="","",'[1]Data 2026'!AA116)</f>
        <v>250</v>
      </c>
      <c r="J105" s="685" t="str">
        <f>IF('[1]Data 2026'!K116="","",'[1]Data 2026'!K116)</f>
        <v>JUNE/JULY 2026</v>
      </c>
      <c r="K105" s="685">
        <v>46224</v>
      </c>
      <c r="L105" s="685" t="str">
        <f>IF('[1]Data 2026'!L116="","",'[1]Data 2026'!L116)</f>
        <v>VALENCY CI</v>
      </c>
      <c r="M105" s="685" t="str">
        <f>IF('[1]Data 2026'!M116="","",'[1]Data 2026'!M116)</f>
        <v>HOANG SON I JOINT STOCK COMPANY</v>
      </c>
      <c r="N105" s="685" t="s">
        <v>1194</v>
      </c>
      <c r="O105" s="689" t="str">
        <f>IF('[1]Data 2026'!N116="","",'[1]Data 2026'!N116)</f>
        <v/>
      </c>
      <c r="P105" s="701" t="str">
        <f>IF('[1]Data 2026'!O116="","",'[1]Data 2026'!O116)</f>
        <v/>
      </c>
      <c r="Q105" s="685" t="str">
        <f>IF('[1]Data 2026'!P116="","",'[1]Data 2026'!P116)</f>
        <v/>
      </c>
      <c r="R105" s="685" t="str">
        <f>IF('[1]Data 2026'!Q116="","",'[1]Data 2026'!Q116)</f>
        <v>ABJ</v>
      </c>
      <c r="S105" s="685" t="s">
        <v>347</v>
      </c>
      <c r="T105" s="685" t="str">
        <f>IF('[1]Data 2026'!R116="","",'[1]Data 2026'!R116)</f>
        <v>HCMC, VIETNAM</v>
      </c>
      <c r="U105" s="685" t="str">
        <f>IF('[1]Data 2026'!S116="","",'[1]Data 2026'!S116)</f>
        <v/>
      </c>
      <c r="V105" s="685" t="str">
        <f>IF('[1]Data 2026'!T116="","",'[1]Data 2026'!T116)</f>
        <v/>
      </c>
      <c r="W105" s="685" t="str">
        <f>IF('[1]Data 2026'!U116="","",'[1]Data 2026'!U116)</f>
        <v/>
      </c>
      <c r="X105" s="685" t="str">
        <f>IF('[1]Data 2026'!V116="","",'[1]Data 2026'!V116)</f>
        <v/>
      </c>
      <c r="Y105" s="685" t="str">
        <f>IF('[1]Data 2026'!W116="","",'[1]Data 2026'!W116)</f>
        <v/>
      </c>
      <c r="Z105" s="685" t="str">
        <f>IF('[1]Data 2026'!X116="","",'[1]Data 2026'!X116)</f>
        <v/>
      </c>
      <c r="AA105" s="685"/>
      <c r="AB105" s="685" t="str">
        <f>IF('[1]Data 2026'!Y116="","",'[1]Data 2026'!Y116)</f>
        <v/>
      </c>
      <c r="AC105" s="685" t="str">
        <f>IF('[1]Data 2026'!Z116="","",'[1]Data 2026'!Z116)</f>
        <v/>
      </c>
      <c r="AD105" s="691">
        <f>IF('[1]Data 2026'!AA116="","",'[1]Data 2026'!AA116)</f>
        <v>250</v>
      </c>
      <c r="AE105" s="691">
        <f>IF('[1]Data 2026'!AB116="","",'[1]Data 2026'!AB116)</f>
        <v>250</v>
      </c>
      <c r="AF105" s="685">
        <f>IF('[1]Data 2026'!AC116="","",'[1]Data 2026'!AC116)</f>
        <v>45838</v>
      </c>
      <c r="AG105" s="685" t="str">
        <f>IF('[1]Data 2026'!AD116="","",'[1]Data 2026'!AD116)</f>
        <v/>
      </c>
      <c r="AH105" s="686">
        <f>IF('[1]Data 2026'!AE116="","",'[1]Data 2026'!AE116)</f>
        <v>10</v>
      </c>
      <c r="AI105" s="685" t="str">
        <f>IF('[1]Data 2026'!AG116="","",'[1]Data 2026'!AG116)</f>
        <v/>
      </c>
      <c r="AJ105" s="685" t="str">
        <f>IF('[1]Data 2026'!AH116="","",'[1]Data 2026'!AH116)</f>
        <v>TBA</v>
      </c>
      <c r="AK105" s="685" t="str">
        <f>IF('[1]Data 2026'!AI116="","",'[1]Data 2026'!AI116)</f>
        <v>TBA</v>
      </c>
      <c r="AL105" s="685" t="str">
        <f>IF('[1]Data 2026'!AJ116="","",'[1]Data 2026'!AJ116)</f>
        <v>40FT</v>
      </c>
      <c r="AM105" s="692">
        <f>IF('[1]Data 2026'!AK116="","",'[1]Data 2026'!AK116)</f>
        <v>0.1</v>
      </c>
      <c r="AN105" s="685" t="str">
        <f>IF('[1]Data 2026'!AL116="","",'[1]Data 2026'!AL116)</f>
        <v>(01x250MTS)</v>
      </c>
      <c r="AO105" s="691">
        <f>IF('[1]Data 2026'!AM116="","",'[1]Data 2026'!AM116)</f>
        <v>275</v>
      </c>
      <c r="AP105" s="691" t="str">
        <f t="shared" si="16"/>
        <v/>
      </c>
      <c r="AQ105" s="685" t="str">
        <f>IF('[1]Data 2026'!AO116="","",'[1]Data 2026'!AO116)</f>
        <v/>
      </c>
      <c r="AR105" s="685" t="str">
        <f>IF('[1]Data 2026'!AP116="","",'[1]Data 2026'!AP116)</f>
        <v/>
      </c>
      <c r="AS105" s="685" t="str">
        <f>IF('[1]Data 2026'!AQ116="","",'[1]Data 2026'!AQ116)</f>
        <v/>
      </c>
      <c r="AT105" s="685" t="str">
        <f>IF('[1]Data 2026'!AR116="","",'[1]Data 2026'!AR116)</f>
        <v/>
      </c>
      <c r="AU105" s="685" t="str">
        <f>IF('[1]Data 2026'!AW116="","",'[1]Data 2026'!AW116)</f>
        <v/>
      </c>
      <c r="AV105" s="685" t="str">
        <f>IF('[1]Data 2026'!AX116="","",'[1]Data 2026'!AX116)</f>
        <v/>
      </c>
      <c r="AW105" s="685" t="str">
        <f>IF('[1]Data 2026'!AY116="","",'[1]Data 2026'!AY116)</f>
        <v/>
      </c>
      <c r="AX105" s="685" t="str">
        <f>IF('[1]Data 2026'!AZ116="","",'[1]Data 2026'!AZ116)</f>
        <v/>
      </c>
      <c r="AY105" s="685" t="str">
        <f>IF('[1]Data 2026'!BA116="","",'[1]Data 2026'!BA116)</f>
        <v/>
      </c>
      <c r="AZ105" s="685" t="str">
        <f>IF('[1]Data 2026'!AS116="","",'[1]Data 2026'!AS116)</f>
        <v/>
      </c>
      <c r="BA105" s="685" t="str">
        <f>IF('[1]Data 2026'!AT116="","",'[1]Data 2026'!AT116)</f>
        <v/>
      </c>
      <c r="BB105" s="685" t="str">
        <f>IF('[1]Data 2026'!AU116="","",'[1]Data 2026'!AU116)</f>
        <v/>
      </c>
      <c r="BC105" s="685" t="str">
        <f>IF('[1]Data 2026'!AV116="","",'[1]Data 2026'!AV116)</f>
        <v/>
      </c>
      <c r="BD105" s="685" t="str">
        <f>IF('[1]Data 2026'!AW116="","",'[1]Data 2026'!AW116)</f>
        <v/>
      </c>
      <c r="BE105" s="685" t="str">
        <f>IF('[1]Data 2026'!AX116="","",'[1]Data 2026'!AX116)</f>
        <v/>
      </c>
      <c r="BF105" s="685" t="str">
        <f>IF('[1]Data 2026'!BF116="","",'[1]Data 2026'!BF116)</f>
        <v/>
      </c>
      <c r="BG105" s="685" t="str">
        <f>IF('[1]Data 2026'!BG116="","",'[1]Data 2026'!BG116)</f>
        <v/>
      </c>
      <c r="BH105" s="685" t="str">
        <f>IF('[1]Data 2026'!BH116="","",'[1]Data 2026'!BH116)</f>
        <v/>
      </c>
      <c r="BI105" s="685" t="str">
        <f>IF('[1]Data 2026'!BI116="","",'[1]Data 2026'!BI116)</f>
        <v/>
      </c>
      <c r="BJ105" s="685" t="str">
        <f>IF('[1]Data 2026'!BJ116="","",'[1]Data 2026'!BJ116)</f>
        <v/>
      </c>
      <c r="BK105" s="685" t="str">
        <f>IF('[1]Data 2026'!BK116="","",'[1]Data 2026'!BK116)</f>
        <v/>
      </c>
      <c r="BL105" s="685" t="str">
        <f>IF('[1]Data 2026'!BL116="","",'[1]Data 2026'!BL116)</f>
        <v/>
      </c>
      <c r="BM105" s="685" t="str">
        <f>IF('[1]Data 2026'!BM116="","",'[1]Data 2026'!BM116)</f>
        <v/>
      </c>
      <c r="BN105" s="685" t="str">
        <f>IF('[1]Data 2026'!BN116="","",'[1]Data 2026'!BN116)</f>
        <v/>
      </c>
      <c r="BO105" s="685" t="str">
        <f>IF('[1]Data 2026'!BO116="","",'[1]Data 2026'!BO116)</f>
        <v/>
      </c>
      <c r="BP105" s="685" t="str">
        <f>IF('[1]Data 2026'!BP116="","",'[1]Data 2026'!BP116)</f>
        <v/>
      </c>
      <c r="BQ105" s="685" t="str">
        <f>IF('[1]Data 2026'!BQ116="","",'[1]Data 2026'!BQ116)</f>
        <v/>
      </c>
      <c r="BR105" s="685" t="str">
        <f>IF('[1]Data 2026'!BR116="","",'[1]Data 2026'!BR116)</f>
        <v/>
      </c>
      <c r="BS105" s="685" t="str">
        <f>IF('[1]Data 2026'!BS116="","",'[1]Data 2026'!BS116)</f>
        <v/>
      </c>
      <c r="BT105" s="685" t="str">
        <f>IF('[1]Data 2026'!BV116="","",'[1]Data 2026'!BV116)</f>
        <v/>
      </c>
      <c r="BU105" s="685" t="str">
        <f>IF('[1]Data 2026'!BW116="","",'[1]Data 2026'!BW116)</f>
        <v/>
      </c>
      <c r="BV105" s="685" t="str">
        <f>IF('[1]Data 2026'!BX116="","",'[1]Data 2026'!BX116)</f>
        <v/>
      </c>
      <c r="BW105" s="685" t="str">
        <f>IF('[1]Data 2026'!BY116="","",'[1]Data 2026'!BY116)</f>
        <v/>
      </c>
      <c r="BX105" s="685" t="str">
        <f>IF('[1]Data 2026'!BZ116="","",'[1]Data 2026'!BZ116)</f>
        <v/>
      </c>
      <c r="BY105" s="685" t="str">
        <f>IF('[1]Data 2026'!CA116="","",'[1]Data 2026'!CA116)</f>
        <v/>
      </c>
      <c r="BZ105" s="685" t="str">
        <f>IF('[1]Data 2026'!CB116="","",'[1]Data 2026'!CB116)</f>
        <v/>
      </c>
      <c r="CA105" s="685" t="str">
        <f>IF('[1]Data 2026'!CC116="","",'[1]Data 2026'!CC116)</f>
        <v/>
      </c>
      <c r="CB105" s="685" t="str">
        <f>IF('[1]Data 2026'!CD116="","",'[1]Data 2026'!CD116)</f>
        <v/>
      </c>
      <c r="CC105" s="685" t="str">
        <f>IF('[1]Data 2026'!CE116="","",'[1]Data 2026'!CE116)</f>
        <v/>
      </c>
      <c r="CD105" s="685" t="str">
        <f>IF('[1]Data 2026'!CF116="","",'[1]Data 2026'!CF116)</f>
        <v/>
      </c>
      <c r="CE105" s="685" t="str">
        <f>IF('[1]Data 2026'!CG116="","",'[1]Data 2026'!CG116)</f>
        <v/>
      </c>
      <c r="CF105" s="685" t="str">
        <f>IF('[1]Data 2026'!CH116="","",'[1]Data 2026'!CH116)</f>
        <v/>
      </c>
      <c r="CG105" s="685" t="str">
        <f>IF('[1]Data 2026'!CI116="","",'[1]Data 2026'!CI116)</f>
        <v/>
      </c>
      <c r="CH105" s="685" t="str">
        <f>IF('[1]Data 2026'!CJ116="","",'[1]Data 2026'!CJ116)</f>
        <v/>
      </c>
      <c r="CI105" s="685" t="str">
        <f>IF('[1]Data 2026'!CK116="","",'[1]Data 2026'!CK116)</f>
        <v/>
      </c>
      <c r="CJ105" s="685" t="str">
        <f>IF('[1]Data 2026'!CM116="","",'[1]Data 2026'!CM116)</f>
        <v/>
      </c>
      <c r="CK105" s="685" t="str">
        <f>IF('[1]Data 2026'!CN116="","",'[1]Data 2026'!CN116)</f>
        <v/>
      </c>
      <c r="CL105" s="691"/>
      <c r="CM105" s="691" t="str">
        <f>IF('[1]Data 2026'!CP116="","",'[1]Data 2026'!CP116)</f>
        <v/>
      </c>
      <c r="CN105" s="691"/>
      <c r="CO105" s="419"/>
      <c r="CP105" s="419"/>
      <c r="CQ105" s="419"/>
      <c r="CR105" s="686" t="str">
        <f t="shared" si="25"/>
        <v/>
      </c>
    </row>
    <row r="106" spans="1:96">
      <c r="A106" s="682" t="str">
        <f t="shared" si="13"/>
        <v>A. BOOKING PENDING</v>
      </c>
      <c r="B106" s="695"/>
      <c r="C106" s="684" t="str">
        <f t="shared" si="14"/>
        <v>SHORT POSITION</v>
      </c>
      <c r="D106" s="685" t="str">
        <f t="shared" si="22"/>
        <v/>
      </c>
      <c r="E106" s="685" t="str">
        <f t="shared" si="15"/>
        <v/>
      </c>
      <c r="F106" s="686">
        <f>IF('[1]Data 2026'!D117="","",'[1]Data 2026'!D117)</f>
        <v>44</v>
      </c>
      <c r="G106" s="686">
        <f>IF('[1]Data 2026'!E117="","",'[1]Data 2026'!E117)</f>
        <v>200</v>
      </c>
      <c r="H106" s="687" t="str">
        <f>IF('[1]Data 2026'!H117="","",'[1]Data 2026'!H117)</f>
        <v>32016406-4</v>
      </c>
      <c r="I106" s="688">
        <f>IF('[1]Data 2026'!AA117="","",'[1]Data 2026'!AA117)</f>
        <v>250</v>
      </c>
      <c r="J106" s="685" t="str">
        <f>IF('[1]Data 2026'!K117="","",'[1]Data 2026'!K117)</f>
        <v>JUNE/JULY 2026</v>
      </c>
      <c r="K106" s="685">
        <v>46225</v>
      </c>
      <c r="L106" s="685" t="str">
        <f>IF('[1]Data 2026'!L117="","",'[1]Data 2026'!L117)</f>
        <v>VALENCY CI</v>
      </c>
      <c r="M106" s="685" t="str">
        <f>IF('[1]Data 2026'!M117="","",'[1]Data 2026'!M117)</f>
        <v>HOANG SON I JOINT STOCK COMPANY</v>
      </c>
      <c r="N106" s="685" t="s">
        <v>1194</v>
      </c>
      <c r="O106" s="689" t="str">
        <f>IF('[1]Data 2026'!N117="","",'[1]Data 2026'!N117)</f>
        <v/>
      </c>
      <c r="P106" s="701" t="str">
        <f>IF('[1]Data 2026'!O117="","",'[1]Data 2026'!O117)</f>
        <v/>
      </c>
      <c r="Q106" s="685" t="str">
        <f>IF('[1]Data 2026'!P117="","",'[1]Data 2026'!P117)</f>
        <v/>
      </c>
      <c r="R106" s="685" t="str">
        <f>IF('[1]Data 2026'!Q117="","",'[1]Data 2026'!Q117)</f>
        <v>ABJ</v>
      </c>
      <c r="S106" s="685" t="s">
        <v>347</v>
      </c>
      <c r="T106" s="685" t="str">
        <f>IF('[1]Data 2026'!R117="","",'[1]Data 2026'!R117)</f>
        <v>HCMC, VIETNAM</v>
      </c>
      <c r="U106" s="685" t="str">
        <f>IF('[1]Data 2026'!S117="","",'[1]Data 2026'!S117)</f>
        <v/>
      </c>
      <c r="V106" s="685" t="str">
        <f>IF('[1]Data 2026'!T117="","",'[1]Data 2026'!T117)</f>
        <v/>
      </c>
      <c r="W106" s="685" t="str">
        <f>IF('[1]Data 2026'!U117="","",'[1]Data 2026'!U117)</f>
        <v/>
      </c>
      <c r="X106" s="685" t="str">
        <f>IF('[1]Data 2026'!V117="","",'[1]Data 2026'!V117)</f>
        <v/>
      </c>
      <c r="Y106" s="685" t="str">
        <f>IF('[1]Data 2026'!W117="","",'[1]Data 2026'!W117)</f>
        <v/>
      </c>
      <c r="Z106" s="685" t="str">
        <f>IF('[1]Data 2026'!X117="","",'[1]Data 2026'!X117)</f>
        <v/>
      </c>
      <c r="AA106" s="685"/>
      <c r="AB106" s="685" t="str">
        <f>IF('[1]Data 2026'!Y117="","",'[1]Data 2026'!Y117)</f>
        <v/>
      </c>
      <c r="AC106" s="685" t="str">
        <f>IF('[1]Data 2026'!Z117="","",'[1]Data 2026'!Z117)</f>
        <v/>
      </c>
      <c r="AD106" s="691">
        <f>IF('[1]Data 2026'!AA117="","",'[1]Data 2026'!AA117)</f>
        <v>250</v>
      </c>
      <c r="AE106" s="691">
        <f>IF('[1]Data 2026'!AB117="","",'[1]Data 2026'!AB117)</f>
        <v>250</v>
      </c>
      <c r="AF106" s="685">
        <f>IF('[1]Data 2026'!AC117="","",'[1]Data 2026'!AC117)</f>
        <v>45838</v>
      </c>
      <c r="AG106" s="685" t="str">
        <f>IF('[1]Data 2026'!AD117="","",'[1]Data 2026'!AD117)</f>
        <v/>
      </c>
      <c r="AH106" s="686">
        <f>IF('[1]Data 2026'!AE117="","",'[1]Data 2026'!AE117)</f>
        <v>10</v>
      </c>
      <c r="AI106" s="685" t="str">
        <f>IF('[1]Data 2026'!AG117="","",'[1]Data 2026'!AG117)</f>
        <v/>
      </c>
      <c r="AJ106" s="685" t="str">
        <f>IF('[1]Data 2026'!AH117="","",'[1]Data 2026'!AH117)</f>
        <v>TBA</v>
      </c>
      <c r="AK106" s="685" t="str">
        <f>IF('[1]Data 2026'!AI117="","",'[1]Data 2026'!AI117)</f>
        <v>TBA</v>
      </c>
      <c r="AL106" s="685" t="str">
        <f>IF('[1]Data 2026'!AJ117="","",'[1]Data 2026'!AJ117)</f>
        <v>40FT</v>
      </c>
      <c r="AM106" s="692">
        <f>IF('[1]Data 2026'!AK117="","",'[1]Data 2026'!AK117)</f>
        <v>0.1</v>
      </c>
      <c r="AN106" s="685" t="str">
        <f>IF('[1]Data 2026'!AL117="","",'[1]Data 2026'!AL117)</f>
        <v>(01x250MTS)</v>
      </c>
      <c r="AO106" s="691">
        <f>IF('[1]Data 2026'!AM117="","",'[1]Data 2026'!AM117)</f>
        <v>275</v>
      </c>
      <c r="AP106" s="691" t="str">
        <f t="shared" si="16"/>
        <v/>
      </c>
      <c r="AQ106" s="685" t="str">
        <f>IF('[1]Data 2026'!AO117="","",'[1]Data 2026'!AO117)</f>
        <v/>
      </c>
      <c r="AR106" s="685" t="str">
        <f>IF('[1]Data 2026'!AP117="","",'[1]Data 2026'!AP117)</f>
        <v/>
      </c>
      <c r="AS106" s="685" t="str">
        <f>IF('[1]Data 2026'!AQ117="","",'[1]Data 2026'!AQ117)</f>
        <v/>
      </c>
      <c r="AT106" s="685" t="str">
        <f>IF('[1]Data 2026'!AR117="","",'[1]Data 2026'!AR117)</f>
        <v/>
      </c>
      <c r="AU106" s="685" t="str">
        <f>IF('[1]Data 2026'!AW117="","",'[1]Data 2026'!AW117)</f>
        <v/>
      </c>
      <c r="AV106" s="685" t="str">
        <f>IF('[1]Data 2026'!AX117="","",'[1]Data 2026'!AX117)</f>
        <v/>
      </c>
      <c r="AW106" s="685" t="str">
        <f>IF('[1]Data 2026'!AY117="","",'[1]Data 2026'!AY117)</f>
        <v/>
      </c>
      <c r="AX106" s="685" t="str">
        <f>IF('[1]Data 2026'!AZ117="","",'[1]Data 2026'!AZ117)</f>
        <v/>
      </c>
      <c r="AY106" s="685" t="str">
        <f>IF('[1]Data 2026'!BA117="","",'[1]Data 2026'!BA117)</f>
        <v/>
      </c>
      <c r="AZ106" s="685" t="str">
        <f>IF('[1]Data 2026'!AS117="","",'[1]Data 2026'!AS117)</f>
        <v/>
      </c>
      <c r="BA106" s="685" t="str">
        <f>IF('[1]Data 2026'!AT117="","",'[1]Data 2026'!AT117)</f>
        <v/>
      </c>
      <c r="BB106" s="685" t="str">
        <f>IF('[1]Data 2026'!AU117="","",'[1]Data 2026'!AU117)</f>
        <v/>
      </c>
      <c r="BC106" s="685" t="str">
        <f>IF('[1]Data 2026'!AV117="","",'[1]Data 2026'!AV117)</f>
        <v/>
      </c>
      <c r="BD106" s="685" t="str">
        <f>IF('[1]Data 2026'!AW117="","",'[1]Data 2026'!AW117)</f>
        <v/>
      </c>
      <c r="BE106" s="685" t="str">
        <f>IF('[1]Data 2026'!AX117="","",'[1]Data 2026'!AX117)</f>
        <v/>
      </c>
      <c r="BF106" s="685" t="str">
        <f>IF('[1]Data 2026'!BF117="","",'[1]Data 2026'!BF117)</f>
        <v/>
      </c>
      <c r="BG106" s="685" t="str">
        <f>IF('[1]Data 2026'!BG117="","",'[1]Data 2026'!BG117)</f>
        <v/>
      </c>
      <c r="BH106" s="685" t="str">
        <f>IF('[1]Data 2026'!BH117="","",'[1]Data 2026'!BH117)</f>
        <v/>
      </c>
      <c r="BI106" s="685" t="str">
        <f>IF('[1]Data 2026'!BI117="","",'[1]Data 2026'!BI117)</f>
        <v/>
      </c>
      <c r="BJ106" s="685" t="str">
        <f>IF('[1]Data 2026'!BJ117="","",'[1]Data 2026'!BJ117)</f>
        <v/>
      </c>
      <c r="BK106" s="685" t="str">
        <f>IF('[1]Data 2026'!BK117="","",'[1]Data 2026'!BK117)</f>
        <v/>
      </c>
      <c r="BL106" s="685" t="str">
        <f>IF('[1]Data 2026'!BL117="","",'[1]Data 2026'!BL117)</f>
        <v/>
      </c>
      <c r="BM106" s="685" t="str">
        <f>IF('[1]Data 2026'!BM117="","",'[1]Data 2026'!BM117)</f>
        <v/>
      </c>
      <c r="BN106" s="685" t="str">
        <f>IF('[1]Data 2026'!BN117="","",'[1]Data 2026'!BN117)</f>
        <v/>
      </c>
      <c r="BO106" s="685" t="str">
        <f>IF('[1]Data 2026'!BO117="","",'[1]Data 2026'!BO117)</f>
        <v/>
      </c>
      <c r="BP106" s="685" t="str">
        <f>IF('[1]Data 2026'!BP117="","",'[1]Data 2026'!BP117)</f>
        <v/>
      </c>
      <c r="BQ106" s="685" t="str">
        <f>IF('[1]Data 2026'!BQ117="","",'[1]Data 2026'!BQ117)</f>
        <v/>
      </c>
      <c r="BR106" s="685" t="str">
        <f>IF('[1]Data 2026'!BR117="","",'[1]Data 2026'!BR117)</f>
        <v/>
      </c>
      <c r="BS106" s="685" t="str">
        <f>IF('[1]Data 2026'!BS117="","",'[1]Data 2026'!BS117)</f>
        <v/>
      </c>
      <c r="BT106" s="685" t="str">
        <f>IF('[1]Data 2026'!BV117="","",'[1]Data 2026'!BV117)</f>
        <v/>
      </c>
      <c r="BU106" s="685" t="str">
        <f>IF('[1]Data 2026'!BW117="","",'[1]Data 2026'!BW117)</f>
        <v/>
      </c>
      <c r="BV106" s="685" t="str">
        <f>IF('[1]Data 2026'!BX117="","",'[1]Data 2026'!BX117)</f>
        <v/>
      </c>
      <c r="BW106" s="685" t="str">
        <f>IF('[1]Data 2026'!BY117="","",'[1]Data 2026'!BY117)</f>
        <v/>
      </c>
      <c r="BX106" s="685" t="str">
        <f>IF('[1]Data 2026'!BZ117="","",'[1]Data 2026'!BZ117)</f>
        <v/>
      </c>
      <c r="BY106" s="685" t="str">
        <f>IF('[1]Data 2026'!CA117="","",'[1]Data 2026'!CA117)</f>
        <v/>
      </c>
      <c r="BZ106" s="685" t="str">
        <f>IF('[1]Data 2026'!CB117="","",'[1]Data 2026'!CB117)</f>
        <v/>
      </c>
      <c r="CA106" s="685" t="str">
        <f>IF('[1]Data 2026'!CC117="","",'[1]Data 2026'!CC117)</f>
        <v/>
      </c>
      <c r="CB106" s="685" t="str">
        <f>IF('[1]Data 2026'!CD117="","",'[1]Data 2026'!CD117)</f>
        <v/>
      </c>
      <c r="CC106" s="685" t="str">
        <f>IF('[1]Data 2026'!CE117="","",'[1]Data 2026'!CE117)</f>
        <v/>
      </c>
      <c r="CD106" s="685" t="str">
        <f>IF('[1]Data 2026'!CF117="","",'[1]Data 2026'!CF117)</f>
        <v/>
      </c>
      <c r="CE106" s="685" t="str">
        <f>IF('[1]Data 2026'!CG117="","",'[1]Data 2026'!CG117)</f>
        <v/>
      </c>
      <c r="CF106" s="685" t="str">
        <f>IF('[1]Data 2026'!CH117="","",'[1]Data 2026'!CH117)</f>
        <v/>
      </c>
      <c r="CG106" s="685" t="str">
        <f>IF('[1]Data 2026'!CI117="","",'[1]Data 2026'!CI117)</f>
        <v/>
      </c>
      <c r="CH106" s="685" t="str">
        <f>IF('[1]Data 2026'!CJ117="","",'[1]Data 2026'!CJ117)</f>
        <v/>
      </c>
      <c r="CI106" s="685" t="str">
        <f>IF('[1]Data 2026'!CK117="","",'[1]Data 2026'!CK117)</f>
        <v/>
      </c>
      <c r="CJ106" s="685" t="str">
        <f>IF('[1]Data 2026'!CM117="","",'[1]Data 2026'!CM117)</f>
        <v/>
      </c>
      <c r="CK106" s="685" t="str">
        <f>IF('[1]Data 2026'!CN117="","",'[1]Data 2026'!CN117)</f>
        <v/>
      </c>
      <c r="CL106" s="691"/>
      <c r="CM106" s="691" t="str">
        <f>IF('[1]Data 2026'!CP117="","",'[1]Data 2026'!CP117)</f>
        <v/>
      </c>
      <c r="CN106" s="691"/>
      <c r="CO106" s="419"/>
      <c r="CP106" s="419"/>
      <c r="CQ106" s="419"/>
      <c r="CR106" s="686" t="str">
        <f t="shared" si="25"/>
        <v/>
      </c>
    </row>
    <row r="107" spans="1:96">
      <c r="A107" s="682" t="str">
        <f t="shared" si="13"/>
        <v>A. BOOKING PENDING</v>
      </c>
      <c r="B107" s="695"/>
      <c r="C107" s="684" t="str">
        <f t="shared" si="14"/>
        <v>SHORT POSITION</v>
      </c>
      <c r="D107" s="685" t="str">
        <f t="shared" si="22"/>
        <v/>
      </c>
      <c r="E107" s="685" t="str">
        <f t="shared" si="15"/>
        <v/>
      </c>
      <c r="F107" s="686">
        <f>IF('[1]Data 2026'!D118="","",'[1]Data 2026'!D118)</f>
        <v>44</v>
      </c>
      <c r="G107" s="686">
        <f>IF('[1]Data 2026'!E118="","",'[1]Data 2026'!E118)</f>
        <v>200</v>
      </c>
      <c r="H107" s="687" t="str">
        <f>IF('[1]Data 2026'!H118="","",'[1]Data 2026'!H118)</f>
        <v>32016407-1</v>
      </c>
      <c r="I107" s="688">
        <f>IF('[1]Data 2026'!AA118="","",'[1]Data 2026'!AA118)</f>
        <v>250</v>
      </c>
      <c r="J107" s="685" t="str">
        <f>IF('[1]Data 2026'!K118="","",'[1]Data 2026'!K118)</f>
        <v>JUNE/15TH JULY 2026</v>
      </c>
      <c r="K107" s="685">
        <v>46226</v>
      </c>
      <c r="L107" s="685" t="str">
        <f>IF('[1]Data 2026'!L118="","",'[1]Data 2026'!L118)</f>
        <v>VALENCY CI</v>
      </c>
      <c r="M107" s="685" t="str">
        <f>IF('[1]Data 2026'!M118="","",'[1]Data 2026'!M118)</f>
        <v>PHUOC THINH TRADING</v>
      </c>
      <c r="N107" s="685" t="s">
        <v>1194</v>
      </c>
      <c r="O107" s="689" t="str">
        <f>IF('[1]Data 2026'!N118="","",'[1]Data 2026'!N118)</f>
        <v/>
      </c>
      <c r="P107" s="701" t="str">
        <f>IF('[1]Data 2026'!O118="","",'[1]Data 2026'!O118)</f>
        <v/>
      </c>
      <c r="Q107" s="685" t="str">
        <f>IF('[1]Data 2026'!P118="","",'[1]Data 2026'!P118)</f>
        <v/>
      </c>
      <c r="R107" s="685" t="str">
        <f>IF('[1]Data 2026'!Q118="","",'[1]Data 2026'!Q118)</f>
        <v>ABJ</v>
      </c>
      <c r="S107" s="685" t="s">
        <v>347</v>
      </c>
      <c r="T107" s="685" t="str">
        <f>IF('[1]Data 2026'!R118="","",'[1]Data 2026'!R118)</f>
        <v>HCMC, VIETNAM</v>
      </c>
      <c r="U107" s="685" t="str">
        <f>IF('[1]Data 2026'!S118="","",'[1]Data 2026'!S118)</f>
        <v/>
      </c>
      <c r="V107" s="685" t="str">
        <f>IF('[1]Data 2026'!T118="","",'[1]Data 2026'!T118)</f>
        <v/>
      </c>
      <c r="W107" s="685" t="str">
        <f>IF('[1]Data 2026'!U118="","",'[1]Data 2026'!U118)</f>
        <v/>
      </c>
      <c r="X107" s="685" t="str">
        <f>IF('[1]Data 2026'!V118="","",'[1]Data 2026'!V118)</f>
        <v/>
      </c>
      <c r="Y107" s="685" t="str">
        <f>IF('[1]Data 2026'!W118="","",'[1]Data 2026'!W118)</f>
        <v/>
      </c>
      <c r="Z107" s="685" t="str">
        <f>IF('[1]Data 2026'!X118="","",'[1]Data 2026'!X118)</f>
        <v/>
      </c>
      <c r="AA107" s="685"/>
      <c r="AB107" s="685" t="str">
        <f>IF('[1]Data 2026'!Y118="","",'[1]Data 2026'!Y118)</f>
        <v/>
      </c>
      <c r="AC107" s="685" t="str">
        <f>IF('[1]Data 2026'!Z118="","",'[1]Data 2026'!Z118)</f>
        <v/>
      </c>
      <c r="AD107" s="691">
        <f>IF('[1]Data 2026'!AA118="","",'[1]Data 2026'!AA118)</f>
        <v>250</v>
      </c>
      <c r="AE107" s="691">
        <f>IF('[1]Data 2026'!AB118="","",'[1]Data 2026'!AB118)</f>
        <v>250</v>
      </c>
      <c r="AF107" s="685">
        <f>IF('[1]Data 2026'!AC118="","",'[1]Data 2026'!AC118)</f>
        <v>45853</v>
      </c>
      <c r="AG107" s="685" t="str">
        <f>IF('[1]Data 2026'!AD118="","",'[1]Data 2026'!AD118)</f>
        <v/>
      </c>
      <c r="AH107" s="686">
        <f>IF('[1]Data 2026'!AE118="","",'[1]Data 2026'!AE118)</f>
        <v>10</v>
      </c>
      <c r="AI107" s="685" t="str">
        <f>IF('[1]Data 2026'!AG118="","",'[1]Data 2026'!AG118)</f>
        <v/>
      </c>
      <c r="AJ107" s="685" t="str">
        <f>IF('[1]Data 2026'!AH118="","",'[1]Data 2026'!AH118)</f>
        <v>TBA</v>
      </c>
      <c r="AK107" s="685" t="str">
        <f>IF('[1]Data 2026'!AI118="","",'[1]Data 2026'!AI118)</f>
        <v>TBA</v>
      </c>
      <c r="AL107" s="685" t="str">
        <f>IF('[1]Data 2026'!AJ118="","",'[1]Data 2026'!AJ118)</f>
        <v>40FT</v>
      </c>
      <c r="AM107" s="692">
        <f>IF('[1]Data 2026'!AK118="","",'[1]Data 2026'!AK118)</f>
        <v>0.1</v>
      </c>
      <c r="AN107" s="685" t="str">
        <f>IF('[1]Data 2026'!AL118="","",'[1]Data 2026'!AL118)</f>
        <v>(01x250MTS)</v>
      </c>
      <c r="AO107" s="691">
        <f>IF('[1]Data 2026'!AM118="","",'[1]Data 2026'!AM118)</f>
        <v>275</v>
      </c>
      <c r="AP107" s="691" t="str">
        <f t="shared" si="16"/>
        <v/>
      </c>
      <c r="AQ107" s="685" t="str">
        <f>IF('[1]Data 2026'!AO118="","",'[1]Data 2026'!AO118)</f>
        <v/>
      </c>
      <c r="AR107" s="685" t="str">
        <f>IF('[1]Data 2026'!AP118="","",'[1]Data 2026'!AP118)</f>
        <v/>
      </c>
      <c r="AS107" s="685" t="str">
        <f>IF('[1]Data 2026'!AQ118="","",'[1]Data 2026'!AQ118)</f>
        <v/>
      </c>
      <c r="AT107" s="685" t="str">
        <f>IF('[1]Data 2026'!AR118="","",'[1]Data 2026'!AR118)</f>
        <v/>
      </c>
      <c r="AU107" s="685" t="str">
        <f>IF('[1]Data 2026'!AW118="","",'[1]Data 2026'!AW118)</f>
        <v/>
      </c>
      <c r="AV107" s="685" t="str">
        <f>IF('[1]Data 2026'!AX118="","",'[1]Data 2026'!AX118)</f>
        <v/>
      </c>
      <c r="AW107" s="685" t="str">
        <f>IF('[1]Data 2026'!AY118="","",'[1]Data 2026'!AY118)</f>
        <v/>
      </c>
      <c r="AX107" s="685" t="str">
        <f>IF('[1]Data 2026'!AZ118="","",'[1]Data 2026'!AZ118)</f>
        <v/>
      </c>
      <c r="AY107" s="685" t="str">
        <f>IF('[1]Data 2026'!BA118="","",'[1]Data 2026'!BA118)</f>
        <v/>
      </c>
      <c r="AZ107" s="685" t="str">
        <f>IF('[1]Data 2026'!AS118="","",'[1]Data 2026'!AS118)</f>
        <v/>
      </c>
      <c r="BA107" s="685" t="str">
        <f>IF('[1]Data 2026'!AT118="","",'[1]Data 2026'!AT118)</f>
        <v/>
      </c>
      <c r="BB107" s="685" t="str">
        <f>IF('[1]Data 2026'!AU118="","",'[1]Data 2026'!AU118)</f>
        <v/>
      </c>
      <c r="BC107" s="685" t="str">
        <f>IF('[1]Data 2026'!AV118="","",'[1]Data 2026'!AV118)</f>
        <v/>
      </c>
      <c r="BD107" s="685" t="str">
        <f>IF('[1]Data 2026'!AW118="","",'[1]Data 2026'!AW118)</f>
        <v/>
      </c>
      <c r="BE107" s="685" t="str">
        <f>IF('[1]Data 2026'!AX118="","",'[1]Data 2026'!AX118)</f>
        <v/>
      </c>
      <c r="BF107" s="685" t="str">
        <f>IF('[1]Data 2026'!BF118="","",'[1]Data 2026'!BF118)</f>
        <v/>
      </c>
      <c r="BG107" s="685" t="str">
        <f>IF('[1]Data 2026'!BG118="","",'[1]Data 2026'!BG118)</f>
        <v/>
      </c>
      <c r="BH107" s="685" t="str">
        <f>IF('[1]Data 2026'!BH118="","",'[1]Data 2026'!BH118)</f>
        <v/>
      </c>
      <c r="BI107" s="685" t="str">
        <f>IF('[1]Data 2026'!BI118="","",'[1]Data 2026'!BI118)</f>
        <v/>
      </c>
      <c r="BJ107" s="685" t="str">
        <f>IF('[1]Data 2026'!BJ118="","",'[1]Data 2026'!BJ118)</f>
        <v/>
      </c>
      <c r="BK107" s="685" t="str">
        <f>IF('[1]Data 2026'!BK118="","",'[1]Data 2026'!BK118)</f>
        <v/>
      </c>
      <c r="BL107" s="685" t="str">
        <f>IF('[1]Data 2026'!BL118="","",'[1]Data 2026'!BL118)</f>
        <v/>
      </c>
      <c r="BM107" s="685" t="str">
        <f>IF('[1]Data 2026'!BM118="","",'[1]Data 2026'!BM118)</f>
        <v/>
      </c>
      <c r="BN107" s="685" t="str">
        <f>IF('[1]Data 2026'!BN118="","",'[1]Data 2026'!BN118)</f>
        <v/>
      </c>
      <c r="BO107" s="685" t="str">
        <f>IF('[1]Data 2026'!BO118="","",'[1]Data 2026'!BO118)</f>
        <v/>
      </c>
      <c r="BP107" s="685" t="str">
        <f>IF('[1]Data 2026'!BP118="","",'[1]Data 2026'!BP118)</f>
        <v/>
      </c>
      <c r="BQ107" s="685" t="str">
        <f>IF('[1]Data 2026'!BQ118="","",'[1]Data 2026'!BQ118)</f>
        <v/>
      </c>
      <c r="BR107" s="685" t="str">
        <f>IF('[1]Data 2026'!BR118="","",'[1]Data 2026'!BR118)</f>
        <v/>
      </c>
      <c r="BS107" s="685" t="str">
        <f>IF('[1]Data 2026'!BS118="","",'[1]Data 2026'!BS118)</f>
        <v/>
      </c>
      <c r="BT107" s="685" t="str">
        <f>IF('[1]Data 2026'!BV118="","",'[1]Data 2026'!BV118)</f>
        <v/>
      </c>
      <c r="BU107" s="685" t="str">
        <f>IF('[1]Data 2026'!BW118="","",'[1]Data 2026'!BW118)</f>
        <v/>
      </c>
      <c r="BV107" s="685" t="str">
        <f>IF('[1]Data 2026'!BX118="","",'[1]Data 2026'!BX118)</f>
        <v/>
      </c>
      <c r="BW107" s="685" t="str">
        <f>IF('[1]Data 2026'!BY118="","",'[1]Data 2026'!BY118)</f>
        <v/>
      </c>
      <c r="BX107" s="685" t="str">
        <f>IF('[1]Data 2026'!BZ118="","",'[1]Data 2026'!BZ118)</f>
        <v/>
      </c>
      <c r="BY107" s="685" t="str">
        <f>IF('[1]Data 2026'!CA118="","",'[1]Data 2026'!CA118)</f>
        <v/>
      </c>
      <c r="BZ107" s="685" t="str">
        <f>IF('[1]Data 2026'!CB118="","",'[1]Data 2026'!CB118)</f>
        <v/>
      </c>
      <c r="CA107" s="685" t="str">
        <f>IF('[1]Data 2026'!CC118="","",'[1]Data 2026'!CC118)</f>
        <v/>
      </c>
      <c r="CB107" s="685" t="str">
        <f>IF('[1]Data 2026'!CD118="","",'[1]Data 2026'!CD118)</f>
        <v/>
      </c>
      <c r="CC107" s="685" t="str">
        <f>IF('[1]Data 2026'!CE118="","",'[1]Data 2026'!CE118)</f>
        <v/>
      </c>
      <c r="CD107" s="685" t="str">
        <f>IF('[1]Data 2026'!CF118="","",'[1]Data 2026'!CF118)</f>
        <v/>
      </c>
      <c r="CE107" s="685" t="str">
        <f>IF('[1]Data 2026'!CG118="","",'[1]Data 2026'!CG118)</f>
        <v/>
      </c>
      <c r="CF107" s="685" t="str">
        <f>IF('[1]Data 2026'!CH118="","",'[1]Data 2026'!CH118)</f>
        <v/>
      </c>
      <c r="CG107" s="685" t="str">
        <f>IF('[1]Data 2026'!CI118="","",'[1]Data 2026'!CI118)</f>
        <v/>
      </c>
      <c r="CH107" s="685" t="str">
        <f>IF('[1]Data 2026'!CJ118="","",'[1]Data 2026'!CJ118)</f>
        <v/>
      </c>
      <c r="CI107" s="685" t="str">
        <f>IF('[1]Data 2026'!CK118="","",'[1]Data 2026'!CK118)</f>
        <v/>
      </c>
      <c r="CJ107" s="685" t="str">
        <f>IF('[1]Data 2026'!CM118="","",'[1]Data 2026'!CM118)</f>
        <v/>
      </c>
      <c r="CK107" s="685" t="str">
        <f>IF('[1]Data 2026'!CN118="","",'[1]Data 2026'!CN118)</f>
        <v/>
      </c>
      <c r="CL107" s="691"/>
      <c r="CM107" s="691" t="str">
        <f>IF('[1]Data 2026'!CP118="","",'[1]Data 2026'!CP118)</f>
        <v/>
      </c>
      <c r="CN107" s="691"/>
      <c r="CO107" s="419"/>
      <c r="CP107" s="419"/>
      <c r="CQ107" s="419"/>
      <c r="CR107" s="686" t="str">
        <f t="shared" si="25"/>
        <v/>
      </c>
    </row>
    <row r="108" spans="1:96">
      <c r="A108" s="682" t="str">
        <f t="shared" si="13"/>
        <v>A. BOOKING PENDING</v>
      </c>
      <c r="B108" s="695"/>
      <c r="C108" s="684" t="str">
        <f t="shared" si="14"/>
        <v>SHORT POSITION</v>
      </c>
      <c r="D108" s="685" t="str">
        <f t="shared" si="22"/>
        <v/>
      </c>
      <c r="E108" s="685" t="str">
        <f t="shared" si="15"/>
        <v/>
      </c>
      <c r="F108" s="686">
        <f>IF('[1]Data 2026'!D119="","",'[1]Data 2026'!D119)</f>
        <v>44</v>
      </c>
      <c r="G108" s="686">
        <f>IF('[1]Data 2026'!E119="","",'[1]Data 2026'!E119)</f>
        <v>200</v>
      </c>
      <c r="H108" s="687" t="str">
        <f>IF('[1]Data 2026'!H119="","",'[1]Data 2026'!H119)</f>
        <v>32016407-2</v>
      </c>
      <c r="I108" s="688">
        <f>IF('[1]Data 2026'!AA119="","",'[1]Data 2026'!AA119)</f>
        <v>250</v>
      </c>
      <c r="J108" s="685" t="str">
        <f>IF('[1]Data 2026'!K119="","",'[1]Data 2026'!K119)</f>
        <v>JUNE/15TH JULY 2026</v>
      </c>
      <c r="K108" s="685">
        <v>46227</v>
      </c>
      <c r="L108" s="685" t="str">
        <f>IF('[1]Data 2026'!L119="","",'[1]Data 2026'!L119)</f>
        <v>VALENCY CI</v>
      </c>
      <c r="M108" s="685" t="str">
        <f>IF('[1]Data 2026'!M119="","",'[1]Data 2026'!M119)</f>
        <v>PHUOC THINH TRADING</v>
      </c>
      <c r="N108" s="685" t="s">
        <v>1194</v>
      </c>
      <c r="O108" s="689" t="str">
        <f>IF('[1]Data 2026'!N119="","",'[1]Data 2026'!N119)</f>
        <v/>
      </c>
      <c r="P108" s="701" t="str">
        <f>IF('[1]Data 2026'!O119="","",'[1]Data 2026'!O119)</f>
        <v/>
      </c>
      <c r="Q108" s="685" t="str">
        <f>IF('[1]Data 2026'!P119="","",'[1]Data 2026'!P119)</f>
        <v/>
      </c>
      <c r="R108" s="685" t="str">
        <f>IF('[1]Data 2026'!Q119="","",'[1]Data 2026'!Q119)</f>
        <v>ABJ</v>
      </c>
      <c r="S108" s="685" t="s">
        <v>347</v>
      </c>
      <c r="T108" s="685" t="str">
        <f>IF('[1]Data 2026'!R119="","",'[1]Data 2026'!R119)</f>
        <v>HCMC, VIETNAM</v>
      </c>
      <c r="U108" s="685" t="str">
        <f>IF('[1]Data 2026'!S119="","",'[1]Data 2026'!S119)</f>
        <v/>
      </c>
      <c r="V108" s="685" t="str">
        <f>IF('[1]Data 2026'!T119="","",'[1]Data 2026'!T119)</f>
        <v/>
      </c>
      <c r="W108" s="685" t="str">
        <f>IF('[1]Data 2026'!U119="","",'[1]Data 2026'!U119)</f>
        <v/>
      </c>
      <c r="X108" s="685" t="str">
        <f>IF('[1]Data 2026'!V119="","",'[1]Data 2026'!V119)</f>
        <v/>
      </c>
      <c r="Y108" s="685" t="str">
        <f>IF('[1]Data 2026'!W119="","",'[1]Data 2026'!W119)</f>
        <v/>
      </c>
      <c r="Z108" s="685" t="str">
        <f>IF('[1]Data 2026'!X119="","",'[1]Data 2026'!X119)</f>
        <v/>
      </c>
      <c r="AA108" s="685"/>
      <c r="AB108" s="685" t="str">
        <f>IF('[1]Data 2026'!Y119="","",'[1]Data 2026'!Y119)</f>
        <v/>
      </c>
      <c r="AC108" s="685" t="str">
        <f>IF('[1]Data 2026'!Z119="","",'[1]Data 2026'!Z119)</f>
        <v/>
      </c>
      <c r="AD108" s="691">
        <f>IF('[1]Data 2026'!AA119="","",'[1]Data 2026'!AA119)</f>
        <v>250</v>
      </c>
      <c r="AE108" s="691">
        <f>IF('[1]Data 2026'!AB119="","",'[1]Data 2026'!AB119)</f>
        <v>250</v>
      </c>
      <c r="AF108" s="685">
        <f>IF('[1]Data 2026'!AC119="","",'[1]Data 2026'!AC119)</f>
        <v>45853</v>
      </c>
      <c r="AG108" s="685" t="str">
        <f>IF('[1]Data 2026'!AD119="","",'[1]Data 2026'!AD119)</f>
        <v/>
      </c>
      <c r="AH108" s="686">
        <f>IF('[1]Data 2026'!AE119="","",'[1]Data 2026'!AE119)</f>
        <v>10</v>
      </c>
      <c r="AI108" s="685" t="str">
        <f>IF('[1]Data 2026'!AG119="","",'[1]Data 2026'!AG119)</f>
        <v/>
      </c>
      <c r="AJ108" s="685" t="str">
        <f>IF('[1]Data 2026'!AH119="","",'[1]Data 2026'!AH119)</f>
        <v>TBA</v>
      </c>
      <c r="AK108" s="685" t="str">
        <f>IF('[1]Data 2026'!AI119="","",'[1]Data 2026'!AI119)</f>
        <v>TBA</v>
      </c>
      <c r="AL108" s="685" t="str">
        <f>IF('[1]Data 2026'!AJ119="","",'[1]Data 2026'!AJ119)</f>
        <v>40FT</v>
      </c>
      <c r="AM108" s="692">
        <f>IF('[1]Data 2026'!AK119="","",'[1]Data 2026'!AK119)</f>
        <v>0.1</v>
      </c>
      <c r="AN108" s="685" t="str">
        <f>IF('[1]Data 2026'!AL119="","",'[1]Data 2026'!AL119)</f>
        <v>(01x250MTS)</v>
      </c>
      <c r="AO108" s="691">
        <f>IF('[1]Data 2026'!AM119="","",'[1]Data 2026'!AM119)</f>
        <v>275</v>
      </c>
      <c r="AP108" s="691" t="str">
        <f t="shared" si="16"/>
        <v/>
      </c>
      <c r="AQ108" s="685" t="str">
        <f>IF('[1]Data 2026'!AO119="","",'[1]Data 2026'!AO119)</f>
        <v/>
      </c>
      <c r="AR108" s="685" t="str">
        <f>IF('[1]Data 2026'!AP119="","",'[1]Data 2026'!AP119)</f>
        <v/>
      </c>
      <c r="AS108" s="685" t="str">
        <f>IF('[1]Data 2026'!AQ119="","",'[1]Data 2026'!AQ119)</f>
        <v/>
      </c>
      <c r="AT108" s="685" t="str">
        <f>IF('[1]Data 2026'!AR119="","",'[1]Data 2026'!AR119)</f>
        <v/>
      </c>
      <c r="AU108" s="685" t="str">
        <f>IF('[1]Data 2026'!AW119="","",'[1]Data 2026'!AW119)</f>
        <v/>
      </c>
      <c r="AV108" s="685" t="str">
        <f>IF('[1]Data 2026'!AX119="","",'[1]Data 2026'!AX119)</f>
        <v/>
      </c>
      <c r="AW108" s="685" t="str">
        <f>IF('[1]Data 2026'!AY119="","",'[1]Data 2026'!AY119)</f>
        <v/>
      </c>
      <c r="AX108" s="685" t="str">
        <f>IF('[1]Data 2026'!AZ119="","",'[1]Data 2026'!AZ119)</f>
        <v/>
      </c>
      <c r="AY108" s="685" t="str">
        <f>IF('[1]Data 2026'!BA119="","",'[1]Data 2026'!BA119)</f>
        <v/>
      </c>
      <c r="AZ108" s="685" t="str">
        <f>IF('[1]Data 2026'!AS119="","",'[1]Data 2026'!AS119)</f>
        <v/>
      </c>
      <c r="BA108" s="685" t="str">
        <f>IF('[1]Data 2026'!AT119="","",'[1]Data 2026'!AT119)</f>
        <v/>
      </c>
      <c r="BB108" s="685" t="str">
        <f>IF('[1]Data 2026'!AU119="","",'[1]Data 2026'!AU119)</f>
        <v/>
      </c>
      <c r="BC108" s="685" t="str">
        <f>IF('[1]Data 2026'!AV119="","",'[1]Data 2026'!AV119)</f>
        <v/>
      </c>
      <c r="BD108" s="685" t="str">
        <f>IF('[1]Data 2026'!AW119="","",'[1]Data 2026'!AW119)</f>
        <v/>
      </c>
      <c r="BE108" s="685" t="str">
        <f>IF('[1]Data 2026'!AX119="","",'[1]Data 2026'!AX119)</f>
        <v/>
      </c>
      <c r="BF108" s="685" t="str">
        <f>IF('[1]Data 2026'!BF119="","",'[1]Data 2026'!BF119)</f>
        <v/>
      </c>
      <c r="BG108" s="685" t="str">
        <f>IF('[1]Data 2026'!BG119="","",'[1]Data 2026'!BG119)</f>
        <v/>
      </c>
      <c r="BH108" s="685" t="str">
        <f>IF('[1]Data 2026'!BH119="","",'[1]Data 2026'!BH119)</f>
        <v/>
      </c>
      <c r="BI108" s="685" t="str">
        <f>IF('[1]Data 2026'!BI119="","",'[1]Data 2026'!BI119)</f>
        <v/>
      </c>
      <c r="BJ108" s="685" t="str">
        <f>IF('[1]Data 2026'!BJ119="","",'[1]Data 2026'!BJ119)</f>
        <v/>
      </c>
      <c r="BK108" s="685" t="str">
        <f>IF('[1]Data 2026'!BK119="","",'[1]Data 2026'!BK119)</f>
        <v/>
      </c>
      <c r="BL108" s="685" t="str">
        <f>IF('[1]Data 2026'!BL119="","",'[1]Data 2026'!BL119)</f>
        <v/>
      </c>
      <c r="BM108" s="685" t="str">
        <f>IF('[1]Data 2026'!BM119="","",'[1]Data 2026'!BM119)</f>
        <v/>
      </c>
      <c r="BN108" s="685" t="str">
        <f>IF('[1]Data 2026'!BN119="","",'[1]Data 2026'!BN119)</f>
        <v/>
      </c>
      <c r="BO108" s="685" t="str">
        <f>IF('[1]Data 2026'!BO119="","",'[1]Data 2026'!BO119)</f>
        <v/>
      </c>
      <c r="BP108" s="685" t="str">
        <f>IF('[1]Data 2026'!BP119="","",'[1]Data 2026'!BP119)</f>
        <v/>
      </c>
      <c r="BQ108" s="685" t="str">
        <f>IF('[1]Data 2026'!BQ119="","",'[1]Data 2026'!BQ119)</f>
        <v/>
      </c>
      <c r="BR108" s="685" t="str">
        <f>IF('[1]Data 2026'!BR119="","",'[1]Data 2026'!BR119)</f>
        <v/>
      </c>
      <c r="BS108" s="685" t="str">
        <f>IF('[1]Data 2026'!BS119="","",'[1]Data 2026'!BS119)</f>
        <v/>
      </c>
      <c r="BT108" s="685" t="str">
        <f>IF('[1]Data 2026'!BV119="","",'[1]Data 2026'!BV119)</f>
        <v/>
      </c>
      <c r="BU108" s="685" t="str">
        <f>IF('[1]Data 2026'!BW119="","",'[1]Data 2026'!BW119)</f>
        <v/>
      </c>
      <c r="BV108" s="685" t="str">
        <f>IF('[1]Data 2026'!BX119="","",'[1]Data 2026'!BX119)</f>
        <v/>
      </c>
      <c r="BW108" s="685" t="str">
        <f>IF('[1]Data 2026'!BY119="","",'[1]Data 2026'!BY119)</f>
        <v/>
      </c>
      <c r="BX108" s="685" t="str">
        <f>IF('[1]Data 2026'!BZ119="","",'[1]Data 2026'!BZ119)</f>
        <v/>
      </c>
      <c r="BY108" s="685" t="str">
        <f>IF('[1]Data 2026'!CA119="","",'[1]Data 2026'!CA119)</f>
        <v/>
      </c>
      <c r="BZ108" s="685" t="str">
        <f>IF('[1]Data 2026'!CB119="","",'[1]Data 2026'!CB119)</f>
        <v/>
      </c>
      <c r="CA108" s="685" t="str">
        <f>IF('[1]Data 2026'!CC119="","",'[1]Data 2026'!CC119)</f>
        <v/>
      </c>
      <c r="CB108" s="685" t="str">
        <f>IF('[1]Data 2026'!CD119="","",'[1]Data 2026'!CD119)</f>
        <v/>
      </c>
      <c r="CC108" s="685" t="str">
        <f>IF('[1]Data 2026'!CE119="","",'[1]Data 2026'!CE119)</f>
        <v/>
      </c>
      <c r="CD108" s="685" t="str">
        <f>IF('[1]Data 2026'!CF119="","",'[1]Data 2026'!CF119)</f>
        <v/>
      </c>
      <c r="CE108" s="685" t="str">
        <f>IF('[1]Data 2026'!CG119="","",'[1]Data 2026'!CG119)</f>
        <v/>
      </c>
      <c r="CF108" s="685" t="str">
        <f>IF('[1]Data 2026'!CH119="","",'[1]Data 2026'!CH119)</f>
        <v/>
      </c>
      <c r="CG108" s="685" t="str">
        <f>IF('[1]Data 2026'!CI119="","",'[1]Data 2026'!CI119)</f>
        <v/>
      </c>
      <c r="CH108" s="685" t="str">
        <f>IF('[1]Data 2026'!CJ119="","",'[1]Data 2026'!CJ119)</f>
        <v/>
      </c>
      <c r="CI108" s="685" t="str">
        <f>IF('[1]Data 2026'!CK119="","",'[1]Data 2026'!CK119)</f>
        <v/>
      </c>
      <c r="CJ108" s="685" t="str">
        <f>IF('[1]Data 2026'!CM119="","",'[1]Data 2026'!CM119)</f>
        <v/>
      </c>
      <c r="CK108" s="685" t="str">
        <f>IF('[1]Data 2026'!CN119="","",'[1]Data 2026'!CN119)</f>
        <v/>
      </c>
      <c r="CL108" s="691"/>
      <c r="CM108" s="691" t="str">
        <f>IF('[1]Data 2026'!CP119="","",'[1]Data 2026'!CP119)</f>
        <v/>
      </c>
      <c r="CN108" s="691"/>
      <c r="CO108" s="419"/>
      <c r="CP108" s="419"/>
      <c r="CQ108" s="419"/>
      <c r="CR108" s="686" t="str">
        <f t="shared" si="25"/>
        <v/>
      </c>
    </row>
    <row r="109" spans="1:96">
      <c r="A109" s="682" t="str">
        <f t="shared" si="13"/>
        <v>A. BOOKING PENDING</v>
      </c>
      <c r="B109" s="695"/>
      <c r="C109" s="684" t="str">
        <f t="shared" si="14"/>
        <v>SHORT POSITION</v>
      </c>
      <c r="D109" s="685" t="str">
        <f t="shared" si="22"/>
        <v/>
      </c>
      <c r="E109" s="685" t="str">
        <f t="shared" si="15"/>
        <v/>
      </c>
      <c r="F109" s="686">
        <f>IF('[1]Data 2026'!D120="","",'[1]Data 2026'!D120)</f>
        <v>44</v>
      </c>
      <c r="G109" s="686">
        <f>IF('[1]Data 2026'!E120="","",'[1]Data 2026'!E120)</f>
        <v>200</v>
      </c>
      <c r="H109" s="687" t="str">
        <f>IF('[1]Data 2026'!H120="","",'[1]Data 2026'!H120)</f>
        <v>32016408-1</v>
      </c>
      <c r="I109" s="688">
        <f>IF('[1]Data 2026'!AA120="","",'[1]Data 2026'!AA120)</f>
        <v>250</v>
      </c>
      <c r="J109" s="685" t="str">
        <f>IF('[1]Data 2026'!K120="","",'[1]Data 2026'!K120)</f>
        <v>JUNE/JULY 2026</v>
      </c>
      <c r="K109" s="685">
        <v>46228</v>
      </c>
      <c r="L109" s="685" t="str">
        <f>IF('[1]Data 2026'!L120="","",'[1]Data 2026'!L120)</f>
        <v>VALENCY CI</v>
      </c>
      <c r="M109" s="685" t="str">
        <f>IF('[1]Data 2026'!M120="","",'[1]Data 2026'!M120)</f>
        <v xml:space="preserve">KIEU LOAN COMPANY LIMITED </v>
      </c>
      <c r="N109" s="685" t="s">
        <v>1194</v>
      </c>
      <c r="O109" s="689" t="str">
        <f>IF('[1]Data 2026'!N120="","",'[1]Data 2026'!N120)</f>
        <v/>
      </c>
      <c r="P109" s="701" t="str">
        <f>IF('[1]Data 2026'!O120="","",'[1]Data 2026'!O120)</f>
        <v/>
      </c>
      <c r="Q109" s="685" t="str">
        <f>IF('[1]Data 2026'!P120="","",'[1]Data 2026'!P120)</f>
        <v/>
      </c>
      <c r="R109" s="685" t="str">
        <f>IF('[1]Data 2026'!Q120="","",'[1]Data 2026'!Q120)</f>
        <v>ABJ</v>
      </c>
      <c r="S109" s="685" t="s">
        <v>347</v>
      </c>
      <c r="T109" s="685" t="str">
        <f>IF('[1]Data 2026'!R120="","",'[1]Data 2026'!R120)</f>
        <v>HCMC, VIETNAM</v>
      </c>
      <c r="U109" s="685" t="str">
        <f>IF('[1]Data 2026'!S120="","",'[1]Data 2026'!S120)</f>
        <v/>
      </c>
      <c r="V109" s="685" t="str">
        <f>IF('[1]Data 2026'!T120="","",'[1]Data 2026'!T120)</f>
        <v/>
      </c>
      <c r="W109" s="685" t="str">
        <f>IF('[1]Data 2026'!U120="","",'[1]Data 2026'!U120)</f>
        <v/>
      </c>
      <c r="X109" s="685" t="str">
        <f>IF('[1]Data 2026'!V120="","",'[1]Data 2026'!V120)</f>
        <v/>
      </c>
      <c r="Y109" s="685" t="str">
        <f>IF('[1]Data 2026'!W120="","",'[1]Data 2026'!W120)</f>
        <v/>
      </c>
      <c r="Z109" s="685" t="str">
        <f>IF('[1]Data 2026'!X120="","",'[1]Data 2026'!X120)</f>
        <v/>
      </c>
      <c r="AA109" s="685"/>
      <c r="AB109" s="685" t="str">
        <f>IF('[1]Data 2026'!Y120="","",'[1]Data 2026'!Y120)</f>
        <v/>
      </c>
      <c r="AC109" s="685" t="str">
        <f>IF('[1]Data 2026'!Z120="","",'[1]Data 2026'!Z120)</f>
        <v/>
      </c>
      <c r="AD109" s="691">
        <f>IF('[1]Data 2026'!AA120="","",'[1]Data 2026'!AA120)</f>
        <v>250</v>
      </c>
      <c r="AE109" s="691">
        <f>IF('[1]Data 2026'!AB120="","",'[1]Data 2026'!AB120)</f>
        <v>250</v>
      </c>
      <c r="AF109" s="685">
        <f>IF('[1]Data 2026'!AC120="","",'[1]Data 2026'!AC120)</f>
        <v>45868</v>
      </c>
      <c r="AG109" s="685" t="str">
        <f>IF('[1]Data 2026'!AD120="","",'[1]Data 2026'!AD120)</f>
        <v/>
      </c>
      <c r="AH109" s="686">
        <f>IF('[1]Data 2026'!AE120="","",'[1]Data 2026'!AE120)</f>
        <v>10</v>
      </c>
      <c r="AI109" s="685" t="str">
        <f>IF('[1]Data 2026'!AG120="","",'[1]Data 2026'!AG120)</f>
        <v/>
      </c>
      <c r="AJ109" s="685" t="str">
        <f>IF('[1]Data 2026'!AH120="","",'[1]Data 2026'!AH120)</f>
        <v>TBA</v>
      </c>
      <c r="AK109" s="685" t="str">
        <f>IF('[1]Data 2026'!AI120="","",'[1]Data 2026'!AI120)</f>
        <v>TBA</v>
      </c>
      <c r="AL109" s="685" t="str">
        <f>IF('[1]Data 2026'!AJ120="","",'[1]Data 2026'!AJ120)</f>
        <v>40FT</v>
      </c>
      <c r="AM109" s="692">
        <f>IF('[1]Data 2026'!AK120="","",'[1]Data 2026'!AK120)</f>
        <v>0.1</v>
      </c>
      <c r="AN109" s="685" t="str">
        <f>IF('[1]Data 2026'!AL120="","",'[1]Data 2026'!AL120)</f>
        <v>(01x250MTS)</v>
      </c>
      <c r="AO109" s="691">
        <f>IF('[1]Data 2026'!AM120="","",'[1]Data 2026'!AM120)</f>
        <v>275</v>
      </c>
      <c r="AP109" s="691" t="str">
        <f t="shared" si="16"/>
        <v/>
      </c>
      <c r="AQ109" s="685" t="str">
        <f>IF('[1]Data 2026'!AO120="","",'[1]Data 2026'!AO120)</f>
        <v/>
      </c>
      <c r="AR109" s="685" t="str">
        <f>IF('[1]Data 2026'!AP120="","",'[1]Data 2026'!AP120)</f>
        <v/>
      </c>
      <c r="AS109" s="685" t="str">
        <f>IF('[1]Data 2026'!AQ120="","",'[1]Data 2026'!AQ120)</f>
        <v/>
      </c>
      <c r="AT109" s="685" t="str">
        <f>IF('[1]Data 2026'!AR120="","",'[1]Data 2026'!AR120)</f>
        <v/>
      </c>
      <c r="AU109" s="685" t="str">
        <f>IF('[1]Data 2026'!AW120="","",'[1]Data 2026'!AW120)</f>
        <v/>
      </c>
      <c r="AV109" s="685" t="str">
        <f>IF('[1]Data 2026'!AX120="","",'[1]Data 2026'!AX120)</f>
        <v/>
      </c>
      <c r="AW109" s="685" t="str">
        <f>IF('[1]Data 2026'!AY120="","",'[1]Data 2026'!AY120)</f>
        <v/>
      </c>
      <c r="AX109" s="685" t="str">
        <f>IF('[1]Data 2026'!AZ120="","",'[1]Data 2026'!AZ120)</f>
        <v/>
      </c>
      <c r="AY109" s="685" t="str">
        <f>IF('[1]Data 2026'!BA120="","",'[1]Data 2026'!BA120)</f>
        <v/>
      </c>
      <c r="AZ109" s="685" t="str">
        <f>IF('[1]Data 2026'!AS120="","",'[1]Data 2026'!AS120)</f>
        <v/>
      </c>
      <c r="BA109" s="685" t="str">
        <f>IF('[1]Data 2026'!AT120="","",'[1]Data 2026'!AT120)</f>
        <v/>
      </c>
      <c r="BB109" s="685" t="str">
        <f>IF('[1]Data 2026'!AU120="","",'[1]Data 2026'!AU120)</f>
        <v/>
      </c>
      <c r="BC109" s="685" t="str">
        <f>IF('[1]Data 2026'!AV120="","",'[1]Data 2026'!AV120)</f>
        <v/>
      </c>
      <c r="BD109" s="685" t="str">
        <f>IF('[1]Data 2026'!AW120="","",'[1]Data 2026'!AW120)</f>
        <v/>
      </c>
      <c r="BE109" s="685" t="str">
        <f>IF('[1]Data 2026'!AX120="","",'[1]Data 2026'!AX120)</f>
        <v/>
      </c>
      <c r="BF109" s="685" t="str">
        <f>IF('[1]Data 2026'!BF120="","",'[1]Data 2026'!BF120)</f>
        <v/>
      </c>
      <c r="BG109" s="685" t="str">
        <f>IF('[1]Data 2026'!BG120="","",'[1]Data 2026'!BG120)</f>
        <v/>
      </c>
      <c r="BH109" s="685" t="str">
        <f>IF('[1]Data 2026'!BH120="","",'[1]Data 2026'!BH120)</f>
        <v/>
      </c>
      <c r="BI109" s="685" t="str">
        <f>IF('[1]Data 2026'!BI120="","",'[1]Data 2026'!BI120)</f>
        <v/>
      </c>
      <c r="BJ109" s="685" t="str">
        <f>IF('[1]Data 2026'!BJ120="","",'[1]Data 2026'!BJ120)</f>
        <v/>
      </c>
      <c r="BK109" s="685" t="str">
        <f>IF('[1]Data 2026'!BK120="","",'[1]Data 2026'!BK120)</f>
        <v/>
      </c>
      <c r="BL109" s="685" t="str">
        <f>IF('[1]Data 2026'!BL120="","",'[1]Data 2026'!BL120)</f>
        <v/>
      </c>
      <c r="BM109" s="685" t="str">
        <f>IF('[1]Data 2026'!BM120="","",'[1]Data 2026'!BM120)</f>
        <v/>
      </c>
      <c r="BN109" s="685" t="str">
        <f>IF('[1]Data 2026'!BN120="","",'[1]Data 2026'!BN120)</f>
        <v/>
      </c>
      <c r="BO109" s="685" t="str">
        <f>IF('[1]Data 2026'!BO120="","",'[1]Data 2026'!BO120)</f>
        <v/>
      </c>
      <c r="BP109" s="685" t="str">
        <f>IF('[1]Data 2026'!BP120="","",'[1]Data 2026'!BP120)</f>
        <v/>
      </c>
      <c r="BQ109" s="685" t="str">
        <f>IF('[1]Data 2026'!BQ120="","",'[1]Data 2026'!BQ120)</f>
        <v/>
      </c>
      <c r="BR109" s="685" t="str">
        <f>IF('[1]Data 2026'!BR120="","",'[1]Data 2026'!BR120)</f>
        <v/>
      </c>
      <c r="BS109" s="685" t="str">
        <f>IF('[1]Data 2026'!BS120="","",'[1]Data 2026'!BS120)</f>
        <v/>
      </c>
      <c r="BT109" s="685" t="str">
        <f>IF('[1]Data 2026'!BV120="","",'[1]Data 2026'!BV120)</f>
        <v/>
      </c>
      <c r="BU109" s="685" t="str">
        <f>IF('[1]Data 2026'!BW120="","",'[1]Data 2026'!BW120)</f>
        <v/>
      </c>
      <c r="BV109" s="685" t="str">
        <f>IF('[1]Data 2026'!BX120="","",'[1]Data 2026'!BX120)</f>
        <v/>
      </c>
      <c r="BW109" s="685" t="str">
        <f>IF('[1]Data 2026'!BY120="","",'[1]Data 2026'!BY120)</f>
        <v/>
      </c>
      <c r="BX109" s="685" t="str">
        <f>IF('[1]Data 2026'!BZ120="","",'[1]Data 2026'!BZ120)</f>
        <v/>
      </c>
      <c r="BY109" s="685" t="str">
        <f>IF('[1]Data 2026'!CA120="","",'[1]Data 2026'!CA120)</f>
        <v/>
      </c>
      <c r="BZ109" s="685" t="str">
        <f>IF('[1]Data 2026'!CB120="","",'[1]Data 2026'!CB120)</f>
        <v/>
      </c>
      <c r="CA109" s="685" t="str">
        <f>IF('[1]Data 2026'!CC120="","",'[1]Data 2026'!CC120)</f>
        <v/>
      </c>
      <c r="CB109" s="685" t="str">
        <f>IF('[1]Data 2026'!CD120="","",'[1]Data 2026'!CD120)</f>
        <v/>
      </c>
      <c r="CC109" s="685" t="str">
        <f>IF('[1]Data 2026'!CE120="","",'[1]Data 2026'!CE120)</f>
        <v/>
      </c>
      <c r="CD109" s="685" t="str">
        <f>IF('[1]Data 2026'!CF120="","",'[1]Data 2026'!CF120)</f>
        <v/>
      </c>
      <c r="CE109" s="685" t="str">
        <f>IF('[1]Data 2026'!CG120="","",'[1]Data 2026'!CG120)</f>
        <v/>
      </c>
      <c r="CF109" s="685" t="str">
        <f>IF('[1]Data 2026'!CH120="","",'[1]Data 2026'!CH120)</f>
        <v/>
      </c>
      <c r="CG109" s="685" t="str">
        <f>IF('[1]Data 2026'!CI120="","",'[1]Data 2026'!CI120)</f>
        <v/>
      </c>
      <c r="CH109" s="685" t="str">
        <f>IF('[1]Data 2026'!CJ120="","",'[1]Data 2026'!CJ120)</f>
        <v/>
      </c>
      <c r="CI109" s="685" t="str">
        <f>IF('[1]Data 2026'!CK120="","",'[1]Data 2026'!CK120)</f>
        <v/>
      </c>
      <c r="CJ109" s="685" t="str">
        <f>IF('[1]Data 2026'!CM120="","",'[1]Data 2026'!CM120)</f>
        <v/>
      </c>
      <c r="CK109" s="685" t="str">
        <f>IF('[1]Data 2026'!CN120="","",'[1]Data 2026'!CN120)</f>
        <v/>
      </c>
      <c r="CL109" s="691"/>
      <c r="CM109" s="691" t="str">
        <f>IF('[1]Data 2026'!CP120="","",'[1]Data 2026'!CP120)</f>
        <v/>
      </c>
      <c r="CN109" s="691"/>
      <c r="CO109" s="419"/>
      <c r="CP109" s="419"/>
      <c r="CQ109" s="419"/>
      <c r="CR109" s="686" t="str">
        <f t="shared" si="25"/>
        <v/>
      </c>
    </row>
    <row r="110" spans="1:96">
      <c r="A110" s="682" t="str">
        <f t="shared" si="13"/>
        <v>A. BOOKING PENDING</v>
      </c>
      <c r="B110" s="695"/>
      <c r="C110" s="684" t="str">
        <f t="shared" si="14"/>
        <v>SHORT POSITION</v>
      </c>
      <c r="D110" s="685" t="str">
        <f t="shared" si="22"/>
        <v/>
      </c>
      <c r="E110" s="685" t="str">
        <f t="shared" si="15"/>
        <v/>
      </c>
      <c r="F110" s="686">
        <f>IF('[1]Data 2026'!D121="","",'[1]Data 2026'!D121)</f>
        <v>44</v>
      </c>
      <c r="G110" s="686">
        <f>IF('[1]Data 2026'!E121="","",'[1]Data 2026'!E121)</f>
        <v>200</v>
      </c>
      <c r="H110" s="687" t="str">
        <f>IF('[1]Data 2026'!H121="","",'[1]Data 2026'!H121)</f>
        <v>32016408-2</v>
      </c>
      <c r="I110" s="688">
        <f>IF('[1]Data 2026'!AA121="","",'[1]Data 2026'!AA121)</f>
        <v>250</v>
      </c>
      <c r="J110" s="685" t="str">
        <f>IF('[1]Data 2026'!K121="","",'[1]Data 2026'!K121)</f>
        <v>JUNE/JULY 2026</v>
      </c>
      <c r="K110" s="685">
        <v>46229</v>
      </c>
      <c r="L110" s="685" t="str">
        <f>IF('[1]Data 2026'!L121="","",'[1]Data 2026'!L121)</f>
        <v>VALENCY CI</v>
      </c>
      <c r="M110" s="685" t="str">
        <f>IF('[1]Data 2026'!M121="","",'[1]Data 2026'!M121)</f>
        <v xml:space="preserve">KIEU LOAN COMPANY LIMITED </v>
      </c>
      <c r="N110" s="685" t="s">
        <v>1194</v>
      </c>
      <c r="O110" s="689" t="str">
        <f>IF('[1]Data 2026'!N121="","",'[1]Data 2026'!N121)</f>
        <v/>
      </c>
      <c r="P110" s="701" t="str">
        <f>IF('[1]Data 2026'!O121="","",'[1]Data 2026'!O121)</f>
        <v/>
      </c>
      <c r="Q110" s="685" t="str">
        <f>IF('[1]Data 2026'!P121="","",'[1]Data 2026'!P121)</f>
        <v/>
      </c>
      <c r="R110" s="685" t="str">
        <f>IF('[1]Data 2026'!Q121="","",'[1]Data 2026'!Q121)</f>
        <v>ABJ</v>
      </c>
      <c r="S110" s="685" t="s">
        <v>347</v>
      </c>
      <c r="T110" s="685" t="str">
        <f>IF('[1]Data 2026'!R121="","",'[1]Data 2026'!R121)</f>
        <v>HCMC, VIETNAM</v>
      </c>
      <c r="U110" s="685" t="str">
        <f>IF('[1]Data 2026'!S121="","",'[1]Data 2026'!S121)</f>
        <v/>
      </c>
      <c r="V110" s="685" t="str">
        <f>IF('[1]Data 2026'!T121="","",'[1]Data 2026'!T121)</f>
        <v/>
      </c>
      <c r="W110" s="685" t="str">
        <f>IF('[1]Data 2026'!U121="","",'[1]Data 2026'!U121)</f>
        <v/>
      </c>
      <c r="X110" s="685" t="str">
        <f>IF('[1]Data 2026'!V121="","",'[1]Data 2026'!V121)</f>
        <v/>
      </c>
      <c r="Y110" s="685" t="str">
        <f>IF('[1]Data 2026'!W121="","",'[1]Data 2026'!W121)</f>
        <v/>
      </c>
      <c r="Z110" s="685" t="str">
        <f>IF('[1]Data 2026'!X121="","",'[1]Data 2026'!X121)</f>
        <v/>
      </c>
      <c r="AA110" s="685"/>
      <c r="AB110" s="685" t="str">
        <f>IF('[1]Data 2026'!Y121="","",'[1]Data 2026'!Y121)</f>
        <v/>
      </c>
      <c r="AC110" s="685" t="str">
        <f>IF('[1]Data 2026'!Z121="","",'[1]Data 2026'!Z121)</f>
        <v/>
      </c>
      <c r="AD110" s="691">
        <f>IF('[1]Data 2026'!AA121="","",'[1]Data 2026'!AA121)</f>
        <v>250</v>
      </c>
      <c r="AE110" s="691">
        <f>IF('[1]Data 2026'!AB121="","",'[1]Data 2026'!AB121)</f>
        <v>250</v>
      </c>
      <c r="AF110" s="685">
        <f>IF('[1]Data 2026'!AC121="","",'[1]Data 2026'!AC121)</f>
        <v>45868</v>
      </c>
      <c r="AG110" s="685" t="str">
        <f>IF('[1]Data 2026'!AD121="","",'[1]Data 2026'!AD121)</f>
        <v/>
      </c>
      <c r="AH110" s="686">
        <f>IF('[1]Data 2026'!AE121="","",'[1]Data 2026'!AE121)</f>
        <v>10</v>
      </c>
      <c r="AI110" s="685" t="str">
        <f>IF('[1]Data 2026'!AG121="","",'[1]Data 2026'!AG121)</f>
        <v/>
      </c>
      <c r="AJ110" s="685" t="str">
        <f>IF('[1]Data 2026'!AH121="","",'[1]Data 2026'!AH121)</f>
        <v>TBA</v>
      </c>
      <c r="AK110" s="685" t="str">
        <f>IF('[1]Data 2026'!AI121="","",'[1]Data 2026'!AI121)</f>
        <v>TBA</v>
      </c>
      <c r="AL110" s="685" t="str">
        <f>IF('[1]Data 2026'!AJ121="","",'[1]Data 2026'!AJ121)</f>
        <v>40FT</v>
      </c>
      <c r="AM110" s="692">
        <f>IF('[1]Data 2026'!AK121="","",'[1]Data 2026'!AK121)</f>
        <v>0.1</v>
      </c>
      <c r="AN110" s="685" t="str">
        <f>IF('[1]Data 2026'!AL121="","",'[1]Data 2026'!AL121)</f>
        <v>(01x250MTS)</v>
      </c>
      <c r="AO110" s="691">
        <f>IF('[1]Data 2026'!AM121="","",'[1]Data 2026'!AM121)</f>
        <v>275</v>
      </c>
      <c r="AP110" s="691" t="str">
        <f t="shared" si="16"/>
        <v/>
      </c>
      <c r="AQ110" s="685" t="str">
        <f>IF('[1]Data 2026'!AO121="","",'[1]Data 2026'!AO121)</f>
        <v/>
      </c>
      <c r="AR110" s="685" t="str">
        <f>IF('[1]Data 2026'!AP121="","",'[1]Data 2026'!AP121)</f>
        <v/>
      </c>
      <c r="AS110" s="685" t="str">
        <f>IF('[1]Data 2026'!AQ121="","",'[1]Data 2026'!AQ121)</f>
        <v/>
      </c>
      <c r="AT110" s="685" t="str">
        <f>IF('[1]Data 2026'!AR121="","",'[1]Data 2026'!AR121)</f>
        <v/>
      </c>
      <c r="AU110" s="685" t="str">
        <f>IF('[1]Data 2026'!AW121="","",'[1]Data 2026'!AW121)</f>
        <v/>
      </c>
      <c r="AV110" s="685" t="str">
        <f>IF('[1]Data 2026'!AX121="","",'[1]Data 2026'!AX121)</f>
        <v/>
      </c>
      <c r="AW110" s="685" t="str">
        <f>IF('[1]Data 2026'!AY121="","",'[1]Data 2026'!AY121)</f>
        <v/>
      </c>
      <c r="AX110" s="685" t="str">
        <f>IF('[1]Data 2026'!AZ121="","",'[1]Data 2026'!AZ121)</f>
        <v/>
      </c>
      <c r="AY110" s="685" t="str">
        <f>IF('[1]Data 2026'!BA121="","",'[1]Data 2026'!BA121)</f>
        <v/>
      </c>
      <c r="AZ110" s="685" t="str">
        <f>IF('[1]Data 2026'!AS121="","",'[1]Data 2026'!AS121)</f>
        <v/>
      </c>
      <c r="BA110" s="685" t="str">
        <f>IF('[1]Data 2026'!AT121="","",'[1]Data 2026'!AT121)</f>
        <v/>
      </c>
      <c r="BB110" s="685" t="str">
        <f>IF('[1]Data 2026'!AU121="","",'[1]Data 2026'!AU121)</f>
        <v/>
      </c>
      <c r="BC110" s="685" t="str">
        <f>IF('[1]Data 2026'!AV121="","",'[1]Data 2026'!AV121)</f>
        <v/>
      </c>
      <c r="BD110" s="685" t="str">
        <f>IF('[1]Data 2026'!AW121="","",'[1]Data 2026'!AW121)</f>
        <v/>
      </c>
      <c r="BE110" s="685" t="str">
        <f>IF('[1]Data 2026'!AX121="","",'[1]Data 2026'!AX121)</f>
        <v/>
      </c>
      <c r="BF110" s="685" t="str">
        <f>IF('[1]Data 2026'!BF121="","",'[1]Data 2026'!BF121)</f>
        <v/>
      </c>
      <c r="BG110" s="685" t="str">
        <f>IF('[1]Data 2026'!BG121="","",'[1]Data 2026'!BG121)</f>
        <v/>
      </c>
      <c r="BH110" s="685" t="str">
        <f>IF('[1]Data 2026'!BH121="","",'[1]Data 2026'!BH121)</f>
        <v/>
      </c>
      <c r="BI110" s="685" t="str">
        <f>IF('[1]Data 2026'!BI121="","",'[1]Data 2026'!BI121)</f>
        <v/>
      </c>
      <c r="BJ110" s="685" t="str">
        <f>IF('[1]Data 2026'!BJ121="","",'[1]Data 2026'!BJ121)</f>
        <v/>
      </c>
      <c r="BK110" s="685" t="str">
        <f>IF('[1]Data 2026'!BK121="","",'[1]Data 2026'!BK121)</f>
        <v/>
      </c>
      <c r="BL110" s="685" t="str">
        <f>IF('[1]Data 2026'!BL121="","",'[1]Data 2026'!BL121)</f>
        <v/>
      </c>
      <c r="BM110" s="685" t="str">
        <f>IF('[1]Data 2026'!BM121="","",'[1]Data 2026'!BM121)</f>
        <v/>
      </c>
      <c r="BN110" s="685" t="str">
        <f>IF('[1]Data 2026'!BN121="","",'[1]Data 2026'!BN121)</f>
        <v/>
      </c>
      <c r="BO110" s="685" t="str">
        <f>IF('[1]Data 2026'!BO121="","",'[1]Data 2026'!BO121)</f>
        <v/>
      </c>
      <c r="BP110" s="685" t="str">
        <f>IF('[1]Data 2026'!BP121="","",'[1]Data 2026'!BP121)</f>
        <v/>
      </c>
      <c r="BQ110" s="685" t="str">
        <f>IF('[1]Data 2026'!BQ121="","",'[1]Data 2026'!BQ121)</f>
        <v/>
      </c>
      <c r="BR110" s="685" t="str">
        <f>IF('[1]Data 2026'!BR121="","",'[1]Data 2026'!BR121)</f>
        <v/>
      </c>
      <c r="BS110" s="685" t="str">
        <f>IF('[1]Data 2026'!BS121="","",'[1]Data 2026'!BS121)</f>
        <v/>
      </c>
      <c r="BT110" s="685" t="str">
        <f>IF('[1]Data 2026'!BV121="","",'[1]Data 2026'!BV121)</f>
        <v/>
      </c>
      <c r="BU110" s="685" t="str">
        <f>IF('[1]Data 2026'!BW121="","",'[1]Data 2026'!BW121)</f>
        <v/>
      </c>
      <c r="BV110" s="685" t="str">
        <f>IF('[1]Data 2026'!BX121="","",'[1]Data 2026'!BX121)</f>
        <v/>
      </c>
      <c r="BW110" s="685" t="str">
        <f>IF('[1]Data 2026'!BY121="","",'[1]Data 2026'!BY121)</f>
        <v/>
      </c>
      <c r="BX110" s="685" t="str">
        <f>IF('[1]Data 2026'!BZ121="","",'[1]Data 2026'!BZ121)</f>
        <v/>
      </c>
      <c r="BY110" s="685" t="str">
        <f>IF('[1]Data 2026'!CA121="","",'[1]Data 2026'!CA121)</f>
        <v/>
      </c>
      <c r="BZ110" s="685" t="str">
        <f>IF('[1]Data 2026'!CB121="","",'[1]Data 2026'!CB121)</f>
        <v/>
      </c>
      <c r="CA110" s="685" t="str">
        <f>IF('[1]Data 2026'!CC121="","",'[1]Data 2026'!CC121)</f>
        <v/>
      </c>
      <c r="CB110" s="685" t="str">
        <f>IF('[1]Data 2026'!CD121="","",'[1]Data 2026'!CD121)</f>
        <v/>
      </c>
      <c r="CC110" s="685" t="str">
        <f>IF('[1]Data 2026'!CE121="","",'[1]Data 2026'!CE121)</f>
        <v/>
      </c>
      <c r="CD110" s="685" t="str">
        <f>IF('[1]Data 2026'!CF121="","",'[1]Data 2026'!CF121)</f>
        <v/>
      </c>
      <c r="CE110" s="685" t="str">
        <f>IF('[1]Data 2026'!CG121="","",'[1]Data 2026'!CG121)</f>
        <v/>
      </c>
      <c r="CF110" s="685" t="str">
        <f>IF('[1]Data 2026'!CH121="","",'[1]Data 2026'!CH121)</f>
        <v/>
      </c>
      <c r="CG110" s="685" t="str">
        <f>IF('[1]Data 2026'!CI121="","",'[1]Data 2026'!CI121)</f>
        <v/>
      </c>
      <c r="CH110" s="685" t="str">
        <f>IF('[1]Data 2026'!CJ121="","",'[1]Data 2026'!CJ121)</f>
        <v/>
      </c>
      <c r="CI110" s="685" t="str">
        <f>IF('[1]Data 2026'!CK121="","",'[1]Data 2026'!CK121)</f>
        <v/>
      </c>
      <c r="CJ110" s="685" t="str">
        <f>IF('[1]Data 2026'!CM121="","",'[1]Data 2026'!CM121)</f>
        <v/>
      </c>
      <c r="CK110" s="685" t="str">
        <f>IF('[1]Data 2026'!CN121="","",'[1]Data 2026'!CN121)</f>
        <v/>
      </c>
      <c r="CL110" s="691"/>
      <c r="CM110" s="691" t="str">
        <f>IF('[1]Data 2026'!CP121="","",'[1]Data 2026'!CP121)</f>
        <v/>
      </c>
      <c r="CN110" s="691"/>
      <c r="CO110" s="419"/>
      <c r="CP110" s="419"/>
      <c r="CQ110" s="419"/>
      <c r="CR110" s="686" t="str">
        <f t="shared" si="25"/>
        <v/>
      </c>
    </row>
    <row r="111" spans="1:96">
      <c r="A111" s="682" t="str">
        <f t="shared" si="13"/>
        <v>A. BOOKING PENDING</v>
      </c>
      <c r="B111" s="695"/>
      <c r="C111" s="684" t="str">
        <f t="shared" si="14"/>
        <v>SHORT POSITION</v>
      </c>
      <c r="D111" s="685" t="str">
        <f t="shared" si="22"/>
        <v/>
      </c>
      <c r="E111" s="685" t="str">
        <f t="shared" si="15"/>
        <v/>
      </c>
      <c r="F111" s="686">
        <f>IF('[1]Data 2026'!D122="","",'[1]Data 2026'!D122)</f>
        <v>43</v>
      </c>
      <c r="G111" s="686">
        <f>IF('[1]Data 2026'!E122="","",'[1]Data 2026'!E122)</f>
        <v>200</v>
      </c>
      <c r="H111" s="687" t="str">
        <f>IF('[1]Data 2026'!H122="","",'[1]Data 2026'!H122)</f>
        <v>32016409-1</v>
      </c>
      <c r="I111" s="688">
        <f>IF('[1]Data 2026'!AA122="","",'[1]Data 2026'!AA122)</f>
        <v>250</v>
      </c>
      <c r="J111" s="685" t="str">
        <f>IF('[1]Data 2026'!K122="","",'[1]Data 2026'!K122)</f>
        <v>JUNE/JULY 2026</v>
      </c>
      <c r="K111" s="685">
        <v>46230</v>
      </c>
      <c r="L111" s="685" t="str">
        <f>IF('[1]Data 2026'!L122="","",'[1]Data 2026'!L122)</f>
        <v>VALENCY CI</v>
      </c>
      <c r="M111" s="685" t="str">
        <f>IF('[1]Data 2026'!M122="","",'[1]Data 2026'!M122)</f>
        <v xml:space="preserve">KIEU LOAN COMPANY LIMITED </v>
      </c>
      <c r="N111" s="685" t="s">
        <v>1194</v>
      </c>
      <c r="O111" s="689" t="str">
        <f>IF('[1]Data 2026'!N122="","",'[1]Data 2026'!N122)</f>
        <v/>
      </c>
      <c r="P111" s="701" t="str">
        <f>IF('[1]Data 2026'!O122="","",'[1]Data 2026'!O122)</f>
        <v/>
      </c>
      <c r="Q111" s="685" t="str">
        <f>IF('[1]Data 2026'!P122="","",'[1]Data 2026'!P122)</f>
        <v/>
      </c>
      <c r="R111" s="685" t="str">
        <f>IF('[1]Data 2026'!Q122="","",'[1]Data 2026'!Q122)</f>
        <v>ABJ</v>
      </c>
      <c r="S111" s="685" t="s">
        <v>347</v>
      </c>
      <c r="T111" s="685" t="str">
        <f>IF('[1]Data 2026'!R122="","",'[1]Data 2026'!R122)</f>
        <v>HCMC, VIETNAM</v>
      </c>
      <c r="U111" s="685" t="str">
        <f>IF('[1]Data 2026'!S122="","",'[1]Data 2026'!S122)</f>
        <v/>
      </c>
      <c r="V111" s="685" t="str">
        <f>IF('[1]Data 2026'!T122="","",'[1]Data 2026'!T122)</f>
        <v/>
      </c>
      <c r="W111" s="685" t="str">
        <f>IF('[1]Data 2026'!U122="","",'[1]Data 2026'!U122)</f>
        <v/>
      </c>
      <c r="X111" s="685" t="str">
        <f>IF('[1]Data 2026'!V122="","",'[1]Data 2026'!V122)</f>
        <v/>
      </c>
      <c r="Y111" s="685" t="str">
        <f>IF('[1]Data 2026'!W122="","",'[1]Data 2026'!W122)</f>
        <v/>
      </c>
      <c r="Z111" s="685" t="str">
        <f>IF('[1]Data 2026'!X122="","",'[1]Data 2026'!X122)</f>
        <v/>
      </c>
      <c r="AA111" s="685"/>
      <c r="AB111" s="685" t="str">
        <f>IF('[1]Data 2026'!Y122="","",'[1]Data 2026'!Y122)</f>
        <v/>
      </c>
      <c r="AC111" s="685" t="str">
        <f>IF('[1]Data 2026'!Z122="","",'[1]Data 2026'!Z122)</f>
        <v/>
      </c>
      <c r="AD111" s="691">
        <f>IF('[1]Data 2026'!AA122="","",'[1]Data 2026'!AA122)</f>
        <v>250</v>
      </c>
      <c r="AE111" s="691">
        <f>IF('[1]Data 2026'!AB122="","",'[1]Data 2026'!AB122)</f>
        <v>250</v>
      </c>
      <c r="AF111" s="685">
        <f>IF('[1]Data 2026'!AC122="","",'[1]Data 2026'!AC122)</f>
        <v>45868</v>
      </c>
      <c r="AG111" s="685" t="str">
        <f>IF('[1]Data 2026'!AD122="","",'[1]Data 2026'!AD122)</f>
        <v/>
      </c>
      <c r="AH111" s="686">
        <f>IF('[1]Data 2026'!AE122="","",'[1]Data 2026'!AE122)</f>
        <v>10</v>
      </c>
      <c r="AI111" s="685" t="str">
        <f>IF('[1]Data 2026'!AG122="","",'[1]Data 2026'!AG122)</f>
        <v/>
      </c>
      <c r="AJ111" s="685" t="str">
        <f>IF('[1]Data 2026'!AH122="","",'[1]Data 2026'!AH122)</f>
        <v>TBA</v>
      </c>
      <c r="AK111" s="685" t="str">
        <f>IF('[1]Data 2026'!AI122="","",'[1]Data 2026'!AI122)</f>
        <v>TBA</v>
      </c>
      <c r="AL111" s="685" t="str">
        <f>IF('[1]Data 2026'!AJ122="","",'[1]Data 2026'!AJ122)</f>
        <v>40FT</v>
      </c>
      <c r="AM111" s="692">
        <f>IF('[1]Data 2026'!AK122="","",'[1]Data 2026'!AK122)</f>
        <v>0.1</v>
      </c>
      <c r="AN111" s="685" t="str">
        <f>IF('[1]Data 2026'!AL122="","",'[1]Data 2026'!AL122)</f>
        <v>(01x250MTS)</v>
      </c>
      <c r="AO111" s="691">
        <f>IF('[1]Data 2026'!AM122="","",'[1]Data 2026'!AM122)</f>
        <v>275</v>
      </c>
      <c r="AP111" s="691" t="str">
        <f t="shared" si="16"/>
        <v/>
      </c>
      <c r="AQ111" s="685" t="str">
        <f>IF('[1]Data 2026'!AO122="","",'[1]Data 2026'!AO122)</f>
        <v/>
      </c>
      <c r="AR111" s="685" t="str">
        <f>IF('[1]Data 2026'!AP122="","",'[1]Data 2026'!AP122)</f>
        <v/>
      </c>
      <c r="AS111" s="685" t="str">
        <f>IF('[1]Data 2026'!AQ122="","",'[1]Data 2026'!AQ122)</f>
        <v/>
      </c>
      <c r="AT111" s="685" t="str">
        <f>IF('[1]Data 2026'!AR122="","",'[1]Data 2026'!AR122)</f>
        <v/>
      </c>
      <c r="AU111" s="685" t="str">
        <f>IF('[1]Data 2026'!AW122="","",'[1]Data 2026'!AW122)</f>
        <v/>
      </c>
      <c r="AV111" s="685" t="str">
        <f>IF('[1]Data 2026'!AX122="","",'[1]Data 2026'!AX122)</f>
        <v/>
      </c>
      <c r="AW111" s="685" t="str">
        <f>IF('[1]Data 2026'!AY122="","",'[1]Data 2026'!AY122)</f>
        <v/>
      </c>
      <c r="AX111" s="685" t="str">
        <f>IF('[1]Data 2026'!AZ122="","",'[1]Data 2026'!AZ122)</f>
        <v/>
      </c>
      <c r="AY111" s="685" t="str">
        <f>IF('[1]Data 2026'!BA122="","",'[1]Data 2026'!BA122)</f>
        <v/>
      </c>
      <c r="AZ111" s="685" t="str">
        <f>IF('[1]Data 2026'!AS122="","",'[1]Data 2026'!AS122)</f>
        <v/>
      </c>
      <c r="BA111" s="685" t="str">
        <f>IF('[1]Data 2026'!AT122="","",'[1]Data 2026'!AT122)</f>
        <v/>
      </c>
      <c r="BB111" s="685" t="str">
        <f>IF('[1]Data 2026'!AU122="","",'[1]Data 2026'!AU122)</f>
        <v/>
      </c>
      <c r="BC111" s="685" t="str">
        <f>IF('[1]Data 2026'!AV122="","",'[1]Data 2026'!AV122)</f>
        <v/>
      </c>
      <c r="BD111" s="685" t="str">
        <f>IF('[1]Data 2026'!AW122="","",'[1]Data 2026'!AW122)</f>
        <v/>
      </c>
      <c r="BE111" s="685" t="str">
        <f>IF('[1]Data 2026'!AX122="","",'[1]Data 2026'!AX122)</f>
        <v/>
      </c>
      <c r="BF111" s="685" t="str">
        <f>IF('[1]Data 2026'!BF122="","",'[1]Data 2026'!BF122)</f>
        <v/>
      </c>
      <c r="BG111" s="685" t="str">
        <f>IF('[1]Data 2026'!BG122="","",'[1]Data 2026'!BG122)</f>
        <v/>
      </c>
      <c r="BH111" s="685" t="str">
        <f>IF('[1]Data 2026'!BH122="","",'[1]Data 2026'!BH122)</f>
        <v/>
      </c>
      <c r="BI111" s="685" t="str">
        <f>IF('[1]Data 2026'!BI122="","",'[1]Data 2026'!BI122)</f>
        <v/>
      </c>
      <c r="BJ111" s="685" t="str">
        <f>IF('[1]Data 2026'!BJ122="","",'[1]Data 2026'!BJ122)</f>
        <v/>
      </c>
      <c r="BK111" s="685" t="str">
        <f>IF('[1]Data 2026'!BK122="","",'[1]Data 2026'!BK122)</f>
        <v/>
      </c>
      <c r="BL111" s="685" t="str">
        <f>IF('[1]Data 2026'!BL122="","",'[1]Data 2026'!BL122)</f>
        <v/>
      </c>
      <c r="BM111" s="685" t="str">
        <f>IF('[1]Data 2026'!BM122="","",'[1]Data 2026'!BM122)</f>
        <v/>
      </c>
      <c r="BN111" s="685" t="str">
        <f>IF('[1]Data 2026'!BN122="","",'[1]Data 2026'!BN122)</f>
        <v/>
      </c>
      <c r="BO111" s="685" t="str">
        <f>IF('[1]Data 2026'!BO122="","",'[1]Data 2026'!BO122)</f>
        <v/>
      </c>
      <c r="BP111" s="685" t="str">
        <f>IF('[1]Data 2026'!BP122="","",'[1]Data 2026'!BP122)</f>
        <v/>
      </c>
      <c r="BQ111" s="685" t="str">
        <f>IF('[1]Data 2026'!BQ122="","",'[1]Data 2026'!BQ122)</f>
        <v/>
      </c>
      <c r="BR111" s="685" t="str">
        <f>IF('[1]Data 2026'!BR122="","",'[1]Data 2026'!BR122)</f>
        <v/>
      </c>
      <c r="BS111" s="685" t="str">
        <f>IF('[1]Data 2026'!BS122="","",'[1]Data 2026'!BS122)</f>
        <v/>
      </c>
      <c r="BT111" s="685" t="str">
        <f>IF('[1]Data 2026'!BV122="","",'[1]Data 2026'!BV122)</f>
        <v/>
      </c>
      <c r="BU111" s="685" t="str">
        <f>IF('[1]Data 2026'!BW122="","",'[1]Data 2026'!BW122)</f>
        <v/>
      </c>
      <c r="BV111" s="685" t="str">
        <f>IF('[1]Data 2026'!BX122="","",'[1]Data 2026'!BX122)</f>
        <v/>
      </c>
      <c r="BW111" s="685" t="str">
        <f>IF('[1]Data 2026'!BY122="","",'[1]Data 2026'!BY122)</f>
        <v/>
      </c>
      <c r="BX111" s="685" t="str">
        <f>IF('[1]Data 2026'!BZ122="","",'[1]Data 2026'!BZ122)</f>
        <v/>
      </c>
      <c r="BY111" s="685" t="str">
        <f>IF('[1]Data 2026'!CA122="","",'[1]Data 2026'!CA122)</f>
        <v/>
      </c>
      <c r="BZ111" s="685" t="str">
        <f>IF('[1]Data 2026'!CB122="","",'[1]Data 2026'!CB122)</f>
        <v/>
      </c>
      <c r="CA111" s="685" t="str">
        <f>IF('[1]Data 2026'!CC122="","",'[1]Data 2026'!CC122)</f>
        <v/>
      </c>
      <c r="CB111" s="685" t="str">
        <f>IF('[1]Data 2026'!CD122="","",'[1]Data 2026'!CD122)</f>
        <v/>
      </c>
      <c r="CC111" s="685" t="str">
        <f>IF('[1]Data 2026'!CE122="","",'[1]Data 2026'!CE122)</f>
        <v/>
      </c>
      <c r="CD111" s="685" t="str">
        <f>IF('[1]Data 2026'!CF122="","",'[1]Data 2026'!CF122)</f>
        <v/>
      </c>
      <c r="CE111" s="685" t="str">
        <f>IF('[1]Data 2026'!CG122="","",'[1]Data 2026'!CG122)</f>
        <v/>
      </c>
      <c r="CF111" s="685" t="str">
        <f>IF('[1]Data 2026'!CH122="","",'[1]Data 2026'!CH122)</f>
        <v/>
      </c>
      <c r="CG111" s="685" t="str">
        <f>IF('[1]Data 2026'!CI122="","",'[1]Data 2026'!CI122)</f>
        <v/>
      </c>
      <c r="CH111" s="685" t="str">
        <f>IF('[1]Data 2026'!CJ122="","",'[1]Data 2026'!CJ122)</f>
        <v/>
      </c>
      <c r="CI111" s="685" t="str">
        <f>IF('[1]Data 2026'!CK122="","",'[1]Data 2026'!CK122)</f>
        <v/>
      </c>
      <c r="CJ111" s="685" t="str">
        <f>IF('[1]Data 2026'!CM122="","",'[1]Data 2026'!CM122)</f>
        <v/>
      </c>
      <c r="CK111" s="685" t="str">
        <f>IF('[1]Data 2026'!CN122="","",'[1]Data 2026'!CN122)</f>
        <v/>
      </c>
      <c r="CL111" s="691"/>
      <c r="CM111" s="691" t="str">
        <f>IF('[1]Data 2026'!CP122="","",'[1]Data 2026'!CP122)</f>
        <v/>
      </c>
      <c r="CN111" s="691"/>
      <c r="CO111" s="419"/>
      <c r="CP111" s="419"/>
      <c r="CQ111" s="419"/>
      <c r="CR111" s="686" t="str">
        <f t="shared" si="25"/>
        <v/>
      </c>
    </row>
    <row r="112" spans="1:96">
      <c r="A112" s="682" t="str">
        <f t="shared" si="13"/>
        <v>A. BOOKING PENDING</v>
      </c>
      <c r="B112" s="695"/>
      <c r="C112" s="684" t="str">
        <f t="shared" si="14"/>
        <v>SHORT POSITION</v>
      </c>
      <c r="D112" s="685" t="str">
        <f t="shared" si="22"/>
        <v/>
      </c>
      <c r="E112" s="685" t="str">
        <f t="shared" si="15"/>
        <v/>
      </c>
      <c r="F112" s="686">
        <f>IF('[1]Data 2026'!D123="","",'[1]Data 2026'!D123)</f>
        <v>43</v>
      </c>
      <c r="G112" s="686">
        <f>IF('[1]Data 2026'!E123="","",'[1]Data 2026'!E123)</f>
        <v>200</v>
      </c>
      <c r="H112" s="687" t="str">
        <f>IF('[1]Data 2026'!H123="","",'[1]Data 2026'!H123)</f>
        <v>32016409-2</v>
      </c>
      <c r="I112" s="688">
        <f>IF('[1]Data 2026'!AA123="","",'[1]Data 2026'!AA123)</f>
        <v>250</v>
      </c>
      <c r="J112" s="685" t="str">
        <f>IF('[1]Data 2026'!K123="","",'[1]Data 2026'!K123)</f>
        <v>JUNE/JULY 2026</v>
      </c>
      <c r="K112" s="685">
        <v>46231</v>
      </c>
      <c r="L112" s="685" t="str">
        <f>IF('[1]Data 2026'!L123="","",'[1]Data 2026'!L123)</f>
        <v>VALENCY CI</v>
      </c>
      <c r="M112" s="685" t="str">
        <f>IF('[1]Data 2026'!M123="","",'[1]Data 2026'!M123)</f>
        <v xml:space="preserve">KIEU LOAN COMPANY LIMITED </v>
      </c>
      <c r="N112" s="685" t="s">
        <v>1194</v>
      </c>
      <c r="O112" s="689" t="str">
        <f>IF('[1]Data 2026'!N123="","",'[1]Data 2026'!N123)</f>
        <v/>
      </c>
      <c r="P112" s="701" t="str">
        <f>IF('[1]Data 2026'!O123="","",'[1]Data 2026'!O123)</f>
        <v/>
      </c>
      <c r="Q112" s="685" t="str">
        <f>IF('[1]Data 2026'!P123="","",'[1]Data 2026'!P123)</f>
        <v/>
      </c>
      <c r="R112" s="685" t="str">
        <f>IF('[1]Data 2026'!Q123="","",'[1]Data 2026'!Q123)</f>
        <v>ABJ</v>
      </c>
      <c r="S112" s="685" t="s">
        <v>347</v>
      </c>
      <c r="T112" s="685" t="str">
        <f>IF('[1]Data 2026'!R123="","",'[1]Data 2026'!R123)</f>
        <v>HCMC, VIETNAM</v>
      </c>
      <c r="U112" s="685" t="str">
        <f>IF('[1]Data 2026'!S123="","",'[1]Data 2026'!S123)</f>
        <v/>
      </c>
      <c r="V112" s="685" t="str">
        <f>IF('[1]Data 2026'!T123="","",'[1]Data 2026'!T123)</f>
        <v/>
      </c>
      <c r="W112" s="685" t="str">
        <f>IF('[1]Data 2026'!U123="","",'[1]Data 2026'!U123)</f>
        <v/>
      </c>
      <c r="X112" s="685" t="str">
        <f>IF('[1]Data 2026'!V123="","",'[1]Data 2026'!V123)</f>
        <v/>
      </c>
      <c r="Y112" s="685" t="str">
        <f>IF('[1]Data 2026'!W123="","",'[1]Data 2026'!W123)</f>
        <v/>
      </c>
      <c r="Z112" s="685" t="str">
        <f>IF('[1]Data 2026'!X123="","",'[1]Data 2026'!X123)</f>
        <v/>
      </c>
      <c r="AA112" s="685"/>
      <c r="AB112" s="685" t="str">
        <f>IF('[1]Data 2026'!Y123="","",'[1]Data 2026'!Y123)</f>
        <v/>
      </c>
      <c r="AC112" s="685" t="str">
        <f>IF('[1]Data 2026'!Z123="","",'[1]Data 2026'!Z123)</f>
        <v/>
      </c>
      <c r="AD112" s="691">
        <f>IF('[1]Data 2026'!AA123="","",'[1]Data 2026'!AA123)</f>
        <v>250</v>
      </c>
      <c r="AE112" s="691">
        <f>IF('[1]Data 2026'!AB123="","",'[1]Data 2026'!AB123)</f>
        <v>250</v>
      </c>
      <c r="AF112" s="685">
        <f>IF('[1]Data 2026'!AC123="","",'[1]Data 2026'!AC123)</f>
        <v>45868</v>
      </c>
      <c r="AG112" s="685" t="str">
        <f>IF('[1]Data 2026'!AD123="","",'[1]Data 2026'!AD123)</f>
        <v/>
      </c>
      <c r="AH112" s="686">
        <f>IF('[1]Data 2026'!AE123="","",'[1]Data 2026'!AE123)</f>
        <v>10</v>
      </c>
      <c r="AI112" s="685" t="str">
        <f>IF('[1]Data 2026'!AG123="","",'[1]Data 2026'!AG123)</f>
        <v/>
      </c>
      <c r="AJ112" s="685" t="str">
        <f>IF('[1]Data 2026'!AH123="","",'[1]Data 2026'!AH123)</f>
        <v>TBA</v>
      </c>
      <c r="AK112" s="685" t="str">
        <f>IF('[1]Data 2026'!AI123="","",'[1]Data 2026'!AI123)</f>
        <v>TBA</v>
      </c>
      <c r="AL112" s="685" t="str">
        <f>IF('[1]Data 2026'!AJ123="","",'[1]Data 2026'!AJ123)</f>
        <v>40FT</v>
      </c>
      <c r="AM112" s="692">
        <f>IF('[1]Data 2026'!AK123="","",'[1]Data 2026'!AK123)</f>
        <v>0.1</v>
      </c>
      <c r="AN112" s="685" t="str">
        <f>IF('[1]Data 2026'!AL123="","",'[1]Data 2026'!AL123)</f>
        <v>(01x250MTS)</v>
      </c>
      <c r="AO112" s="691">
        <f>IF('[1]Data 2026'!AM123="","",'[1]Data 2026'!AM123)</f>
        <v>275</v>
      </c>
      <c r="AP112" s="691" t="str">
        <f t="shared" si="16"/>
        <v/>
      </c>
      <c r="AQ112" s="685" t="str">
        <f>IF('[1]Data 2026'!AO123="","",'[1]Data 2026'!AO123)</f>
        <v/>
      </c>
      <c r="AR112" s="685" t="str">
        <f>IF('[1]Data 2026'!AP123="","",'[1]Data 2026'!AP123)</f>
        <v/>
      </c>
      <c r="AS112" s="685" t="str">
        <f>IF('[1]Data 2026'!AQ123="","",'[1]Data 2026'!AQ123)</f>
        <v/>
      </c>
      <c r="AT112" s="685" t="str">
        <f>IF('[1]Data 2026'!AR123="","",'[1]Data 2026'!AR123)</f>
        <v/>
      </c>
      <c r="AU112" s="685" t="str">
        <f>IF('[1]Data 2026'!AW123="","",'[1]Data 2026'!AW123)</f>
        <v/>
      </c>
      <c r="AV112" s="685" t="str">
        <f>IF('[1]Data 2026'!AX123="","",'[1]Data 2026'!AX123)</f>
        <v/>
      </c>
      <c r="AW112" s="685" t="str">
        <f>IF('[1]Data 2026'!AY123="","",'[1]Data 2026'!AY123)</f>
        <v/>
      </c>
      <c r="AX112" s="685" t="str">
        <f>IF('[1]Data 2026'!AZ123="","",'[1]Data 2026'!AZ123)</f>
        <v/>
      </c>
      <c r="AY112" s="685" t="str">
        <f>IF('[1]Data 2026'!BA123="","",'[1]Data 2026'!BA123)</f>
        <v/>
      </c>
      <c r="AZ112" s="685" t="str">
        <f>IF('[1]Data 2026'!AS123="","",'[1]Data 2026'!AS123)</f>
        <v/>
      </c>
      <c r="BA112" s="685" t="str">
        <f>IF('[1]Data 2026'!AT123="","",'[1]Data 2026'!AT123)</f>
        <v/>
      </c>
      <c r="BB112" s="685" t="str">
        <f>IF('[1]Data 2026'!AU123="","",'[1]Data 2026'!AU123)</f>
        <v/>
      </c>
      <c r="BC112" s="685" t="str">
        <f>IF('[1]Data 2026'!AV123="","",'[1]Data 2026'!AV123)</f>
        <v/>
      </c>
      <c r="BD112" s="685" t="str">
        <f>IF('[1]Data 2026'!AW123="","",'[1]Data 2026'!AW123)</f>
        <v/>
      </c>
      <c r="BE112" s="685" t="str">
        <f>IF('[1]Data 2026'!AX123="","",'[1]Data 2026'!AX123)</f>
        <v/>
      </c>
      <c r="BF112" s="685" t="str">
        <f>IF('[1]Data 2026'!BF123="","",'[1]Data 2026'!BF123)</f>
        <v/>
      </c>
      <c r="BG112" s="685" t="str">
        <f>IF('[1]Data 2026'!BG123="","",'[1]Data 2026'!BG123)</f>
        <v/>
      </c>
      <c r="BH112" s="685" t="str">
        <f>IF('[1]Data 2026'!BH123="","",'[1]Data 2026'!BH123)</f>
        <v/>
      </c>
      <c r="BI112" s="685" t="str">
        <f>IF('[1]Data 2026'!BI123="","",'[1]Data 2026'!BI123)</f>
        <v/>
      </c>
      <c r="BJ112" s="685" t="str">
        <f>IF('[1]Data 2026'!BJ123="","",'[1]Data 2026'!BJ123)</f>
        <v/>
      </c>
      <c r="BK112" s="685" t="str">
        <f>IF('[1]Data 2026'!BK123="","",'[1]Data 2026'!BK123)</f>
        <v/>
      </c>
      <c r="BL112" s="685" t="str">
        <f>IF('[1]Data 2026'!BL123="","",'[1]Data 2026'!BL123)</f>
        <v/>
      </c>
      <c r="BM112" s="685" t="str">
        <f>IF('[1]Data 2026'!BM123="","",'[1]Data 2026'!BM123)</f>
        <v/>
      </c>
      <c r="BN112" s="685" t="str">
        <f>IF('[1]Data 2026'!BN123="","",'[1]Data 2026'!BN123)</f>
        <v/>
      </c>
      <c r="BO112" s="685" t="str">
        <f>IF('[1]Data 2026'!BO123="","",'[1]Data 2026'!BO123)</f>
        <v/>
      </c>
      <c r="BP112" s="685" t="str">
        <f>IF('[1]Data 2026'!BP123="","",'[1]Data 2026'!BP123)</f>
        <v/>
      </c>
      <c r="BQ112" s="685" t="str">
        <f>IF('[1]Data 2026'!BQ123="","",'[1]Data 2026'!BQ123)</f>
        <v/>
      </c>
      <c r="BR112" s="685" t="str">
        <f>IF('[1]Data 2026'!BR123="","",'[1]Data 2026'!BR123)</f>
        <v/>
      </c>
      <c r="BS112" s="685" t="str">
        <f>IF('[1]Data 2026'!BS123="","",'[1]Data 2026'!BS123)</f>
        <v/>
      </c>
      <c r="BT112" s="685" t="str">
        <f>IF('[1]Data 2026'!BV123="","",'[1]Data 2026'!BV123)</f>
        <v/>
      </c>
      <c r="BU112" s="685" t="str">
        <f>IF('[1]Data 2026'!BW123="","",'[1]Data 2026'!BW123)</f>
        <v/>
      </c>
      <c r="BV112" s="685" t="str">
        <f>IF('[1]Data 2026'!BX123="","",'[1]Data 2026'!BX123)</f>
        <v/>
      </c>
      <c r="BW112" s="685" t="str">
        <f>IF('[1]Data 2026'!BY123="","",'[1]Data 2026'!BY123)</f>
        <v/>
      </c>
      <c r="BX112" s="685" t="str">
        <f>IF('[1]Data 2026'!BZ123="","",'[1]Data 2026'!BZ123)</f>
        <v/>
      </c>
      <c r="BY112" s="685" t="str">
        <f>IF('[1]Data 2026'!CA123="","",'[1]Data 2026'!CA123)</f>
        <v/>
      </c>
      <c r="BZ112" s="685" t="str">
        <f>IF('[1]Data 2026'!CB123="","",'[1]Data 2026'!CB123)</f>
        <v/>
      </c>
      <c r="CA112" s="685" t="str">
        <f>IF('[1]Data 2026'!CC123="","",'[1]Data 2026'!CC123)</f>
        <v/>
      </c>
      <c r="CB112" s="685" t="str">
        <f>IF('[1]Data 2026'!CD123="","",'[1]Data 2026'!CD123)</f>
        <v/>
      </c>
      <c r="CC112" s="685" t="str">
        <f>IF('[1]Data 2026'!CE123="","",'[1]Data 2026'!CE123)</f>
        <v/>
      </c>
      <c r="CD112" s="685" t="str">
        <f>IF('[1]Data 2026'!CF123="","",'[1]Data 2026'!CF123)</f>
        <v/>
      </c>
      <c r="CE112" s="685" t="str">
        <f>IF('[1]Data 2026'!CG123="","",'[1]Data 2026'!CG123)</f>
        <v/>
      </c>
      <c r="CF112" s="685" t="str">
        <f>IF('[1]Data 2026'!CH123="","",'[1]Data 2026'!CH123)</f>
        <v/>
      </c>
      <c r="CG112" s="685" t="str">
        <f>IF('[1]Data 2026'!CI123="","",'[1]Data 2026'!CI123)</f>
        <v/>
      </c>
      <c r="CH112" s="685" t="str">
        <f>IF('[1]Data 2026'!CJ123="","",'[1]Data 2026'!CJ123)</f>
        <v/>
      </c>
      <c r="CI112" s="685" t="str">
        <f>IF('[1]Data 2026'!CK123="","",'[1]Data 2026'!CK123)</f>
        <v/>
      </c>
      <c r="CJ112" s="685" t="str">
        <f>IF('[1]Data 2026'!CM123="","",'[1]Data 2026'!CM123)</f>
        <v/>
      </c>
      <c r="CK112" s="685" t="str">
        <f>IF('[1]Data 2026'!CN123="","",'[1]Data 2026'!CN123)</f>
        <v/>
      </c>
      <c r="CL112" s="691"/>
      <c r="CM112" s="691" t="str">
        <f>IF('[1]Data 2026'!CP123="","",'[1]Data 2026'!CP123)</f>
        <v/>
      </c>
      <c r="CN112" s="691"/>
      <c r="CO112" s="419"/>
      <c r="CP112" s="419"/>
      <c r="CQ112" s="419"/>
      <c r="CR112" s="686" t="str">
        <f t="shared" si="25"/>
        <v/>
      </c>
    </row>
    <row r="113" spans="1:96">
      <c r="A113" s="682" t="str">
        <f t="shared" si="13"/>
        <v>A. BOOKING PENDING</v>
      </c>
      <c r="B113" s="695"/>
      <c r="C113" s="684" t="str">
        <f t="shared" si="14"/>
        <v>SHORT POSITION</v>
      </c>
      <c r="D113" s="685" t="str">
        <f t="shared" si="22"/>
        <v/>
      </c>
      <c r="E113" s="685" t="str">
        <f t="shared" si="15"/>
        <v/>
      </c>
      <c r="F113" s="686">
        <f>IF('[1]Data 2026'!D124="","",'[1]Data 2026'!D124)</f>
        <v>45</v>
      </c>
      <c r="G113" s="686">
        <f>IF('[1]Data 2026'!E124="","",'[1]Data 2026'!E124)</f>
        <v>200</v>
      </c>
      <c r="H113" s="687" t="str">
        <f>IF('[1]Data 2026'!H124="","",'[1]Data 2026'!H124)</f>
        <v>32016417-1</v>
      </c>
      <c r="I113" s="688">
        <f>IF('[1]Data 2026'!AA124="","",'[1]Data 2026'!AA124)</f>
        <v>250</v>
      </c>
      <c r="J113" s="685" t="str">
        <f>IF('[1]Data 2026'!K124="","",'[1]Data 2026'!K124)</f>
        <v>JUNE/JULY 2026</v>
      </c>
      <c r="K113" s="685">
        <v>46232</v>
      </c>
      <c r="L113" s="685" t="str">
        <f>IF('[1]Data 2026'!L124="","",'[1]Data 2026'!L124)</f>
        <v>VALENCY CI</v>
      </c>
      <c r="M113" s="685" t="str">
        <f>IF('[1]Data 2026'!M124="","",'[1]Data 2026'!M124)</f>
        <v>HOANG SON I JOINT STOCK COMPANY</v>
      </c>
      <c r="N113" s="685" t="s">
        <v>1194</v>
      </c>
      <c r="O113" s="689" t="str">
        <f>IF('[1]Data 2026'!N124="","",'[1]Data 2026'!N124)</f>
        <v/>
      </c>
      <c r="P113" s="701" t="str">
        <f>IF('[1]Data 2026'!O124="","",'[1]Data 2026'!O124)</f>
        <v/>
      </c>
      <c r="Q113" s="685" t="str">
        <f>IF('[1]Data 2026'!P124="","",'[1]Data 2026'!P124)</f>
        <v/>
      </c>
      <c r="R113" s="685" t="str">
        <f>IF('[1]Data 2026'!Q124="","",'[1]Data 2026'!Q124)</f>
        <v>ABJ</v>
      </c>
      <c r="S113" s="685" t="s">
        <v>347</v>
      </c>
      <c r="T113" s="685" t="str">
        <f>IF('[1]Data 2026'!R124="","",'[1]Data 2026'!R124)</f>
        <v>HCMC, VIETNAM</v>
      </c>
      <c r="U113" s="685" t="str">
        <f>IF('[1]Data 2026'!S124="","",'[1]Data 2026'!S124)</f>
        <v/>
      </c>
      <c r="V113" s="685" t="str">
        <f>IF('[1]Data 2026'!T124="","",'[1]Data 2026'!T124)</f>
        <v/>
      </c>
      <c r="W113" s="685" t="str">
        <f>IF('[1]Data 2026'!U124="","",'[1]Data 2026'!U124)</f>
        <v/>
      </c>
      <c r="X113" s="685" t="str">
        <f>IF('[1]Data 2026'!V124="","",'[1]Data 2026'!V124)</f>
        <v/>
      </c>
      <c r="Y113" s="685" t="str">
        <f>IF('[1]Data 2026'!W124="","",'[1]Data 2026'!W124)</f>
        <v/>
      </c>
      <c r="Z113" s="685" t="str">
        <f>IF('[1]Data 2026'!X124="","",'[1]Data 2026'!X124)</f>
        <v/>
      </c>
      <c r="AA113" s="685"/>
      <c r="AB113" s="685" t="str">
        <f>IF('[1]Data 2026'!Y124="","",'[1]Data 2026'!Y124)</f>
        <v/>
      </c>
      <c r="AC113" s="685" t="str">
        <f>IF('[1]Data 2026'!Z124="","",'[1]Data 2026'!Z124)</f>
        <v/>
      </c>
      <c r="AD113" s="691">
        <f>IF('[1]Data 2026'!AA124="","",'[1]Data 2026'!AA124)</f>
        <v>250</v>
      </c>
      <c r="AE113" s="691">
        <f>IF('[1]Data 2026'!AB124="","",'[1]Data 2026'!AB124)</f>
        <v>250</v>
      </c>
      <c r="AF113" s="685">
        <f>IF('[1]Data 2026'!AC124="","",'[1]Data 2026'!AC124)</f>
        <v>45868</v>
      </c>
      <c r="AG113" s="685" t="str">
        <f>IF('[1]Data 2026'!AD124="","",'[1]Data 2026'!AD124)</f>
        <v/>
      </c>
      <c r="AH113" s="686">
        <f>IF('[1]Data 2026'!AE124="","",'[1]Data 2026'!AE124)</f>
        <v>10</v>
      </c>
      <c r="AI113" s="685" t="str">
        <f>IF('[1]Data 2026'!AG124="","",'[1]Data 2026'!AG124)</f>
        <v/>
      </c>
      <c r="AJ113" s="685" t="str">
        <f>IF('[1]Data 2026'!AH124="","",'[1]Data 2026'!AH124)</f>
        <v>TBA</v>
      </c>
      <c r="AK113" s="685" t="str">
        <f>IF('[1]Data 2026'!AI124="","",'[1]Data 2026'!AI124)</f>
        <v>TBA</v>
      </c>
      <c r="AL113" s="685" t="str">
        <f>IF('[1]Data 2026'!AJ124="","",'[1]Data 2026'!AJ124)</f>
        <v>40FT</v>
      </c>
      <c r="AM113" s="692">
        <f>IF('[1]Data 2026'!AK124="","",'[1]Data 2026'!AK124)</f>
        <v>0.1</v>
      </c>
      <c r="AN113" s="685" t="str">
        <f>IF('[1]Data 2026'!AL124="","",'[1]Data 2026'!AL124)</f>
        <v>(01x250MTS)</v>
      </c>
      <c r="AO113" s="691">
        <f>IF('[1]Data 2026'!AM124="","",'[1]Data 2026'!AM124)</f>
        <v>275</v>
      </c>
      <c r="AP113" s="691" t="str">
        <f t="shared" si="16"/>
        <v/>
      </c>
      <c r="AQ113" s="685" t="str">
        <f>IF('[1]Data 2026'!AO124="","",'[1]Data 2026'!AO124)</f>
        <v/>
      </c>
      <c r="AR113" s="685" t="str">
        <f>IF('[1]Data 2026'!AP124="","",'[1]Data 2026'!AP124)</f>
        <v/>
      </c>
      <c r="AS113" s="685" t="str">
        <f>IF('[1]Data 2026'!AQ124="","",'[1]Data 2026'!AQ124)</f>
        <v/>
      </c>
      <c r="AT113" s="685" t="str">
        <f>IF('[1]Data 2026'!AR124="","",'[1]Data 2026'!AR124)</f>
        <v/>
      </c>
      <c r="AU113" s="685" t="str">
        <f>IF('[1]Data 2026'!AW124="","",'[1]Data 2026'!AW124)</f>
        <v/>
      </c>
      <c r="AV113" s="685" t="str">
        <f>IF('[1]Data 2026'!AX124="","",'[1]Data 2026'!AX124)</f>
        <v/>
      </c>
      <c r="AW113" s="685" t="str">
        <f>IF('[1]Data 2026'!AY124="","",'[1]Data 2026'!AY124)</f>
        <v/>
      </c>
      <c r="AX113" s="685" t="str">
        <f>IF('[1]Data 2026'!AZ124="","",'[1]Data 2026'!AZ124)</f>
        <v/>
      </c>
      <c r="AY113" s="685" t="str">
        <f>IF('[1]Data 2026'!BA124="","",'[1]Data 2026'!BA124)</f>
        <v/>
      </c>
      <c r="AZ113" s="685" t="str">
        <f>IF('[1]Data 2026'!AS124="","",'[1]Data 2026'!AS124)</f>
        <v/>
      </c>
      <c r="BA113" s="685" t="str">
        <f>IF('[1]Data 2026'!AT124="","",'[1]Data 2026'!AT124)</f>
        <v/>
      </c>
      <c r="BB113" s="685" t="str">
        <f>IF('[1]Data 2026'!AU124="","",'[1]Data 2026'!AU124)</f>
        <v/>
      </c>
      <c r="BC113" s="685" t="str">
        <f>IF('[1]Data 2026'!AV124="","",'[1]Data 2026'!AV124)</f>
        <v/>
      </c>
      <c r="BD113" s="685" t="str">
        <f>IF('[1]Data 2026'!AW124="","",'[1]Data 2026'!AW124)</f>
        <v/>
      </c>
      <c r="BE113" s="685" t="str">
        <f>IF('[1]Data 2026'!AX124="","",'[1]Data 2026'!AX124)</f>
        <v/>
      </c>
      <c r="BF113" s="685" t="str">
        <f>IF('[1]Data 2026'!BF124="","",'[1]Data 2026'!BF124)</f>
        <v/>
      </c>
      <c r="BG113" s="685" t="str">
        <f>IF('[1]Data 2026'!BG124="","",'[1]Data 2026'!BG124)</f>
        <v/>
      </c>
      <c r="BH113" s="685" t="str">
        <f>IF('[1]Data 2026'!BH124="","",'[1]Data 2026'!BH124)</f>
        <v/>
      </c>
      <c r="BI113" s="685" t="str">
        <f>IF('[1]Data 2026'!BI124="","",'[1]Data 2026'!BI124)</f>
        <v/>
      </c>
      <c r="BJ113" s="685" t="str">
        <f>IF('[1]Data 2026'!BJ124="","",'[1]Data 2026'!BJ124)</f>
        <v/>
      </c>
      <c r="BK113" s="685" t="str">
        <f>IF('[1]Data 2026'!BK124="","",'[1]Data 2026'!BK124)</f>
        <v/>
      </c>
      <c r="BL113" s="685" t="str">
        <f>IF('[1]Data 2026'!BL124="","",'[1]Data 2026'!BL124)</f>
        <v/>
      </c>
      <c r="BM113" s="685" t="str">
        <f>IF('[1]Data 2026'!BM124="","",'[1]Data 2026'!BM124)</f>
        <v/>
      </c>
      <c r="BN113" s="685" t="str">
        <f>IF('[1]Data 2026'!BN124="","",'[1]Data 2026'!BN124)</f>
        <v/>
      </c>
      <c r="BO113" s="685" t="str">
        <f>IF('[1]Data 2026'!BO124="","",'[1]Data 2026'!BO124)</f>
        <v/>
      </c>
      <c r="BP113" s="685" t="str">
        <f>IF('[1]Data 2026'!BP124="","",'[1]Data 2026'!BP124)</f>
        <v/>
      </c>
      <c r="BQ113" s="685" t="str">
        <f>IF('[1]Data 2026'!BQ124="","",'[1]Data 2026'!BQ124)</f>
        <v/>
      </c>
      <c r="BR113" s="685" t="str">
        <f>IF('[1]Data 2026'!BR124="","",'[1]Data 2026'!BR124)</f>
        <v/>
      </c>
      <c r="BS113" s="685" t="str">
        <f>IF('[1]Data 2026'!BS124="","",'[1]Data 2026'!BS124)</f>
        <v/>
      </c>
      <c r="BT113" s="685" t="str">
        <f>IF('[1]Data 2026'!BV124="","",'[1]Data 2026'!BV124)</f>
        <v/>
      </c>
      <c r="BU113" s="685" t="str">
        <f>IF('[1]Data 2026'!BW124="","",'[1]Data 2026'!BW124)</f>
        <v/>
      </c>
      <c r="BV113" s="685" t="str">
        <f>IF('[1]Data 2026'!BX124="","",'[1]Data 2026'!BX124)</f>
        <v/>
      </c>
      <c r="BW113" s="685" t="str">
        <f>IF('[1]Data 2026'!BY124="","",'[1]Data 2026'!BY124)</f>
        <v/>
      </c>
      <c r="BX113" s="685" t="str">
        <f>IF('[1]Data 2026'!BZ124="","",'[1]Data 2026'!BZ124)</f>
        <v/>
      </c>
      <c r="BY113" s="685" t="str">
        <f>IF('[1]Data 2026'!CA124="","",'[1]Data 2026'!CA124)</f>
        <v/>
      </c>
      <c r="BZ113" s="685" t="str">
        <f>IF('[1]Data 2026'!CB124="","",'[1]Data 2026'!CB124)</f>
        <v/>
      </c>
      <c r="CA113" s="685" t="str">
        <f>IF('[1]Data 2026'!CC124="","",'[1]Data 2026'!CC124)</f>
        <v/>
      </c>
      <c r="CB113" s="685" t="str">
        <f>IF('[1]Data 2026'!CD124="","",'[1]Data 2026'!CD124)</f>
        <v/>
      </c>
      <c r="CC113" s="685" t="str">
        <f>IF('[1]Data 2026'!CE124="","",'[1]Data 2026'!CE124)</f>
        <v/>
      </c>
      <c r="CD113" s="685" t="str">
        <f>IF('[1]Data 2026'!CF124="","",'[1]Data 2026'!CF124)</f>
        <v/>
      </c>
      <c r="CE113" s="685" t="str">
        <f>IF('[1]Data 2026'!CG124="","",'[1]Data 2026'!CG124)</f>
        <v/>
      </c>
      <c r="CF113" s="685" t="str">
        <f>IF('[1]Data 2026'!CH124="","",'[1]Data 2026'!CH124)</f>
        <v/>
      </c>
      <c r="CG113" s="685" t="str">
        <f>IF('[1]Data 2026'!CI124="","",'[1]Data 2026'!CI124)</f>
        <v/>
      </c>
      <c r="CH113" s="685" t="str">
        <f>IF('[1]Data 2026'!CJ124="","",'[1]Data 2026'!CJ124)</f>
        <v/>
      </c>
      <c r="CI113" s="685" t="str">
        <f>IF('[1]Data 2026'!CK124="","",'[1]Data 2026'!CK124)</f>
        <v/>
      </c>
      <c r="CJ113" s="685" t="str">
        <f>IF('[1]Data 2026'!CM124="","",'[1]Data 2026'!CM124)</f>
        <v/>
      </c>
      <c r="CK113" s="685" t="str">
        <f>IF('[1]Data 2026'!CN124="","",'[1]Data 2026'!CN124)</f>
        <v/>
      </c>
      <c r="CL113" s="691"/>
      <c r="CM113" s="691" t="str">
        <f>IF('[1]Data 2026'!CP124="","",'[1]Data 2026'!CP124)</f>
        <v/>
      </c>
      <c r="CN113" s="691"/>
      <c r="CO113" s="419"/>
      <c r="CP113" s="419"/>
      <c r="CQ113" s="419"/>
      <c r="CR113" s="686" t="str">
        <f t="shared" si="25"/>
        <v/>
      </c>
    </row>
    <row r="114" spans="1:96">
      <c r="A114" s="682" t="str">
        <f t="shared" si="13"/>
        <v>A. BOOKING PENDING</v>
      </c>
      <c r="B114" s="695"/>
      <c r="C114" s="684" t="str">
        <f t="shared" si="14"/>
        <v>SHORT POSITION</v>
      </c>
      <c r="D114" s="685" t="str">
        <f t="shared" si="22"/>
        <v/>
      </c>
      <c r="E114" s="685" t="str">
        <f t="shared" si="15"/>
        <v/>
      </c>
      <c r="F114" s="686">
        <f>IF('[1]Data 2026'!D125="","",'[1]Data 2026'!D125)</f>
        <v>45</v>
      </c>
      <c r="G114" s="686">
        <f>IF('[1]Data 2026'!E125="","",'[1]Data 2026'!E125)</f>
        <v>200</v>
      </c>
      <c r="H114" s="687" t="str">
        <f>IF('[1]Data 2026'!H125="","",'[1]Data 2026'!H125)</f>
        <v>32016417-2</v>
      </c>
      <c r="I114" s="688">
        <f>IF('[1]Data 2026'!AA125="","",'[1]Data 2026'!AA125)</f>
        <v>250</v>
      </c>
      <c r="J114" s="685" t="str">
        <f>IF('[1]Data 2026'!K125="","",'[1]Data 2026'!K125)</f>
        <v>JUNE/JULY 2026</v>
      </c>
      <c r="K114" s="685">
        <v>46233</v>
      </c>
      <c r="L114" s="685" t="str">
        <f>IF('[1]Data 2026'!L125="","",'[1]Data 2026'!L125)</f>
        <v>VALENCY CI</v>
      </c>
      <c r="M114" s="685" t="str">
        <f>IF('[1]Data 2026'!M125="","",'[1]Data 2026'!M125)</f>
        <v>HOANG SON I JOINT STOCK COMPANY</v>
      </c>
      <c r="N114" s="685" t="s">
        <v>1194</v>
      </c>
      <c r="O114" s="689" t="str">
        <f>IF('[1]Data 2026'!N125="","",'[1]Data 2026'!N125)</f>
        <v/>
      </c>
      <c r="P114" s="701" t="str">
        <f>IF('[1]Data 2026'!O125="","",'[1]Data 2026'!O125)</f>
        <v/>
      </c>
      <c r="Q114" s="685" t="str">
        <f>IF('[1]Data 2026'!P125="","",'[1]Data 2026'!P125)</f>
        <v/>
      </c>
      <c r="R114" s="685" t="str">
        <f>IF('[1]Data 2026'!Q125="","",'[1]Data 2026'!Q125)</f>
        <v>ABJ</v>
      </c>
      <c r="S114" s="685" t="s">
        <v>347</v>
      </c>
      <c r="T114" s="685" t="str">
        <f>IF('[1]Data 2026'!R125="","",'[1]Data 2026'!R125)</f>
        <v>HCMC, VIETNAM</v>
      </c>
      <c r="U114" s="685" t="str">
        <f>IF('[1]Data 2026'!S125="","",'[1]Data 2026'!S125)</f>
        <v/>
      </c>
      <c r="V114" s="685" t="str">
        <f>IF('[1]Data 2026'!T125="","",'[1]Data 2026'!T125)</f>
        <v/>
      </c>
      <c r="W114" s="685" t="str">
        <f>IF('[1]Data 2026'!U125="","",'[1]Data 2026'!U125)</f>
        <v/>
      </c>
      <c r="X114" s="685" t="str">
        <f>IF('[1]Data 2026'!V125="","",'[1]Data 2026'!V125)</f>
        <v/>
      </c>
      <c r="Y114" s="685" t="str">
        <f>IF('[1]Data 2026'!W125="","",'[1]Data 2026'!W125)</f>
        <v/>
      </c>
      <c r="Z114" s="685" t="str">
        <f>IF('[1]Data 2026'!X125="","",'[1]Data 2026'!X125)</f>
        <v/>
      </c>
      <c r="AA114" s="685"/>
      <c r="AB114" s="685" t="str">
        <f>IF('[1]Data 2026'!Y125="","",'[1]Data 2026'!Y125)</f>
        <v/>
      </c>
      <c r="AC114" s="685" t="str">
        <f>IF('[1]Data 2026'!Z125="","",'[1]Data 2026'!Z125)</f>
        <v/>
      </c>
      <c r="AD114" s="691">
        <f>IF('[1]Data 2026'!AA125="","",'[1]Data 2026'!AA125)</f>
        <v>250</v>
      </c>
      <c r="AE114" s="691">
        <f>IF('[1]Data 2026'!AB125="","",'[1]Data 2026'!AB125)</f>
        <v>250</v>
      </c>
      <c r="AF114" s="685">
        <f>IF('[1]Data 2026'!AC125="","",'[1]Data 2026'!AC125)</f>
        <v>45868</v>
      </c>
      <c r="AG114" s="685" t="str">
        <f>IF('[1]Data 2026'!AD125="","",'[1]Data 2026'!AD125)</f>
        <v/>
      </c>
      <c r="AH114" s="686">
        <f>IF('[1]Data 2026'!AE125="","",'[1]Data 2026'!AE125)</f>
        <v>10</v>
      </c>
      <c r="AI114" s="685" t="str">
        <f>IF('[1]Data 2026'!AG125="","",'[1]Data 2026'!AG125)</f>
        <v/>
      </c>
      <c r="AJ114" s="685" t="str">
        <f>IF('[1]Data 2026'!AH125="","",'[1]Data 2026'!AH125)</f>
        <v>TBA</v>
      </c>
      <c r="AK114" s="685" t="str">
        <f>IF('[1]Data 2026'!AI125="","",'[1]Data 2026'!AI125)</f>
        <v>TBA</v>
      </c>
      <c r="AL114" s="685" t="str">
        <f>IF('[1]Data 2026'!AJ125="","",'[1]Data 2026'!AJ125)</f>
        <v>40FT</v>
      </c>
      <c r="AM114" s="692">
        <f>IF('[1]Data 2026'!AK125="","",'[1]Data 2026'!AK125)</f>
        <v>0.1</v>
      </c>
      <c r="AN114" s="685" t="str">
        <f>IF('[1]Data 2026'!AL125="","",'[1]Data 2026'!AL125)</f>
        <v>(01x250MTS)</v>
      </c>
      <c r="AO114" s="691">
        <f>IF('[1]Data 2026'!AM125="","",'[1]Data 2026'!AM125)</f>
        <v>275</v>
      </c>
      <c r="AP114" s="691" t="str">
        <f t="shared" si="16"/>
        <v/>
      </c>
      <c r="AQ114" s="685" t="str">
        <f>IF('[1]Data 2026'!AO125="","",'[1]Data 2026'!AO125)</f>
        <v/>
      </c>
      <c r="AR114" s="685" t="str">
        <f>IF('[1]Data 2026'!AP125="","",'[1]Data 2026'!AP125)</f>
        <v/>
      </c>
      <c r="AS114" s="685" t="str">
        <f>IF('[1]Data 2026'!AQ125="","",'[1]Data 2026'!AQ125)</f>
        <v/>
      </c>
      <c r="AT114" s="685" t="str">
        <f>IF('[1]Data 2026'!AR125="","",'[1]Data 2026'!AR125)</f>
        <v/>
      </c>
      <c r="AU114" s="685" t="str">
        <f>IF('[1]Data 2026'!AW125="","",'[1]Data 2026'!AW125)</f>
        <v/>
      </c>
      <c r="AV114" s="685" t="str">
        <f>IF('[1]Data 2026'!AX125="","",'[1]Data 2026'!AX125)</f>
        <v/>
      </c>
      <c r="AW114" s="685" t="str">
        <f>IF('[1]Data 2026'!AY125="","",'[1]Data 2026'!AY125)</f>
        <v/>
      </c>
      <c r="AX114" s="685" t="str">
        <f>IF('[1]Data 2026'!AZ125="","",'[1]Data 2026'!AZ125)</f>
        <v/>
      </c>
      <c r="AY114" s="685" t="str">
        <f>IF('[1]Data 2026'!BA125="","",'[1]Data 2026'!BA125)</f>
        <v/>
      </c>
      <c r="AZ114" s="685" t="str">
        <f>IF('[1]Data 2026'!AS125="","",'[1]Data 2026'!AS125)</f>
        <v/>
      </c>
      <c r="BA114" s="685" t="str">
        <f>IF('[1]Data 2026'!AT125="","",'[1]Data 2026'!AT125)</f>
        <v/>
      </c>
      <c r="BB114" s="685" t="str">
        <f>IF('[1]Data 2026'!AU125="","",'[1]Data 2026'!AU125)</f>
        <v/>
      </c>
      <c r="BC114" s="685" t="str">
        <f>IF('[1]Data 2026'!AV125="","",'[1]Data 2026'!AV125)</f>
        <v/>
      </c>
      <c r="BD114" s="685" t="str">
        <f>IF('[1]Data 2026'!AW125="","",'[1]Data 2026'!AW125)</f>
        <v/>
      </c>
      <c r="BE114" s="685" t="str">
        <f>IF('[1]Data 2026'!AX125="","",'[1]Data 2026'!AX125)</f>
        <v/>
      </c>
      <c r="BF114" s="685" t="str">
        <f>IF('[1]Data 2026'!BF125="","",'[1]Data 2026'!BF125)</f>
        <v/>
      </c>
      <c r="BG114" s="685" t="str">
        <f>IF('[1]Data 2026'!BG125="","",'[1]Data 2026'!BG125)</f>
        <v/>
      </c>
      <c r="BH114" s="685" t="str">
        <f>IF('[1]Data 2026'!BH125="","",'[1]Data 2026'!BH125)</f>
        <v/>
      </c>
      <c r="BI114" s="685" t="str">
        <f>IF('[1]Data 2026'!BI125="","",'[1]Data 2026'!BI125)</f>
        <v/>
      </c>
      <c r="BJ114" s="685" t="str">
        <f>IF('[1]Data 2026'!BJ125="","",'[1]Data 2026'!BJ125)</f>
        <v/>
      </c>
      <c r="BK114" s="685" t="str">
        <f>IF('[1]Data 2026'!BK125="","",'[1]Data 2026'!BK125)</f>
        <v/>
      </c>
      <c r="BL114" s="685" t="str">
        <f>IF('[1]Data 2026'!BL125="","",'[1]Data 2026'!BL125)</f>
        <v/>
      </c>
      <c r="BM114" s="685" t="str">
        <f>IF('[1]Data 2026'!BM125="","",'[1]Data 2026'!BM125)</f>
        <v/>
      </c>
      <c r="BN114" s="685" t="str">
        <f>IF('[1]Data 2026'!BN125="","",'[1]Data 2026'!BN125)</f>
        <v/>
      </c>
      <c r="BO114" s="685" t="str">
        <f>IF('[1]Data 2026'!BO125="","",'[1]Data 2026'!BO125)</f>
        <v/>
      </c>
      <c r="BP114" s="685" t="str">
        <f>IF('[1]Data 2026'!BP125="","",'[1]Data 2026'!BP125)</f>
        <v/>
      </c>
      <c r="BQ114" s="685" t="str">
        <f>IF('[1]Data 2026'!BQ125="","",'[1]Data 2026'!BQ125)</f>
        <v/>
      </c>
      <c r="BR114" s="685" t="str">
        <f>IF('[1]Data 2026'!BR125="","",'[1]Data 2026'!BR125)</f>
        <v/>
      </c>
      <c r="BS114" s="685" t="str">
        <f>IF('[1]Data 2026'!BS125="","",'[1]Data 2026'!BS125)</f>
        <v/>
      </c>
      <c r="BT114" s="685" t="str">
        <f>IF('[1]Data 2026'!BV125="","",'[1]Data 2026'!BV125)</f>
        <v/>
      </c>
      <c r="BU114" s="685" t="str">
        <f>IF('[1]Data 2026'!BW125="","",'[1]Data 2026'!BW125)</f>
        <v/>
      </c>
      <c r="BV114" s="685" t="str">
        <f>IF('[1]Data 2026'!BX125="","",'[1]Data 2026'!BX125)</f>
        <v/>
      </c>
      <c r="BW114" s="685" t="str">
        <f>IF('[1]Data 2026'!BY125="","",'[1]Data 2026'!BY125)</f>
        <v/>
      </c>
      <c r="BX114" s="685" t="str">
        <f>IF('[1]Data 2026'!BZ125="","",'[1]Data 2026'!BZ125)</f>
        <v/>
      </c>
      <c r="BY114" s="685" t="str">
        <f>IF('[1]Data 2026'!CA125="","",'[1]Data 2026'!CA125)</f>
        <v/>
      </c>
      <c r="BZ114" s="685" t="str">
        <f>IF('[1]Data 2026'!CB125="","",'[1]Data 2026'!CB125)</f>
        <v/>
      </c>
      <c r="CA114" s="685" t="str">
        <f>IF('[1]Data 2026'!CC125="","",'[1]Data 2026'!CC125)</f>
        <v/>
      </c>
      <c r="CB114" s="685" t="str">
        <f>IF('[1]Data 2026'!CD125="","",'[1]Data 2026'!CD125)</f>
        <v/>
      </c>
      <c r="CC114" s="685" t="str">
        <f>IF('[1]Data 2026'!CE125="","",'[1]Data 2026'!CE125)</f>
        <v/>
      </c>
      <c r="CD114" s="685" t="str">
        <f>IF('[1]Data 2026'!CF125="","",'[1]Data 2026'!CF125)</f>
        <v/>
      </c>
      <c r="CE114" s="685" t="str">
        <f>IF('[1]Data 2026'!CG125="","",'[1]Data 2026'!CG125)</f>
        <v/>
      </c>
      <c r="CF114" s="685" t="str">
        <f>IF('[1]Data 2026'!CH125="","",'[1]Data 2026'!CH125)</f>
        <v/>
      </c>
      <c r="CG114" s="685" t="str">
        <f>IF('[1]Data 2026'!CI125="","",'[1]Data 2026'!CI125)</f>
        <v/>
      </c>
      <c r="CH114" s="685" t="str">
        <f>IF('[1]Data 2026'!CJ125="","",'[1]Data 2026'!CJ125)</f>
        <v/>
      </c>
      <c r="CI114" s="685" t="str">
        <f>IF('[1]Data 2026'!CK125="","",'[1]Data 2026'!CK125)</f>
        <v/>
      </c>
      <c r="CJ114" s="685" t="str">
        <f>IF('[1]Data 2026'!CM125="","",'[1]Data 2026'!CM125)</f>
        <v/>
      </c>
      <c r="CK114" s="685" t="str">
        <f>IF('[1]Data 2026'!CN125="","",'[1]Data 2026'!CN125)</f>
        <v/>
      </c>
      <c r="CL114" s="691"/>
      <c r="CM114" s="691" t="str">
        <f>IF('[1]Data 2026'!CP125="","",'[1]Data 2026'!CP125)</f>
        <v/>
      </c>
      <c r="CN114" s="691"/>
      <c r="CO114" s="419"/>
      <c r="CP114" s="419"/>
      <c r="CQ114" s="419"/>
      <c r="CR114" s="686" t="str">
        <f t="shared" si="25"/>
        <v/>
      </c>
    </row>
    <row r="115" spans="1:96">
      <c r="A115" s="682" t="str">
        <f t="shared" si="13"/>
        <v>A. BOOKING PENDING</v>
      </c>
      <c r="B115" s="695"/>
      <c r="C115" s="684" t="str">
        <f t="shared" si="14"/>
        <v>SHORT POSITION</v>
      </c>
      <c r="D115" s="685" t="str">
        <f t="shared" si="22"/>
        <v/>
      </c>
      <c r="E115" s="685" t="str">
        <f t="shared" si="15"/>
        <v/>
      </c>
      <c r="F115" s="686">
        <f>IF('[1]Data 2026'!D126="","",'[1]Data 2026'!D126)</f>
        <v>45</v>
      </c>
      <c r="G115" s="686">
        <f>IF('[1]Data 2026'!E126="","",'[1]Data 2026'!E126)</f>
        <v>200</v>
      </c>
      <c r="H115" s="687" t="str">
        <f>IF('[1]Data 2026'!H126="","",'[1]Data 2026'!H126)</f>
        <v>32016417-3</v>
      </c>
      <c r="I115" s="688">
        <f>IF('[1]Data 2026'!AA126="","",'[1]Data 2026'!AA126)</f>
        <v>250</v>
      </c>
      <c r="J115" s="685" t="str">
        <f>IF('[1]Data 2026'!K126="","",'[1]Data 2026'!K126)</f>
        <v>JUNE/JULY 2026</v>
      </c>
      <c r="K115" s="685">
        <v>46234</v>
      </c>
      <c r="L115" s="685" t="str">
        <f>IF('[1]Data 2026'!L126="","",'[1]Data 2026'!L126)</f>
        <v>VALENCY CI</v>
      </c>
      <c r="M115" s="685" t="str">
        <f>IF('[1]Data 2026'!M126="","",'[1]Data 2026'!M126)</f>
        <v>HOANG SON I JOINT STOCK COMPANY</v>
      </c>
      <c r="N115" s="685" t="s">
        <v>1194</v>
      </c>
      <c r="O115" s="689" t="str">
        <f>IF('[1]Data 2026'!N126="","",'[1]Data 2026'!N126)</f>
        <v/>
      </c>
      <c r="P115" s="701" t="str">
        <f>IF('[1]Data 2026'!O126="","",'[1]Data 2026'!O126)</f>
        <v/>
      </c>
      <c r="Q115" s="685" t="str">
        <f>IF('[1]Data 2026'!P126="","",'[1]Data 2026'!P126)</f>
        <v/>
      </c>
      <c r="R115" s="685" t="str">
        <f>IF('[1]Data 2026'!Q126="","",'[1]Data 2026'!Q126)</f>
        <v>ABJ</v>
      </c>
      <c r="S115" s="685" t="s">
        <v>347</v>
      </c>
      <c r="T115" s="685" t="str">
        <f>IF('[1]Data 2026'!R126="","",'[1]Data 2026'!R126)</f>
        <v>HCMC, VIETNAM</v>
      </c>
      <c r="U115" s="685" t="str">
        <f>IF('[1]Data 2026'!S126="","",'[1]Data 2026'!S126)</f>
        <v/>
      </c>
      <c r="V115" s="685" t="str">
        <f>IF('[1]Data 2026'!T126="","",'[1]Data 2026'!T126)</f>
        <v/>
      </c>
      <c r="W115" s="685" t="str">
        <f>IF('[1]Data 2026'!U126="","",'[1]Data 2026'!U126)</f>
        <v/>
      </c>
      <c r="X115" s="685" t="str">
        <f>IF('[1]Data 2026'!V126="","",'[1]Data 2026'!V126)</f>
        <v/>
      </c>
      <c r="Y115" s="685" t="str">
        <f>IF('[1]Data 2026'!W126="","",'[1]Data 2026'!W126)</f>
        <v/>
      </c>
      <c r="Z115" s="685" t="str">
        <f>IF('[1]Data 2026'!X126="","",'[1]Data 2026'!X126)</f>
        <v/>
      </c>
      <c r="AA115" s="685"/>
      <c r="AB115" s="685" t="str">
        <f>IF('[1]Data 2026'!Y126="","",'[1]Data 2026'!Y126)</f>
        <v/>
      </c>
      <c r="AC115" s="685" t="str">
        <f>IF('[1]Data 2026'!Z126="","",'[1]Data 2026'!Z126)</f>
        <v/>
      </c>
      <c r="AD115" s="691">
        <f>IF('[1]Data 2026'!AA126="","",'[1]Data 2026'!AA126)</f>
        <v>250</v>
      </c>
      <c r="AE115" s="691">
        <f>IF('[1]Data 2026'!AB126="","",'[1]Data 2026'!AB126)</f>
        <v>250</v>
      </c>
      <c r="AF115" s="685">
        <f>IF('[1]Data 2026'!AC126="","",'[1]Data 2026'!AC126)</f>
        <v>45868</v>
      </c>
      <c r="AG115" s="685" t="str">
        <f>IF('[1]Data 2026'!AD126="","",'[1]Data 2026'!AD126)</f>
        <v/>
      </c>
      <c r="AH115" s="686">
        <f>IF('[1]Data 2026'!AE126="","",'[1]Data 2026'!AE126)</f>
        <v>10</v>
      </c>
      <c r="AI115" s="685" t="str">
        <f>IF('[1]Data 2026'!AG126="","",'[1]Data 2026'!AG126)</f>
        <v/>
      </c>
      <c r="AJ115" s="685" t="str">
        <f>IF('[1]Data 2026'!AH126="","",'[1]Data 2026'!AH126)</f>
        <v>TBA</v>
      </c>
      <c r="AK115" s="685" t="str">
        <f>IF('[1]Data 2026'!AI126="","",'[1]Data 2026'!AI126)</f>
        <v>TBA</v>
      </c>
      <c r="AL115" s="685" t="str">
        <f>IF('[1]Data 2026'!AJ126="","",'[1]Data 2026'!AJ126)</f>
        <v>40FT</v>
      </c>
      <c r="AM115" s="692">
        <f>IF('[1]Data 2026'!AK126="","",'[1]Data 2026'!AK126)</f>
        <v>0.1</v>
      </c>
      <c r="AN115" s="685" t="str">
        <f>IF('[1]Data 2026'!AL126="","",'[1]Data 2026'!AL126)</f>
        <v>(01x250MTS)</v>
      </c>
      <c r="AO115" s="691">
        <f>IF('[1]Data 2026'!AM126="","",'[1]Data 2026'!AM126)</f>
        <v>275</v>
      </c>
      <c r="AP115" s="691" t="str">
        <f t="shared" si="16"/>
        <v/>
      </c>
      <c r="AQ115" s="685" t="str">
        <f>IF('[1]Data 2026'!AO126="","",'[1]Data 2026'!AO126)</f>
        <v/>
      </c>
      <c r="AR115" s="685" t="str">
        <f>IF('[1]Data 2026'!AP126="","",'[1]Data 2026'!AP126)</f>
        <v/>
      </c>
      <c r="AS115" s="685" t="str">
        <f>IF('[1]Data 2026'!AQ126="","",'[1]Data 2026'!AQ126)</f>
        <v/>
      </c>
      <c r="AT115" s="685" t="str">
        <f>IF('[1]Data 2026'!AR126="","",'[1]Data 2026'!AR126)</f>
        <v/>
      </c>
      <c r="AU115" s="685" t="str">
        <f>IF('[1]Data 2026'!AW126="","",'[1]Data 2026'!AW126)</f>
        <v/>
      </c>
      <c r="AV115" s="685" t="str">
        <f>IF('[1]Data 2026'!AX126="","",'[1]Data 2026'!AX126)</f>
        <v/>
      </c>
      <c r="AW115" s="685" t="str">
        <f>IF('[1]Data 2026'!AY126="","",'[1]Data 2026'!AY126)</f>
        <v/>
      </c>
      <c r="AX115" s="685" t="str">
        <f>IF('[1]Data 2026'!AZ126="","",'[1]Data 2026'!AZ126)</f>
        <v/>
      </c>
      <c r="AY115" s="685" t="str">
        <f>IF('[1]Data 2026'!BA126="","",'[1]Data 2026'!BA126)</f>
        <v/>
      </c>
      <c r="AZ115" s="685" t="str">
        <f>IF('[1]Data 2026'!AS126="","",'[1]Data 2026'!AS126)</f>
        <v/>
      </c>
      <c r="BA115" s="685" t="str">
        <f>IF('[1]Data 2026'!AT126="","",'[1]Data 2026'!AT126)</f>
        <v/>
      </c>
      <c r="BB115" s="685" t="str">
        <f>IF('[1]Data 2026'!AU126="","",'[1]Data 2026'!AU126)</f>
        <v/>
      </c>
      <c r="BC115" s="685" t="str">
        <f>IF('[1]Data 2026'!AV126="","",'[1]Data 2026'!AV126)</f>
        <v/>
      </c>
      <c r="BD115" s="685" t="str">
        <f>IF('[1]Data 2026'!AW126="","",'[1]Data 2026'!AW126)</f>
        <v/>
      </c>
      <c r="BE115" s="685" t="str">
        <f>IF('[1]Data 2026'!AX126="","",'[1]Data 2026'!AX126)</f>
        <v/>
      </c>
      <c r="BF115" s="685" t="str">
        <f>IF('[1]Data 2026'!BF126="","",'[1]Data 2026'!BF126)</f>
        <v/>
      </c>
      <c r="BG115" s="685" t="str">
        <f>IF('[1]Data 2026'!BG126="","",'[1]Data 2026'!BG126)</f>
        <v/>
      </c>
      <c r="BH115" s="685" t="str">
        <f>IF('[1]Data 2026'!BH126="","",'[1]Data 2026'!BH126)</f>
        <v/>
      </c>
      <c r="BI115" s="685" t="str">
        <f>IF('[1]Data 2026'!BI126="","",'[1]Data 2026'!BI126)</f>
        <v/>
      </c>
      <c r="BJ115" s="685" t="str">
        <f>IF('[1]Data 2026'!BJ126="","",'[1]Data 2026'!BJ126)</f>
        <v/>
      </c>
      <c r="BK115" s="685" t="str">
        <f>IF('[1]Data 2026'!BK126="","",'[1]Data 2026'!BK126)</f>
        <v/>
      </c>
      <c r="BL115" s="685" t="str">
        <f>IF('[1]Data 2026'!BL126="","",'[1]Data 2026'!BL126)</f>
        <v/>
      </c>
      <c r="BM115" s="685" t="str">
        <f>IF('[1]Data 2026'!BM126="","",'[1]Data 2026'!BM126)</f>
        <v/>
      </c>
      <c r="BN115" s="685" t="str">
        <f>IF('[1]Data 2026'!BN126="","",'[1]Data 2026'!BN126)</f>
        <v/>
      </c>
      <c r="BO115" s="685" t="str">
        <f>IF('[1]Data 2026'!BO126="","",'[1]Data 2026'!BO126)</f>
        <v/>
      </c>
      <c r="BP115" s="685" t="str">
        <f>IF('[1]Data 2026'!BP126="","",'[1]Data 2026'!BP126)</f>
        <v/>
      </c>
      <c r="BQ115" s="685" t="str">
        <f>IF('[1]Data 2026'!BQ126="","",'[1]Data 2026'!BQ126)</f>
        <v/>
      </c>
      <c r="BR115" s="685" t="str">
        <f>IF('[1]Data 2026'!BR126="","",'[1]Data 2026'!BR126)</f>
        <v/>
      </c>
      <c r="BS115" s="685" t="str">
        <f>IF('[1]Data 2026'!BS126="","",'[1]Data 2026'!BS126)</f>
        <v/>
      </c>
      <c r="BT115" s="685" t="str">
        <f>IF('[1]Data 2026'!BV126="","",'[1]Data 2026'!BV126)</f>
        <v/>
      </c>
      <c r="BU115" s="685" t="str">
        <f>IF('[1]Data 2026'!BW126="","",'[1]Data 2026'!BW126)</f>
        <v/>
      </c>
      <c r="BV115" s="685" t="str">
        <f>IF('[1]Data 2026'!BX126="","",'[1]Data 2026'!BX126)</f>
        <v/>
      </c>
      <c r="BW115" s="685" t="str">
        <f>IF('[1]Data 2026'!BY126="","",'[1]Data 2026'!BY126)</f>
        <v/>
      </c>
      <c r="BX115" s="685" t="str">
        <f>IF('[1]Data 2026'!BZ126="","",'[1]Data 2026'!BZ126)</f>
        <v/>
      </c>
      <c r="BY115" s="685" t="str">
        <f>IF('[1]Data 2026'!CA126="","",'[1]Data 2026'!CA126)</f>
        <v/>
      </c>
      <c r="BZ115" s="685" t="str">
        <f>IF('[1]Data 2026'!CB126="","",'[1]Data 2026'!CB126)</f>
        <v/>
      </c>
      <c r="CA115" s="685" t="str">
        <f>IF('[1]Data 2026'!CC126="","",'[1]Data 2026'!CC126)</f>
        <v/>
      </c>
      <c r="CB115" s="685" t="str">
        <f>IF('[1]Data 2026'!CD126="","",'[1]Data 2026'!CD126)</f>
        <v/>
      </c>
      <c r="CC115" s="685" t="str">
        <f>IF('[1]Data 2026'!CE126="","",'[1]Data 2026'!CE126)</f>
        <v/>
      </c>
      <c r="CD115" s="685" t="str">
        <f>IF('[1]Data 2026'!CF126="","",'[1]Data 2026'!CF126)</f>
        <v/>
      </c>
      <c r="CE115" s="685" t="str">
        <f>IF('[1]Data 2026'!CG126="","",'[1]Data 2026'!CG126)</f>
        <v/>
      </c>
      <c r="CF115" s="685" t="str">
        <f>IF('[1]Data 2026'!CH126="","",'[1]Data 2026'!CH126)</f>
        <v/>
      </c>
      <c r="CG115" s="685" t="str">
        <f>IF('[1]Data 2026'!CI126="","",'[1]Data 2026'!CI126)</f>
        <v/>
      </c>
      <c r="CH115" s="685" t="str">
        <f>IF('[1]Data 2026'!CJ126="","",'[1]Data 2026'!CJ126)</f>
        <v/>
      </c>
      <c r="CI115" s="685" t="str">
        <f>IF('[1]Data 2026'!CK126="","",'[1]Data 2026'!CK126)</f>
        <v/>
      </c>
      <c r="CJ115" s="685" t="str">
        <f>IF('[1]Data 2026'!CM126="","",'[1]Data 2026'!CM126)</f>
        <v/>
      </c>
      <c r="CK115" s="685" t="str">
        <f>IF('[1]Data 2026'!CN126="","",'[1]Data 2026'!CN126)</f>
        <v/>
      </c>
      <c r="CL115" s="691"/>
      <c r="CM115" s="691" t="str">
        <f>IF('[1]Data 2026'!CP126="","",'[1]Data 2026'!CP126)</f>
        <v/>
      </c>
      <c r="CN115" s="691"/>
      <c r="CO115" s="419"/>
      <c r="CP115" s="419"/>
      <c r="CQ115" s="419"/>
      <c r="CR115" s="686" t="str">
        <f t="shared" si="25"/>
        <v/>
      </c>
    </row>
    <row r="116" spans="1:96">
      <c r="A116" s="682" t="str">
        <f t="shared" si="13"/>
        <v>A. BOOKING PENDING</v>
      </c>
      <c r="B116" s="695"/>
      <c r="C116" s="684" t="str">
        <f t="shared" si="14"/>
        <v>SHORT POSITION</v>
      </c>
      <c r="D116" s="685" t="str">
        <f t="shared" si="22"/>
        <v/>
      </c>
      <c r="E116" s="685" t="str">
        <f t="shared" si="15"/>
        <v/>
      </c>
      <c r="F116" s="686">
        <f>IF('[1]Data 2026'!D127="","",'[1]Data 2026'!D127)</f>
        <v>45</v>
      </c>
      <c r="G116" s="686">
        <f>IF('[1]Data 2026'!E127="","",'[1]Data 2026'!E127)</f>
        <v>200</v>
      </c>
      <c r="H116" s="687" t="str">
        <f>IF('[1]Data 2026'!H127="","",'[1]Data 2026'!H127)</f>
        <v>32016417-4</v>
      </c>
      <c r="I116" s="688">
        <f>IF('[1]Data 2026'!AA127="","",'[1]Data 2026'!AA127)</f>
        <v>250</v>
      </c>
      <c r="J116" s="685" t="str">
        <f>IF('[1]Data 2026'!K127="","",'[1]Data 2026'!K127)</f>
        <v>JUNE/JULY 2026</v>
      </c>
      <c r="K116" s="685">
        <v>46235</v>
      </c>
      <c r="L116" s="685" t="str">
        <f>IF('[1]Data 2026'!L127="","",'[1]Data 2026'!L127)</f>
        <v>VALENCY CI</v>
      </c>
      <c r="M116" s="685" t="str">
        <f>IF('[1]Data 2026'!M127="","",'[1]Data 2026'!M127)</f>
        <v>HOANG SON I JOINT STOCK COMPANY</v>
      </c>
      <c r="N116" s="685" t="s">
        <v>1194</v>
      </c>
      <c r="O116" s="689" t="str">
        <f>IF('[1]Data 2026'!N127="","",'[1]Data 2026'!N127)</f>
        <v/>
      </c>
      <c r="P116" s="701" t="str">
        <f>IF('[1]Data 2026'!O127="","",'[1]Data 2026'!O127)</f>
        <v/>
      </c>
      <c r="Q116" s="685" t="str">
        <f>IF('[1]Data 2026'!P127="","",'[1]Data 2026'!P127)</f>
        <v/>
      </c>
      <c r="R116" s="685" t="str">
        <f>IF('[1]Data 2026'!Q127="","",'[1]Data 2026'!Q127)</f>
        <v>ABJ</v>
      </c>
      <c r="S116" s="685" t="s">
        <v>347</v>
      </c>
      <c r="T116" s="685" t="str">
        <f>IF('[1]Data 2026'!R127="","",'[1]Data 2026'!R127)</f>
        <v>HCMC, VIETNAM</v>
      </c>
      <c r="U116" s="685" t="str">
        <f>IF('[1]Data 2026'!S127="","",'[1]Data 2026'!S127)</f>
        <v/>
      </c>
      <c r="V116" s="685" t="str">
        <f>IF('[1]Data 2026'!T127="","",'[1]Data 2026'!T127)</f>
        <v/>
      </c>
      <c r="W116" s="685" t="str">
        <f>IF('[1]Data 2026'!U127="","",'[1]Data 2026'!U127)</f>
        <v/>
      </c>
      <c r="X116" s="685" t="str">
        <f>IF('[1]Data 2026'!V127="","",'[1]Data 2026'!V127)</f>
        <v/>
      </c>
      <c r="Y116" s="685" t="str">
        <f>IF('[1]Data 2026'!W127="","",'[1]Data 2026'!W127)</f>
        <v/>
      </c>
      <c r="Z116" s="685" t="str">
        <f>IF('[1]Data 2026'!X127="","",'[1]Data 2026'!X127)</f>
        <v/>
      </c>
      <c r="AA116" s="685"/>
      <c r="AB116" s="685" t="str">
        <f>IF('[1]Data 2026'!Y127="","",'[1]Data 2026'!Y127)</f>
        <v/>
      </c>
      <c r="AC116" s="685" t="str">
        <f>IF('[1]Data 2026'!Z127="","",'[1]Data 2026'!Z127)</f>
        <v/>
      </c>
      <c r="AD116" s="691">
        <f>IF('[1]Data 2026'!AA127="","",'[1]Data 2026'!AA127)</f>
        <v>250</v>
      </c>
      <c r="AE116" s="691">
        <f>IF('[1]Data 2026'!AB127="","",'[1]Data 2026'!AB127)</f>
        <v>250</v>
      </c>
      <c r="AF116" s="685">
        <f>IF('[1]Data 2026'!AC127="","",'[1]Data 2026'!AC127)</f>
        <v>45868</v>
      </c>
      <c r="AG116" s="685" t="str">
        <f>IF('[1]Data 2026'!AD127="","",'[1]Data 2026'!AD127)</f>
        <v/>
      </c>
      <c r="AH116" s="686">
        <f>IF('[1]Data 2026'!AE127="","",'[1]Data 2026'!AE127)</f>
        <v>10</v>
      </c>
      <c r="AI116" s="685" t="str">
        <f>IF('[1]Data 2026'!AG127="","",'[1]Data 2026'!AG127)</f>
        <v/>
      </c>
      <c r="AJ116" s="685" t="str">
        <f>IF('[1]Data 2026'!AH127="","",'[1]Data 2026'!AH127)</f>
        <v>TBA</v>
      </c>
      <c r="AK116" s="685" t="str">
        <f>IF('[1]Data 2026'!AI127="","",'[1]Data 2026'!AI127)</f>
        <v>TBA</v>
      </c>
      <c r="AL116" s="685" t="str">
        <f>IF('[1]Data 2026'!AJ127="","",'[1]Data 2026'!AJ127)</f>
        <v>40FT</v>
      </c>
      <c r="AM116" s="692">
        <f>IF('[1]Data 2026'!AK127="","",'[1]Data 2026'!AK127)</f>
        <v>0.1</v>
      </c>
      <c r="AN116" s="685" t="str">
        <f>IF('[1]Data 2026'!AL127="","",'[1]Data 2026'!AL127)</f>
        <v>(01x250MTS)</v>
      </c>
      <c r="AO116" s="691">
        <f>IF('[1]Data 2026'!AM127="","",'[1]Data 2026'!AM127)</f>
        <v>275</v>
      </c>
      <c r="AP116" s="691" t="str">
        <f t="shared" si="16"/>
        <v/>
      </c>
      <c r="AQ116" s="685" t="str">
        <f>IF('[1]Data 2026'!AO127="","",'[1]Data 2026'!AO127)</f>
        <v/>
      </c>
      <c r="AR116" s="685" t="str">
        <f>IF('[1]Data 2026'!AP127="","",'[1]Data 2026'!AP127)</f>
        <v/>
      </c>
      <c r="AS116" s="685" t="str">
        <f>IF('[1]Data 2026'!AQ127="","",'[1]Data 2026'!AQ127)</f>
        <v/>
      </c>
      <c r="AT116" s="685" t="str">
        <f>IF('[1]Data 2026'!AR127="","",'[1]Data 2026'!AR127)</f>
        <v/>
      </c>
      <c r="AU116" s="685" t="str">
        <f>IF('[1]Data 2026'!AW127="","",'[1]Data 2026'!AW127)</f>
        <v/>
      </c>
      <c r="AV116" s="685" t="str">
        <f>IF('[1]Data 2026'!AX127="","",'[1]Data 2026'!AX127)</f>
        <v/>
      </c>
      <c r="AW116" s="685" t="str">
        <f>IF('[1]Data 2026'!AY127="","",'[1]Data 2026'!AY127)</f>
        <v/>
      </c>
      <c r="AX116" s="685" t="str">
        <f>IF('[1]Data 2026'!AZ127="","",'[1]Data 2026'!AZ127)</f>
        <v/>
      </c>
      <c r="AY116" s="685" t="str">
        <f>IF('[1]Data 2026'!BA127="","",'[1]Data 2026'!BA127)</f>
        <v/>
      </c>
      <c r="AZ116" s="685" t="str">
        <f>IF('[1]Data 2026'!AS127="","",'[1]Data 2026'!AS127)</f>
        <v/>
      </c>
      <c r="BA116" s="685" t="str">
        <f>IF('[1]Data 2026'!AT127="","",'[1]Data 2026'!AT127)</f>
        <v/>
      </c>
      <c r="BB116" s="685" t="str">
        <f>IF('[1]Data 2026'!AU127="","",'[1]Data 2026'!AU127)</f>
        <v/>
      </c>
      <c r="BC116" s="685" t="str">
        <f>IF('[1]Data 2026'!AV127="","",'[1]Data 2026'!AV127)</f>
        <v/>
      </c>
      <c r="BD116" s="685" t="str">
        <f>IF('[1]Data 2026'!AW127="","",'[1]Data 2026'!AW127)</f>
        <v/>
      </c>
      <c r="BE116" s="685" t="str">
        <f>IF('[1]Data 2026'!AX127="","",'[1]Data 2026'!AX127)</f>
        <v/>
      </c>
      <c r="BF116" s="685" t="str">
        <f>IF('[1]Data 2026'!BF127="","",'[1]Data 2026'!BF127)</f>
        <v/>
      </c>
      <c r="BG116" s="685" t="str">
        <f>IF('[1]Data 2026'!BG127="","",'[1]Data 2026'!BG127)</f>
        <v/>
      </c>
      <c r="BH116" s="685" t="str">
        <f>IF('[1]Data 2026'!BH127="","",'[1]Data 2026'!BH127)</f>
        <v/>
      </c>
      <c r="BI116" s="685" t="str">
        <f>IF('[1]Data 2026'!BI127="","",'[1]Data 2026'!BI127)</f>
        <v/>
      </c>
      <c r="BJ116" s="685" t="str">
        <f>IF('[1]Data 2026'!BJ127="","",'[1]Data 2026'!BJ127)</f>
        <v/>
      </c>
      <c r="BK116" s="685" t="str">
        <f>IF('[1]Data 2026'!BK127="","",'[1]Data 2026'!BK127)</f>
        <v/>
      </c>
      <c r="BL116" s="685" t="str">
        <f>IF('[1]Data 2026'!BL127="","",'[1]Data 2026'!BL127)</f>
        <v/>
      </c>
      <c r="BM116" s="685" t="str">
        <f>IF('[1]Data 2026'!BM127="","",'[1]Data 2026'!BM127)</f>
        <v/>
      </c>
      <c r="BN116" s="685" t="str">
        <f>IF('[1]Data 2026'!BN127="","",'[1]Data 2026'!BN127)</f>
        <v/>
      </c>
      <c r="BO116" s="685" t="str">
        <f>IF('[1]Data 2026'!BO127="","",'[1]Data 2026'!BO127)</f>
        <v/>
      </c>
      <c r="BP116" s="685" t="str">
        <f>IF('[1]Data 2026'!BP127="","",'[1]Data 2026'!BP127)</f>
        <v/>
      </c>
      <c r="BQ116" s="685" t="str">
        <f>IF('[1]Data 2026'!BQ127="","",'[1]Data 2026'!BQ127)</f>
        <v/>
      </c>
      <c r="BR116" s="685" t="str">
        <f>IF('[1]Data 2026'!BR127="","",'[1]Data 2026'!BR127)</f>
        <v/>
      </c>
      <c r="BS116" s="685" t="str">
        <f>IF('[1]Data 2026'!BS127="","",'[1]Data 2026'!BS127)</f>
        <v/>
      </c>
      <c r="BT116" s="685" t="str">
        <f>IF('[1]Data 2026'!BV127="","",'[1]Data 2026'!BV127)</f>
        <v/>
      </c>
      <c r="BU116" s="685" t="str">
        <f>IF('[1]Data 2026'!BW127="","",'[1]Data 2026'!BW127)</f>
        <v/>
      </c>
      <c r="BV116" s="685" t="str">
        <f>IF('[1]Data 2026'!BX127="","",'[1]Data 2026'!BX127)</f>
        <v/>
      </c>
      <c r="BW116" s="685" t="str">
        <f>IF('[1]Data 2026'!BY127="","",'[1]Data 2026'!BY127)</f>
        <v/>
      </c>
      <c r="BX116" s="685" t="str">
        <f>IF('[1]Data 2026'!BZ127="","",'[1]Data 2026'!BZ127)</f>
        <v/>
      </c>
      <c r="BY116" s="685" t="str">
        <f>IF('[1]Data 2026'!CA127="","",'[1]Data 2026'!CA127)</f>
        <v/>
      </c>
      <c r="BZ116" s="685" t="str">
        <f>IF('[1]Data 2026'!CB127="","",'[1]Data 2026'!CB127)</f>
        <v/>
      </c>
      <c r="CA116" s="685" t="str">
        <f>IF('[1]Data 2026'!CC127="","",'[1]Data 2026'!CC127)</f>
        <v/>
      </c>
      <c r="CB116" s="685" t="str">
        <f>IF('[1]Data 2026'!CD127="","",'[1]Data 2026'!CD127)</f>
        <v/>
      </c>
      <c r="CC116" s="685" t="str">
        <f>IF('[1]Data 2026'!CE127="","",'[1]Data 2026'!CE127)</f>
        <v/>
      </c>
      <c r="CD116" s="685" t="str">
        <f>IF('[1]Data 2026'!CF127="","",'[1]Data 2026'!CF127)</f>
        <v/>
      </c>
      <c r="CE116" s="685" t="str">
        <f>IF('[1]Data 2026'!CG127="","",'[1]Data 2026'!CG127)</f>
        <v/>
      </c>
      <c r="CF116" s="685" t="str">
        <f>IF('[1]Data 2026'!CH127="","",'[1]Data 2026'!CH127)</f>
        <v/>
      </c>
      <c r="CG116" s="685" t="str">
        <f>IF('[1]Data 2026'!CI127="","",'[1]Data 2026'!CI127)</f>
        <v/>
      </c>
      <c r="CH116" s="685" t="str">
        <f>IF('[1]Data 2026'!CJ127="","",'[1]Data 2026'!CJ127)</f>
        <v/>
      </c>
      <c r="CI116" s="685" t="str">
        <f>IF('[1]Data 2026'!CK127="","",'[1]Data 2026'!CK127)</f>
        <v/>
      </c>
      <c r="CJ116" s="685" t="str">
        <f>IF('[1]Data 2026'!CM127="","",'[1]Data 2026'!CM127)</f>
        <v/>
      </c>
      <c r="CK116" s="685" t="str">
        <f>IF('[1]Data 2026'!CN127="","",'[1]Data 2026'!CN127)</f>
        <v/>
      </c>
      <c r="CL116" s="691"/>
      <c r="CM116" s="691" t="str">
        <f>IF('[1]Data 2026'!CP127="","",'[1]Data 2026'!CP127)</f>
        <v/>
      </c>
      <c r="CN116" s="691"/>
      <c r="CO116" s="419"/>
      <c r="CP116" s="419"/>
      <c r="CQ116" s="419"/>
      <c r="CR116" s="686" t="str">
        <f t="shared" si="25"/>
        <v/>
      </c>
    </row>
    <row r="117" spans="1:96">
      <c r="A117" s="682" t="str">
        <f t="shared" si="13"/>
        <v>A. BOOKING PENDING</v>
      </c>
      <c r="B117" s="695"/>
      <c r="C117" s="684" t="str">
        <f t="shared" si="14"/>
        <v>SHORT POSITION</v>
      </c>
      <c r="D117" s="685" t="str">
        <f t="shared" si="22"/>
        <v/>
      </c>
      <c r="E117" s="685" t="str">
        <f t="shared" si="15"/>
        <v/>
      </c>
      <c r="F117" s="686">
        <f>IF('[1]Data 2026'!D128="","",'[1]Data 2026'!D128)</f>
        <v>45</v>
      </c>
      <c r="G117" s="686">
        <f>IF('[1]Data 2026'!E128="","",'[1]Data 2026'!E128)</f>
        <v>200</v>
      </c>
      <c r="H117" s="687" t="str">
        <f>IF('[1]Data 2026'!H128="","",'[1]Data 2026'!H128)</f>
        <v>32016426-1</v>
      </c>
      <c r="I117" s="688">
        <f>IF('[1]Data 2026'!AA128="","",'[1]Data 2026'!AA128)</f>
        <v>250</v>
      </c>
      <c r="J117" s="685" t="str">
        <f>IF('[1]Data 2026'!K128="","",'[1]Data 2026'!K128)</f>
        <v>JUNE/JULY 2026</v>
      </c>
      <c r="K117" s="685">
        <v>46236</v>
      </c>
      <c r="L117" s="685" t="str">
        <f>IF('[1]Data 2026'!L128="","",'[1]Data 2026'!L128)</f>
        <v>VALENCY CI</v>
      </c>
      <c r="M117" s="685" t="str">
        <f>IF('[1]Data 2026'!M128="","",'[1]Data 2026'!M128)</f>
        <v>HOANG SON I JOINT STOCK COMPANY</v>
      </c>
      <c r="N117" s="685" t="s">
        <v>1194</v>
      </c>
      <c r="O117" s="689" t="str">
        <f>IF('[1]Data 2026'!N128="","",'[1]Data 2026'!N128)</f>
        <v/>
      </c>
      <c r="P117" s="701" t="str">
        <f>IF('[1]Data 2026'!O128="","",'[1]Data 2026'!O128)</f>
        <v/>
      </c>
      <c r="Q117" s="685" t="str">
        <f>IF('[1]Data 2026'!P128="","",'[1]Data 2026'!P128)</f>
        <v/>
      </c>
      <c r="R117" s="685" t="str">
        <f>IF('[1]Data 2026'!Q128="","",'[1]Data 2026'!Q128)</f>
        <v>ABJ</v>
      </c>
      <c r="S117" s="685" t="s">
        <v>347</v>
      </c>
      <c r="T117" s="685" t="str">
        <f>IF('[1]Data 2026'!R128="","",'[1]Data 2026'!R128)</f>
        <v>HCMC, VIETNAM</v>
      </c>
      <c r="U117" s="685" t="str">
        <f>IF('[1]Data 2026'!S128="","",'[1]Data 2026'!S128)</f>
        <v/>
      </c>
      <c r="V117" s="685" t="str">
        <f>IF('[1]Data 2026'!T128="","",'[1]Data 2026'!T128)</f>
        <v/>
      </c>
      <c r="W117" s="685" t="str">
        <f>IF('[1]Data 2026'!U128="","",'[1]Data 2026'!U128)</f>
        <v/>
      </c>
      <c r="X117" s="685" t="str">
        <f>IF('[1]Data 2026'!V128="","",'[1]Data 2026'!V128)</f>
        <v/>
      </c>
      <c r="Y117" s="685" t="str">
        <f>IF('[1]Data 2026'!W128="","",'[1]Data 2026'!W128)</f>
        <v/>
      </c>
      <c r="Z117" s="685" t="str">
        <f>IF('[1]Data 2026'!X128="","",'[1]Data 2026'!X128)</f>
        <v/>
      </c>
      <c r="AA117" s="685"/>
      <c r="AB117" s="685" t="str">
        <f>IF('[1]Data 2026'!Y128="","",'[1]Data 2026'!Y128)</f>
        <v/>
      </c>
      <c r="AC117" s="685" t="str">
        <f>IF('[1]Data 2026'!Z128="","",'[1]Data 2026'!Z128)</f>
        <v/>
      </c>
      <c r="AD117" s="691">
        <f>IF('[1]Data 2026'!AA128="","",'[1]Data 2026'!AA128)</f>
        <v>250</v>
      </c>
      <c r="AE117" s="691">
        <f>IF('[1]Data 2026'!AB128="","",'[1]Data 2026'!AB128)</f>
        <v>250</v>
      </c>
      <c r="AF117" s="685">
        <f>IF('[1]Data 2026'!AC128="","",'[1]Data 2026'!AC128)</f>
        <v>45868</v>
      </c>
      <c r="AG117" s="685" t="str">
        <f>IF('[1]Data 2026'!AD128="","",'[1]Data 2026'!AD128)</f>
        <v/>
      </c>
      <c r="AH117" s="686">
        <f>IF('[1]Data 2026'!AE128="","",'[1]Data 2026'!AE128)</f>
        <v>10</v>
      </c>
      <c r="AI117" s="685" t="str">
        <f>IF('[1]Data 2026'!AG128="","",'[1]Data 2026'!AG128)</f>
        <v/>
      </c>
      <c r="AJ117" s="685" t="str">
        <f>IF('[1]Data 2026'!AH128="","",'[1]Data 2026'!AH128)</f>
        <v>TBA</v>
      </c>
      <c r="AK117" s="685" t="str">
        <f>IF('[1]Data 2026'!AI128="","",'[1]Data 2026'!AI128)</f>
        <v>TBA</v>
      </c>
      <c r="AL117" s="685" t="str">
        <f>IF('[1]Data 2026'!AJ128="","",'[1]Data 2026'!AJ128)</f>
        <v>40FT</v>
      </c>
      <c r="AM117" s="692">
        <f>IF('[1]Data 2026'!AK128="","",'[1]Data 2026'!AK128)</f>
        <v>0.1</v>
      </c>
      <c r="AN117" s="685" t="str">
        <f>IF('[1]Data 2026'!AL128="","",'[1]Data 2026'!AL128)</f>
        <v>(01x250MTS)</v>
      </c>
      <c r="AO117" s="691">
        <f>IF('[1]Data 2026'!AM128="","",'[1]Data 2026'!AM128)</f>
        <v>275</v>
      </c>
      <c r="AP117" s="691" t="str">
        <f t="shared" si="16"/>
        <v/>
      </c>
      <c r="AQ117" s="685" t="str">
        <f>IF('[1]Data 2026'!AO128="","",'[1]Data 2026'!AO128)</f>
        <v/>
      </c>
      <c r="AR117" s="685" t="str">
        <f>IF('[1]Data 2026'!AP128="","",'[1]Data 2026'!AP128)</f>
        <v/>
      </c>
      <c r="AS117" s="685" t="str">
        <f>IF('[1]Data 2026'!AQ128="","",'[1]Data 2026'!AQ128)</f>
        <v/>
      </c>
      <c r="AT117" s="685" t="str">
        <f>IF('[1]Data 2026'!AR128="","",'[1]Data 2026'!AR128)</f>
        <v/>
      </c>
      <c r="AU117" s="685" t="str">
        <f>IF('[1]Data 2026'!AW128="","",'[1]Data 2026'!AW128)</f>
        <v/>
      </c>
      <c r="AV117" s="685" t="str">
        <f>IF('[1]Data 2026'!AX128="","",'[1]Data 2026'!AX128)</f>
        <v/>
      </c>
      <c r="AW117" s="685" t="str">
        <f>IF('[1]Data 2026'!AY128="","",'[1]Data 2026'!AY128)</f>
        <v/>
      </c>
      <c r="AX117" s="685" t="str">
        <f>IF('[1]Data 2026'!AZ128="","",'[1]Data 2026'!AZ128)</f>
        <v/>
      </c>
      <c r="AY117" s="685" t="str">
        <f>IF('[1]Data 2026'!BA128="","",'[1]Data 2026'!BA128)</f>
        <v/>
      </c>
      <c r="AZ117" s="685" t="str">
        <f>IF('[1]Data 2026'!AS128="","",'[1]Data 2026'!AS128)</f>
        <v/>
      </c>
      <c r="BA117" s="685" t="str">
        <f>IF('[1]Data 2026'!AT128="","",'[1]Data 2026'!AT128)</f>
        <v/>
      </c>
      <c r="BB117" s="685" t="str">
        <f>IF('[1]Data 2026'!AU128="","",'[1]Data 2026'!AU128)</f>
        <v/>
      </c>
      <c r="BC117" s="685" t="str">
        <f>IF('[1]Data 2026'!AV128="","",'[1]Data 2026'!AV128)</f>
        <v/>
      </c>
      <c r="BD117" s="685" t="str">
        <f>IF('[1]Data 2026'!AW128="","",'[1]Data 2026'!AW128)</f>
        <v/>
      </c>
      <c r="BE117" s="685" t="str">
        <f>IF('[1]Data 2026'!AX128="","",'[1]Data 2026'!AX128)</f>
        <v/>
      </c>
      <c r="BF117" s="685" t="str">
        <f>IF('[1]Data 2026'!BF128="","",'[1]Data 2026'!BF128)</f>
        <v/>
      </c>
      <c r="BG117" s="685" t="str">
        <f>IF('[1]Data 2026'!BG128="","",'[1]Data 2026'!BG128)</f>
        <v/>
      </c>
      <c r="BH117" s="685" t="str">
        <f>IF('[1]Data 2026'!BH128="","",'[1]Data 2026'!BH128)</f>
        <v/>
      </c>
      <c r="BI117" s="685" t="str">
        <f>IF('[1]Data 2026'!BI128="","",'[1]Data 2026'!BI128)</f>
        <v/>
      </c>
      <c r="BJ117" s="685" t="str">
        <f>IF('[1]Data 2026'!BJ128="","",'[1]Data 2026'!BJ128)</f>
        <v/>
      </c>
      <c r="BK117" s="685" t="str">
        <f>IF('[1]Data 2026'!BK128="","",'[1]Data 2026'!BK128)</f>
        <v/>
      </c>
      <c r="BL117" s="685" t="str">
        <f>IF('[1]Data 2026'!BL128="","",'[1]Data 2026'!BL128)</f>
        <v/>
      </c>
      <c r="BM117" s="685" t="str">
        <f>IF('[1]Data 2026'!BM128="","",'[1]Data 2026'!BM128)</f>
        <v/>
      </c>
      <c r="BN117" s="685" t="str">
        <f>IF('[1]Data 2026'!BN128="","",'[1]Data 2026'!BN128)</f>
        <v/>
      </c>
      <c r="BO117" s="685" t="str">
        <f>IF('[1]Data 2026'!BO128="","",'[1]Data 2026'!BO128)</f>
        <v/>
      </c>
      <c r="BP117" s="685" t="str">
        <f>IF('[1]Data 2026'!BP128="","",'[1]Data 2026'!BP128)</f>
        <v/>
      </c>
      <c r="BQ117" s="685" t="str">
        <f>IF('[1]Data 2026'!BQ128="","",'[1]Data 2026'!BQ128)</f>
        <v/>
      </c>
      <c r="BR117" s="685" t="str">
        <f>IF('[1]Data 2026'!BR128="","",'[1]Data 2026'!BR128)</f>
        <v/>
      </c>
      <c r="BS117" s="685" t="str">
        <f>IF('[1]Data 2026'!BS128="","",'[1]Data 2026'!BS128)</f>
        <v/>
      </c>
      <c r="BT117" s="685" t="str">
        <f>IF('[1]Data 2026'!BV128="","",'[1]Data 2026'!BV128)</f>
        <v/>
      </c>
      <c r="BU117" s="685" t="str">
        <f>IF('[1]Data 2026'!BW128="","",'[1]Data 2026'!BW128)</f>
        <v/>
      </c>
      <c r="BV117" s="685" t="str">
        <f>IF('[1]Data 2026'!BX128="","",'[1]Data 2026'!BX128)</f>
        <v/>
      </c>
      <c r="BW117" s="685" t="str">
        <f>IF('[1]Data 2026'!BY128="","",'[1]Data 2026'!BY128)</f>
        <v/>
      </c>
      <c r="BX117" s="685" t="str">
        <f>IF('[1]Data 2026'!BZ128="","",'[1]Data 2026'!BZ128)</f>
        <v/>
      </c>
      <c r="BY117" s="685" t="str">
        <f>IF('[1]Data 2026'!CA128="","",'[1]Data 2026'!CA128)</f>
        <v/>
      </c>
      <c r="BZ117" s="685" t="str">
        <f>IF('[1]Data 2026'!CB128="","",'[1]Data 2026'!CB128)</f>
        <v/>
      </c>
      <c r="CA117" s="685" t="str">
        <f>IF('[1]Data 2026'!CC128="","",'[1]Data 2026'!CC128)</f>
        <v/>
      </c>
      <c r="CB117" s="685" t="str">
        <f>IF('[1]Data 2026'!CD128="","",'[1]Data 2026'!CD128)</f>
        <v/>
      </c>
      <c r="CC117" s="685" t="str">
        <f>IF('[1]Data 2026'!CE128="","",'[1]Data 2026'!CE128)</f>
        <v/>
      </c>
      <c r="CD117" s="685" t="str">
        <f>IF('[1]Data 2026'!CF128="","",'[1]Data 2026'!CF128)</f>
        <v/>
      </c>
      <c r="CE117" s="685" t="str">
        <f>IF('[1]Data 2026'!CG128="","",'[1]Data 2026'!CG128)</f>
        <v/>
      </c>
      <c r="CF117" s="685" t="str">
        <f>IF('[1]Data 2026'!CH128="","",'[1]Data 2026'!CH128)</f>
        <v/>
      </c>
      <c r="CG117" s="685" t="str">
        <f>IF('[1]Data 2026'!CI128="","",'[1]Data 2026'!CI128)</f>
        <v/>
      </c>
      <c r="CH117" s="685" t="str">
        <f>IF('[1]Data 2026'!CJ128="","",'[1]Data 2026'!CJ128)</f>
        <v/>
      </c>
      <c r="CI117" s="685" t="str">
        <f>IF('[1]Data 2026'!CK128="","",'[1]Data 2026'!CK128)</f>
        <v/>
      </c>
      <c r="CJ117" s="685" t="str">
        <f>IF('[1]Data 2026'!CM128="","",'[1]Data 2026'!CM128)</f>
        <v/>
      </c>
      <c r="CK117" s="685" t="str">
        <f>IF('[1]Data 2026'!CN128="","",'[1]Data 2026'!CN128)</f>
        <v/>
      </c>
      <c r="CL117" s="691"/>
      <c r="CM117" s="691" t="str">
        <f>IF('[1]Data 2026'!CP128="","",'[1]Data 2026'!CP128)</f>
        <v/>
      </c>
      <c r="CN117" s="691"/>
      <c r="CO117" s="419"/>
      <c r="CP117" s="419"/>
      <c r="CQ117" s="419"/>
      <c r="CR117" s="686" t="str">
        <f t="shared" si="25"/>
        <v/>
      </c>
    </row>
    <row r="118" spans="1:96">
      <c r="A118" s="682" t="str">
        <f t="shared" si="13"/>
        <v>A. BOOKING PENDING</v>
      </c>
      <c r="B118" s="695"/>
      <c r="C118" s="684" t="str">
        <f t="shared" si="14"/>
        <v>SHORT POSITION</v>
      </c>
      <c r="D118" s="685" t="str">
        <f t="shared" si="22"/>
        <v/>
      </c>
      <c r="E118" s="685" t="str">
        <f t="shared" si="15"/>
        <v/>
      </c>
      <c r="F118" s="686">
        <f>IF('[1]Data 2026'!D129="","",'[1]Data 2026'!D129)</f>
        <v>45</v>
      </c>
      <c r="G118" s="686">
        <f>IF('[1]Data 2026'!E129="","",'[1]Data 2026'!E129)</f>
        <v>200</v>
      </c>
      <c r="H118" s="687" t="str">
        <f>IF('[1]Data 2026'!H129="","",'[1]Data 2026'!H129)</f>
        <v>32016426-2</v>
      </c>
      <c r="I118" s="688">
        <f>IF('[1]Data 2026'!AA129="","",'[1]Data 2026'!AA129)</f>
        <v>250</v>
      </c>
      <c r="J118" s="685" t="str">
        <f>IF('[1]Data 2026'!K129="","",'[1]Data 2026'!K129)</f>
        <v>JUNE/JULY 2026</v>
      </c>
      <c r="K118" s="685">
        <v>46237</v>
      </c>
      <c r="L118" s="685" t="str">
        <f>IF('[1]Data 2026'!L129="","",'[1]Data 2026'!L129)</f>
        <v>VALENCY CI</v>
      </c>
      <c r="M118" s="685" t="str">
        <f>IF('[1]Data 2026'!M129="","",'[1]Data 2026'!M129)</f>
        <v>HOANG SON I JOINT STOCK COMPANY</v>
      </c>
      <c r="N118" s="685" t="s">
        <v>1194</v>
      </c>
      <c r="O118" s="689" t="str">
        <f>IF('[1]Data 2026'!N129="","",'[1]Data 2026'!N129)</f>
        <v/>
      </c>
      <c r="P118" s="701" t="str">
        <f>IF('[1]Data 2026'!O129="","",'[1]Data 2026'!O129)</f>
        <v/>
      </c>
      <c r="Q118" s="685" t="str">
        <f>IF('[1]Data 2026'!P129="","",'[1]Data 2026'!P129)</f>
        <v/>
      </c>
      <c r="R118" s="685" t="str">
        <f>IF('[1]Data 2026'!Q129="","",'[1]Data 2026'!Q129)</f>
        <v>ABJ</v>
      </c>
      <c r="S118" s="685" t="s">
        <v>347</v>
      </c>
      <c r="T118" s="685" t="str">
        <f>IF('[1]Data 2026'!R129="","",'[1]Data 2026'!R129)</f>
        <v>HCMC, VIETNAM</v>
      </c>
      <c r="U118" s="685" t="str">
        <f>IF('[1]Data 2026'!S129="","",'[1]Data 2026'!S129)</f>
        <v/>
      </c>
      <c r="V118" s="685" t="str">
        <f>IF('[1]Data 2026'!T129="","",'[1]Data 2026'!T129)</f>
        <v/>
      </c>
      <c r="W118" s="685" t="str">
        <f>IF('[1]Data 2026'!U129="","",'[1]Data 2026'!U129)</f>
        <v/>
      </c>
      <c r="X118" s="685" t="str">
        <f>IF('[1]Data 2026'!V129="","",'[1]Data 2026'!V129)</f>
        <v/>
      </c>
      <c r="Y118" s="685" t="str">
        <f>IF('[1]Data 2026'!W129="","",'[1]Data 2026'!W129)</f>
        <v/>
      </c>
      <c r="Z118" s="685" t="str">
        <f>IF('[1]Data 2026'!X129="","",'[1]Data 2026'!X129)</f>
        <v/>
      </c>
      <c r="AA118" s="685"/>
      <c r="AB118" s="685" t="str">
        <f>IF('[1]Data 2026'!Y129="","",'[1]Data 2026'!Y129)</f>
        <v/>
      </c>
      <c r="AC118" s="685" t="str">
        <f>IF('[1]Data 2026'!Z129="","",'[1]Data 2026'!Z129)</f>
        <v/>
      </c>
      <c r="AD118" s="691">
        <f>IF('[1]Data 2026'!AA129="","",'[1]Data 2026'!AA129)</f>
        <v>250</v>
      </c>
      <c r="AE118" s="691">
        <f>IF('[1]Data 2026'!AB129="","",'[1]Data 2026'!AB129)</f>
        <v>250</v>
      </c>
      <c r="AF118" s="685">
        <f>IF('[1]Data 2026'!AC129="","",'[1]Data 2026'!AC129)</f>
        <v>45868</v>
      </c>
      <c r="AG118" s="685" t="str">
        <f>IF('[1]Data 2026'!AD129="","",'[1]Data 2026'!AD129)</f>
        <v/>
      </c>
      <c r="AH118" s="686">
        <f>IF('[1]Data 2026'!AE129="","",'[1]Data 2026'!AE129)</f>
        <v>10</v>
      </c>
      <c r="AI118" s="685" t="str">
        <f>IF('[1]Data 2026'!AG129="","",'[1]Data 2026'!AG129)</f>
        <v/>
      </c>
      <c r="AJ118" s="685" t="str">
        <f>IF('[1]Data 2026'!AH129="","",'[1]Data 2026'!AH129)</f>
        <v>TBA</v>
      </c>
      <c r="AK118" s="685" t="str">
        <f>IF('[1]Data 2026'!AI129="","",'[1]Data 2026'!AI129)</f>
        <v>TBA</v>
      </c>
      <c r="AL118" s="685" t="str">
        <f>IF('[1]Data 2026'!AJ129="","",'[1]Data 2026'!AJ129)</f>
        <v>40FT</v>
      </c>
      <c r="AM118" s="692">
        <f>IF('[1]Data 2026'!AK129="","",'[1]Data 2026'!AK129)</f>
        <v>0.1</v>
      </c>
      <c r="AN118" s="685" t="str">
        <f>IF('[1]Data 2026'!AL129="","",'[1]Data 2026'!AL129)</f>
        <v>(01x250MTS)</v>
      </c>
      <c r="AO118" s="691">
        <f>IF('[1]Data 2026'!AM129="","",'[1]Data 2026'!AM129)</f>
        <v>275</v>
      </c>
      <c r="AP118" s="691" t="str">
        <f t="shared" si="16"/>
        <v/>
      </c>
      <c r="AQ118" s="685" t="str">
        <f>IF('[1]Data 2026'!AO129="","",'[1]Data 2026'!AO129)</f>
        <v/>
      </c>
      <c r="AR118" s="685" t="str">
        <f>IF('[1]Data 2026'!AP129="","",'[1]Data 2026'!AP129)</f>
        <v/>
      </c>
      <c r="AS118" s="685" t="str">
        <f>IF('[1]Data 2026'!AQ129="","",'[1]Data 2026'!AQ129)</f>
        <v/>
      </c>
      <c r="AT118" s="685" t="str">
        <f>IF('[1]Data 2026'!AR129="","",'[1]Data 2026'!AR129)</f>
        <v/>
      </c>
      <c r="AU118" s="685" t="str">
        <f>IF('[1]Data 2026'!AW129="","",'[1]Data 2026'!AW129)</f>
        <v/>
      </c>
      <c r="AV118" s="685" t="str">
        <f>IF('[1]Data 2026'!AX129="","",'[1]Data 2026'!AX129)</f>
        <v/>
      </c>
      <c r="AW118" s="685" t="str">
        <f>IF('[1]Data 2026'!AY129="","",'[1]Data 2026'!AY129)</f>
        <v/>
      </c>
      <c r="AX118" s="685" t="str">
        <f>IF('[1]Data 2026'!AZ129="","",'[1]Data 2026'!AZ129)</f>
        <v/>
      </c>
      <c r="AY118" s="685" t="str">
        <f>IF('[1]Data 2026'!BA129="","",'[1]Data 2026'!BA129)</f>
        <v/>
      </c>
      <c r="AZ118" s="685" t="str">
        <f>IF('[1]Data 2026'!AS129="","",'[1]Data 2026'!AS129)</f>
        <v/>
      </c>
      <c r="BA118" s="685" t="str">
        <f>IF('[1]Data 2026'!AT129="","",'[1]Data 2026'!AT129)</f>
        <v/>
      </c>
      <c r="BB118" s="685" t="str">
        <f>IF('[1]Data 2026'!AU129="","",'[1]Data 2026'!AU129)</f>
        <v/>
      </c>
      <c r="BC118" s="685" t="str">
        <f>IF('[1]Data 2026'!AV129="","",'[1]Data 2026'!AV129)</f>
        <v/>
      </c>
      <c r="BD118" s="685" t="str">
        <f>IF('[1]Data 2026'!AW129="","",'[1]Data 2026'!AW129)</f>
        <v/>
      </c>
      <c r="BE118" s="685" t="str">
        <f>IF('[1]Data 2026'!AX129="","",'[1]Data 2026'!AX129)</f>
        <v/>
      </c>
      <c r="BF118" s="685" t="str">
        <f>IF('[1]Data 2026'!BF129="","",'[1]Data 2026'!BF129)</f>
        <v/>
      </c>
      <c r="BG118" s="685" t="str">
        <f>IF('[1]Data 2026'!BG129="","",'[1]Data 2026'!BG129)</f>
        <v/>
      </c>
      <c r="BH118" s="685" t="str">
        <f>IF('[1]Data 2026'!BH129="","",'[1]Data 2026'!BH129)</f>
        <v/>
      </c>
      <c r="BI118" s="685" t="str">
        <f>IF('[1]Data 2026'!BI129="","",'[1]Data 2026'!BI129)</f>
        <v/>
      </c>
      <c r="BJ118" s="685" t="str">
        <f>IF('[1]Data 2026'!BJ129="","",'[1]Data 2026'!BJ129)</f>
        <v/>
      </c>
      <c r="BK118" s="685" t="str">
        <f>IF('[1]Data 2026'!BK129="","",'[1]Data 2026'!BK129)</f>
        <v/>
      </c>
      <c r="BL118" s="685" t="str">
        <f>IF('[1]Data 2026'!BL129="","",'[1]Data 2026'!BL129)</f>
        <v/>
      </c>
      <c r="BM118" s="685" t="str">
        <f>IF('[1]Data 2026'!BM129="","",'[1]Data 2026'!BM129)</f>
        <v/>
      </c>
      <c r="BN118" s="685" t="str">
        <f>IF('[1]Data 2026'!BN129="","",'[1]Data 2026'!BN129)</f>
        <v/>
      </c>
      <c r="BO118" s="685" t="str">
        <f>IF('[1]Data 2026'!BO129="","",'[1]Data 2026'!BO129)</f>
        <v/>
      </c>
      <c r="BP118" s="685" t="str">
        <f>IF('[1]Data 2026'!BP129="","",'[1]Data 2026'!BP129)</f>
        <v/>
      </c>
      <c r="BQ118" s="685" t="str">
        <f>IF('[1]Data 2026'!BQ129="","",'[1]Data 2026'!BQ129)</f>
        <v/>
      </c>
      <c r="BR118" s="685" t="str">
        <f>IF('[1]Data 2026'!BR129="","",'[1]Data 2026'!BR129)</f>
        <v/>
      </c>
      <c r="BS118" s="685" t="str">
        <f>IF('[1]Data 2026'!BS129="","",'[1]Data 2026'!BS129)</f>
        <v/>
      </c>
      <c r="BT118" s="685" t="str">
        <f>IF('[1]Data 2026'!BV129="","",'[1]Data 2026'!BV129)</f>
        <v/>
      </c>
      <c r="BU118" s="685" t="str">
        <f>IF('[1]Data 2026'!BW129="","",'[1]Data 2026'!BW129)</f>
        <v/>
      </c>
      <c r="BV118" s="685" t="str">
        <f>IF('[1]Data 2026'!BX129="","",'[1]Data 2026'!BX129)</f>
        <v/>
      </c>
      <c r="BW118" s="685" t="str">
        <f>IF('[1]Data 2026'!BY129="","",'[1]Data 2026'!BY129)</f>
        <v/>
      </c>
      <c r="BX118" s="685" t="str">
        <f>IF('[1]Data 2026'!BZ129="","",'[1]Data 2026'!BZ129)</f>
        <v/>
      </c>
      <c r="BY118" s="685" t="str">
        <f>IF('[1]Data 2026'!CA129="","",'[1]Data 2026'!CA129)</f>
        <v/>
      </c>
      <c r="BZ118" s="685" t="str">
        <f>IF('[1]Data 2026'!CB129="","",'[1]Data 2026'!CB129)</f>
        <v/>
      </c>
      <c r="CA118" s="685" t="str">
        <f>IF('[1]Data 2026'!CC129="","",'[1]Data 2026'!CC129)</f>
        <v/>
      </c>
      <c r="CB118" s="685" t="str">
        <f>IF('[1]Data 2026'!CD129="","",'[1]Data 2026'!CD129)</f>
        <v/>
      </c>
      <c r="CC118" s="685" t="str">
        <f>IF('[1]Data 2026'!CE129="","",'[1]Data 2026'!CE129)</f>
        <v/>
      </c>
      <c r="CD118" s="685" t="str">
        <f>IF('[1]Data 2026'!CF129="","",'[1]Data 2026'!CF129)</f>
        <v/>
      </c>
      <c r="CE118" s="685" t="str">
        <f>IF('[1]Data 2026'!CG129="","",'[1]Data 2026'!CG129)</f>
        <v/>
      </c>
      <c r="CF118" s="685" t="str">
        <f>IF('[1]Data 2026'!CH129="","",'[1]Data 2026'!CH129)</f>
        <v/>
      </c>
      <c r="CG118" s="685" t="str">
        <f>IF('[1]Data 2026'!CI129="","",'[1]Data 2026'!CI129)</f>
        <v/>
      </c>
      <c r="CH118" s="685" t="str">
        <f>IF('[1]Data 2026'!CJ129="","",'[1]Data 2026'!CJ129)</f>
        <v/>
      </c>
      <c r="CI118" s="685" t="str">
        <f>IF('[1]Data 2026'!CK129="","",'[1]Data 2026'!CK129)</f>
        <v/>
      </c>
      <c r="CJ118" s="685" t="str">
        <f>IF('[1]Data 2026'!CM129="","",'[1]Data 2026'!CM129)</f>
        <v/>
      </c>
      <c r="CK118" s="685" t="str">
        <f>IF('[1]Data 2026'!CN129="","",'[1]Data 2026'!CN129)</f>
        <v/>
      </c>
      <c r="CL118" s="691"/>
      <c r="CM118" s="691" t="str">
        <f>IF('[1]Data 2026'!CP129="","",'[1]Data 2026'!CP129)</f>
        <v/>
      </c>
      <c r="CN118" s="691"/>
      <c r="CO118" s="419"/>
      <c r="CP118" s="419"/>
      <c r="CQ118" s="419"/>
      <c r="CR118" s="686" t="str">
        <f t="shared" si="25"/>
        <v/>
      </c>
    </row>
    <row r="119" spans="1:96">
      <c r="A119" s="682" t="str">
        <f t="shared" si="13"/>
        <v>A. BOOKING PENDING</v>
      </c>
      <c r="B119" s="695"/>
      <c r="C119" s="684" t="str">
        <f t="shared" si="14"/>
        <v>SHORT POSITION</v>
      </c>
      <c r="D119" s="685" t="str">
        <f t="shared" si="22"/>
        <v/>
      </c>
      <c r="E119" s="685" t="str">
        <f t="shared" si="15"/>
        <v/>
      </c>
      <c r="F119" s="686">
        <f>IF('[1]Data 2026'!D130="","",'[1]Data 2026'!D130)</f>
        <v>45</v>
      </c>
      <c r="G119" s="686">
        <f>IF('[1]Data 2026'!E130="","",'[1]Data 2026'!E130)</f>
        <v>200</v>
      </c>
      <c r="H119" s="687" t="str">
        <f>IF('[1]Data 2026'!H130="","",'[1]Data 2026'!H130)</f>
        <v>32016426-3</v>
      </c>
      <c r="I119" s="688">
        <f>IF('[1]Data 2026'!AA130="","",'[1]Data 2026'!AA130)</f>
        <v>250</v>
      </c>
      <c r="J119" s="685" t="str">
        <f>IF('[1]Data 2026'!K130="","",'[1]Data 2026'!K130)</f>
        <v>JUNE/JULY 2026</v>
      </c>
      <c r="K119" s="685">
        <v>46238</v>
      </c>
      <c r="L119" s="685" t="str">
        <f>IF('[1]Data 2026'!L130="","",'[1]Data 2026'!L130)</f>
        <v>VALENCY CI</v>
      </c>
      <c r="M119" s="685" t="str">
        <f>IF('[1]Data 2026'!M130="","",'[1]Data 2026'!M130)</f>
        <v>HOANG SON I JOINT STOCK COMPANY</v>
      </c>
      <c r="N119" s="685" t="s">
        <v>1194</v>
      </c>
      <c r="O119" s="689" t="str">
        <f>IF('[1]Data 2026'!N130="","",'[1]Data 2026'!N130)</f>
        <v/>
      </c>
      <c r="P119" s="701" t="str">
        <f>IF('[1]Data 2026'!O130="","",'[1]Data 2026'!O130)</f>
        <v/>
      </c>
      <c r="Q119" s="685" t="str">
        <f>IF('[1]Data 2026'!P130="","",'[1]Data 2026'!P130)</f>
        <v/>
      </c>
      <c r="R119" s="685" t="str">
        <f>IF('[1]Data 2026'!Q130="","",'[1]Data 2026'!Q130)</f>
        <v>ABJ</v>
      </c>
      <c r="S119" s="685" t="s">
        <v>347</v>
      </c>
      <c r="T119" s="685" t="str">
        <f>IF('[1]Data 2026'!R130="","",'[1]Data 2026'!R130)</f>
        <v>HCMC, VIETNAM</v>
      </c>
      <c r="U119" s="685" t="str">
        <f>IF('[1]Data 2026'!S130="","",'[1]Data 2026'!S130)</f>
        <v/>
      </c>
      <c r="V119" s="685" t="str">
        <f>IF('[1]Data 2026'!T130="","",'[1]Data 2026'!T130)</f>
        <v/>
      </c>
      <c r="W119" s="685" t="str">
        <f>IF('[1]Data 2026'!U130="","",'[1]Data 2026'!U130)</f>
        <v/>
      </c>
      <c r="X119" s="685" t="str">
        <f>IF('[1]Data 2026'!V130="","",'[1]Data 2026'!V130)</f>
        <v/>
      </c>
      <c r="Y119" s="685" t="str">
        <f>IF('[1]Data 2026'!W130="","",'[1]Data 2026'!W130)</f>
        <v/>
      </c>
      <c r="Z119" s="685" t="str">
        <f>IF('[1]Data 2026'!X130="","",'[1]Data 2026'!X130)</f>
        <v/>
      </c>
      <c r="AA119" s="685"/>
      <c r="AB119" s="685" t="str">
        <f>IF('[1]Data 2026'!Y130="","",'[1]Data 2026'!Y130)</f>
        <v/>
      </c>
      <c r="AC119" s="685" t="str">
        <f>IF('[1]Data 2026'!Z130="","",'[1]Data 2026'!Z130)</f>
        <v/>
      </c>
      <c r="AD119" s="691">
        <f>IF('[1]Data 2026'!AA130="","",'[1]Data 2026'!AA130)</f>
        <v>250</v>
      </c>
      <c r="AE119" s="691">
        <f>IF('[1]Data 2026'!AB130="","",'[1]Data 2026'!AB130)</f>
        <v>250</v>
      </c>
      <c r="AF119" s="685">
        <f>IF('[1]Data 2026'!AC130="","",'[1]Data 2026'!AC130)</f>
        <v>45868</v>
      </c>
      <c r="AG119" s="685" t="str">
        <f>IF('[1]Data 2026'!AD130="","",'[1]Data 2026'!AD130)</f>
        <v/>
      </c>
      <c r="AH119" s="686">
        <f>IF('[1]Data 2026'!AE130="","",'[1]Data 2026'!AE130)</f>
        <v>10</v>
      </c>
      <c r="AI119" s="685" t="str">
        <f>IF('[1]Data 2026'!AG130="","",'[1]Data 2026'!AG130)</f>
        <v/>
      </c>
      <c r="AJ119" s="685" t="str">
        <f>IF('[1]Data 2026'!AH130="","",'[1]Data 2026'!AH130)</f>
        <v>TBA</v>
      </c>
      <c r="AK119" s="685" t="str">
        <f>IF('[1]Data 2026'!AI130="","",'[1]Data 2026'!AI130)</f>
        <v>TBA</v>
      </c>
      <c r="AL119" s="685" t="str">
        <f>IF('[1]Data 2026'!AJ130="","",'[1]Data 2026'!AJ130)</f>
        <v>40FT</v>
      </c>
      <c r="AM119" s="692">
        <f>IF('[1]Data 2026'!AK130="","",'[1]Data 2026'!AK130)</f>
        <v>0.1</v>
      </c>
      <c r="AN119" s="685" t="str">
        <f>IF('[1]Data 2026'!AL130="","",'[1]Data 2026'!AL130)</f>
        <v>(01x250MTS)</v>
      </c>
      <c r="AO119" s="691">
        <f>IF('[1]Data 2026'!AM130="","",'[1]Data 2026'!AM130)</f>
        <v>275</v>
      </c>
      <c r="AP119" s="691" t="str">
        <f t="shared" si="16"/>
        <v/>
      </c>
      <c r="AQ119" s="685" t="str">
        <f>IF('[1]Data 2026'!AO130="","",'[1]Data 2026'!AO130)</f>
        <v/>
      </c>
      <c r="AR119" s="685" t="str">
        <f>IF('[1]Data 2026'!AP130="","",'[1]Data 2026'!AP130)</f>
        <v/>
      </c>
      <c r="AS119" s="685" t="str">
        <f>IF('[1]Data 2026'!AQ130="","",'[1]Data 2026'!AQ130)</f>
        <v/>
      </c>
      <c r="AT119" s="685" t="str">
        <f>IF('[1]Data 2026'!AR130="","",'[1]Data 2026'!AR130)</f>
        <v/>
      </c>
      <c r="AU119" s="685" t="str">
        <f>IF('[1]Data 2026'!AW130="","",'[1]Data 2026'!AW130)</f>
        <v/>
      </c>
      <c r="AV119" s="685" t="str">
        <f>IF('[1]Data 2026'!AX130="","",'[1]Data 2026'!AX130)</f>
        <v/>
      </c>
      <c r="AW119" s="685" t="str">
        <f>IF('[1]Data 2026'!AY130="","",'[1]Data 2026'!AY130)</f>
        <v/>
      </c>
      <c r="AX119" s="685" t="str">
        <f>IF('[1]Data 2026'!AZ130="","",'[1]Data 2026'!AZ130)</f>
        <v/>
      </c>
      <c r="AY119" s="685" t="str">
        <f>IF('[1]Data 2026'!BA130="","",'[1]Data 2026'!BA130)</f>
        <v/>
      </c>
      <c r="AZ119" s="685" t="str">
        <f>IF('[1]Data 2026'!AS130="","",'[1]Data 2026'!AS130)</f>
        <v/>
      </c>
      <c r="BA119" s="685" t="str">
        <f>IF('[1]Data 2026'!AT130="","",'[1]Data 2026'!AT130)</f>
        <v/>
      </c>
      <c r="BB119" s="685" t="str">
        <f>IF('[1]Data 2026'!AU130="","",'[1]Data 2026'!AU130)</f>
        <v/>
      </c>
      <c r="BC119" s="685" t="str">
        <f>IF('[1]Data 2026'!AV130="","",'[1]Data 2026'!AV130)</f>
        <v/>
      </c>
      <c r="BD119" s="685" t="str">
        <f>IF('[1]Data 2026'!AW130="","",'[1]Data 2026'!AW130)</f>
        <v/>
      </c>
      <c r="BE119" s="685" t="str">
        <f>IF('[1]Data 2026'!AX130="","",'[1]Data 2026'!AX130)</f>
        <v/>
      </c>
      <c r="BF119" s="685" t="str">
        <f>IF('[1]Data 2026'!BF130="","",'[1]Data 2026'!BF130)</f>
        <v/>
      </c>
      <c r="BG119" s="685" t="str">
        <f>IF('[1]Data 2026'!BG130="","",'[1]Data 2026'!BG130)</f>
        <v/>
      </c>
      <c r="BH119" s="685" t="str">
        <f>IF('[1]Data 2026'!BH130="","",'[1]Data 2026'!BH130)</f>
        <v/>
      </c>
      <c r="BI119" s="685" t="str">
        <f>IF('[1]Data 2026'!BI130="","",'[1]Data 2026'!BI130)</f>
        <v/>
      </c>
      <c r="BJ119" s="685" t="str">
        <f>IF('[1]Data 2026'!BJ130="","",'[1]Data 2026'!BJ130)</f>
        <v/>
      </c>
      <c r="BK119" s="685" t="str">
        <f>IF('[1]Data 2026'!BK130="","",'[1]Data 2026'!BK130)</f>
        <v/>
      </c>
      <c r="BL119" s="685" t="str">
        <f>IF('[1]Data 2026'!BL130="","",'[1]Data 2026'!BL130)</f>
        <v/>
      </c>
      <c r="BM119" s="685" t="str">
        <f>IF('[1]Data 2026'!BM130="","",'[1]Data 2026'!BM130)</f>
        <v/>
      </c>
      <c r="BN119" s="685" t="str">
        <f>IF('[1]Data 2026'!BN130="","",'[1]Data 2026'!BN130)</f>
        <v/>
      </c>
      <c r="BO119" s="685" t="str">
        <f>IF('[1]Data 2026'!BO130="","",'[1]Data 2026'!BO130)</f>
        <v/>
      </c>
      <c r="BP119" s="685" t="str">
        <f>IF('[1]Data 2026'!BP130="","",'[1]Data 2026'!BP130)</f>
        <v/>
      </c>
      <c r="BQ119" s="685" t="str">
        <f>IF('[1]Data 2026'!BQ130="","",'[1]Data 2026'!BQ130)</f>
        <v/>
      </c>
      <c r="BR119" s="685" t="str">
        <f>IF('[1]Data 2026'!BR130="","",'[1]Data 2026'!BR130)</f>
        <v/>
      </c>
      <c r="BS119" s="685" t="str">
        <f>IF('[1]Data 2026'!BS130="","",'[1]Data 2026'!BS130)</f>
        <v/>
      </c>
      <c r="BT119" s="685" t="str">
        <f>IF('[1]Data 2026'!BV130="","",'[1]Data 2026'!BV130)</f>
        <v/>
      </c>
      <c r="BU119" s="685" t="str">
        <f>IF('[1]Data 2026'!BW130="","",'[1]Data 2026'!BW130)</f>
        <v/>
      </c>
      <c r="BV119" s="685" t="str">
        <f>IF('[1]Data 2026'!BX130="","",'[1]Data 2026'!BX130)</f>
        <v/>
      </c>
      <c r="BW119" s="685" t="str">
        <f>IF('[1]Data 2026'!BY130="","",'[1]Data 2026'!BY130)</f>
        <v/>
      </c>
      <c r="BX119" s="685" t="str">
        <f>IF('[1]Data 2026'!BZ130="","",'[1]Data 2026'!BZ130)</f>
        <v/>
      </c>
      <c r="BY119" s="685" t="str">
        <f>IF('[1]Data 2026'!CA130="","",'[1]Data 2026'!CA130)</f>
        <v/>
      </c>
      <c r="BZ119" s="685" t="str">
        <f>IF('[1]Data 2026'!CB130="","",'[1]Data 2026'!CB130)</f>
        <v/>
      </c>
      <c r="CA119" s="685" t="str">
        <f>IF('[1]Data 2026'!CC130="","",'[1]Data 2026'!CC130)</f>
        <v/>
      </c>
      <c r="CB119" s="685" t="str">
        <f>IF('[1]Data 2026'!CD130="","",'[1]Data 2026'!CD130)</f>
        <v/>
      </c>
      <c r="CC119" s="685" t="str">
        <f>IF('[1]Data 2026'!CE130="","",'[1]Data 2026'!CE130)</f>
        <v/>
      </c>
      <c r="CD119" s="685" t="str">
        <f>IF('[1]Data 2026'!CF130="","",'[1]Data 2026'!CF130)</f>
        <v/>
      </c>
      <c r="CE119" s="685" t="str">
        <f>IF('[1]Data 2026'!CG130="","",'[1]Data 2026'!CG130)</f>
        <v/>
      </c>
      <c r="CF119" s="685" t="str">
        <f>IF('[1]Data 2026'!CH130="","",'[1]Data 2026'!CH130)</f>
        <v/>
      </c>
      <c r="CG119" s="685" t="str">
        <f>IF('[1]Data 2026'!CI130="","",'[1]Data 2026'!CI130)</f>
        <v/>
      </c>
      <c r="CH119" s="685" t="str">
        <f>IF('[1]Data 2026'!CJ130="","",'[1]Data 2026'!CJ130)</f>
        <v/>
      </c>
      <c r="CI119" s="685" t="str">
        <f>IF('[1]Data 2026'!CK130="","",'[1]Data 2026'!CK130)</f>
        <v/>
      </c>
      <c r="CJ119" s="685" t="str">
        <f>IF('[1]Data 2026'!CM130="","",'[1]Data 2026'!CM130)</f>
        <v/>
      </c>
      <c r="CK119" s="685" t="str">
        <f>IF('[1]Data 2026'!CN130="","",'[1]Data 2026'!CN130)</f>
        <v/>
      </c>
      <c r="CL119" s="691"/>
      <c r="CM119" s="691" t="str">
        <f>IF('[1]Data 2026'!CP130="","",'[1]Data 2026'!CP130)</f>
        <v/>
      </c>
      <c r="CN119" s="691"/>
      <c r="CO119" s="419"/>
      <c r="CP119" s="419"/>
      <c r="CQ119" s="419"/>
      <c r="CR119" s="686" t="str">
        <f t="shared" si="25"/>
        <v/>
      </c>
    </row>
    <row r="120" spans="1:96">
      <c r="A120" s="682" t="str">
        <f t="shared" si="13"/>
        <v>A. BOOKING PENDING</v>
      </c>
      <c r="B120" s="695"/>
      <c r="C120" s="684" t="str">
        <f t="shared" si="14"/>
        <v>SHORT POSITION</v>
      </c>
      <c r="D120" s="685" t="str">
        <f t="shared" si="22"/>
        <v/>
      </c>
      <c r="E120" s="685" t="str">
        <f t="shared" si="15"/>
        <v/>
      </c>
      <c r="F120" s="686">
        <f>IF('[1]Data 2026'!D131="","",'[1]Data 2026'!D131)</f>
        <v>45</v>
      </c>
      <c r="G120" s="686">
        <f>IF('[1]Data 2026'!E131="","",'[1]Data 2026'!E131)</f>
        <v>200</v>
      </c>
      <c r="H120" s="687" t="str">
        <f>IF('[1]Data 2026'!H131="","",'[1]Data 2026'!H131)</f>
        <v>32016426-4</v>
      </c>
      <c r="I120" s="688">
        <f>IF('[1]Data 2026'!AA131="","",'[1]Data 2026'!AA131)</f>
        <v>250</v>
      </c>
      <c r="J120" s="685" t="str">
        <f>IF('[1]Data 2026'!K131="","",'[1]Data 2026'!K131)</f>
        <v>JUNE/JULY 2026</v>
      </c>
      <c r="K120" s="685">
        <v>46239</v>
      </c>
      <c r="L120" s="685" t="str">
        <f>IF('[1]Data 2026'!L131="","",'[1]Data 2026'!L131)</f>
        <v>VALENCY CI</v>
      </c>
      <c r="M120" s="685" t="str">
        <f>IF('[1]Data 2026'!M131="","",'[1]Data 2026'!M131)</f>
        <v>HOANG SON I JOINT STOCK COMPANY</v>
      </c>
      <c r="N120" s="685" t="s">
        <v>1194</v>
      </c>
      <c r="O120" s="689" t="str">
        <f>IF('[1]Data 2026'!N131="","",'[1]Data 2026'!N131)</f>
        <v/>
      </c>
      <c r="P120" s="701" t="str">
        <f>IF('[1]Data 2026'!O131="","",'[1]Data 2026'!O131)</f>
        <v/>
      </c>
      <c r="Q120" s="685" t="str">
        <f>IF('[1]Data 2026'!P131="","",'[1]Data 2026'!P131)</f>
        <v/>
      </c>
      <c r="R120" s="685" t="str">
        <f>IF('[1]Data 2026'!Q131="","",'[1]Data 2026'!Q131)</f>
        <v>ABJ</v>
      </c>
      <c r="S120" s="685" t="s">
        <v>347</v>
      </c>
      <c r="T120" s="685" t="str">
        <f>IF('[1]Data 2026'!R131="","",'[1]Data 2026'!R131)</f>
        <v>HCMC, VIETNAM</v>
      </c>
      <c r="U120" s="685" t="str">
        <f>IF('[1]Data 2026'!S131="","",'[1]Data 2026'!S131)</f>
        <v/>
      </c>
      <c r="V120" s="685" t="str">
        <f>IF('[1]Data 2026'!T131="","",'[1]Data 2026'!T131)</f>
        <v/>
      </c>
      <c r="W120" s="685" t="str">
        <f>IF('[1]Data 2026'!U131="","",'[1]Data 2026'!U131)</f>
        <v/>
      </c>
      <c r="X120" s="685" t="str">
        <f>IF('[1]Data 2026'!V131="","",'[1]Data 2026'!V131)</f>
        <v/>
      </c>
      <c r="Y120" s="685" t="str">
        <f>IF('[1]Data 2026'!W131="","",'[1]Data 2026'!W131)</f>
        <v/>
      </c>
      <c r="Z120" s="685" t="str">
        <f>IF('[1]Data 2026'!X131="","",'[1]Data 2026'!X131)</f>
        <v/>
      </c>
      <c r="AA120" s="685"/>
      <c r="AB120" s="685" t="str">
        <f>IF('[1]Data 2026'!Y131="","",'[1]Data 2026'!Y131)</f>
        <v/>
      </c>
      <c r="AC120" s="685" t="str">
        <f>IF('[1]Data 2026'!Z131="","",'[1]Data 2026'!Z131)</f>
        <v/>
      </c>
      <c r="AD120" s="691">
        <f>IF('[1]Data 2026'!AA131="","",'[1]Data 2026'!AA131)</f>
        <v>250</v>
      </c>
      <c r="AE120" s="691">
        <f>IF('[1]Data 2026'!AB131="","",'[1]Data 2026'!AB131)</f>
        <v>250</v>
      </c>
      <c r="AF120" s="685">
        <f>IF('[1]Data 2026'!AC131="","",'[1]Data 2026'!AC131)</f>
        <v>45868</v>
      </c>
      <c r="AG120" s="685" t="str">
        <f>IF('[1]Data 2026'!AD131="","",'[1]Data 2026'!AD131)</f>
        <v/>
      </c>
      <c r="AH120" s="686">
        <f>IF('[1]Data 2026'!AE131="","",'[1]Data 2026'!AE131)</f>
        <v>10</v>
      </c>
      <c r="AI120" s="685" t="str">
        <f>IF('[1]Data 2026'!AG131="","",'[1]Data 2026'!AG131)</f>
        <v/>
      </c>
      <c r="AJ120" s="685" t="str">
        <f>IF('[1]Data 2026'!AH131="","",'[1]Data 2026'!AH131)</f>
        <v>TBA</v>
      </c>
      <c r="AK120" s="685" t="str">
        <f>IF('[1]Data 2026'!AI131="","",'[1]Data 2026'!AI131)</f>
        <v>TBA</v>
      </c>
      <c r="AL120" s="685" t="str">
        <f>IF('[1]Data 2026'!AJ131="","",'[1]Data 2026'!AJ131)</f>
        <v>40FT</v>
      </c>
      <c r="AM120" s="692">
        <f>IF('[1]Data 2026'!AK131="","",'[1]Data 2026'!AK131)</f>
        <v>0.1</v>
      </c>
      <c r="AN120" s="685" t="str">
        <f>IF('[1]Data 2026'!AL131="","",'[1]Data 2026'!AL131)</f>
        <v>(01x250MTS)</v>
      </c>
      <c r="AO120" s="691">
        <f>IF('[1]Data 2026'!AM131="","",'[1]Data 2026'!AM131)</f>
        <v>275</v>
      </c>
      <c r="AP120" s="691" t="str">
        <f t="shared" si="16"/>
        <v/>
      </c>
      <c r="AQ120" s="685" t="str">
        <f>IF('[1]Data 2026'!AO131="","",'[1]Data 2026'!AO131)</f>
        <v/>
      </c>
      <c r="AR120" s="685" t="str">
        <f>IF('[1]Data 2026'!AP131="","",'[1]Data 2026'!AP131)</f>
        <v/>
      </c>
      <c r="AS120" s="685" t="str">
        <f>IF('[1]Data 2026'!AQ131="","",'[1]Data 2026'!AQ131)</f>
        <v/>
      </c>
      <c r="AT120" s="685" t="str">
        <f>IF('[1]Data 2026'!AR131="","",'[1]Data 2026'!AR131)</f>
        <v/>
      </c>
      <c r="AU120" s="685" t="str">
        <f>IF('[1]Data 2026'!AW131="","",'[1]Data 2026'!AW131)</f>
        <v/>
      </c>
      <c r="AV120" s="685" t="str">
        <f>IF('[1]Data 2026'!AX131="","",'[1]Data 2026'!AX131)</f>
        <v/>
      </c>
      <c r="AW120" s="685" t="str">
        <f>IF('[1]Data 2026'!AY131="","",'[1]Data 2026'!AY131)</f>
        <v/>
      </c>
      <c r="AX120" s="685" t="str">
        <f>IF('[1]Data 2026'!AZ131="","",'[1]Data 2026'!AZ131)</f>
        <v/>
      </c>
      <c r="AY120" s="685" t="str">
        <f>IF('[1]Data 2026'!BA131="","",'[1]Data 2026'!BA131)</f>
        <v/>
      </c>
      <c r="AZ120" s="685" t="str">
        <f>IF('[1]Data 2026'!AS131="","",'[1]Data 2026'!AS131)</f>
        <v/>
      </c>
      <c r="BA120" s="685" t="str">
        <f>IF('[1]Data 2026'!AT131="","",'[1]Data 2026'!AT131)</f>
        <v/>
      </c>
      <c r="BB120" s="685" t="str">
        <f>IF('[1]Data 2026'!AU131="","",'[1]Data 2026'!AU131)</f>
        <v/>
      </c>
      <c r="BC120" s="685" t="str">
        <f>IF('[1]Data 2026'!AV131="","",'[1]Data 2026'!AV131)</f>
        <v/>
      </c>
      <c r="BD120" s="685" t="str">
        <f>IF('[1]Data 2026'!AW131="","",'[1]Data 2026'!AW131)</f>
        <v/>
      </c>
      <c r="BE120" s="685" t="str">
        <f>IF('[1]Data 2026'!AX131="","",'[1]Data 2026'!AX131)</f>
        <v/>
      </c>
      <c r="BF120" s="685" t="str">
        <f>IF('[1]Data 2026'!BF131="","",'[1]Data 2026'!BF131)</f>
        <v/>
      </c>
      <c r="BG120" s="685" t="str">
        <f>IF('[1]Data 2026'!BG131="","",'[1]Data 2026'!BG131)</f>
        <v/>
      </c>
      <c r="BH120" s="685" t="str">
        <f>IF('[1]Data 2026'!BH131="","",'[1]Data 2026'!BH131)</f>
        <v/>
      </c>
      <c r="BI120" s="685" t="str">
        <f>IF('[1]Data 2026'!BI131="","",'[1]Data 2026'!BI131)</f>
        <v/>
      </c>
      <c r="BJ120" s="685" t="str">
        <f>IF('[1]Data 2026'!BJ131="","",'[1]Data 2026'!BJ131)</f>
        <v/>
      </c>
      <c r="BK120" s="685" t="str">
        <f>IF('[1]Data 2026'!BK131="","",'[1]Data 2026'!BK131)</f>
        <v/>
      </c>
      <c r="BL120" s="685" t="str">
        <f>IF('[1]Data 2026'!BL131="","",'[1]Data 2026'!BL131)</f>
        <v/>
      </c>
      <c r="BM120" s="685" t="str">
        <f>IF('[1]Data 2026'!BM131="","",'[1]Data 2026'!BM131)</f>
        <v/>
      </c>
      <c r="BN120" s="685" t="str">
        <f>IF('[1]Data 2026'!BN131="","",'[1]Data 2026'!BN131)</f>
        <v/>
      </c>
      <c r="BO120" s="685" t="str">
        <f>IF('[1]Data 2026'!BO131="","",'[1]Data 2026'!BO131)</f>
        <v/>
      </c>
      <c r="BP120" s="685" t="str">
        <f>IF('[1]Data 2026'!BP131="","",'[1]Data 2026'!BP131)</f>
        <v/>
      </c>
      <c r="BQ120" s="685" t="str">
        <f>IF('[1]Data 2026'!BQ131="","",'[1]Data 2026'!BQ131)</f>
        <v/>
      </c>
      <c r="BR120" s="685" t="str">
        <f>IF('[1]Data 2026'!BR131="","",'[1]Data 2026'!BR131)</f>
        <v/>
      </c>
      <c r="BS120" s="685" t="str">
        <f>IF('[1]Data 2026'!BS131="","",'[1]Data 2026'!BS131)</f>
        <v/>
      </c>
      <c r="BT120" s="685" t="str">
        <f>IF('[1]Data 2026'!BV131="","",'[1]Data 2026'!BV131)</f>
        <v/>
      </c>
      <c r="BU120" s="685" t="str">
        <f>IF('[1]Data 2026'!BW131="","",'[1]Data 2026'!BW131)</f>
        <v/>
      </c>
      <c r="BV120" s="685" t="str">
        <f>IF('[1]Data 2026'!BX131="","",'[1]Data 2026'!BX131)</f>
        <v/>
      </c>
      <c r="BW120" s="685" t="str">
        <f>IF('[1]Data 2026'!BY131="","",'[1]Data 2026'!BY131)</f>
        <v/>
      </c>
      <c r="BX120" s="685" t="str">
        <f>IF('[1]Data 2026'!BZ131="","",'[1]Data 2026'!BZ131)</f>
        <v/>
      </c>
      <c r="BY120" s="685" t="str">
        <f>IF('[1]Data 2026'!CA131="","",'[1]Data 2026'!CA131)</f>
        <v/>
      </c>
      <c r="BZ120" s="685" t="str">
        <f>IF('[1]Data 2026'!CB131="","",'[1]Data 2026'!CB131)</f>
        <v/>
      </c>
      <c r="CA120" s="685" t="str">
        <f>IF('[1]Data 2026'!CC131="","",'[1]Data 2026'!CC131)</f>
        <v/>
      </c>
      <c r="CB120" s="685" t="str">
        <f>IF('[1]Data 2026'!CD131="","",'[1]Data 2026'!CD131)</f>
        <v/>
      </c>
      <c r="CC120" s="685" t="str">
        <f>IF('[1]Data 2026'!CE131="","",'[1]Data 2026'!CE131)</f>
        <v/>
      </c>
      <c r="CD120" s="685" t="str">
        <f>IF('[1]Data 2026'!CF131="","",'[1]Data 2026'!CF131)</f>
        <v/>
      </c>
      <c r="CE120" s="685" t="str">
        <f>IF('[1]Data 2026'!CG131="","",'[1]Data 2026'!CG131)</f>
        <v/>
      </c>
      <c r="CF120" s="685" t="str">
        <f>IF('[1]Data 2026'!CH131="","",'[1]Data 2026'!CH131)</f>
        <v/>
      </c>
      <c r="CG120" s="685" t="str">
        <f>IF('[1]Data 2026'!CI131="","",'[1]Data 2026'!CI131)</f>
        <v/>
      </c>
      <c r="CH120" s="685" t="str">
        <f>IF('[1]Data 2026'!CJ131="","",'[1]Data 2026'!CJ131)</f>
        <v/>
      </c>
      <c r="CI120" s="685" t="str">
        <f>IF('[1]Data 2026'!CK131="","",'[1]Data 2026'!CK131)</f>
        <v/>
      </c>
      <c r="CJ120" s="685" t="str">
        <f>IF('[1]Data 2026'!CM131="","",'[1]Data 2026'!CM131)</f>
        <v/>
      </c>
      <c r="CK120" s="685" t="str">
        <f>IF('[1]Data 2026'!CN131="","",'[1]Data 2026'!CN131)</f>
        <v/>
      </c>
      <c r="CL120" s="691"/>
      <c r="CM120" s="691" t="str">
        <f>IF('[1]Data 2026'!CP131="","",'[1]Data 2026'!CP131)</f>
        <v/>
      </c>
      <c r="CN120" s="691"/>
      <c r="CO120" s="419"/>
      <c r="CP120" s="419"/>
      <c r="CQ120" s="419"/>
      <c r="CR120" s="686" t="str">
        <f t="shared" si="25"/>
        <v/>
      </c>
    </row>
    <row r="121" spans="1:96">
      <c r="A121" s="682" t="str">
        <f t="shared" si="13"/>
        <v>A. BOOKING PENDING</v>
      </c>
      <c r="B121" s="695"/>
      <c r="C121" s="684" t="str">
        <f t="shared" si="14"/>
        <v>SHORT POSITION</v>
      </c>
      <c r="D121" s="685" t="str">
        <f t="shared" si="22"/>
        <v/>
      </c>
      <c r="E121" s="685" t="str">
        <f t="shared" si="15"/>
        <v/>
      </c>
      <c r="F121" s="686">
        <f>IF('[1]Data 2026'!D132="","",'[1]Data 2026'!D132)</f>
        <v>45</v>
      </c>
      <c r="G121" s="686">
        <f>IF('[1]Data 2026'!E132="","",'[1]Data 2026'!E132)</f>
        <v>200</v>
      </c>
      <c r="H121" s="687" t="str">
        <f>IF('[1]Data 2026'!H132="","",'[1]Data 2026'!H132)</f>
        <v>32016426-5</v>
      </c>
      <c r="I121" s="688">
        <f>IF('[1]Data 2026'!AA132="","",'[1]Data 2026'!AA132)</f>
        <v>250</v>
      </c>
      <c r="J121" s="685" t="str">
        <f>IF('[1]Data 2026'!K132="","",'[1]Data 2026'!K132)</f>
        <v>JUNE/JULY 2026</v>
      </c>
      <c r="K121" s="685">
        <v>46240</v>
      </c>
      <c r="L121" s="685" t="str">
        <f>IF('[1]Data 2026'!L132="","",'[1]Data 2026'!L132)</f>
        <v>VALENCY CI</v>
      </c>
      <c r="M121" s="685" t="str">
        <f>IF('[1]Data 2026'!M132="","",'[1]Data 2026'!M132)</f>
        <v>HOANG SON I JOINT STOCK COMPANY</v>
      </c>
      <c r="N121" s="685" t="s">
        <v>1194</v>
      </c>
      <c r="O121" s="689" t="str">
        <f>IF('[1]Data 2026'!N132="","",'[1]Data 2026'!N132)</f>
        <v/>
      </c>
      <c r="P121" s="701" t="str">
        <f>IF('[1]Data 2026'!O132="","",'[1]Data 2026'!O132)</f>
        <v/>
      </c>
      <c r="Q121" s="685" t="str">
        <f>IF('[1]Data 2026'!P132="","",'[1]Data 2026'!P132)</f>
        <v/>
      </c>
      <c r="R121" s="685" t="str">
        <f>IF('[1]Data 2026'!Q132="","",'[1]Data 2026'!Q132)</f>
        <v>ABJ</v>
      </c>
      <c r="S121" s="685" t="s">
        <v>347</v>
      </c>
      <c r="T121" s="685" t="str">
        <f>IF('[1]Data 2026'!R132="","",'[1]Data 2026'!R132)</f>
        <v>HCMC, VIETNAM</v>
      </c>
      <c r="U121" s="685" t="str">
        <f>IF('[1]Data 2026'!S132="","",'[1]Data 2026'!S132)</f>
        <v/>
      </c>
      <c r="V121" s="685" t="str">
        <f>IF('[1]Data 2026'!T132="","",'[1]Data 2026'!T132)</f>
        <v/>
      </c>
      <c r="W121" s="685" t="str">
        <f>IF('[1]Data 2026'!U132="","",'[1]Data 2026'!U132)</f>
        <v/>
      </c>
      <c r="X121" s="685" t="str">
        <f>IF('[1]Data 2026'!V132="","",'[1]Data 2026'!V132)</f>
        <v/>
      </c>
      <c r="Y121" s="685" t="str">
        <f>IF('[1]Data 2026'!W132="","",'[1]Data 2026'!W132)</f>
        <v/>
      </c>
      <c r="Z121" s="685" t="str">
        <f>IF('[1]Data 2026'!X132="","",'[1]Data 2026'!X132)</f>
        <v/>
      </c>
      <c r="AA121" s="685"/>
      <c r="AB121" s="685" t="str">
        <f>IF('[1]Data 2026'!Y132="","",'[1]Data 2026'!Y132)</f>
        <v/>
      </c>
      <c r="AC121" s="685" t="str">
        <f>IF('[1]Data 2026'!Z132="","",'[1]Data 2026'!Z132)</f>
        <v/>
      </c>
      <c r="AD121" s="691">
        <f>IF('[1]Data 2026'!AA132="","",'[1]Data 2026'!AA132)</f>
        <v>250</v>
      </c>
      <c r="AE121" s="691">
        <f>IF('[1]Data 2026'!AB132="","",'[1]Data 2026'!AB132)</f>
        <v>250</v>
      </c>
      <c r="AF121" s="685">
        <f>IF('[1]Data 2026'!AC132="","",'[1]Data 2026'!AC132)</f>
        <v>45868</v>
      </c>
      <c r="AG121" s="685" t="str">
        <f>IF('[1]Data 2026'!AD132="","",'[1]Data 2026'!AD132)</f>
        <v/>
      </c>
      <c r="AH121" s="686">
        <f>IF('[1]Data 2026'!AE132="","",'[1]Data 2026'!AE132)</f>
        <v>10</v>
      </c>
      <c r="AI121" s="685" t="str">
        <f>IF('[1]Data 2026'!AG132="","",'[1]Data 2026'!AG132)</f>
        <v/>
      </c>
      <c r="AJ121" s="685" t="str">
        <f>IF('[1]Data 2026'!AH132="","",'[1]Data 2026'!AH132)</f>
        <v>TBA</v>
      </c>
      <c r="AK121" s="685" t="str">
        <f>IF('[1]Data 2026'!AI132="","",'[1]Data 2026'!AI132)</f>
        <v>TBA</v>
      </c>
      <c r="AL121" s="685" t="str">
        <f>IF('[1]Data 2026'!AJ132="","",'[1]Data 2026'!AJ132)</f>
        <v>40FT</v>
      </c>
      <c r="AM121" s="692">
        <f>IF('[1]Data 2026'!AK132="","",'[1]Data 2026'!AK132)</f>
        <v>0.1</v>
      </c>
      <c r="AN121" s="685" t="str">
        <f>IF('[1]Data 2026'!AL132="","",'[1]Data 2026'!AL132)</f>
        <v>(01x250MTS)</v>
      </c>
      <c r="AO121" s="691">
        <f>IF('[1]Data 2026'!AM132="","",'[1]Data 2026'!AM132)</f>
        <v>275</v>
      </c>
      <c r="AP121" s="691" t="str">
        <f t="shared" si="16"/>
        <v/>
      </c>
      <c r="AQ121" s="685" t="str">
        <f>IF('[1]Data 2026'!AO132="","",'[1]Data 2026'!AO132)</f>
        <v/>
      </c>
      <c r="AR121" s="685" t="str">
        <f>IF('[1]Data 2026'!AP132="","",'[1]Data 2026'!AP132)</f>
        <v/>
      </c>
      <c r="AS121" s="685" t="str">
        <f>IF('[1]Data 2026'!AQ132="","",'[1]Data 2026'!AQ132)</f>
        <v/>
      </c>
      <c r="AT121" s="685" t="str">
        <f>IF('[1]Data 2026'!AR132="","",'[1]Data 2026'!AR132)</f>
        <v/>
      </c>
      <c r="AU121" s="685" t="str">
        <f>IF('[1]Data 2026'!AW132="","",'[1]Data 2026'!AW132)</f>
        <v/>
      </c>
      <c r="AV121" s="685" t="str">
        <f>IF('[1]Data 2026'!AX132="","",'[1]Data 2026'!AX132)</f>
        <v/>
      </c>
      <c r="AW121" s="685" t="str">
        <f>IF('[1]Data 2026'!AY132="","",'[1]Data 2026'!AY132)</f>
        <v/>
      </c>
      <c r="AX121" s="685" t="str">
        <f>IF('[1]Data 2026'!AZ132="","",'[1]Data 2026'!AZ132)</f>
        <v/>
      </c>
      <c r="AY121" s="685" t="str">
        <f>IF('[1]Data 2026'!BA132="","",'[1]Data 2026'!BA132)</f>
        <v/>
      </c>
      <c r="AZ121" s="685" t="str">
        <f>IF('[1]Data 2026'!AS132="","",'[1]Data 2026'!AS132)</f>
        <v/>
      </c>
      <c r="BA121" s="685" t="str">
        <f>IF('[1]Data 2026'!AT132="","",'[1]Data 2026'!AT132)</f>
        <v/>
      </c>
      <c r="BB121" s="685" t="str">
        <f>IF('[1]Data 2026'!AU132="","",'[1]Data 2026'!AU132)</f>
        <v/>
      </c>
      <c r="BC121" s="685" t="str">
        <f>IF('[1]Data 2026'!AV132="","",'[1]Data 2026'!AV132)</f>
        <v/>
      </c>
      <c r="BD121" s="685" t="str">
        <f>IF('[1]Data 2026'!AW132="","",'[1]Data 2026'!AW132)</f>
        <v/>
      </c>
      <c r="BE121" s="685" t="str">
        <f>IF('[1]Data 2026'!AX132="","",'[1]Data 2026'!AX132)</f>
        <v/>
      </c>
      <c r="BF121" s="685" t="str">
        <f>IF('[1]Data 2026'!BF132="","",'[1]Data 2026'!BF132)</f>
        <v/>
      </c>
      <c r="BG121" s="685" t="str">
        <f>IF('[1]Data 2026'!BG132="","",'[1]Data 2026'!BG132)</f>
        <v/>
      </c>
      <c r="BH121" s="685" t="str">
        <f>IF('[1]Data 2026'!BH132="","",'[1]Data 2026'!BH132)</f>
        <v/>
      </c>
      <c r="BI121" s="685" t="str">
        <f>IF('[1]Data 2026'!BI132="","",'[1]Data 2026'!BI132)</f>
        <v/>
      </c>
      <c r="BJ121" s="685" t="str">
        <f>IF('[1]Data 2026'!BJ132="","",'[1]Data 2026'!BJ132)</f>
        <v/>
      </c>
      <c r="BK121" s="685" t="str">
        <f>IF('[1]Data 2026'!BK132="","",'[1]Data 2026'!BK132)</f>
        <v/>
      </c>
      <c r="BL121" s="685" t="str">
        <f>IF('[1]Data 2026'!BL132="","",'[1]Data 2026'!BL132)</f>
        <v/>
      </c>
      <c r="BM121" s="685" t="str">
        <f>IF('[1]Data 2026'!BM132="","",'[1]Data 2026'!BM132)</f>
        <v/>
      </c>
      <c r="BN121" s="685" t="str">
        <f>IF('[1]Data 2026'!BN132="","",'[1]Data 2026'!BN132)</f>
        <v/>
      </c>
      <c r="BO121" s="685" t="str">
        <f>IF('[1]Data 2026'!BO132="","",'[1]Data 2026'!BO132)</f>
        <v/>
      </c>
      <c r="BP121" s="685" t="str">
        <f>IF('[1]Data 2026'!BP132="","",'[1]Data 2026'!BP132)</f>
        <v/>
      </c>
      <c r="BQ121" s="685" t="str">
        <f>IF('[1]Data 2026'!BQ132="","",'[1]Data 2026'!BQ132)</f>
        <v/>
      </c>
      <c r="BR121" s="685" t="str">
        <f>IF('[1]Data 2026'!BR132="","",'[1]Data 2026'!BR132)</f>
        <v/>
      </c>
      <c r="BS121" s="685" t="str">
        <f>IF('[1]Data 2026'!BS132="","",'[1]Data 2026'!BS132)</f>
        <v/>
      </c>
      <c r="BT121" s="685" t="str">
        <f>IF('[1]Data 2026'!BV132="","",'[1]Data 2026'!BV132)</f>
        <v/>
      </c>
      <c r="BU121" s="685" t="str">
        <f>IF('[1]Data 2026'!BW132="","",'[1]Data 2026'!BW132)</f>
        <v/>
      </c>
      <c r="BV121" s="685" t="str">
        <f>IF('[1]Data 2026'!BX132="","",'[1]Data 2026'!BX132)</f>
        <v/>
      </c>
      <c r="BW121" s="685" t="str">
        <f>IF('[1]Data 2026'!BY132="","",'[1]Data 2026'!BY132)</f>
        <v/>
      </c>
      <c r="BX121" s="685" t="str">
        <f>IF('[1]Data 2026'!BZ132="","",'[1]Data 2026'!BZ132)</f>
        <v/>
      </c>
      <c r="BY121" s="685" t="str">
        <f>IF('[1]Data 2026'!CA132="","",'[1]Data 2026'!CA132)</f>
        <v/>
      </c>
      <c r="BZ121" s="685" t="str">
        <f>IF('[1]Data 2026'!CB132="","",'[1]Data 2026'!CB132)</f>
        <v/>
      </c>
      <c r="CA121" s="685" t="str">
        <f>IF('[1]Data 2026'!CC132="","",'[1]Data 2026'!CC132)</f>
        <v/>
      </c>
      <c r="CB121" s="685" t="str">
        <f>IF('[1]Data 2026'!CD132="","",'[1]Data 2026'!CD132)</f>
        <v/>
      </c>
      <c r="CC121" s="685" t="str">
        <f>IF('[1]Data 2026'!CE132="","",'[1]Data 2026'!CE132)</f>
        <v/>
      </c>
      <c r="CD121" s="685" t="str">
        <f>IF('[1]Data 2026'!CF132="","",'[1]Data 2026'!CF132)</f>
        <v/>
      </c>
      <c r="CE121" s="685" t="str">
        <f>IF('[1]Data 2026'!CG132="","",'[1]Data 2026'!CG132)</f>
        <v/>
      </c>
      <c r="CF121" s="685" t="str">
        <f>IF('[1]Data 2026'!CH132="","",'[1]Data 2026'!CH132)</f>
        <v/>
      </c>
      <c r="CG121" s="685" t="str">
        <f>IF('[1]Data 2026'!CI132="","",'[1]Data 2026'!CI132)</f>
        <v/>
      </c>
      <c r="CH121" s="685" t="str">
        <f>IF('[1]Data 2026'!CJ132="","",'[1]Data 2026'!CJ132)</f>
        <v/>
      </c>
      <c r="CI121" s="685" t="str">
        <f>IF('[1]Data 2026'!CK132="","",'[1]Data 2026'!CK132)</f>
        <v/>
      </c>
      <c r="CJ121" s="685" t="str">
        <f>IF('[1]Data 2026'!CM132="","",'[1]Data 2026'!CM132)</f>
        <v/>
      </c>
      <c r="CK121" s="685" t="str">
        <f>IF('[1]Data 2026'!CN132="","",'[1]Data 2026'!CN132)</f>
        <v/>
      </c>
      <c r="CL121" s="691"/>
      <c r="CM121" s="691" t="str">
        <f>IF('[1]Data 2026'!CP132="","",'[1]Data 2026'!CP132)</f>
        <v/>
      </c>
      <c r="CN121" s="691"/>
      <c r="CO121" s="419"/>
      <c r="CP121" s="419"/>
      <c r="CQ121" s="419"/>
      <c r="CR121" s="686" t="str">
        <f t="shared" si="25"/>
        <v/>
      </c>
    </row>
    <row r="122" spans="1:96">
      <c r="A122" s="682" t="str">
        <f t="shared" si="13"/>
        <v>A. BOOKING PENDING</v>
      </c>
      <c r="B122" s="695"/>
      <c r="C122" s="684" t="str">
        <f t="shared" si="14"/>
        <v>SHORT POSITION</v>
      </c>
      <c r="D122" s="685" t="str">
        <f t="shared" si="22"/>
        <v/>
      </c>
      <c r="E122" s="685" t="str">
        <f t="shared" si="15"/>
        <v/>
      </c>
      <c r="F122" s="686">
        <f>IF('[1]Data 2026'!D133="","",'[1]Data 2026'!D133)</f>
        <v>45</v>
      </c>
      <c r="G122" s="686">
        <f>IF('[1]Data 2026'!E133="","",'[1]Data 2026'!E133)</f>
        <v>200</v>
      </c>
      <c r="H122" s="687" t="str">
        <f>IF('[1]Data 2026'!H133="","",'[1]Data 2026'!H133)</f>
        <v>32016426-6</v>
      </c>
      <c r="I122" s="688">
        <f>IF('[1]Data 2026'!AA133="","",'[1]Data 2026'!AA133)</f>
        <v>250</v>
      </c>
      <c r="J122" s="685" t="str">
        <f>IF('[1]Data 2026'!K133="","",'[1]Data 2026'!K133)</f>
        <v>JUNE/JULY 2026</v>
      </c>
      <c r="K122" s="685">
        <v>46241</v>
      </c>
      <c r="L122" s="685" t="str">
        <f>IF('[1]Data 2026'!L133="","",'[1]Data 2026'!L133)</f>
        <v>VALENCY CI</v>
      </c>
      <c r="M122" s="685" t="str">
        <f>IF('[1]Data 2026'!M133="","",'[1]Data 2026'!M133)</f>
        <v>HOANG SON I JOINT STOCK COMPANY</v>
      </c>
      <c r="N122" s="685" t="s">
        <v>1194</v>
      </c>
      <c r="O122" s="689" t="str">
        <f>IF('[1]Data 2026'!N133="","",'[1]Data 2026'!N133)</f>
        <v/>
      </c>
      <c r="P122" s="701" t="str">
        <f>IF('[1]Data 2026'!O133="","",'[1]Data 2026'!O133)</f>
        <v/>
      </c>
      <c r="Q122" s="685" t="str">
        <f>IF('[1]Data 2026'!P133="","",'[1]Data 2026'!P133)</f>
        <v/>
      </c>
      <c r="R122" s="685" t="str">
        <f>IF('[1]Data 2026'!Q133="","",'[1]Data 2026'!Q133)</f>
        <v>ABJ</v>
      </c>
      <c r="S122" s="685" t="s">
        <v>347</v>
      </c>
      <c r="T122" s="685" t="str">
        <f>IF('[1]Data 2026'!R133="","",'[1]Data 2026'!R133)</f>
        <v>HCMC, VIETNAM</v>
      </c>
      <c r="U122" s="685" t="str">
        <f>IF('[1]Data 2026'!S133="","",'[1]Data 2026'!S133)</f>
        <v/>
      </c>
      <c r="V122" s="685" t="str">
        <f>IF('[1]Data 2026'!T133="","",'[1]Data 2026'!T133)</f>
        <v/>
      </c>
      <c r="W122" s="685" t="str">
        <f>IF('[1]Data 2026'!U133="","",'[1]Data 2026'!U133)</f>
        <v/>
      </c>
      <c r="X122" s="685" t="str">
        <f>IF('[1]Data 2026'!V133="","",'[1]Data 2026'!V133)</f>
        <v/>
      </c>
      <c r="Y122" s="685" t="str">
        <f>IF('[1]Data 2026'!W133="","",'[1]Data 2026'!W133)</f>
        <v/>
      </c>
      <c r="Z122" s="685" t="str">
        <f>IF('[1]Data 2026'!X133="","",'[1]Data 2026'!X133)</f>
        <v/>
      </c>
      <c r="AA122" s="685"/>
      <c r="AB122" s="685" t="str">
        <f>IF('[1]Data 2026'!Y133="","",'[1]Data 2026'!Y133)</f>
        <v/>
      </c>
      <c r="AC122" s="685" t="str">
        <f>IF('[1]Data 2026'!Z133="","",'[1]Data 2026'!Z133)</f>
        <v/>
      </c>
      <c r="AD122" s="691">
        <f>IF('[1]Data 2026'!AA133="","",'[1]Data 2026'!AA133)</f>
        <v>250</v>
      </c>
      <c r="AE122" s="691">
        <f>IF('[1]Data 2026'!AB133="","",'[1]Data 2026'!AB133)</f>
        <v>250</v>
      </c>
      <c r="AF122" s="685">
        <f>IF('[1]Data 2026'!AC133="","",'[1]Data 2026'!AC133)</f>
        <v>45868</v>
      </c>
      <c r="AG122" s="685" t="str">
        <f>IF('[1]Data 2026'!AD133="","",'[1]Data 2026'!AD133)</f>
        <v/>
      </c>
      <c r="AH122" s="686">
        <f>IF('[1]Data 2026'!AE133="","",'[1]Data 2026'!AE133)</f>
        <v>10</v>
      </c>
      <c r="AI122" s="685" t="str">
        <f>IF('[1]Data 2026'!AG133="","",'[1]Data 2026'!AG133)</f>
        <v/>
      </c>
      <c r="AJ122" s="685" t="str">
        <f>IF('[1]Data 2026'!AH133="","",'[1]Data 2026'!AH133)</f>
        <v>TBA</v>
      </c>
      <c r="AK122" s="685" t="str">
        <f>IF('[1]Data 2026'!AI133="","",'[1]Data 2026'!AI133)</f>
        <v>TBA</v>
      </c>
      <c r="AL122" s="685" t="str">
        <f>IF('[1]Data 2026'!AJ133="","",'[1]Data 2026'!AJ133)</f>
        <v>40FT</v>
      </c>
      <c r="AM122" s="692">
        <f>IF('[1]Data 2026'!AK133="","",'[1]Data 2026'!AK133)</f>
        <v>0.1</v>
      </c>
      <c r="AN122" s="685" t="str">
        <f>IF('[1]Data 2026'!AL133="","",'[1]Data 2026'!AL133)</f>
        <v>(01x250MTS)</v>
      </c>
      <c r="AO122" s="691">
        <f>IF('[1]Data 2026'!AM133="","",'[1]Data 2026'!AM133)</f>
        <v>275</v>
      </c>
      <c r="AP122" s="691" t="str">
        <f t="shared" si="16"/>
        <v/>
      </c>
      <c r="AQ122" s="685" t="str">
        <f>IF('[1]Data 2026'!AO133="","",'[1]Data 2026'!AO133)</f>
        <v/>
      </c>
      <c r="AR122" s="685" t="str">
        <f>IF('[1]Data 2026'!AP133="","",'[1]Data 2026'!AP133)</f>
        <v/>
      </c>
      <c r="AS122" s="685" t="str">
        <f>IF('[1]Data 2026'!AQ133="","",'[1]Data 2026'!AQ133)</f>
        <v/>
      </c>
      <c r="AT122" s="685" t="str">
        <f>IF('[1]Data 2026'!AR133="","",'[1]Data 2026'!AR133)</f>
        <v/>
      </c>
      <c r="AU122" s="685" t="str">
        <f>IF('[1]Data 2026'!AW133="","",'[1]Data 2026'!AW133)</f>
        <v/>
      </c>
      <c r="AV122" s="685" t="str">
        <f>IF('[1]Data 2026'!AX133="","",'[1]Data 2026'!AX133)</f>
        <v/>
      </c>
      <c r="AW122" s="685" t="str">
        <f>IF('[1]Data 2026'!AY133="","",'[1]Data 2026'!AY133)</f>
        <v/>
      </c>
      <c r="AX122" s="685" t="str">
        <f>IF('[1]Data 2026'!AZ133="","",'[1]Data 2026'!AZ133)</f>
        <v/>
      </c>
      <c r="AY122" s="685" t="str">
        <f>IF('[1]Data 2026'!BA133="","",'[1]Data 2026'!BA133)</f>
        <v/>
      </c>
      <c r="AZ122" s="685" t="str">
        <f>IF('[1]Data 2026'!AS133="","",'[1]Data 2026'!AS133)</f>
        <v/>
      </c>
      <c r="BA122" s="685" t="str">
        <f>IF('[1]Data 2026'!AT133="","",'[1]Data 2026'!AT133)</f>
        <v/>
      </c>
      <c r="BB122" s="685" t="str">
        <f>IF('[1]Data 2026'!AU133="","",'[1]Data 2026'!AU133)</f>
        <v/>
      </c>
      <c r="BC122" s="685" t="str">
        <f>IF('[1]Data 2026'!AV133="","",'[1]Data 2026'!AV133)</f>
        <v/>
      </c>
      <c r="BD122" s="685" t="str">
        <f>IF('[1]Data 2026'!AW133="","",'[1]Data 2026'!AW133)</f>
        <v/>
      </c>
      <c r="BE122" s="685" t="str">
        <f>IF('[1]Data 2026'!AX133="","",'[1]Data 2026'!AX133)</f>
        <v/>
      </c>
      <c r="BF122" s="685" t="str">
        <f>IF('[1]Data 2026'!BF133="","",'[1]Data 2026'!BF133)</f>
        <v/>
      </c>
      <c r="BG122" s="685" t="str">
        <f>IF('[1]Data 2026'!BG133="","",'[1]Data 2026'!BG133)</f>
        <v/>
      </c>
      <c r="BH122" s="685" t="str">
        <f>IF('[1]Data 2026'!BH133="","",'[1]Data 2026'!BH133)</f>
        <v/>
      </c>
      <c r="BI122" s="685" t="str">
        <f>IF('[1]Data 2026'!BI133="","",'[1]Data 2026'!BI133)</f>
        <v/>
      </c>
      <c r="BJ122" s="685" t="str">
        <f>IF('[1]Data 2026'!BJ133="","",'[1]Data 2026'!BJ133)</f>
        <v/>
      </c>
      <c r="BK122" s="685" t="str">
        <f>IF('[1]Data 2026'!BK133="","",'[1]Data 2026'!BK133)</f>
        <v/>
      </c>
      <c r="BL122" s="685" t="str">
        <f>IF('[1]Data 2026'!BL133="","",'[1]Data 2026'!BL133)</f>
        <v/>
      </c>
      <c r="BM122" s="685" t="str">
        <f>IF('[1]Data 2026'!BM133="","",'[1]Data 2026'!BM133)</f>
        <v/>
      </c>
      <c r="BN122" s="685" t="str">
        <f>IF('[1]Data 2026'!BN133="","",'[1]Data 2026'!BN133)</f>
        <v/>
      </c>
      <c r="BO122" s="685" t="str">
        <f>IF('[1]Data 2026'!BO133="","",'[1]Data 2026'!BO133)</f>
        <v/>
      </c>
      <c r="BP122" s="685" t="str">
        <f>IF('[1]Data 2026'!BP133="","",'[1]Data 2026'!BP133)</f>
        <v/>
      </c>
      <c r="BQ122" s="685" t="str">
        <f>IF('[1]Data 2026'!BQ133="","",'[1]Data 2026'!BQ133)</f>
        <v/>
      </c>
      <c r="BR122" s="685" t="str">
        <f>IF('[1]Data 2026'!BR133="","",'[1]Data 2026'!BR133)</f>
        <v/>
      </c>
      <c r="BS122" s="685" t="str">
        <f>IF('[1]Data 2026'!BS133="","",'[1]Data 2026'!BS133)</f>
        <v/>
      </c>
      <c r="BT122" s="685" t="str">
        <f>IF('[1]Data 2026'!BV133="","",'[1]Data 2026'!BV133)</f>
        <v/>
      </c>
      <c r="BU122" s="685" t="str">
        <f>IF('[1]Data 2026'!BW133="","",'[1]Data 2026'!BW133)</f>
        <v/>
      </c>
      <c r="BV122" s="685" t="str">
        <f>IF('[1]Data 2026'!BX133="","",'[1]Data 2026'!BX133)</f>
        <v/>
      </c>
      <c r="BW122" s="685" t="str">
        <f>IF('[1]Data 2026'!BY133="","",'[1]Data 2026'!BY133)</f>
        <v/>
      </c>
      <c r="BX122" s="685" t="str">
        <f>IF('[1]Data 2026'!BZ133="","",'[1]Data 2026'!BZ133)</f>
        <v/>
      </c>
      <c r="BY122" s="685" t="str">
        <f>IF('[1]Data 2026'!CA133="","",'[1]Data 2026'!CA133)</f>
        <v/>
      </c>
      <c r="BZ122" s="685" t="str">
        <f>IF('[1]Data 2026'!CB133="","",'[1]Data 2026'!CB133)</f>
        <v/>
      </c>
      <c r="CA122" s="685" t="str">
        <f>IF('[1]Data 2026'!CC133="","",'[1]Data 2026'!CC133)</f>
        <v/>
      </c>
      <c r="CB122" s="685" t="str">
        <f>IF('[1]Data 2026'!CD133="","",'[1]Data 2026'!CD133)</f>
        <v/>
      </c>
      <c r="CC122" s="685" t="str">
        <f>IF('[1]Data 2026'!CE133="","",'[1]Data 2026'!CE133)</f>
        <v/>
      </c>
      <c r="CD122" s="685" t="str">
        <f>IF('[1]Data 2026'!CF133="","",'[1]Data 2026'!CF133)</f>
        <v/>
      </c>
      <c r="CE122" s="685" t="str">
        <f>IF('[1]Data 2026'!CG133="","",'[1]Data 2026'!CG133)</f>
        <v/>
      </c>
      <c r="CF122" s="685" t="str">
        <f>IF('[1]Data 2026'!CH133="","",'[1]Data 2026'!CH133)</f>
        <v/>
      </c>
      <c r="CG122" s="685" t="str">
        <f>IF('[1]Data 2026'!CI133="","",'[1]Data 2026'!CI133)</f>
        <v/>
      </c>
      <c r="CH122" s="685" t="str">
        <f>IF('[1]Data 2026'!CJ133="","",'[1]Data 2026'!CJ133)</f>
        <v/>
      </c>
      <c r="CI122" s="685" t="str">
        <f>IF('[1]Data 2026'!CK133="","",'[1]Data 2026'!CK133)</f>
        <v/>
      </c>
      <c r="CJ122" s="685" t="str">
        <f>IF('[1]Data 2026'!CM133="","",'[1]Data 2026'!CM133)</f>
        <v/>
      </c>
      <c r="CK122" s="685" t="str">
        <f>IF('[1]Data 2026'!CN133="","",'[1]Data 2026'!CN133)</f>
        <v/>
      </c>
      <c r="CL122" s="691"/>
      <c r="CM122" s="691" t="str">
        <f>IF('[1]Data 2026'!CP133="","",'[1]Data 2026'!CP133)</f>
        <v/>
      </c>
      <c r="CN122" s="691"/>
      <c r="CO122" s="419"/>
      <c r="CP122" s="419"/>
      <c r="CQ122" s="419"/>
      <c r="CR122" s="686" t="str">
        <f t="shared" si="25"/>
        <v/>
      </c>
    </row>
    <row r="123" spans="1:96">
      <c r="A123" s="682" t="str">
        <f t="shared" si="13"/>
        <v>A. BOOKING PENDING</v>
      </c>
      <c r="B123" s="695"/>
      <c r="C123" s="684" t="str">
        <f t="shared" si="14"/>
        <v>SHORT POSITION</v>
      </c>
      <c r="D123" s="685" t="str">
        <f t="shared" si="22"/>
        <v/>
      </c>
      <c r="E123" s="685" t="str">
        <f t="shared" si="15"/>
        <v/>
      </c>
      <c r="F123" s="686">
        <f>IF('[1]Data 2026'!D134="","",'[1]Data 2026'!D134)</f>
        <v>45</v>
      </c>
      <c r="G123" s="686">
        <f>IF('[1]Data 2026'!E134="","",'[1]Data 2026'!E134)</f>
        <v>200</v>
      </c>
      <c r="H123" s="687" t="str">
        <f>IF('[1]Data 2026'!H134="","",'[1]Data 2026'!H134)</f>
        <v>32016426-7</v>
      </c>
      <c r="I123" s="688">
        <f>IF('[1]Data 2026'!AA134="","",'[1]Data 2026'!AA134)</f>
        <v>250</v>
      </c>
      <c r="J123" s="685" t="str">
        <f>IF('[1]Data 2026'!K134="","",'[1]Data 2026'!K134)</f>
        <v>JUNE/JULY 2026</v>
      </c>
      <c r="K123" s="685">
        <v>46242</v>
      </c>
      <c r="L123" s="685" t="str">
        <f>IF('[1]Data 2026'!L134="","",'[1]Data 2026'!L134)</f>
        <v>VALENCY CI</v>
      </c>
      <c r="M123" s="685" t="str">
        <f>IF('[1]Data 2026'!M134="","",'[1]Data 2026'!M134)</f>
        <v>HOANG SON I JOINT STOCK COMPANY</v>
      </c>
      <c r="N123" s="685" t="s">
        <v>1194</v>
      </c>
      <c r="O123" s="689" t="str">
        <f>IF('[1]Data 2026'!N134="","",'[1]Data 2026'!N134)</f>
        <v/>
      </c>
      <c r="P123" s="701" t="str">
        <f>IF('[1]Data 2026'!O134="","",'[1]Data 2026'!O134)</f>
        <v/>
      </c>
      <c r="Q123" s="685" t="str">
        <f>IF('[1]Data 2026'!P134="","",'[1]Data 2026'!P134)</f>
        <v/>
      </c>
      <c r="R123" s="685" t="str">
        <f>IF('[1]Data 2026'!Q134="","",'[1]Data 2026'!Q134)</f>
        <v>ABJ</v>
      </c>
      <c r="S123" s="685" t="s">
        <v>347</v>
      </c>
      <c r="T123" s="685" t="str">
        <f>IF('[1]Data 2026'!R134="","",'[1]Data 2026'!R134)</f>
        <v>HCMC, VIETNAM</v>
      </c>
      <c r="U123" s="685" t="str">
        <f>IF('[1]Data 2026'!S134="","",'[1]Data 2026'!S134)</f>
        <v/>
      </c>
      <c r="V123" s="685" t="str">
        <f>IF('[1]Data 2026'!T134="","",'[1]Data 2026'!T134)</f>
        <v/>
      </c>
      <c r="W123" s="685" t="str">
        <f>IF('[1]Data 2026'!U134="","",'[1]Data 2026'!U134)</f>
        <v/>
      </c>
      <c r="X123" s="685" t="str">
        <f>IF('[1]Data 2026'!V134="","",'[1]Data 2026'!V134)</f>
        <v/>
      </c>
      <c r="Y123" s="685" t="str">
        <f>IF('[1]Data 2026'!W134="","",'[1]Data 2026'!W134)</f>
        <v/>
      </c>
      <c r="Z123" s="685" t="str">
        <f>IF('[1]Data 2026'!X134="","",'[1]Data 2026'!X134)</f>
        <v/>
      </c>
      <c r="AA123" s="685"/>
      <c r="AB123" s="685" t="str">
        <f>IF('[1]Data 2026'!Y134="","",'[1]Data 2026'!Y134)</f>
        <v/>
      </c>
      <c r="AC123" s="685" t="str">
        <f>IF('[1]Data 2026'!Z134="","",'[1]Data 2026'!Z134)</f>
        <v/>
      </c>
      <c r="AD123" s="691">
        <f>IF('[1]Data 2026'!AA134="","",'[1]Data 2026'!AA134)</f>
        <v>250</v>
      </c>
      <c r="AE123" s="691">
        <f>IF('[1]Data 2026'!AB134="","",'[1]Data 2026'!AB134)</f>
        <v>250</v>
      </c>
      <c r="AF123" s="685">
        <f>IF('[1]Data 2026'!AC134="","",'[1]Data 2026'!AC134)</f>
        <v>45868</v>
      </c>
      <c r="AG123" s="685" t="str">
        <f>IF('[1]Data 2026'!AD134="","",'[1]Data 2026'!AD134)</f>
        <v/>
      </c>
      <c r="AH123" s="686">
        <f>IF('[1]Data 2026'!AE134="","",'[1]Data 2026'!AE134)</f>
        <v>10</v>
      </c>
      <c r="AI123" s="685" t="str">
        <f>IF('[1]Data 2026'!AG134="","",'[1]Data 2026'!AG134)</f>
        <v/>
      </c>
      <c r="AJ123" s="685" t="str">
        <f>IF('[1]Data 2026'!AH134="","",'[1]Data 2026'!AH134)</f>
        <v>TBA</v>
      </c>
      <c r="AK123" s="685" t="str">
        <f>IF('[1]Data 2026'!AI134="","",'[1]Data 2026'!AI134)</f>
        <v>TBA</v>
      </c>
      <c r="AL123" s="685" t="str">
        <f>IF('[1]Data 2026'!AJ134="","",'[1]Data 2026'!AJ134)</f>
        <v>40FT</v>
      </c>
      <c r="AM123" s="692">
        <f>IF('[1]Data 2026'!AK134="","",'[1]Data 2026'!AK134)</f>
        <v>0.1</v>
      </c>
      <c r="AN123" s="685" t="str">
        <f>IF('[1]Data 2026'!AL134="","",'[1]Data 2026'!AL134)</f>
        <v>(01x250MTS)</v>
      </c>
      <c r="AO123" s="691">
        <f>IF('[1]Data 2026'!AM134="","",'[1]Data 2026'!AM134)</f>
        <v>275</v>
      </c>
      <c r="AP123" s="691" t="str">
        <f t="shared" si="16"/>
        <v/>
      </c>
      <c r="AQ123" s="685" t="str">
        <f>IF('[1]Data 2026'!AO134="","",'[1]Data 2026'!AO134)</f>
        <v/>
      </c>
      <c r="AR123" s="685" t="str">
        <f>IF('[1]Data 2026'!AP134="","",'[1]Data 2026'!AP134)</f>
        <v/>
      </c>
      <c r="AS123" s="685" t="str">
        <f>IF('[1]Data 2026'!AQ134="","",'[1]Data 2026'!AQ134)</f>
        <v/>
      </c>
      <c r="AT123" s="685" t="str">
        <f>IF('[1]Data 2026'!AR134="","",'[1]Data 2026'!AR134)</f>
        <v/>
      </c>
      <c r="AU123" s="685" t="str">
        <f>IF('[1]Data 2026'!AW134="","",'[1]Data 2026'!AW134)</f>
        <v/>
      </c>
      <c r="AV123" s="685" t="str">
        <f>IF('[1]Data 2026'!AX134="","",'[1]Data 2026'!AX134)</f>
        <v/>
      </c>
      <c r="AW123" s="685" t="str">
        <f>IF('[1]Data 2026'!AY134="","",'[1]Data 2026'!AY134)</f>
        <v/>
      </c>
      <c r="AX123" s="685" t="str">
        <f>IF('[1]Data 2026'!AZ134="","",'[1]Data 2026'!AZ134)</f>
        <v/>
      </c>
      <c r="AY123" s="685" t="str">
        <f>IF('[1]Data 2026'!BA134="","",'[1]Data 2026'!BA134)</f>
        <v/>
      </c>
      <c r="AZ123" s="685" t="str">
        <f>IF('[1]Data 2026'!AS134="","",'[1]Data 2026'!AS134)</f>
        <v/>
      </c>
      <c r="BA123" s="685" t="str">
        <f>IF('[1]Data 2026'!AT134="","",'[1]Data 2026'!AT134)</f>
        <v/>
      </c>
      <c r="BB123" s="685" t="str">
        <f>IF('[1]Data 2026'!AU134="","",'[1]Data 2026'!AU134)</f>
        <v/>
      </c>
      <c r="BC123" s="685" t="str">
        <f>IF('[1]Data 2026'!AV134="","",'[1]Data 2026'!AV134)</f>
        <v/>
      </c>
      <c r="BD123" s="685" t="str">
        <f>IF('[1]Data 2026'!AW134="","",'[1]Data 2026'!AW134)</f>
        <v/>
      </c>
      <c r="BE123" s="685" t="str">
        <f>IF('[1]Data 2026'!AX134="","",'[1]Data 2026'!AX134)</f>
        <v/>
      </c>
      <c r="BF123" s="685" t="str">
        <f>IF('[1]Data 2026'!BF134="","",'[1]Data 2026'!BF134)</f>
        <v/>
      </c>
      <c r="BG123" s="685" t="str">
        <f>IF('[1]Data 2026'!BG134="","",'[1]Data 2026'!BG134)</f>
        <v/>
      </c>
      <c r="BH123" s="685" t="str">
        <f>IF('[1]Data 2026'!BH134="","",'[1]Data 2026'!BH134)</f>
        <v/>
      </c>
      <c r="BI123" s="685" t="str">
        <f>IF('[1]Data 2026'!BI134="","",'[1]Data 2026'!BI134)</f>
        <v/>
      </c>
      <c r="BJ123" s="685" t="str">
        <f>IF('[1]Data 2026'!BJ134="","",'[1]Data 2026'!BJ134)</f>
        <v/>
      </c>
      <c r="BK123" s="685" t="str">
        <f>IF('[1]Data 2026'!BK134="","",'[1]Data 2026'!BK134)</f>
        <v/>
      </c>
      <c r="BL123" s="685" t="str">
        <f>IF('[1]Data 2026'!BL134="","",'[1]Data 2026'!BL134)</f>
        <v/>
      </c>
      <c r="BM123" s="685" t="str">
        <f>IF('[1]Data 2026'!BM134="","",'[1]Data 2026'!BM134)</f>
        <v/>
      </c>
      <c r="BN123" s="685" t="str">
        <f>IF('[1]Data 2026'!BN134="","",'[1]Data 2026'!BN134)</f>
        <v/>
      </c>
      <c r="BO123" s="685" t="str">
        <f>IF('[1]Data 2026'!BO134="","",'[1]Data 2026'!BO134)</f>
        <v/>
      </c>
      <c r="BP123" s="685" t="str">
        <f>IF('[1]Data 2026'!BP134="","",'[1]Data 2026'!BP134)</f>
        <v/>
      </c>
      <c r="BQ123" s="685" t="str">
        <f>IF('[1]Data 2026'!BQ134="","",'[1]Data 2026'!BQ134)</f>
        <v/>
      </c>
      <c r="BR123" s="685" t="str">
        <f>IF('[1]Data 2026'!BR134="","",'[1]Data 2026'!BR134)</f>
        <v/>
      </c>
      <c r="BS123" s="685" t="str">
        <f>IF('[1]Data 2026'!BS134="","",'[1]Data 2026'!BS134)</f>
        <v/>
      </c>
      <c r="BT123" s="685" t="str">
        <f>IF('[1]Data 2026'!BV134="","",'[1]Data 2026'!BV134)</f>
        <v/>
      </c>
      <c r="BU123" s="685" t="str">
        <f>IF('[1]Data 2026'!BW134="","",'[1]Data 2026'!BW134)</f>
        <v/>
      </c>
      <c r="BV123" s="685" t="str">
        <f>IF('[1]Data 2026'!BX134="","",'[1]Data 2026'!BX134)</f>
        <v/>
      </c>
      <c r="BW123" s="685" t="str">
        <f>IF('[1]Data 2026'!BY134="","",'[1]Data 2026'!BY134)</f>
        <v/>
      </c>
      <c r="BX123" s="685" t="str">
        <f>IF('[1]Data 2026'!BZ134="","",'[1]Data 2026'!BZ134)</f>
        <v/>
      </c>
      <c r="BY123" s="685" t="str">
        <f>IF('[1]Data 2026'!CA134="","",'[1]Data 2026'!CA134)</f>
        <v/>
      </c>
      <c r="BZ123" s="685" t="str">
        <f>IF('[1]Data 2026'!CB134="","",'[1]Data 2026'!CB134)</f>
        <v/>
      </c>
      <c r="CA123" s="685" t="str">
        <f>IF('[1]Data 2026'!CC134="","",'[1]Data 2026'!CC134)</f>
        <v/>
      </c>
      <c r="CB123" s="685" t="str">
        <f>IF('[1]Data 2026'!CD134="","",'[1]Data 2026'!CD134)</f>
        <v/>
      </c>
      <c r="CC123" s="685" t="str">
        <f>IF('[1]Data 2026'!CE134="","",'[1]Data 2026'!CE134)</f>
        <v/>
      </c>
      <c r="CD123" s="685" t="str">
        <f>IF('[1]Data 2026'!CF134="","",'[1]Data 2026'!CF134)</f>
        <v/>
      </c>
      <c r="CE123" s="685" t="str">
        <f>IF('[1]Data 2026'!CG134="","",'[1]Data 2026'!CG134)</f>
        <v/>
      </c>
      <c r="CF123" s="685" t="str">
        <f>IF('[1]Data 2026'!CH134="","",'[1]Data 2026'!CH134)</f>
        <v/>
      </c>
      <c r="CG123" s="685" t="str">
        <f>IF('[1]Data 2026'!CI134="","",'[1]Data 2026'!CI134)</f>
        <v/>
      </c>
      <c r="CH123" s="685" t="str">
        <f>IF('[1]Data 2026'!CJ134="","",'[1]Data 2026'!CJ134)</f>
        <v/>
      </c>
      <c r="CI123" s="685" t="str">
        <f>IF('[1]Data 2026'!CK134="","",'[1]Data 2026'!CK134)</f>
        <v/>
      </c>
      <c r="CJ123" s="685" t="str">
        <f>IF('[1]Data 2026'!CM134="","",'[1]Data 2026'!CM134)</f>
        <v/>
      </c>
      <c r="CK123" s="685" t="str">
        <f>IF('[1]Data 2026'!CN134="","",'[1]Data 2026'!CN134)</f>
        <v/>
      </c>
      <c r="CL123" s="691"/>
      <c r="CM123" s="691" t="str">
        <f>IF('[1]Data 2026'!CP134="","",'[1]Data 2026'!CP134)</f>
        <v/>
      </c>
      <c r="CN123" s="691"/>
      <c r="CO123" s="419"/>
      <c r="CP123" s="419"/>
      <c r="CQ123" s="419"/>
      <c r="CR123" s="686" t="str">
        <f t="shared" si="25"/>
        <v/>
      </c>
    </row>
    <row r="124" spans="1:96">
      <c r="A124" s="682" t="str">
        <f t="shared" si="13"/>
        <v>A. BOOKING PENDING</v>
      </c>
      <c r="B124" s="695"/>
      <c r="C124" s="684" t="str">
        <f t="shared" si="14"/>
        <v>SHORT POSITION</v>
      </c>
      <c r="D124" s="685" t="str">
        <f t="shared" si="22"/>
        <v/>
      </c>
      <c r="E124" s="685" t="str">
        <f t="shared" si="15"/>
        <v/>
      </c>
      <c r="F124" s="686">
        <f>IF('[1]Data 2026'!D135="","",'[1]Data 2026'!D135)</f>
        <v>45</v>
      </c>
      <c r="G124" s="686">
        <f>IF('[1]Data 2026'!E135="","",'[1]Data 2026'!E135)</f>
        <v>200</v>
      </c>
      <c r="H124" s="687" t="str">
        <f>IF('[1]Data 2026'!H135="","",'[1]Data 2026'!H135)</f>
        <v>32016426-8</v>
      </c>
      <c r="I124" s="688">
        <f>IF('[1]Data 2026'!AA135="","",'[1]Data 2026'!AA135)</f>
        <v>250</v>
      </c>
      <c r="J124" s="685" t="str">
        <f>IF('[1]Data 2026'!K135="","",'[1]Data 2026'!K135)</f>
        <v>JUNE/JULY 2026</v>
      </c>
      <c r="K124" s="685">
        <v>46243</v>
      </c>
      <c r="L124" s="685" t="str">
        <f>IF('[1]Data 2026'!L135="","",'[1]Data 2026'!L135)</f>
        <v>VALENCY CI</v>
      </c>
      <c r="M124" s="685" t="str">
        <f>IF('[1]Data 2026'!M135="","",'[1]Data 2026'!M135)</f>
        <v>HOANG SON I JOINT STOCK COMPANY</v>
      </c>
      <c r="N124" s="685" t="s">
        <v>1194</v>
      </c>
      <c r="O124" s="689" t="str">
        <f>IF('[1]Data 2026'!N135="","",'[1]Data 2026'!N135)</f>
        <v/>
      </c>
      <c r="P124" s="701" t="str">
        <f>IF('[1]Data 2026'!O135="","",'[1]Data 2026'!O135)</f>
        <v/>
      </c>
      <c r="Q124" s="685" t="str">
        <f>IF('[1]Data 2026'!P135="","",'[1]Data 2026'!P135)</f>
        <v/>
      </c>
      <c r="R124" s="685" t="str">
        <f>IF('[1]Data 2026'!Q135="","",'[1]Data 2026'!Q135)</f>
        <v>ABJ</v>
      </c>
      <c r="S124" s="685" t="s">
        <v>347</v>
      </c>
      <c r="T124" s="685" t="str">
        <f>IF('[1]Data 2026'!R135="","",'[1]Data 2026'!R135)</f>
        <v>HCMC, VIETNAM</v>
      </c>
      <c r="U124" s="685" t="str">
        <f>IF('[1]Data 2026'!S135="","",'[1]Data 2026'!S135)</f>
        <v/>
      </c>
      <c r="V124" s="685" t="str">
        <f>IF('[1]Data 2026'!T135="","",'[1]Data 2026'!T135)</f>
        <v/>
      </c>
      <c r="W124" s="685" t="str">
        <f>IF('[1]Data 2026'!U135="","",'[1]Data 2026'!U135)</f>
        <v/>
      </c>
      <c r="X124" s="685" t="str">
        <f>IF('[1]Data 2026'!V135="","",'[1]Data 2026'!V135)</f>
        <v/>
      </c>
      <c r="Y124" s="685" t="str">
        <f>IF('[1]Data 2026'!W135="","",'[1]Data 2026'!W135)</f>
        <v/>
      </c>
      <c r="Z124" s="685" t="str">
        <f>IF('[1]Data 2026'!X135="","",'[1]Data 2026'!X135)</f>
        <v/>
      </c>
      <c r="AA124" s="685"/>
      <c r="AB124" s="685" t="str">
        <f>IF('[1]Data 2026'!Y135="","",'[1]Data 2026'!Y135)</f>
        <v/>
      </c>
      <c r="AC124" s="685" t="str">
        <f>IF('[1]Data 2026'!Z135="","",'[1]Data 2026'!Z135)</f>
        <v/>
      </c>
      <c r="AD124" s="691">
        <f>IF('[1]Data 2026'!AA135="","",'[1]Data 2026'!AA135)</f>
        <v>250</v>
      </c>
      <c r="AE124" s="691">
        <f>IF('[1]Data 2026'!AB135="","",'[1]Data 2026'!AB135)</f>
        <v>250</v>
      </c>
      <c r="AF124" s="685">
        <f>IF('[1]Data 2026'!AC135="","",'[1]Data 2026'!AC135)</f>
        <v>45868</v>
      </c>
      <c r="AG124" s="685" t="str">
        <f>IF('[1]Data 2026'!AD135="","",'[1]Data 2026'!AD135)</f>
        <v/>
      </c>
      <c r="AH124" s="686">
        <f>IF('[1]Data 2026'!AE135="","",'[1]Data 2026'!AE135)</f>
        <v>10</v>
      </c>
      <c r="AI124" s="685" t="str">
        <f>IF('[1]Data 2026'!AG135="","",'[1]Data 2026'!AG135)</f>
        <v/>
      </c>
      <c r="AJ124" s="685" t="str">
        <f>IF('[1]Data 2026'!AH135="","",'[1]Data 2026'!AH135)</f>
        <v>TBA</v>
      </c>
      <c r="AK124" s="685" t="str">
        <f>IF('[1]Data 2026'!AI135="","",'[1]Data 2026'!AI135)</f>
        <v>TBA</v>
      </c>
      <c r="AL124" s="685" t="str">
        <f>IF('[1]Data 2026'!AJ135="","",'[1]Data 2026'!AJ135)</f>
        <v>40FT</v>
      </c>
      <c r="AM124" s="692">
        <f>IF('[1]Data 2026'!AK135="","",'[1]Data 2026'!AK135)</f>
        <v>0.1</v>
      </c>
      <c r="AN124" s="685" t="str">
        <f>IF('[1]Data 2026'!AL135="","",'[1]Data 2026'!AL135)</f>
        <v>(01x250MTS)</v>
      </c>
      <c r="AO124" s="691">
        <f>IF('[1]Data 2026'!AM135="","",'[1]Data 2026'!AM135)</f>
        <v>275</v>
      </c>
      <c r="AP124" s="691" t="str">
        <f t="shared" si="16"/>
        <v/>
      </c>
      <c r="AQ124" s="685" t="str">
        <f>IF('[1]Data 2026'!AO135="","",'[1]Data 2026'!AO135)</f>
        <v/>
      </c>
      <c r="AR124" s="685" t="str">
        <f>IF('[1]Data 2026'!AP135="","",'[1]Data 2026'!AP135)</f>
        <v/>
      </c>
      <c r="AS124" s="685" t="str">
        <f>IF('[1]Data 2026'!AQ135="","",'[1]Data 2026'!AQ135)</f>
        <v/>
      </c>
      <c r="AT124" s="685" t="str">
        <f>IF('[1]Data 2026'!AR135="","",'[1]Data 2026'!AR135)</f>
        <v/>
      </c>
      <c r="AU124" s="685" t="str">
        <f>IF('[1]Data 2026'!AW135="","",'[1]Data 2026'!AW135)</f>
        <v/>
      </c>
      <c r="AV124" s="685" t="str">
        <f>IF('[1]Data 2026'!AX135="","",'[1]Data 2026'!AX135)</f>
        <v/>
      </c>
      <c r="AW124" s="685" t="str">
        <f>IF('[1]Data 2026'!AY135="","",'[1]Data 2026'!AY135)</f>
        <v/>
      </c>
      <c r="AX124" s="685" t="str">
        <f>IF('[1]Data 2026'!AZ135="","",'[1]Data 2026'!AZ135)</f>
        <v/>
      </c>
      <c r="AY124" s="685" t="str">
        <f>IF('[1]Data 2026'!BA135="","",'[1]Data 2026'!BA135)</f>
        <v/>
      </c>
      <c r="AZ124" s="685" t="str">
        <f>IF('[1]Data 2026'!AS135="","",'[1]Data 2026'!AS135)</f>
        <v/>
      </c>
      <c r="BA124" s="685" t="str">
        <f>IF('[1]Data 2026'!AT135="","",'[1]Data 2026'!AT135)</f>
        <v/>
      </c>
      <c r="BB124" s="685" t="str">
        <f>IF('[1]Data 2026'!AU135="","",'[1]Data 2026'!AU135)</f>
        <v/>
      </c>
      <c r="BC124" s="685" t="str">
        <f>IF('[1]Data 2026'!AV135="","",'[1]Data 2026'!AV135)</f>
        <v/>
      </c>
      <c r="BD124" s="685" t="str">
        <f>IF('[1]Data 2026'!AW135="","",'[1]Data 2026'!AW135)</f>
        <v/>
      </c>
      <c r="BE124" s="685" t="str">
        <f>IF('[1]Data 2026'!AX135="","",'[1]Data 2026'!AX135)</f>
        <v/>
      </c>
      <c r="BF124" s="685" t="str">
        <f>IF('[1]Data 2026'!BF135="","",'[1]Data 2026'!BF135)</f>
        <v/>
      </c>
      <c r="BG124" s="685" t="str">
        <f>IF('[1]Data 2026'!BG135="","",'[1]Data 2026'!BG135)</f>
        <v/>
      </c>
      <c r="BH124" s="685" t="str">
        <f>IF('[1]Data 2026'!BH135="","",'[1]Data 2026'!BH135)</f>
        <v/>
      </c>
      <c r="BI124" s="685" t="str">
        <f>IF('[1]Data 2026'!BI135="","",'[1]Data 2026'!BI135)</f>
        <v/>
      </c>
      <c r="BJ124" s="685" t="str">
        <f>IF('[1]Data 2026'!BJ135="","",'[1]Data 2026'!BJ135)</f>
        <v/>
      </c>
      <c r="BK124" s="685" t="str">
        <f>IF('[1]Data 2026'!BK135="","",'[1]Data 2026'!BK135)</f>
        <v/>
      </c>
      <c r="BL124" s="685" t="str">
        <f>IF('[1]Data 2026'!BL135="","",'[1]Data 2026'!BL135)</f>
        <v/>
      </c>
      <c r="BM124" s="685" t="str">
        <f>IF('[1]Data 2026'!BM135="","",'[1]Data 2026'!BM135)</f>
        <v/>
      </c>
      <c r="BN124" s="685" t="str">
        <f>IF('[1]Data 2026'!BN135="","",'[1]Data 2026'!BN135)</f>
        <v/>
      </c>
      <c r="BO124" s="685" t="str">
        <f>IF('[1]Data 2026'!BO135="","",'[1]Data 2026'!BO135)</f>
        <v/>
      </c>
      <c r="BP124" s="685" t="str">
        <f>IF('[1]Data 2026'!BP135="","",'[1]Data 2026'!BP135)</f>
        <v/>
      </c>
      <c r="BQ124" s="685" t="str">
        <f>IF('[1]Data 2026'!BQ135="","",'[1]Data 2026'!BQ135)</f>
        <v/>
      </c>
      <c r="BR124" s="685" t="str">
        <f>IF('[1]Data 2026'!BR135="","",'[1]Data 2026'!BR135)</f>
        <v/>
      </c>
      <c r="BS124" s="685" t="str">
        <f>IF('[1]Data 2026'!BS135="","",'[1]Data 2026'!BS135)</f>
        <v/>
      </c>
      <c r="BT124" s="685" t="str">
        <f>IF('[1]Data 2026'!BV135="","",'[1]Data 2026'!BV135)</f>
        <v/>
      </c>
      <c r="BU124" s="685" t="str">
        <f>IF('[1]Data 2026'!BW135="","",'[1]Data 2026'!BW135)</f>
        <v/>
      </c>
      <c r="BV124" s="685" t="str">
        <f>IF('[1]Data 2026'!BX135="","",'[1]Data 2026'!BX135)</f>
        <v/>
      </c>
      <c r="BW124" s="685" t="str">
        <f>IF('[1]Data 2026'!BY135="","",'[1]Data 2026'!BY135)</f>
        <v/>
      </c>
      <c r="BX124" s="685" t="str">
        <f>IF('[1]Data 2026'!BZ135="","",'[1]Data 2026'!BZ135)</f>
        <v/>
      </c>
      <c r="BY124" s="685" t="str">
        <f>IF('[1]Data 2026'!CA135="","",'[1]Data 2026'!CA135)</f>
        <v/>
      </c>
      <c r="BZ124" s="685" t="str">
        <f>IF('[1]Data 2026'!CB135="","",'[1]Data 2026'!CB135)</f>
        <v/>
      </c>
      <c r="CA124" s="685" t="str">
        <f>IF('[1]Data 2026'!CC135="","",'[1]Data 2026'!CC135)</f>
        <v/>
      </c>
      <c r="CB124" s="685" t="str">
        <f>IF('[1]Data 2026'!CD135="","",'[1]Data 2026'!CD135)</f>
        <v/>
      </c>
      <c r="CC124" s="685" t="str">
        <f>IF('[1]Data 2026'!CE135="","",'[1]Data 2026'!CE135)</f>
        <v/>
      </c>
      <c r="CD124" s="685" t="str">
        <f>IF('[1]Data 2026'!CF135="","",'[1]Data 2026'!CF135)</f>
        <v/>
      </c>
      <c r="CE124" s="685" t="str">
        <f>IF('[1]Data 2026'!CG135="","",'[1]Data 2026'!CG135)</f>
        <v/>
      </c>
      <c r="CF124" s="685" t="str">
        <f>IF('[1]Data 2026'!CH135="","",'[1]Data 2026'!CH135)</f>
        <v/>
      </c>
      <c r="CG124" s="685" t="str">
        <f>IF('[1]Data 2026'!CI135="","",'[1]Data 2026'!CI135)</f>
        <v/>
      </c>
      <c r="CH124" s="685" t="str">
        <f>IF('[1]Data 2026'!CJ135="","",'[1]Data 2026'!CJ135)</f>
        <v/>
      </c>
      <c r="CI124" s="685" t="str">
        <f>IF('[1]Data 2026'!CK135="","",'[1]Data 2026'!CK135)</f>
        <v/>
      </c>
      <c r="CJ124" s="685" t="str">
        <f>IF('[1]Data 2026'!CM135="","",'[1]Data 2026'!CM135)</f>
        <v/>
      </c>
      <c r="CK124" s="685" t="str">
        <f>IF('[1]Data 2026'!CN135="","",'[1]Data 2026'!CN135)</f>
        <v/>
      </c>
      <c r="CL124" s="691"/>
      <c r="CM124" s="691" t="str">
        <f>IF('[1]Data 2026'!CP135="","",'[1]Data 2026'!CP135)</f>
        <v/>
      </c>
      <c r="CN124" s="691"/>
      <c r="CO124" s="419"/>
      <c r="CP124" s="419"/>
      <c r="CQ124" s="419"/>
      <c r="CR124" s="686" t="str">
        <f t="shared" si="25"/>
        <v/>
      </c>
    </row>
    <row r="125" spans="1:96">
      <c r="A125" s="682" t="str">
        <f t="shared" si="13"/>
        <v>A. BOOKING PENDING</v>
      </c>
      <c r="B125" s="695"/>
      <c r="C125" s="684" t="str">
        <f t="shared" si="14"/>
        <v>SHORT POSITION</v>
      </c>
      <c r="D125" s="685" t="str">
        <f t="shared" si="22"/>
        <v/>
      </c>
      <c r="E125" s="685" t="str">
        <f t="shared" si="15"/>
        <v/>
      </c>
      <c r="F125" s="686">
        <f>IF('[1]Data 2026'!D136="","",'[1]Data 2026'!D136)</f>
        <v>44</v>
      </c>
      <c r="G125" s="686">
        <f>IF('[1]Data 2026'!E136="","",'[1]Data 2026'!E136)</f>
        <v>200</v>
      </c>
      <c r="H125" s="687" t="str">
        <f>IF('[1]Data 2026'!H136="","",'[1]Data 2026'!H136)</f>
        <v>32016427-1</v>
      </c>
      <c r="I125" s="688">
        <f>IF('[1]Data 2026'!AA136="","",'[1]Data 2026'!AA136)</f>
        <v>250</v>
      </c>
      <c r="J125" s="685" t="str">
        <f>IF('[1]Data 2026'!K136="","",'[1]Data 2026'!K136)</f>
        <v>JUNE/JULY 2026</v>
      </c>
      <c r="K125" s="685">
        <v>46244</v>
      </c>
      <c r="L125" s="685" t="str">
        <f>IF('[1]Data 2026'!L136="","",'[1]Data 2026'!L136)</f>
        <v>VALENCY CI</v>
      </c>
      <c r="M125" s="685" t="str">
        <f>IF('[1]Data 2026'!M136="","",'[1]Data 2026'!M136)</f>
        <v>HOANG SON I JOINT STOCK COMPANY</v>
      </c>
      <c r="N125" s="685" t="s">
        <v>1194</v>
      </c>
      <c r="O125" s="689" t="str">
        <f>IF('[1]Data 2026'!N136="","",'[1]Data 2026'!N136)</f>
        <v/>
      </c>
      <c r="P125" s="701" t="str">
        <f>IF('[1]Data 2026'!O136="","",'[1]Data 2026'!O136)</f>
        <v/>
      </c>
      <c r="Q125" s="685" t="str">
        <f>IF('[1]Data 2026'!P136="","",'[1]Data 2026'!P136)</f>
        <v/>
      </c>
      <c r="R125" s="685" t="str">
        <f>IF('[1]Data 2026'!Q136="","",'[1]Data 2026'!Q136)</f>
        <v>ABJ</v>
      </c>
      <c r="S125" s="685" t="s">
        <v>347</v>
      </c>
      <c r="T125" s="685" t="str">
        <f>IF('[1]Data 2026'!R136="","",'[1]Data 2026'!R136)</f>
        <v>HCMC, VIETNAM</v>
      </c>
      <c r="U125" s="685" t="str">
        <f>IF('[1]Data 2026'!S136="","",'[1]Data 2026'!S136)</f>
        <v/>
      </c>
      <c r="V125" s="685" t="str">
        <f>IF('[1]Data 2026'!T136="","",'[1]Data 2026'!T136)</f>
        <v/>
      </c>
      <c r="W125" s="685" t="str">
        <f>IF('[1]Data 2026'!U136="","",'[1]Data 2026'!U136)</f>
        <v/>
      </c>
      <c r="X125" s="685" t="str">
        <f>IF('[1]Data 2026'!V136="","",'[1]Data 2026'!V136)</f>
        <v/>
      </c>
      <c r="Y125" s="685" t="str">
        <f>IF('[1]Data 2026'!W136="","",'[1]Data 2026'!W136)</f>
        <v/>
      </c>
      <c r="Z125" s="685" t="str">
        <f>IF('[1]Data 2026'!X136="","",'[1]Data 2026'!X136)</f>
        <v/>
      </c>
      <c r="AA125" s="685"/>
      <c r="AB125" s="685" t="str">
        <f>IF('[1]Data 2026'!Y136="","",'[1]Data 2026'!Y136)</f>
        <v/>
      </c>
      <c r="AC125" s="685" t="str">
        <f>IF('[1]Data 2026'!Z136="","",'[1]Data 2026'!Z136)</f>
        <v/>
      </c>
      <c r="AD125" s="691">
        <f>IF('[1]Data 2026'!AA136="","",'[1]Data 2026'!AA136)</f>
        <v>250</v>
      </c>
      <c r="AE125" s="691">
        <f>IF('[1]Data 2026'!AB136="","",'[1]Data 2026'!AB136)</f>
        <v>250</v>
      </c>
      <c r="AF125" s="685">
        <f>IF('[1]Data 2026'!AC136="","",'[1]Data 2026'!AC136)</f>
        <v>45868</v>
      </c>
      <c r="AG125" s="685" t="str">
        <f>IF('[1]Data 2026'!AD136="","",'[1]Data 2026'!AD136)</f>
        <v/>
      </c>
      <c r="AH125" s="686">
        <f>IF('[1]Data 2026'!AE136="","",'[1]Data 2026'!AE136)</f>
        <v>10</v>
      </c>
      <c r="AI125" s="685" t="str">
        <f>IF('[1]Data 2026'!AG136="","",'[1]Data 2026'!AG136)</f>
        <v/>
      </c>
      <c r="AJ125" s="685" t="str">
        <f>IF('[1]Data 2026'!AH136="","",'[1]Data 2026'!AH136)</f>
        <v>TBA</v>
      </c>
      <c r="AK125" s="685" t="str">
        <f>IF('[1]Data 2026'!AI136="","",'[1]Data 2026'!AI136)</f>
        <v>TBA</v>
      </c>
      <c r="AL125" s="685" t="str">
        <f>IF('[1]Data 2026'!AJ136="","",'[1]Data 2026'!AJ136)</f>
        <v>40FT</v>
      </c>
      <c r="AM125" s="692">
        <f>IF('[1]Data 2026'!AK136="","",'[1]Data 2026'!AK136)</f>
        <v>0.1</v>
      </c>
      <c r="AN125" s="685" t="str">
        <f>IF('[1]Data 2026'!AL136="","",'[1]Data 2026'!AL136)</f>
        <v>(01x250MTS)</v>
      </c>
      <c r="AO125" s="691">
        <f>IF('[1]Data 2026'!AM136="","",'[1]Data 2026'!AM136)</f>
        <v>275</v>
      </c>
      <c r="AP125" s="691" t="str">
        <f t="shared" si="16"/>
        <v/>
      </c>
      <c r="AQ125" s="685" t="str">
        <f>IF('[1]Data 2026'!AO136="","",'[1]Data 2026'!AO136)</f>
        <v/>
      </c>
      <c r="AR125" s="685" t="str">
        <f>IF('[1]Data 2026'!AP136="","",'[1]Data 2026'!AP136)</f>
        <v/>
      </c>
      <c r="AS125" s="685" t="str">
        <f>IF('[1]Data 2026'!AQ136="","",'[1]Data 2026'!AQ136)</f>
        <v/>
      </c>
      <c r="AT125" s="685" t="str">
        <f>IF('[1]Data 2026'!AR136="","",'[1]Data 2026'!AR136)</f>
        <v/>
      </c>
      <c r="AU125" s="685" t="str">
        <f>IF('[1]Data 2026'!AW136="","",'[1]Data 2026'!AW136)</f>
        <v/>
      </c>
      <c r="AV125" s="685" t="str">
        <f>IF('[1]Data 2026'!AX136="","",'[1]Data 2026'!AX136)</f>
        <v/>
      </c>
      <c r="AW125" s="685" t="str">
        <f>IF('[1]Data 2026'!AY136="","",'[1]Data 2026'!AY136)</f>
        <v/>
      </c>
      <c r="AX125" s="685" t="str">
        <f>IF('[1]Data 2026'!AZ136="","",'[1]Data 2026'!AZ136)</f>
        <v/>
      </c>
      <c r="AY125" s="685" t="str">
        <f>IF('[1]Data 2026'!BA136="","",'[1]Data 2026'!BA136)</f>
        <v/>
      </c>
      <c r="AZ125" s="685" t="str">
        <f>IF('[1]Data 2026'!AS136="","",'[1]Data 2026'!AS136)</f>
        <v/>
      </c>
      <c r="BA125" s="685" t="str">
        <f>IF('[1]Data 2026'!AT136="","",'[1]Data 2026'!AT136)</f>
        <v/>
      </c>
      <c r="BB125" s="685" t="str">
        <f>IF('[1]Data 2026'!AU136="","",'[1]Data 2026'!AU136)</f>
        <v/>
      </c>
      <c r="BC125" s="685" t="str">
        <f>IF('[1]Data 2026'!AV136="","",'[1]Data 2026'!AV136)</f>
        <v/>
      </c>
      <c r="BD125" s="685" t="str">
        <f>IF('[1]Data 2026'!AW136="","",'[1]Data 2026'!AW136)</f>
        <v/>
      </c>
      <c r="BE125" s="685" t="str">
        <f>IF('[1]Data 2026'!AX136="","",'[1]Data 2026'!AX136)</f>
        <v/>
      </c>
      <c r="BF125" s="685" t="str">
        <f>IF('[1]Data 2026'!BF136="","",'[1]Data 2026'!BF136)</f>
        <v/>
      </c>
      <c r="BG125" s="685" t="str">
        <f>IF('[1]Data 2026'!BG136="","",'[1]Data 2026'!BG136)</f>
        <v/>
      </c>
      <c r="BH125" s="685" t="str">
        <f>IF('[1]Data 2026'!BH136="","",'[1]Data 2026'!BH136)</f>
        <v/>
      </c>
      <c r="BI125" s="685" t="str">
        <f>IF('[1]Data 2026'!BI136="","",'[1]Data 2026'!BI136)</f>
        <v/>
      </c>
      <c r="BJ125" s="685" t="str">
        <f>IF('[1]Data 2026'!BJ136="","",'[1]Data 2026'!BJ136)</f>
        <v/>
      </c>
      <c r="BK125" s="685" t="str">
        <f>IF('[1]Data 2026'!BK136="","",'[1]Data 2026'!BK136)</f>
        <v/>
      </c>
      <c r="BL125" s="685" t="str">
        <f>IF('[1]Data 2026'!BL136="","",'[1]Data 2026'!BL136)</f>
        <v/>
      </c>
      <c r="BM125" s="685" t="str">
        <f>IF('[1]Data 2026'!BM136="","",'[1]Data 2026'!BM136)</f>
        <v/>
      </c>
      <c r="BN125" s="685" t="str">
        <f>IF('[1]Data 2026'!BN136="","",'[1]Data 2026'!BN136)</f>
        <v/>
      </c>
      <c r="BO125" s="685" t="str">
        <f>IF('[1]Data 2026'!BO136="","",'[1]Data 2026'!BO136)</f>
        <v/>
      </c>
      <c r="BP125" s="685" t="str">
        <f>IF('[1]Data 2026'!BP136="","",'[1]Data 2026'!BP136)</f>
        <v/>
      </c>
      <c r="BQ125" s="685" t="str">
        <f>IF('[1]Data 2026'!BQ136="","",'[1]Data 2026'!BQ136)</f>
        <v/>
      </c>
      <c r="BR125" s="685" t="str">
        <f>IF('[1]Data 2026'!BR136="","",'[1]Data 2026'!BR136)</f>
        <v/>
      </c>
      <c r="BS125" s="685" t="str">
        <f>IF('[1]Data 2026'!BS136="","",'[1]Data 2026'!BS136)</f>
        <v/>
      </c>
      <c r="BT125" s="685" t="str">
        <f>IF('[1]Data 2026'!BV136="","",'[1]Data 2026'!BV136)</f>
        <v/>
      </c>
      <c r="BU125" s="685" t="str">
        <f>IF('[1]Data 2026'!BW136="","",'[1]Data 2026'!BW136)</f>
        <v/>
      </c>
      <c r="BV125" s="685" t="str">
        <f>IF('[1]Data 2026'!BX136="","",'[1]Data 2026'!BX136)</f>
        <v/>
      </c>
      <c r="BW125" s="685" t="str">
        <f>IF('[1]Data 2026'!BY136="","",'[1]Data 2026'!BY136)</f>
        <v/>
      </c>
      <c r="BX125" s="685" t="str">
        <f>IF('[1]Data 2026'!BZ136="","",'[1]Data 2026'!BZ136)</f>
        <v/>
      </c>
      <c r="BY125" s="685" t="str">
        <f>IF('[1]Data 2026'!CA136="","",'[1]Data 2026'!CA136)</f>
        <v/>
      </c>
      <c r="BZ125" s="685" t="str">
        <f>IF('[1]Data 2026'!CB136="","",'[1]Data 2026'!CB136)</f>
        <v/>
      </c>
      <c r="CA125" s="685" t="str">
        <f>IF('[1]Data 2026'!CC136="","",'[1]Data 2026'!CC136)</f>
        <v/>
      </c>
      <c r="CB125" s="685" t="str">
        <f>IF('[1]Data 2026'!CD136="","",'[1]Data 2026'!CD136)</f>
        <v/>
      </c>
      <c r="CC125" s="685" t="str">
        <f>IF('[1]Data 2026'!CE136="","",'[1]Data 2026'!CE136)</f>
        <v/>
      </c>
      <c r="CD125" s="685" t="str">
        <f>IF('[1]Data 2026'!CF136="","",'[1]Data 2026'!CF136)</f>
        <v/>
      </c>
      <c r="CE125" s="685" t="str">
        <f>IF('[1]Data 2026'!CG136="","",'[1]Data 2026'!CG136)</f>
        <v/>
      </c>
      <c r="CF125" s="685" t="str">
        <f>IF('[1]Data 2026'!CH136="","",'[1]Data 2026'!CH136)</f>
        <v/>
      </c>
      <c r="CG125" s="685" t="str">
        <f>IF('[1]Data 2026'!CI136="","",'[1]Data 2026'!CI136)</f>
        <v/>
      </c>
      <c r="CH125" s="685" t="str">
        <f>IF('[1]Data 2026'!CJ136="","",'[1]Data 2026'!CJ136)</f>
        <v/>
      </c>
      <c r="CI125" s="685" t="str">
        <f>IF('[1]Data 2026'!CK136="","",'[1]Data 2026'!CK136)</f>
        <v/>
      </c>
      <c r="CJ125" s="685" t="str">
        <f>IF('[1]Data 2026'!CM136="","",'[1]Data 2026'!CM136)</f>
        <v/>
      </c>
      <c r="CK125" s="685" t="str">
        <f>IF('[1]Data 2026'!CN136="","",'[1]Data 2026'!CN136)</f>
        <v/>
      </c>
      <c r="CL125" s="691"/>
      <c r="CM125" s="691" t="str">
        <f>IF('[1]Data 2026'!CP136="","",'[1]Data 2026'!CP136)</f>
        <v/>
      </c>
      <c r="CN125" s="691"/>
      <c r="CO125" s="419"/>
      <c r="CP125" s="419"/>
      <c r="CQ125" s="419"/>
      <c r="CR125" s="686" t="str">
        <f t="shared" si="25"/>
        <v/>
      </c>
    </row>
    <row r="126" spans="1:96">
      <c r="A126" s="682" t="str">
        <f t="shared" si="13"/>
        <v>A. BOOKING PENDING</v>
      </c>
      <c r="B126" s="695"/>
      <c r="C126" s="684" t="str">
        <f t="shared" si="14"/>
        <v>SHORT POSITION</v>
      </c>
      <c r="D126" s="685" t="str">
        <f t="shared" si="22"/>
        <v/>
      </c>
      <c r="E126" s="685" t="str">
        <f t="shared" si="15"/>
        <v/>
      </c>
      <c r="F126" s="686">
        <f>IF('[1]Data 2026'!D137="","",'[1]Data 2026'!D137)</f>
        <v>44</v>
      </c>
      <c r="G126" s="686">
        <f>IF('[1]Data 2026'!E137="","",'[1]Data 2026'!E137)</f>
        <v>200</v>
      </c>
      <c r="H126" s="687" t="str">
        <f>IF('[1]Data 2026'!H137="","",'[1]Data 2026'!H137)</f>
        <v>32016427-2</v>
      </c>
      <c r="I126" s="688">
        <f>IF('[1]Data 2026'!AA137="","",'[1]Data 2026'!AA137)</f>
        <v>250</v>
      </c>
      <c r="J126" s="685" t="str">
        <f>IF('[1]Data 2026'!K137="","",'[1]Data 2026'!K137)</f>
        <v>JUNE/JULY 2026</v>
      </c>
      <c r="K126" s="685">
        <v>46245</v>
      </c>
      <c r="L126" s="685" t="str">
        <f>IF('[1]Data 2026'!L137="","",'[1]Data 2026'!L137)</f>
        <v>VALENCY CI</v>
      </c>
      <c r="M126" s="685" t="str">
        <f>IF('[1]Data 2026'!M137="","",'[1]Data 2026'!M137)</f>
        <v>HOANG SON I JOINT STOCK COMPANY</v>
      </c>
      <c r="N126" s="685" t="s">
        <v>1194</v>
      </c>
      <c r="O126" s="689" t="str">
        <f>IF('[1]Data 2026'!N137="","",'[1]Data 2026'!N137)</f>
        <v/>
      </c>
      <c r="P126" s="701" t="str">
        <f>IF('[1]Data 2026'!O137="","",'[1]Data 2026'!O137)</f>
        <v/>
      </c>
      <c r="Q126" s="685" t="str">
        <f>IF('[1]Data 2026'!P137="","",'[1]Data 2026'!P137)</f>
        <v/>
      </c>
      <c r="R126" s="685" t="str">
        <f>IF('[1]Data 2026'!Q137="","",'[1]Data 2026'!Q137)</f>
        <v>ABJ</v>
      </c>
      <c r="S126" s="685" t="s">
        <v>347</v>
      </c>
      <c r="T126" s="685" t="str">
        <f>IF('[1]Data 2026'!R137="","",'[1]Data 2026'!R137)</f>
        <v>HCMC, VIETNAM</v>
      </c>
      <c r="U126" s="685" t="str">
        <f>IF('[1]Data 2026'!S137="","",'[1]Data 2026'!S137)</f>
        <v/>
      </c>
      <c r="V126" s="685" t="str">
        <f>IF('[1]Data 2026'!T137="","",'[1]Data 2026'!T137)</f>
        <v/>
      </c>
      <c r="W126" s="685" t="str">
        <f>IF('[1]Data 2026'!U137="","",'[1]Data 2026'!U137)</f>
        <v/>
      </c>
      <c r="X126" s="685" t="str">
        <f>IF('[1]Data 2026'!V137="","",'[1]Data 2026'!V137)</f>
        <v/>
      </c>
      <c r="Y126" s="685" t="str">
        <f>IF('[1]Data 2026'!W137="","",'[1]Data 2026'!W137)</f>
        <v/>
      </c>
      <c r="Z126" s="685" t="str">
        <f>IF('[1]Data 2026'!X137="","",'[1]Data 2026'!X137)</f>
        <v/>
      </c>
      <c r="AA126" s="685"/>
      <c r="AB126" s="685" t="str">
        <f>IF('[1]Data 2026'!Y137="","",'[1]Data 2026'!Y137)</f>
        <v/>
      </c>
      <c r="AC126" s="685" t="str">
        <f>IF('[1]Data 2026'!Z137="","",'[1]Data 2026'!Z137)</f>
        <v/>
      </c>
      <c r="AD126" s="691">
        <f>IF('[1]Data 2026'!AA137="","",'[1]Data 2026'!AA137)</f>
        <v>250</v>
      </c>
      <c r="AE126" s="691">
        <f>IF('[1]Data 2026'!AB137="","",'[1]Data 2026'!AB137)</f>
        <v>250</v>
      </c>
      <c r="AF126" s="685">
        <f>IF('[1]Data 2026'!AC137="","",'[1]Data 2026'!AC137)</f>
        <v>45868</v>
      </c>
      <c r="AG126" s="685" t="str">
        <f>IF('[1]Data 2026'!AD137="","",'[1]Data 2026'!AD137)</f>
        <v/>
      </c>
      <c r="AH126" s="686">
        <f>IF('[1]Data 2026'!AE137="","",'[1]Data 2026'!AE137)</f>
        <v>10</v>
      </c>
      <c r="AI126" s="685" t="str">
        <f>IF('[1]Data 2026'!AG137="","",'[1]Data 2026'!AG137)</f>
        <v/>
      </c>
      <c r="AJ126" s="685" t="str">
        <f>IF('[1]Data 2026'!AH137="","",'[1]Data 2026'!AH137)</f>
        <v>TBA</v>
      </c>
      <c r="AK126" s="685" t="str">
        <f>IF('[1]Data 2026'!AI137="","",'[1]Data 2026'!AI137)</f>
        <v>TBA</v>
      </c>
      <c r="AL126" s="685" t="str">
        <f>IF('[1]Data 2026'!AJ137="","",'[1]Data 2026'!AJ137)</f>
        <v>40FT</v>
      </c>
      <c r="AM126" s="692">
        <f>IF('[1]Data 2026'!AK137="","",'[1]Data 2026'!AK137)</f>
        <v>0.1</v>
      </c>
      <c r="AN126" s="685" t="str">
        <f>IF('[1]Data 2026'!AL137="","",'[1]Data 2026'!AL137)</f>
        <v>(01x250MTS)</v>
      </c>
      <c r="AO126" s="691">
        <f>IF('[1]Data 2026'!AM137="","",'[1]Data 2026'!AM137)</f>
        <v>275</v>
      </c>
      <c r="AP126" s="691" t="str">
        <f t="shared" si="16"/>
        <v/>
      </c>
      <c r="AQ126" s="685" t="str">
        <f>IF('[1]Data 2026'!AO137="","",'[1]Data 2026'!AO137)</f>
        <v/>
      </c>
      <c r="AR126" s="685" t="str">
        <f>IF('[1]Data 2026'!AP137="","",'[1]Data 2026'!AP137)</f>
        <v/>
      </c>
      <c r="AS126" s="685" t="str">
        <f>IF('[1]Data 2026'!AQ137="","",'[1]Data 2026'!AQ137)</f>
        <v/>
      </c>
      <c r="AT126" s="685" t="str">
        <f>IF('[1]Data 2026'!AR137="","",'[1]Data 2026'!AR137)</f>
        <v/>
      </c>
      <c r="AU126" s="685" t="str">
        <f>IF('[1]Data 2026'!AW137="","",'[1]Data 2026'!AW137)</f>
        <v/>
      </c>
      <c r="AV126" s="685" t="str">
        <f>IF('[1]Data 2026'!AX137="","",'[1]Data 2026'!AX137)</f>
        <v/>
      </c>
      <c r="AW126" s="685" t="str">
        <f>IF('[1]Data 2026'!AY137="","",'[1]Data 2026'!AY137)</f>
        <v/>
      </c>
      <c r="AX126" s="685" t="str">
        <f>IF('[1]Data 2026'!AZ137="","",'[1]Data 2026'!AZ137)</f>
        <v/>
      </c>
      <c r="AY126" s="685" t="str">
        <f>IF('[1]Data 2026'!BA137="","",'[1]Data 2026'!BA137)</f>
        <v/>
      </c>
      <c r="AZ126" s="685" t="str">
        <f>IF('[1]Data 2026'!AS137="","",'[1]Data 2026'!AS137)</f>
        <v/>
      </c>
      <c r="BA126" s="685" t="str">
        <f>IF('[1]Data 2026'!AT137="","",'[1]Data 2026'!AT137)</f>
        <v/>
      </c>
      <c r="BB126" s="685" t="str">
        <f>IF('[1]Data 2026'!AU137="","",'[1]Data 2026'!AU137)</f>
        <v/>
      </c>
      <c r="BC126" s="685" t="str">
        <f>IF('[1]Data 2026'!AV137="","",'[1]Data 2026'!AV137)</f>
        <v/>
      </c>
      <c r="BD126" s="685" t="str">
        <f>IF('[1]Data 2026'!AW137="","",'[1]Data 2026'!AW137)</f>
        <v/>
      </c>
      <c r="BE126" s="685" t="str">
        <f>IF('[1]Data 2026'!AX137="","",'[1]Data 2026'!AX137)</f>
        <v/>
      </c>
      <c r="BF126" s="685" t="str">
        <f>IF('[1]Data 2026'!BF137="","",'[1]Data 2026'!BF137)</f>
        <v/>
      </c>
      <c r="BG126" s="685" t="str">
        <f>IF('[1]Data 2026'!BG137="","",'[1]Data 2026'!BG137)</f>
        <v/>
      </c>
      <c r="BH126" s="685" t="str">
        <f>IF('[1]Data 2026'!BH137="","",'[1]Data 2026'!BH137)</f>
        <v/>
      </c>
      <c r="BI126" s="685" t="str">
        <f>IF('[1]Data 2026'!BI137="","",'[1]Data 2026'!BI137)</f>
        <v/>
      </c>
      <c r="BJ126" s="685" t="str">
        <f>IF('[1]Data 2026'!BJ137="","",'[1]Data 2026'!BJ137)</f>
        <v/>
      </c>
      <c r="BK126" s="685" t="str">
        <f>IF('[1]Data 2026'!BK137="","",'[1]Data 2026'!BK137)</f>
        <v/>
      </c>
      <c r="BL126" s="685" t="str">
        <f>IF('[1]Data 2026'!BL137="","",'[1]Data 2026'!BL137)</f>
        <v/>
      </c>
      <c r="BM126" s="685" t="str">
        <f>IF('[1]Data 2026'!BM137="","",'[1]Data 2026'!BM137)</f>
        <v/>
      </c>
      <c r="BN126" s="685" t="str">
        <f>IF('[1]Data 2026'!BN137="","",'[1]Data 2026'!BN137)</f>
        <v/>
      </c>
      <c r="BO126" s="685" t="str">
        <f>IF('[1]Data 2026'!BO137="","",'[1]Data 2026'!BO137)</f>
        <v/>
      </c>
      <c r="BP126" s="685" t="str">
        <f>IF('[1]Data 2026'!BP137="","",'[1]Data 2026'!BP137)</f>
        <v/>
      </c>
      <c r="BQ126" s="685" t="str">
        <f>IF('[1]Data 2026'!BQ137="","",'[1]Data 2026'!BQ137)</f>
        <v/>
      </c>
      <c r="BR126" s="685" t="str">
        <f>IF('[1]Data 2026'!BR137="","",'[1]Data 2026'!BR137)</f>
        <v/>
      </c>
      <c r="BS126" s="685" t="str">
        <f>IF('[1]Data 2026'!BS137="","",'[1]Data 2026'!BS137)</f>
        <v/>
      </c>
      <c r="BT126" s="685" t="str">
        <f>IF('[1]Data 2026'!BV137="","",'[1]Data 2026'!BV137)</f>
        <v/>
      </c>
      <c r="BU126" s="685" t="str">
        <f>IF('[1]Data 2026'!BW137="","",'[1]Data 2026'!BW137)</f>
        <v/>
      </c>
      <c r="BV126" s="685" t="str">
        <f>IF('[1]Data 2026'!BX137="","",'[1]Data 2026'!BX137)</f>
        <v/>
      </c>
      <c r="BW126" s="685" t="str">
        <f>IF('[1]Data 2026'!BY137="","",'[1]Data 2026'!BY137)</f>
        <v/>
      </c>
      <c r="BX126" s="685" t="str">
        <f>IF('[1]Data 2026'!BZ137="","",'[1]Data 2026'!BZ137)</f>
        <v/>
      </c>
      <c r="BY126" s="685" t="str">
        <f>IF('[1]Data 2026'!CA137="","",'[1]Data 2026'!CA137)</f>
        <v/>
      </c>
      <c r="BZ126" s="685" t="str">
        <f>IF('[1]Data 2026'!CB137="","",'[1]Data 2026'!CB137)</f>
        <v/>
      </c>
      <c r="CA126" s="685" t="str">
        <f>IF('[1]Data 2026'!CC137="","",'[1]Data 2026'!CC137)</f>
        <v/>
      </c>
      <c r="CB126" s="685" t="str">
        <f>IF('[1]Data 2026'!CD137="","",'[1]Data 2026'!CD137)</f>
        <v/>
      </c>
      <c r="CC126" s="685" t="str">
        <f>IF('[1]Data 2026'!CE137="","",'[1]Data 2026'!CE137)</f>
        <v/>
      </c>
      <c r="CD126" s="685" t="str">
        <f>IF('[1]Data 2026'!CF137="","",'[1]Data 2026'!CF137)</f>
        <v/>
      </c>
      <c r="CE126" s="685" t="str">
        <f>IF('[1]Data 2026'!CG137="","",'[1]Data 2026'!CG137)</f>
        <v/>
      </c>
      <c r="CF126" s="685" t="str">
        <f>IF('[1]Data 2026'!CH137="","",'[1]Data 2026'!CH137)</f>
        <v/>
      </c>
      <c r="CG126" s="685" t="str">
        <f>IF('[1]Data 2026'!CI137="","",'[1]Data 2026'!CI137)</f>
        <v/>
      </c>
      <c r="CH126" s="685" t="str">
        <f>IF('[1]Data 2026'!CJ137="","",'[1]Data 2026'!CJ137)</f>
        <v/>
      </c>
      <c r="CI126" s="685" t="str">
        <f>IF('[1]Data 2026'!CK137="","",'[1]Data 2026'!CK137)</f>
        <v/>
      </c>
      <c r="CJ126" s="685" t="str">
        <f>IF('[1]Data 2026'!CM137="","",'[1]Data 2026'!CM137)</f>
        <v/>
      </c>
      <c r="CK126" s="685" t="str">
        <f>IF('[1]Data 2026'!CN137="","",'[1]Data 2026'!CN137)</f>
        <v/>
      </c>
      <c r="CL126" s="691"/>
      <c r="CM126" s="691" t="str">
        <f>IF('[1]Data 2026'!CP137="","",'[1]Data 2026'!CP137)</f>
        <v/>
      </c>
      <c r="CN126" s="691"/>
      <c r="CO126" s="419"/>
      <c r="CP126" s="419"/>
      <c r="CQ126" s="419"/>
      <c r="CR126" s="686" t="str">
        <f t="shared" si="25"/>
        <v/>
      </c>
    </row>
    <row r="127" spans="1:96">
      <c r="A127" s="682" t="str">
        <f t="shared" si="13"/>
        <v>A. BOOKING PENDING</v>
      </c>
      <c r="B127" s="695"/>
      <c r="C127" s="684" t="str">
        <f t="shared" si="14"/>
        <v>SHORT POSITION</v>
      </c>
      <c r="D127" s="685" t="str">
        <f t="shared" si="22"/>
        <v/>
      </c>
      <c r="E127" s="685" t="str">
        <f t="shared" si="15"/>
        <v/>
      </c>
      <c r="F127" s="686">
        <f>IF('[1]Data 2026'!D138="","",'[1]Data 2026'!D138)</f>
        <v>44</v>
      </c>
      <c r="G127" s="686">
        <f>IF('[1]Data 2026'!E138="","",'[1]Data 2026'!E138)</f>
        <v>200</v>
      </c>
      <c r="H127" s="687" t="str">
        <f>IF('[1]Data 2026'!H138="","",'[1]Data 2026'!H138)</f>
        <v>32016427-3</v>
      </c>
      <c r="I127" s="688">
        <f>IF('[1]Data 2026'!AA138="","",'[1]Data 2026'!AA138)</f>
        <v>250</v>
      </c>
      <c r="J127" s="685" t="str">
        <f>IF('[1]Data 2026'!K138="","",'[1]Data 2026'!K138)</f>
        <v>JUNE/JULY 2026</v>
      </c>
      <c r="K127" s="685">
        <v>46246</v>
      </c>
      <c r="L127" s="685" t="str">
        <f>IF('[1]Data 2026'!L138="","",'[1]Data 2026'!L138)</f>
        <v>VALENCY CI</v>
      </c>
      <c r="M127" s="685" t="str">
        <f>IF('[1]Data 2026'!M138="","",'[1]Data 2026'!M138)</f>
        <v>HOANG SON I JOINT STOCK COMPANY</v>
      </c>
      <c r="N127" s="685" t="s">
        <v>1194</v>
      </c>
      <c r="O127" s="689" t="str">
        <f>IF('[1]Data 2026'!N138="","",'[1]Data 2026'!N138)</f>
        <v/>
      </c>
      <c r="P127" s="701" t="str">
        <f>IF('[1]Data 2026'!O138="","",'[1]Data 2026'!O138)</f>
        <v/>
      </c>
      <c r="Q127" s="685" t="str">
        <f>IF('[1]Data 2026'!P138="","",'[1]Data 2026'!P138)</f>
        <v/>
      </c>
      <c r="R127" s="685" t="str">
        <f>IF('[1]Data 2026'!Q138="","",'[1]Data 2026'!Q138)</f>
        <v>ABJ</v>
      </c>
      <c r="S127" s="685" t="s">
        <v>347</v>
      </c>
      <c r="T127" s="685" t="str">
        <f>IF('[1]Data 2026'!R138="","",'[1]Data 2026'!R138)</f>
        <v>HCMC, VIETNAM</v>
      </c>
      <c r="U127" s="685" t="str">
        <f>IF('[1]Data 2026'!S138="","",'[1]Data 2026'!S138)</f>
        <v/>
      </c>
      <c r="V127" s="685" t="str">
        <f>IF('[1]Data 2026'!T138="","",'[1]Data 2026'!T138)</f>
        <v/>
      </c>
      <c r="W127" s="685" t="str">
        <f>IF('[1]Data 2026'!U138="","",'[1]Data 2026'!U138)</f>
        <v/>
      </c>
      <c r="X127" s="685" t="str">
        <f>IF('[1]Data 2026'!V138="","",'[1]Data 2026'!V138)</f>
        <v/>
      </c>
      <c r="Y127" s="685" t="str">
        <f>IF('[1]Data 2026'!W138="","",'[1]Data 2026'!W138)</f>
        <v/>
      </c>
      <c r="Z127" s="685" t="str">
        <f>IF('[1]Data 2026'!X138="","",'[1]Data 2026'!X138)</f>
        <v/>
      </c>
      <c r="AA127" s="685"/>
      <c r="AB127" s="685" t="str">
        <f>IF('[1]Data 2026'!Y138="","",'[1]Data 2026'!Y138)</f>
        <v/>
      </c>
      <c r="AC127" s="685" t="str">
        <f>IF('[1]Data 2026'!Z138="","",'[1]Data 2026'!Z138)</f>
        <v/>
      </c>
      <c r="AD127" s="691">
        <f>IF('[1]Data 2026'!AA138="","",'[1]Data 2026'!AA138)</f>
        <v>250</v>
      </c>
      <c r="AE127" s="691">
        <f>IF('[1]Data 2026'!AB138="","",'[1]Data 2026'!AB138)</f>
        <v>250</v>
      </c>
      <c r="AF127" s="685">
        <f>IF('[1]Data 2026'!AC138="","",'[1]Data 2026'!AC138)</f>
        <v>45868</v>
      </c>
      <c r="AG127" s="685" t="str">
        <f>IF('[1]Data 2026'!AD138="","",'[1]Data 2026'!AD138)</f>
        <v/>
      </c>
      <c r="AH127" s="686">
        <f>IF('[1]Data 2026'!AE138="","",'[1]Data 2026'!AE138)</f>
        <v>10</v>
      </c>
      <c r="AI127" s="685" t="str">
        <f>IF('[1]Data 2026'!AG138="","",'[1]Data 2026'!AG138)</f>
        <v/>
      </c>
      <c r="AJ127" s="685" t="str">
        <f>IF('[1]Data 2026'!AH138="","",'[1]Data 2026'!AH138)</f>
        <v>TBA</v>
      </c>
      <c r="AK127" s="685" t="str">
        <f>IF('[1]Data 2026'!AI138="","",'[1]Data 2026'!AI138)</f>
        <v>TBA</v>
      </c>
      <c r="AL127" s="685" t="str">
        <f>IF('[1]Data 2026'!AJ138="","",'[1]Data 2026'!AJ138)</f>
        <v>40FT</v>
      </c>
      <c r="AM127" s="692">
        <f>IF('[1]Data 2026'!AK138="","",'[1]Data 2026'!AK138)</f>
        <v>0.1</v>
      </c>
      <c r="AN127" s="685" t="str">
        <f>IF('[1]Data 2026'!AL138="","",'[1]Data 2026'!AL138)</f>
        <v>(01x250MTS)</v>
      </c>
      <c r="AO127" s="691">
        <f>IF('[1]Data 2026'!AM138="","",'[1]Data 2026'!AM138)</f>
        <v>275</v>
      </c>
      <c r="AP127" s="691" t="str">
        <f t="shared" si="16"/>
        <v/>
      </c>
      <c r="AQ127" s="685" t="str">
        <f>IF('[1]Data 2026'!AO138="","",'[1]Data 2026'!AO138)</f>
        <v/>
      </c>
      <c r="AR127" s="685" t="str">
        <f>IF('[1]Data 2026'!AP138="","",'[1]Data 2026'!AP138)</f>
        <v/>
      </c>
      <c r="AS127" s="685" t="str">
        <f>IF('[1]Data 2026'!AQ138="","",'[1]Data 2026'!AQ138)</f>
        <v/>
      </c>
      <c r="AT127" s="685" t="str">
        <f>IF('[1]Data 2026'!AR138="","",'[1]Data 2026'!AR138)</f>
        <v/>
      </c>
      <c r="AU127" s="685" t="str">
        <f>IF('[1]Data 2026'!AW138="","",'[1]Data 2026'!AW138)</f>
        <v/>
      </c>
      <c r="AV127" s="685" t="str">
        <f>IF('[1]Data 2026'!AX138="","",'[1]Data 2026'!AX138)</f>
        <v/>
      </c>
      <c r="AW127" s="685" t="str">
        <f>IF('[1]Data 2026'!AY138="","",'[1]Data 2026'!AY138)</f>
        <v/>
      </c>
      <c r="AX127" s="685" t="str">
        <f>IF('[1]Data 2026'!AZ138="","",'[1]Data 2026'!AZ138)</f>
        <v/>
      </c>
      <c r="AY127" s="685" t="str">
        <f>IF('[1]Data 2026'!BA138="","",'[1]Data 2026'!BA138)</f>
        <v/>
      </c>
      <c r="AZ127" s="685" t="str">
        <f>IF('[1]Data 2026'!AS138="","",'[1]Data 2026'!AS138)</f>
        <v/>
      </c>
      <c r="BA127" s="685" t="str">
        <f>IF('[1]Data 2026'!AT138="","",'[1]Data 2026'!AT138)</f>
        <v/>
      </c>
      <c r="BB127" s="685" t="str">
        <f>IF('[1]Data 2026'!AU138="","",'[1]Data 2026'!AU138)</f>
        <v/>
      </c>
      <c r="BC127" s="685" t="str">
        <f>IF('[1]Data 2026'!AV138="","",'[1]Data 2026'!AV138)</f>
        <v/>
      </c>
      <c r="BD127" s="685" t="str">
        <f>IF('[1]Data 2026'!AW138="","",'[1]Data 2026'!AW138)</f>
        <v/>
      </c>
      <c r="BE127" s="685" t="str">
        <f>IF('[1]Data 2026'!AX138="","",'[1]Data 2026'!AX138)</f>
        <v/>
      </c>
      <c r="BF127" s="685" t="str">
        <f>IF('[1]Data 2026'!BF138="","",'[1]Data 2026'!BF138)</f>
        <v/>
      </c>
      <c r="BG127" s="685" t="str">
        <f>IF('[1]Data 2026'!BG138="","",'[1]Data 2026'!BG138)</f>
        <v/>
      </c>
      <c r="BH127" s="685" t="str">
        <f>IF('[1]Data 2026'!BH138="","",'[1]Data 2026'!BH138)</f>
        <v/>
      </c>
      <c r="BI127" s="685" t="str">
        <f>IF('[1]Data 2026'!BI138="","",'[1]Data 2026'!BI138)</f>
        <v/>
      </c>
      <c r="BJ127" s="685" t="str">
        <f>IF('[1]Data 2026'!BJ138="","",'[1]Data 2026'!BJ138)</f>
        <v/>
      </c>
      <c r="BK127" s="685" t="str">
        <f>IF('[1]Data 2026'!BK138="","",'[1]Data 2026'!BK138)</f>
        <v/>
      </c>
      <c r="BL127" s="685" t="str">
        <f>IF('[1]Data 2026'!BL138="","",'[1]Data 2026'!BL138)</f>
        <v/>
      </c>
      <c r="BM127" s="685" t="str">
        <f>IF('[1]Data 2026'!BM138="","",'[1]Data 2026'!BM138)</f>
        <v/>
      </c>
      <c r="BN127" s="685" t="str">
        <f>IF('[1]Data 2026'!BN138="","",'[1]Data 2026'!BN138)</f>
        <v/>
      </c>
      <c r="BO127" s="685" t="str">
        <f>IF('[1]Data 2026'!BO138="","",'[1]Data 2026'!BO138)</f>
        <v/>
      </c>
      <c r="BP127" s="685" t="str">
        <f>IF('[1]Data 2026'!BP138="","",'[1]Data 2026'!BP138)</f>
        <v/>
      </c>
      <c r="BQ127" s="685" t="str">
        <f>IF('[1]Data 2026'!BQ138="","",'[1]Data 2026'!BQ138)</f>
        <v/>
      </c>
      <c r="BR127" s="685" t="str">
        <f>IF('[1]Data 2026'!BR138="","",'[1]Data 2026'!BR138)</f>
        <v/>
      </c>
      <c r="BS127" s="685" t="str">
        <f>IF('[1]Data 2026'!BS138="","",'[1]Data 2026'!BS138)</f>
        <v/>
      </c>
      <c r="BT127" s="685" t="str">
        <f>IF('[1]Data 2026'!BV138="","",'[1]Data 2026'!BV138)</f>
        <v/>
      </c>
      <c r="BU127" s="685" t="str">
        <f>IF('[1]Data 2026'!BW138="","",'[1]Data 2026'!BW138)</f>
        <v/>
      </c>
      <c r="BV127" s="685" t="str">
        <f>IF('[1]Data 2026'!BX138="","",'[1]Data 2026'!BX138)</f>
        <v/>
      </c>
      <c r="BW127" s="685" t="str">
        <f>IF('[1]Data 2026'!BY138="","",'[1]Data 2026'!BY138)</f>
        <v/>
      </c>
      <c r="BX127" s="685" t="str">
        <f>IF('[1]Data 2026'!BZ138="","",'[1]Data 2026'!BZ138)</f>
        <v/>
      </c>
      <c r="BY127" s="685" t="str">
        <f>IF('[1]Data 2026'!CA138="","",'[1]Data 2026'!CA138)</f>
        <v/>
      </c>
      <c r="BZ127" s="685" t="str">
        <f>IF('[1]Data 2026'!CB138="","",'[1]Data 2026'!CB138)</f>
        <v/>
      </c>
      <c r="CA127" s="685" t="str">
        <f>IF('[1]Data 2026'!CC138="","",'[1]Data 2026'!CC138)</f>
        <v/>
      </c>
      <c r="CB127" s="685" t="str">
        <f>IF('[1]Data 2026'!CD138="","",'[1]Data 2026'!CD138)</f>
        <v/>
      </c>
      <c r="CC127" s="685" t="str">
        <f>IF('[1]Data 2026'!CE138="","",'[1]Data 2026'!CE138)</f>
        <v/>
      </c>
      <c r="CD127" s="685" t="str">
        <f>IF('[1]Data 2026'!CF138="","",'[1]Data 2026'!CF138)</f>
        <v/>
      </c>
      <c r="CE127" s="685" t="str">
        <f>IF('[1]Data 2026'!CG138="","",'[1]Data 2026'!CG138)</f>
        <v/>
      </c>
      <c r="CF127" s="685" t="str">
        <f>IF('[1]Data 2026'!CH138="","",'[1]Data 2026'!CH138)</f>
        <v/>
      </c>
      <c r="CG127" s="685" t="str">
        <f>IF('[1]Data 2026'!CI138="","",'[1]Data 2026'!CI138)</f>
        <v/>
      </c>
      <c r="CH127" s="685" t="str">
        <f>IF('[1]Data 2026'!CJ138="","",'[1]Data 2026'!CJ138)</f>
        <v/>
      </c>
      <c r="CI127" s="685" t="str">
        <f>IF('[1]Data 2026'!CK138="","",'[1]Data 2026'!CK138)</f>
        <v/>
      </c>
      <c r="CJ127" s="685" t="str">
        <f>IF('[1]Data 2026'!CM138="","",'[1]Data 2026'!CM138)</f>
        <v/>
      </c>
      <c r="CK127" s="685" t="str">
        <f>IF('[1]Data 2026'!CN138="","",'[1]Data 2026'!CN138)</f>
        <v/>
      </c>
      <c r="CL127" s="691"/>
      <c r="CM127" s="691" t="str">
        <f>IF('[1]Data 2026'!CP138="","",'[1]Data 2026'!CP138)</f>
        <v/>
      </c>
      <c r="CN127" s="691"/>
      <c r="CO127" s="419"/>
      <c r="CP127" s="419"/>
      <c r="CQ127" s="419"/>
      <c r="CR127" s="686" t="str">
        <f t="shared" si="25"/>
        <v/>
      </c>
    </row>
    <row r="128" spans="1:96">
      <c r="A128" s="682" t="str">
        <f t="shared" si="13"/>
        <v>A. BOOKING PENDING</v>
      </c>
      <c r="B128" s="695"/>
      <c r="C128" s="684" t="str">
        <f t="shared" si="14"/>
        <v>SHORT POSITION</v>
      </c>
      <c r="D128" s="685" t="str">
        <f t="shared" si="22"/>
        <v/>
      </c>
      <c r="E128" s="685" t="str">
        <f t="shared" si="15"/>
        <v/>
      </c>
      <c r="F128" s="686">
        <f>IF('[1]Data 2026'!D139="","",'[1]Data 2026'!D139)</f>
        <v>44</v>
      </c>
      <c r="G128" s="686">
        <f>IF('[1]Data 2026'!E139="","",'[1]Data 2026'!E139)</f>
        <v>200</v>
      </c>
      <c r="H128" s="687" t="str">
        <f>IF('[1]Data 2026'!H139="","",'[1]Data 2026'!H139)</f>
        <v>32016427-4</v>
      </c>
      <c r="I128" s="688">
        <f>IF('[1]Data 2026'!AA139="","",'[1]Data 2026'!AA139)</f>
        <v>250</v>
      </c>
      <c r="J128" s="685" t="str">
        <f>IF('[1]Data 2026'!K139="","",'[1]Data 2026'!K139)</f>
        <v>JUNE/JULY 2026</v>
      </c>
      <c r="K128" s="685">
        <v>46247</v>
      </c>
      <c r="L128" s="685" t="str">
        <f>IF('[1]Data 2026'!L139="","",'[1]Data 2026'!L139)</f>
        <v>VALENCY CI</v>
      </c>
      <c r="M128" s="685" t="str">
        <f>IF('[1]Data 2026'!M139="","",'[1]Data 2026'!M139)</f>
        <v>HOANG SON I JOINT STOCK COMPANY</v>
      </c>
      <c r="N128" s="685" t="s">
        <v>1194</v>
      </c>
      <c r="O128" s="689" t="str">
        <f>IF('[1]Data 2026'!N139="","",'[1]Data 2026'!N139)</f>
        <v/>
      </c>
      <c r="P128" s="701" t="str">
        <f>IF('[1]Data 2026'!O139="","",'[1]Data 2026'!O139)</f>
        <v/>
      </c>
      <c r="Q128" s="685" t="str">
        <f>IF('[1]Data 2026'!P139="","",'[1]Data 2026'!P139)</f>
        <v/>
      </c>
      <c r="R128" s="685" t="str">
        <f>IF('[1]Data 2026'!Q139="","",'[1]Data 2026'!Q139)</f>
        <v>ABJ</v>
      </c>
      <c r="S128" s="685" t="s">
        <v>347</v>
      </c>
      <c r="T128" s="685" t="str">
        <f>IF('[1]Data 2026'!R139="","",'[1]Data 2026'!R139)</f>
        <v>HCMC, VIETNAM</v>
      </c>
      <c r="U128" s="685" t="str">
        <f>IF('[1]Data 2026'!S139="","",'[1]Data 2026'!S139)</f>
        <v/>
      </c>
      <c r="V128" s="685" t="str">
        <f>IF('[1]Data 2026'!T139="","",'[1]Data 2026'!T139)</f>
        <v/>
      </c>
      <c r="W128" s="685" t="str">
        <f>IF('[1]Data 2026'!U139="","",'[1]Data 2026'!U139)</f>
        <v/>
      </c>
      <c r="X128" s="685" t="str">
        <f>IF('[1]Data 2026'!V139="","",'[1]Data 2026'!V139)</f>
        <v/>
      </c>
      <c r="Y128" s="685" t="str">
        <f>IF('[1]Data 2026'!W139="","",'[1]Data 2026'!W139)</f>
        <v/>
      </c>
      <c r="Z128" s="685" t="str">
        <f>IF('[1]Data 2026'!X139="","",'[1]Data 2026'!X139)</f>
        <v/>
      </c>
      <c r="AA128" s="685"/>
      <c r="AB128" s="685" t="str">
        <f>IF('[1]Data 2026'!Y139="","",'[1]Data 2026'!Y139)</f>
        <v/>
      </c>
      <c r="AC128" s="685" t="str">
        <f>IF('[1]Data 2026'!Z139="","",'[1]Data 2026'!Z139)</f>
        <v/>
      </c>
      <c r="AD128" s="691">
        <f>IF('[1]Data 2026'!AA139="","",'[1]Data 2026'!AA139)</f>
        <v>250</v>
      </c>
      <c r="AE128" s="691">
        <f>IF('[1]Data 2026'!AB139="","",'[1]Data 2026'!AB139)</f>
        <v>250</v>
      </c>
      <c r="AF128" s="685">
        <f>IF('[1]Data 2026'!AC139="","",'[1]Data 2026'!AC139)</f>
        <v>45868</v>
      </c>
      <c r="AG128" s="685" t="str">
        <f>IF('[1]Data 2026'!AD139="","",'[1]Data 2026'!AD139)</f>
        <v/>
      </c>
      <c r="AH128" s="686">
        <f>IF('[1]Data 2026'!AE139="","",'[1]Data 2026'!AE139)</f>
        <v>10</v>
      </c>
      <c r="AI128" s="685" t="str">
        <f>IF('[1]Data 2026'!AG139="","",'[1]Data 2026'!AG139)</f>
        <v/>
      </c>
      <c r="AJ128" s="685" t="str">
        <f>IF('[1]Data 2026'!AH139="","",'[1]Data 2026'!AH139)</f>
        <v>TBA</v>
      </c>
      <c r="AK128" s="685" t="str">
        <f>IF('[1]Data 2026'!AI139="","",'[1]Data 2026'!AI139)</f>
        <v>TBA</v>
      </c>
      <c r="AL128" s="685" t="str">
        <f>IF('[1]Data 2026'!AJ139="","",'[1]Data 2026'!AJ139)</f>
        <v>40FT</v>
      </c>
      <c r="AM128" s="692">
        <f>IF('[1]Data 2026'!AK139="","",'[1]Data 2026'!AK139)</f>
        <v>0.1</v>
      </c>
      <c r="AN128" s="685" t="str">
        <f>IF('[1]Data 2026'!AL139="","",'[1]Data 2026'!AL139)</f>
        <v>(01x250MTS)</v>
      </c>
      <c r="AO128" s="691">
        <f>IF('[1]Data 2026'!AM139="","",'[1]Data 2026'!AM139)</f>
        <v>275</v>
      </c>
      <c r="AP128" s="691" t="str">
        <f t="shared" si="16"/>
        <v/>
      </c>
      <c r="AQ128" s="685" t="str">
        <f>IF('[1]Data 2026'!AO139="","",'[1]Data 2026'!AO139)</f>
        <v/>
      </c>
      <c r="AR128" s="685" t="str">
        <f>IF('[1]Data 2026'!AP139="","",'[1]Data 2026'!AP139)</f>
        <v/>
      </c>
      <c r="AS128" s="685" t="str">
        <f>IF('[1]Data 2026'!AQ139="","",'[1]Data 2026'!AQ139)</f>
        <v/>
      </c>
      <c r="AT128" s="685" t="str">
        <f>IF('[1]Data 2026'!AR139="","",'[1]Data 2026'!AR139)</f>
        <v/>
      </c>
      <c r="AU128" s="685" t="str">
        <f>IF('[1]Data 2026'!AW139="","",'[1]Data 2026'!AW139)</f>
        <v/>
      </c>
      <c r="AV128" s="685" t="str">
        <f>IF('[1]Data 2026'!AX139="","",'[1]Data 2026'!AX139)</f>
        <v/>
      </c>
      <c r="AW128" s="685" t="str">
        <f>IF('[1]Data 2026'!AY139="","",'[1]Data 2026'!AY139)</f>
        <v/>
      </c>
      <c r="AX128" s="685" t="str">
        <f>IF('[1]Data 2026'!AZ139="","",'[1]Data 2026'!AZ139)</f>
        <v/>
      </c>
      <c r="AY128" s="685" t="str">
        <f>IF('[1]Data 2026'!BA139="","",'[1]Data 2026'!BA139)</f>
        <v/>
      </c>
      <c r="AZ128" s="685" t="str">
        <f>IF('[1]Data 2026'!AS139="","",'[1]Data 2026'!AS139)</f>
        <v/>
      </c>
      <c r="BA128" s="685" t="str">
        <f>IF('[1]Data 2026'!AT139="","",'[1]Data 2026'!AT139)</f>
        <v/>
      </c>
      <c r="BB128" s="685" t="str">
        <f>IF('[1]Data 2026'!AU139="","",'[1]Data 2026'!AU139)</f>
        <v/>
      </c>
      <c r="BC128" s="685" t="str">
        <f>IF('[1]Data 2026'!AV139="","",'[1]Data 2026'!AV139)</f>
        <v/>
      </c>
      <c r="BD128" s="685" t="str">
        <f>IF('[1]Data 2026'!AW139="","",'[1]Data 2026'!AW139)</f>
        <v/>
      </c>
      <c r="BE128" s="685" t="str">
        <f>IF('[1]Data 2026'!AX139="","",'[1]Data 2026'!AX139)</f>
        <v/>
      </c>
      <c r="BF128" s="685" t="str">
        <f>IF('[1]Data 2026'!BF139="","",'[1]Data 2026'!BF139)</f>
        <v/>
      </c>
      <c r="BG128" s="685" t="str">
        <f>IF('[1]Data 2026'!BG139="","",'[1]Data 2026'!BG139)</f>
        <v/>
      </c>
      <c r="BH128" s="685" t="str">
        <f>IF('[1]Data 2026'!BH139="","",'[1]Data 2026'!BH139)</f>
        <v/>
      </c>
      <c r="BI128" s="685" t="str">
        <f>IF('[1]Data 2026'!BI139="","",'[1]Data 2026'!BI139)</f>
        <v/>
      </c>
      <c r="BJ128" s="685" t="str">
        <f>IF('[1]Data 2026'!BJ139="","",'[1]Data 2026'!BJ139)</f>
        <v/>
      </c>
      <c r="BK128" s="685" t="str">
        <f>IF('[1]Data 2026'!BK139="","",'[1]Data 2026'!BK139)</f>
        <v/>
      </c>
      <c r="BL128" s="685" t="str">
        <f>IF('[1]Data 2026'!BL139="","",'[1]Data 2026'!BL139)</f>
        <v/>
      </c>
      <c r="BM128" s="685" t="str">
        <f>IF('[1]Data 2026'!BM139="","",'[1]Data 2026'!BM139)</f>
        <v/>
      </c>
      <c r="BN128" s="685" t="str">
        <f>IF('[1]Data 2026'!BN139="","",'[1]Data 2026'!BN139)</f>
        <v/>
      </c>
      <c r="BO128" s="685" t="str">
        <f>IF('[1]Data 2026'!BO139="","",'[1]Data 2026'!BO139)</f>
        <v/>
      </c>
      <c r="BP128" s="685" t="str">
        <f>IF('[1]Data 2026'!BP139="","",'[1]Data 2026'!BP139)</f>
        <v/>
      </c>
      <c r="BQ128" s="685" t="str">
        <f>IF('[1]Data 2026'!BQ139="","",'[1]Data 2026'!BQ139)</f>
        <v/>
      </c>
      <c r="BR128" s="685" t="str">
        <f>IF('[1]Data 2026'!BR139="","",'[1]Data 2026'!BR139)</f>
        <v/>
      </c>
      <c r="BS128" s="685" t="str">
        <f>IF('[1]Data 2026'!BS139="","",'[1]Data 2026'!BS139)</f>
        <v/>
      </c>
      <c r="BT128" s="685" t="str">
        <f>IF('[1]Data 2026'!BV139="","",'[1]Data 2026'!BV139)</f>
        <v/>
      </c>
      <c r="BU128" s="685" t="str">
        <f>IF('[1]Data 2026'!BW139="","",'[1]Data 2026'!BW139)</f>
        <v/>
      </c>
      <c r="BV128" s="685" t="str">
        <f>IF('[1]Data 2026'!BX139="","",'[1]Data 2026'!BX139)</f>
        <v/>
      </c>
      <c r="BW128" s="685" t="str">
        <f>IF('[1]Data 2026'!BY139="","",'[1]Data 2026'!BY139)</f>
        <v/>
      </c>
      <c r="BX128" s="685" t="str">
        <f>IF('[1]Data 2026'!BZ139="","",'[1]Data 2026'!BZ139)</f>
        <v/>
      </c>
      <c r="BY128" s="685" t="str">
        <f>IF('[1]Data 2026'!CA139="","",'[1]Data 2026'!CA139)</f>
        <v/>
      </c>
      <c r="BZ128" s="685" t="str">
        <f>IF('[1]Data 2026'!CB139="","",'[1]Data 2026'!CB139)</f>
        <v/>
      </c>
      <c r="CA128" s="685" t="str">
        <f>IF('[1]Data 2026'!CC139="","",'[1]Data 2026'!CC139)</f>
        <v/>
      </c>
      <c r="CB128" s="685" t="str">
        <f>IF('[1]Data 2026'!CD139="","",'[1]Data 2026'!CD139)</f>
        <v/>
      </c>
      <c r="CC128" s="685" t="str">
        <f>IF('[1]Data 2026'!CE139="","",'[1]Data 2026'!CE139)</f>
        <v/>
      </c>
      <c r="CD128" s="685" t="str">
        <f>IF('[1]Data 2026'!CF139="","",'[1]Data 2026'!CF139)</f>
        <v/>
      </c>
      <c r="CE128" s="685" t="str">
        <f>IF('[1]Data 2026'!CG139="","",'[1]Data 2026'!CG139)</f>
        <v/>
      </c>
      <c r="CF128" s="685" t="str">
        <f>IF('[1]Data 2026'!CH139="","",'[1]Data 2026'!CH139)</f>
        <v/>
      </c>
      <c r="CG128" s="685" t="str">
        <f>IF('[1]Data 2026'!CI139="","",'[1]Data 2026'!CI139)</f>
        <v/>
      </c>
      <c r="CH128" s="685" t="str">
        <f>IF('[1]Data 2026'!CJ139="","",'[1]Data 2026'!CJ139)</f>
        <v/>
      </c>
      <c r="CI128" s="685" t="str">
        <f>IF('[1]Data 2026'!CK139="","",'[1]Data 2026'!CK139)</f>
        <v/>
      </c>
      <c r="CJ128" s="685" t="str">
        <f>IF('[1]Data 2026'!CM139="","",'[1]Data 2026'!CM139)</f>
        <v/>
      </c>
      <c r="CK128" s="685" t="str">
        <f>IF('[1]Data 2026'!CN139="","",'[1]Data 2026'!CN139)</f>
        <v/>
      </c>
      <c r="CL128" s="691"/>
      <c r="CM128" s="691" t="str">
        <f>IF('[1]Data 2026'!CP139="","",'[1]Data 2026'!CP139)</f>
        <v/>
      </c>
      <c r="CN128" s="691"/>
      <c r="CO128" s="419"/>
      <c r="CP128" s="419"/>
      <c r="CQ128" s="419"/>
      <c r="CR128" s="686" t="str">
        <f t="shared" si="25"/>
        <v/>
      </c>
    </row>
    <row r="129" spans="1:104" ht="15">
      <c r="A129" s="682" t="s">
        <v>1207</v>
      </c>
      <c r="B129" s="704" t="s">
        <v>1202</v>
      </c>
      <c r="C129" s="684" t="s">
        <v>1208</v>
      </c>
      <c r="D129" s="685" t="s">
        <v>1209</v>
      </c>
      <c r="E129" s="685" t="s">
        <v>1210</v>
      </c>
      <c r="F129" s="686">
        <v>46</v>
      </c>
      <c r="G129" s="686">
        <v>200</v>
      </c>
      <c r="H129" s="705">
        <v>32016245</v>
      </c>
      <c r="I129" s="688">
        <v>250</v>
      </c>
      <c r="J129" s="685" t="s">
        <v>1211</v>
      </c>
      <c r="K129" s="685">
        <v>46173</v>
      </c>
      <c r="L129" s="685" t="s">
        <v>1212</v>
      </c>
      <c r="M129" s="685" t="s">
        <v>1213</v>
      </c>
      <c r="N129" s="685" t="s">
        <v>1203</v>
      </c>
      <c r="O129" s="706">
        <v>26500030</v>
      </c>
      <c r="P129" s="707" t="s">
        <v>444</v>
      </c>
      <c r="Q129" s="685" t="s">
        <v>1214</v>
      </c>
      <c r="R129" s="685" t="s">
        <v>1215</v>
      </c>
      <c r="S129" s="685" t="s">
        <v>347</v>
      </c>
      <c r="T129" s="685" t="s">
        <v>409</v>
      </c>
      <c r="U129" s="685" t="s">
        <v>435</v>
      </c>
      <c r="V129" s="685">
        <v>46146</v>
      </c>
      <c r="W129" s="685">
        <v>46147</v>
      </c>
      <c r="X129" s="685">
        <v>46148</v>
      </c>
      <c r="Y129" s="685">
        <v>46153</v>
      </c>
      <c r="Z129" s="685">
        <v>46208</v>
      </c>
      <c r="AA129" s="685"/>
      <c r="AB129" s="685">
        <v>46163</v>
      </c>
      <c r="AC129" s="685">
        <v>46163</v>
      </c>
      <c r="AD129" s="691">
        <v>250</v>
      </c>
      <c r="AE129" s="691">
        <v>244.67</v>
      </c>
      <c r="AF129" s="685">
        <v>45808</v>
      </c>
      <c r="AG129" s="685" t="s">
        <v>1216</v>
      </c>
      <c r="AH129" s="686">
        <v>10</v>
      </c>
      <c r="AI129" s="685" t="s">
        <v>1217</v>
      </c>
      <c r="AJ129" s="685" t="s">
        <v>1218</v>
      </c>
      <c r="AK129" s="685" t="s">
        <v>1219</v>
      </c>
      <c r="AL129" s="685" t="s">
        <v>1220</v>
      </c>
      <c r="AM129" s="692">
        <v>0.1</v>
      </c>
      <c r="AN129" s="685" t="s">
        <v>1221</v>
      </c>
      <c r="AO129" s="691">
        <v>275</v>
      </c>
      <c r="AP129" s="691">
        <v>-5.3300000000000125</v>
      </c>
      <c r="AQ129" s="685" t="s">
        <v>1210</v>
      </c>
      <c r="AR129" s="685">
        <v>46163</v>
      </c>
      <c r="AS129" s="685">
        <v>46163</v>
      </c>
      <c r="AT129" s="685" t="s">
        <v>1210</v>
      </c>
      <c r="AU129" s="685" t="s">
        <v>1210</v>
      </c>
      <c r="AV129" s="685" t="s">
        <v>1210</v>
      </c>
      <c r="AW129" s="685" t="s">
        <v>1210</v>
      </c>
      <c r="AX129" s="685" t="s">
        <v>1210</v>
      </c>
      <c r="AY129" s="685" t="s">
        <v>1210</v>
      </c>
      <c r="AZ129" s="685" t="s">
        <v>1210</v>
      </c>
      <c r="BA129" s="685" t="s">
        <v>1210</v>
      </c>
      <c r="BB129" s="685" t="s">
        <v>1210</v>
      </c>
      <c r="BC129" s="685" t="s">
        <v>1210</v>
      </c>
      <c r="BD129" s="685" t="s">
        <v>1210</v>
      </c>
      <c r="BE129" s="685" t="s">
        <v>1210</v>
      </c>
      <c r="BF129" s="685" t="s">
        <v>1217</v>
      </c>
      <c r="BG129" s="685" t="s">
        <v>1210</v>
      </c>
      <c r="BH129" s="685" t="s">
        <v>1210</v>
      </c>
      <c r="BI129" s="685" t="s">
        <v>1210</v>
      </c>
      <c r="BJ129" s="685" t="s">
        <v>1210</v>
      </c>
      <c r="BK129" s="685" t="s">
        <v>1210</v>
      </c>
      <c r="BL129" s="685" t="s">
        <v>1218</v>
      </c>
      <c r="BM129" s="685" t="s">
        <v>1210</v>
      </c>
      <c r="BN129" s="685" t="s">
        <v>1210</v>
      </c>
      <c r="BO129" s="685" t="s">
        <v>1210</v>
      </c>
      <c r="BP129" s="685" t="s">
        <v>1210</v>
      </c>
      <c r="BQ129" s="685" t="s">
        <v>1210</v>
      </c>
      <c r="BR129" s="685">
        <v>46163</v>
      </c>
      <c r="BS129" s="685" t="s">
        <v>1222</v>
      </c>
      <c r="BT129" s="685" t="s">
        <v>1223</v>
      </c>
      <c r="BU129" s="685" t="s">
        <v>1210</v>
      </c>
      <c r="BV129" s="685" t="s">
        <v>1210</v>
      </c>
      <c r="BW129" s="685" t="s">
        <v>1210</v>
      </c>
      <c r="BX129" s="685" t="s">
        <v>1210</v>
      </c>
      <c r="BY129" s="685" t="s">
        <v>1224</v>
      </c>
      <c r="BZ129" s="685">
        <v>46146</v>
      </c>
      <c r="CA129" s="685" t="s">
        <v>1210</v>
      </c>
      <c r="CB129" s="685" t="s">
        <v>1210</v>
      </c>
      <c r="CC129" s="685" t="s">
        <v>1210</v>
      </c>
      <c r="CD129" s="685" t="s">
        <v>1210</v>
      </c>
      <c r="CE129" s="685">
        <v>46125</v>
      </c>
      <c r="CF129" s="685">
        <v>46149</v>
      </c>
      <c r="CG129" s="685" t="s">
        <v>1225</v>
      </c>
      <c r="CH129" s="685" t="s">
        <v>1210</v>
      </c>
      <c r="CI129" s="685">
        <v>46150</v>
      </c>
      <c r="CJ129" s="685" t="s">
        <v>1210</v>
      </c>
      <c r="CK129" s="685" t="s">
        <v>1226</v>
      </c>
      <c r="CL129" s="691"/>
      <c r="CM129" s="691" t="s">
        <v>1210</v>
      </c>
      <c r="CN129" s="691"/>
      <c r="CO129" s="419"/>
      <c r="CP129" s="419"/>
      <c r="CQ129" s="419"/>
      <c r="CR129" s="686">
        <v>1</v>
      </c>
      <c r="CS129" s="686">
        <v>1</v>
      </c>
      <c r="CT129" s="686">
        <v>5</v>
      </c>
      <c r="CU129" s="686">
        <v>15</v>
      </c>
      <c r="CV129" s="686" t="s">
        <v>1210</v>
      </c>
      <c r="CW129" s="685" t="s">
        <v>1210</v>
      </c>
      <c r="CX129" s="685" t="s">
        <v>1210</v>
      </c>
      <c r="CY129" s="693">
        <v>70</v>
      </c>
      <c r="CZ129" s="693" t="s">
        <v>1210</v>
      </c>
    </row>
    <row r="130" spans="1:104" ht="15">
      <c r="A130" s="682" t="s">
        <v>1207</v>
      </c>
      <c r="B130" s="704" t="s">
        <v>1202</v>
      </c>
      <c r="C130" s="684" t="s">
        <v>1208</v>
      </c>
      <c r="D130" s="685" t="s">
        <v>1209</v>
      </c>
      <c r="E130" s="685" t="s">
        <v>1210</v>
      </c>
      <c r="F130" s="686">
        <v>46</v>
      </c>
      <c r="G130" s="686">
        <v>200</v>
      </c>
      <c r="H130" s="705">
        <v>32014678</v>
      </c>
      <c r="I130" s="688">
        <v>250</v>
      </c>
      <c r="J130" s="685" t="s">
        <v>1211</v>
      </c>
      <c r="K130" s="685">
        <v>46173</v>
      </c>
      <c r="L130" s="685" t="s">
        <v>1212</v>
      </c>
      <c r="M130" s="685" t="s">
        <v>1213</v>
      </c>
      <c r="N130" s="685" t="s">
        <v>1203</v>
      </c>
      <c r="O130" s="706">
        <v>92767861</v>
      </c>
      <c r="P130" s="707" t="s">
        <v>488</v>
      </c>
      <c r="Q130" s="685" t="s">
        <v>1227</v>
      </c>
      <c r="R130" s="685" t="s">
        <v>1215</v>
      </c>
      <c r="S130" s="685" t="s">
        <v>347</v>
      </c>
      <c r="T130" s="685" t="s">
        <v>409</v>
      </c>
      <c r="U130" s="685" t="s">
        <v>435</v>
      </c>
      <c r="V130" s="685">
        <v>46147</v>
      </c>
      <c r="W130" s="685">
        <v>46148</v>
      </c>
      <c r="X130" s="685">
        <v>46149</v>
      </c>
      <c r="Y130" s="685">
        <v>46153</v>
      </c>
      <c r="Z130" s="685">
        <v>46208</v>
      </c>
      <c r="AA130" s="685"/>
      <c r="AB130" s="685">
        <v>46163</v>
      </c>
      <c r="AC130" s="685">
        <v>46163</v>
      </c>
      <c r="AD130" s="691">
        <v>250</v>
      </c>
      <c r="AE130" s="691">
        <v>247.10499999999999</v>
      </c>
      <c r="AF130" s="685">
        <v>45808</v>
      </c>
      <c r="AG130" s="685" t="s">
        <v>1216</v>
      </c>
      <c r="AH130" s="686">
        <v>10</v>
      </c>
      <c r="AI130" s="685" t="s">
        <v>1217</v>
      </c>
      <c r="AJ130" s="685" t="s">
        <v>1218</v>
      </c>
      <c r="AK130" s="685" t="s">
        <v>1219</v>
      </c>
      <c r="AL130" s="685" t="s">
        <v>1220</v>
      </c>
      <c r="AM130" s="692">
        <v>0.1</v>
      </c>
      <c r="AN130" s="685" t="s">
        <v>1221</v>
      </c>
      <c r="AO130" s="691">
        <v>275</v>
      </c>
      <c r="AP130" s="691">
        <v>-2.8950000000000102</v>
      </c>
      <c r="AQ130" s="685" t="s">
        <v>1210</v>
      </c>
      <c r="AR130" s="685">
        <v>46163</v>
      </c>
      <c r="AS130" s="685">
        <v>46163</v>
      </c>
      <c r="AT130" s="685" t="s">
        <v>1210</v>
      </c>
      <c r="AU130" s="685" t="s">
        <v>1210</v>
      </c>
      <c r="AV130" s="685" t="s">
        <v>1210</v>
      </c>
      <c r="AW130" s="685" t="s">
        <v>1210</v>
      </c>
      <c r="AX130" s="685" t="s">
        <v>1210</v>
      </c>
      <c r="AY130" s="685" t="s">
        <v>1210</v>
      </c>
      <c r="AZ130" s="685" t="s">
        <v>1210</v>
      </c>
      <c r="BA130" s="685" t="s">
        <v>1210</v>
      </c>
      <c r="BB130" s="685" t="s">
        <v>1210</v>
      </c>
      <c r="BC130" s="685" t="s">
        <v>1210</v>
      </c>
      <c r="BD130" s="685" t="s">
        <v>1210</v>
      </c>
      <c r="BE130" s="685" t="s">
        <v>1210</v>
      </c>
      <c r="BF130" s="685" t="s">
        <v>1217</v>
      </c>
      <c r="BG130" s="685" t="s">
        <v>1210</v>
      </c>
      <c r="BH130" s="685" t="s">
        <v>1210</v>
      </c>
      <c r="BI130" s="685" t="s">
        <v>1210</v>
      </c>
      <c r="BJ130" s="685" t="s">
        <v>1210</v>
      </c>
      <c r="BK130" s="685" t="s">
        <v>1210</v>
      </c>
      <c r="BL130" s="685" t="s">
        <v>1218</v>
      </c>
      <c r="BM130" s="685" t="s">
        <v>1210</v>
      </c>
      <c r="BN130" s="685" t="s">
        <v>1210</v>
      </c>
      <c r="BO130" s="685" t="s">
        <v>1210</v>
      </c>
      <c r="BP130" s="685" t="s">
        <v>1210</v>
      </c>
      <c r="BQ130" s="685" t="s">
        <v>1210</v>
      </c>
      <c r="BR130" s="685">
        <v>46163</v>
      </c>
      <c r="BS130" s="685" t="s">
        <v>1228</v>
      </c>
      <c r="BT130" s="685" t="s">
        <v>1223</v>
      </c>
      <c r="BU130" s="685" t="s">
        <v>1210</v>
      </c>
      <c r="BV130" s="685" t="s">
        <v>1210</v>
      </c>
      <c r="BW130" s="685" t="s">
        <v>1210</v>
      </c>
      <c r="BX130" s="685" t="s">
        <v>1210</v>
      </c>
      <c r="BY130" s="685" t="s">
        <v>1224</v>
      </c>
      <c r="BZ130" s="685">
        <v>46146</v>
      </c>
      <c r="CA130" s="685" t="s">
        <v>1210</v>
      </c>
      <c r="CB130" s="685" t="s">
        <v>1210</v>
      </c>
      <c r="CC130" s="685" t="s">
        <v>1210</v>
      </c>
      <c r="CD130" s="685" t="s">
        <v>1210</v>
      </c>
      <c r="CE130" s="685">
        <v>46125</v>
      </c>
      <c r="CF130" s="685">
        <v>46149</v>
      </c>
      <c r="CG130" s="685" t="s">
        <v>1225</v>
      </c>
      <c r="CH130" s="685" t="s">
        <v>1210</v>
      </c>
      <c r="CI130" s="685">
        <v>46150</v>
      </c>
      <c r="CJ130" s="685" t="s">
        <v>1210</v>
      </c>
      <c r="CK130" s="685" t="s">
        <v>1226</v>
      </c>
      <c r="CL130" s="691"/>
      <c r="CM130" s="691" t="s">
        <v>1210</v>
      </c>
      <c r="CN130" s="691"/>
      <c r="CO130" s="419"/>
      <c r="CP130" s="419"/>
      <c r="CQ130" s="419"/>
      <c r="CR130" s="686">
        <v>1</v>
      </c>
      <c r="CS130" s="686">
        <v>1</v>
      </c>
      <c r="CT130" s="686">
        <v>4</v>
      </c>
      <c r="CU130" s="686">
        <v>14</v>
      </c>
      <c r="CV130" s="686" t="s">
        <v>1210</v>
      </c>
      <c r="CW130" s="685" t="s">
        <v>1210</v>
      </c>
      <c r="CX130" s="685" t="s">
        <v>1210</v>
      </c>
      <c r="CY130" s="693">
        <v>70</v>
      </c>
      <c r="CZ130" s="693" t="s">
        <v>1210</v>
      </c>
    </row>
    <row r="131" spans="1:104" ht="15">
      <c r="A131" s="682" t="s">
        <v>1229</v>
      </c>
      <c r="B131" s="704" t="s">
        <v>1204</v>
      </c>
      <c r="C131" s="684" t="s">
        <v>1208</v>
      </c>
      <c r="D131" s="685" t="s">
        <v>1210</v>
      </c>
      <c r="E131" s="685" t="s">
        <v>1210</v>
      </c>
      <c r="F131" s="686">
        <v>46</v>
      </c>
      <c r="G131" s="686">
        <v>200</v>
      </c>
      <c r="H131" s="705">
        <v>32014679</v>
      </c>
      <c r="I131" s="688">
        <v>250</v>
      </c>
      <c r="J131" s="685" t="s">
        <v>1230</v>
      </c>
      <c r="K131" s="685">
        <v>46203</v>
      </c>
      <c r="L131" s="685" t="s">
        <v>1212</v>
      </c>
      <c r="M131" s="685" t="s">
        <v>577</v>
      </c>
      <c r="N131" s="685" t="s">
        <v>1203</v>
      </c>
      <c r="O131" s="706">
        <v>4055147050</v>
      </c>
      <c r="P131" s="707" t="s">
        <v>1210</v>
      </c>
      <c r="Q131" s="685" t="s">
        <v>1210</v>
      </c>
      <c r="R131" s="685" t="s">
        <v>1215</v>
      </c>
      <c r="S131" s="685" t="s">
        <v>347</v>
      </c>
      <c r="T131" s="685" t="s">
        <v>409</v>
      </c>
      <c r="U131" s="685" t="s">
        <v>1231</v>
      </c>
      <c r="V131" s="685">
        <v>46146</v>
      </c>
      <c r="W131" s="685">
        <v>46160</v>
      </c>
      <c r="X131" s="685">
        <v>46160</v>
      </c>
      <c r="Y131" s="685" t="s">
        <v>1210</v>
      </c>
      <c r="Z131" s="685" t="s">
        <v>1210</v>
      </c>
      <c r="AA131" s="685"/>
      <c r="AB131" s="685">
        <v>46181</v>
      </c>
      <c r="AC131" s="685" t="s">
        <v>1210</v>
      </c>
      <c r="AD131" s="691">
        <v>250</v>
      </c>
      <c r="AE131" s="691">
        <v>250</v>
      </c>
      <c r="AF131" s="685">
        <v>45838</v>
      </c>
      <c r="AG131" s="685" t="s">
        <v>1216</v>
      </c>
      <c r="AH131" s="686">
        <v>10</v>
      </c>
      <c r="AI131" s="685" t="s">
        <v>1232</v>
      </c>
      <c r="AJ131" s="685" t="s">
        <v>1233</v>
      </c>
      <c r="AK131" s="685" t="s">
        <v>1234</v>
      </c>
      <c r="AL131" s="685" t="s">
        <v>1220</v>
      </c>
      <c r="AM131" s="692">
        <v>0.1</v>
      </c>
      <c r="AN131" s="685" t="s">
        <v>1221</v>
      </c>
      <c r="AO131" s="691">
        <v>275</v>
      </c>
      <c r="AP131" s="691" t="s">
        <v>1210</v>
      </c>
      <c r="AQ131" s="685" t="s">
        <v>1210</v>
      </c>
      <c r="AR131" s="685" t="s">
        <v>1210</v>
      </c>
      <c r="AS131" s="685" t="s">
        <v>1210</v>
      </c>
      <c r="AT131" s="685" t="s">
        <v>1210</v>
      </c>
      <c r="AU131" s="685" t="s">
        <v>1210</v>
      </c>
      <c r="AV131" s="685" t="s">
        <v>1210</v>
      </c>
      <c r="AW131" s="685" t="s">
        <v>1210</v>
      </c>
      <c r="AX131" s="685" t="s">
        <v>1210</v>
      </c>
      <c r="AY131" s="685" t="s">
        <v>1210</v>
      </c>
      <c r="AZ131" s="685" t="s">
        <v>1210</v>
      </c>
      <c r="BA131" s="685" t="s">
        <v>1210</v>
      </c>
      <c r="BB131" s="685" t="s">
        <v>1210</v>
      </c>
      <c r="BC131" s="685" t="s">
        <v>1210</v>
      </c>
      <c r="BD131" s="685" t="s">
        <v>1210</v>
      </c>
      <c r="BE131" s="685" t="s">
        <v>1210</v>
      </c>
      <c r="BF131" s="685" t="s">
        <v>1232</v>
      </c>
      <c r="BG131" s="685" t="s">
        <v>1210</v>
      </c>
      <c r="BH131" s="685" t="s">
        <v>1210</v>
      </c>
      <c r="BI131" s="685" t="s">
        <v>1210</v>
      </c>
      <c r="BJ131" s="685" t="s">
        <v>1210</v>
      </c>
      <c r="BK131" s="685" t="s">
        <v>1210</v>
      </c>
      <c r="BL131" s="685" t="s">
        <v>1233</v>
      </c>
      <c r="BM131" s="685" t="s">
        <v>1210</v>
      </c>
      <c r="BN131" s="685" t="s">
        <v>1210</v>
      </c>
      <c r="BO131" s="685" t="s">
        <v>1210</v>
      </c>
      <c r="BP131" s="685" t="s">
        <v>1210</v>
      </c>
      <c r="BQ131" s="685" t="s">
        <v>1210</v>
      </c>
      <c r="BR131" s="685" t="s">
        <v>1210</v>
      </c>
      <c r="BS131" s="685" t="s">
        <v>1210</v>
      </c>
      <c r="BT131" s="685" t="s">
        <v>1223</v>
      </c>
      <c r="BU131" s="685" t="s">
        <v>1210</v>
      </c>
      <c r="BV131" s="685" t="s">
        <v>1210</v>
      </c>
      <c r="BW131" s="685" t="s">
        <v>1210</v>
      </c>
      <c r="BX131" s="685" t="s">
        <v>1210</v>
      </c>
      <c r="BY131" s="685" t="s">
        <v>1235</v>
      </c>
      <c r="BZ131" s="685">
        <v>46161</v>
      </c>
      <c r="CA131" s="685" t="s">
        <v>1236</v>
      </c>
      <c r="CB131" s="685">
        <v>46161</v>
      </c>
      <c r="CC131" s="685" t="s">
        <v>1210</v>
      </c>
      <c r="CD131" s="685" t="s">
        <v>1210</v>
      </c>
      <c r="CE131" s="685" t="s">
        <v>1210</v>
      </c>
      <c r="CF131" s="685">
        <v>46161</v>
      </c>
      <c r="CG131" s="685" t="s">
        <v>1237</v>
      </c>
      <c r="CH131" s="685" t="s">
        <v>1210</v>
      </c>
      <c r="CI131" s="685" t="s">
        <v>1210</v>
      </c>
      <c r="CJ131" s="685" t="s">
        <v>1210</v>
      </c>
      <c r="CK131" s="685" t="s">
        <v>1226</v>
      </c>
      <c r="CL131" s="691"/>
      <c r="CM131" s="691" t="s">
        <v>1210</v>
      </c>
      <c r="CN131" s="691"/>
      <c r="CO131" s="419"/>
      <c r="CP131" s="419"/>
      <c r="CQ131" s="419"/>
      <c r="CR131" s="686">
        <v>14</v>
      </c>
      <c r="CS131" s="686">
        <v>0</v>
      </c>
      <c r="CT131" s="686" t="s">
        <v>1210</v>
      </c>
      <c r="CU131" s="686" t="s">
        <v>1210</v>
      </c>
      <c r="CV131" s="686" t="s">
        <v>1210</v>
      </c>
      <c r="CW131" s="685" t="s">
        <v>1210</v>
      </c>
      <c r="CX131" s="685" t="s">
        <v>1210</v>
      </c>
      <c r="CY131" s="693">
        <v>0</v>
      </c>
      <c r="CZ131" s="693" t="s">
        <v>1210</v>
      </c>
    </row>
    <row r="132" spans="1:104" ht="15"/>
  </sheetData>
  <autoFilter ref="A3:CZ85" xr:uid="{5C497707-D972-4022-9EA4-A9384CD7F74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5B6E-8C30-4757-8E64-6F86EE9C8D24}">
  <dimension ref="A1:C100"/>
  <sheetViews>
    <sheetView workbookViewId="0">
      <selection activeCell="C10" sqref="C10"/>
    </sheetView>
  </sheetViews>
  <sheetFormatPr defaultColWidth="9.28515625" defaultRowHeight="14.45"/>
  <cols>
    <col min="1" max="1" width="12.85546875" style="64" customWidth="1"/>
    <col min="2" max="2" width="49.5703125" style="64" customWidth="1"/>
    <col min="3" max="3" width="50.28515625" style="64" customWidth="1"/>
    <col min="4" max="16384" width="9.28515625" style="64"/>
  </cols>
  <sheetData>
    <row r="1" spans="1:3">
      <c r="A1" s="67" t="s">
        <v>914</v>
      </c>
      <c r="B1" s="68" t="s">
        <v>27</v>
      </c>
      <c r="C1" s="67" t="s">
        <v>1238</v>
      </c>
    </row>
    <row r="2" spans="1:3">
      <c r="A2" s="66" cm="1">
        <f t="array" ref="A2:A18">_xlfn.UNIQUE(_xlfn._xlws.FILTER('MIS 2026'!$F$3:$F$990,'MIS 2026'!$V$3:$V$990&lt;&gt;""))</f>
        <v>32014425</v>
      </c>
      <c r="B2" s="66" t="str">
        <f>_xlfn.SINGLE(IF(A2="","",_xlfn.XLOOKUP(A2,'MIS 2026'!F3:F990,'MIS 2026'!H3:H990,)))</f>
        <v>VALENCY AGRO // HSS // ORGANIC FOODS INDIA EXIM</v>
      </c>
      <c r="C2" s="66" t="str">
        <f>_xlfn.SINGLE(IF(A2="","",_xlfn.XLOOKUP(A2,'MIS 2026'!F3:F990,'MIS 2026'!V3:V990,)))</f>
        <v>ADDENDUM 11/02-COUNTER SIGNED RCVD</v>
      </c>
    </row>
    <row r="3" spans="1:3">
      <c r="A3" s="66">
        <v>32013748</v>
      </c>
      <c r="B3" s="66" t="str">
        <f>_xlfn.SINGLE(IF(A3="","",_xlfn.XLOOKUP(A3,'MIS 2026'!F4:F991,'MIS 2026'!H4:H991,)))</f>
        <v>ST. PAULS CASHEW FACTORY</v>
      </c>
      <c r="C3" s="66" t="str">
        <f>_xlfn.SINGLE(IF(A3="","",_xlfn.XLOOKUP(A3,'MIS 2026'!F4:F991,'MIS 2026'!V4:V991,)))</f>
        <v>ADDENDUM 11/02-COUNTER SIGNED RCVD</v>
      </c>
    </row>
    <row r="4" spans="1:3">
      <c r="A4" s="66" t="str">
        <v>32015806-1</v>
      </c>
      <c r="B4" s="66" t="str">
        <f>_xlfn.SINGLE(IF(A4="","",_xlfn.XLOOKUP(A4,'MIS 2026'!F5:F992,'MIS 2026'!H5:H992,)))</f>
        <v>INDIA ENTERPRISES</v>
      </c>
      <c r="C4" s="66" t="str">
        <f>_xlfn.SINGLE(IF(A4="","",_xlfn.XLOOKUP(A4,'MIS 2026'!F5:F992,'MIS 2026'!V5:V992,)))</f>
        <v>ADDENDUM 01-EXTENSION TILL 15TH MAY</v>
      </c>
    </row>
    <row r="5" spans="1:3">
      <c r="A5" s="66" t="str">
        <v>32015806-2</v>
      </c>
      <c r="B5" s="66" t="str">
        <f>_xlfn.SINGLE(IF(A5="","",_xlfn.XLOOKUP(A5,'MIS 2026'!F6:F993,'MIS 2026'!H6:H993,)))</f>
        <v>INDIA ENTERPRISES</v>
      </c>
      <c r="C5" s="66" t="str">
        <f>_xlfn.SINGLE(IF(A5="","",_xlfn.XLOOKUP(A5,'MIS 2026'!F6:F993,'MIS 2026'!V6:V993,)))</f>
        <v>ADDENDUM 01-EXTENSION TILL 15TH MAY</v>
      </c>
    </row>
    <row r="6" spans="1:3">
      <c r="A6" s="66" t="str">
        <v>32013750-1</v>
      </c>
      <c r="B6" s="66" t="str">
        <f>_xlfn.SINGLE(IF(A6="","",_xlfn.XLOOKUP(A6,'MIS 2026'!F7:F994,'MIS 2026'!H7:H994,)))</f>
        <v>MAA TARA TARINI CASHEW INDUSTRIES</v>
      </c>
      <c r="C6" s="66" t="str">
        <f>_xlfn.SINGLE(IF(A6="","",_xlfn.XLOOKUP(A6,'MIS 2026'!F7:F994,'MIS 2026'!V7:V994,)))</f>
        <v>ADDENDUM 11/02-COUNTER SIGNED RCVD</v>
      </c>
    </row>
    <row r="7" spans="1:3">
      <c r="A7" s="66" t="str">
        <v>32013750-2</v>
      </c>
      <c r="B7" s="66" t="str">
        <f>_xlfn.SINGLE(IF(A7="","",_xlfn.XLOOKUP(A7,'MIS 2026'!F8:F995,'MIS 2026'!H8:H995,)))</f>
        <v>MAA TARA TARINI CASHEW INDUSTRIES</v>
      </c>
      <c r="C7" s="66" t="str">
        <f>_xlfn.SINGLE(IF(A7="","",_xlfn.XLOOKUP(A7,'MIS 2026'!F8:F995,'MIS 2026'!V8:V995,)))</f>
        <v>ADDENDUM 11/02-COUNTER SIGNED RCVD</v>
      </c>
    </row>
    <row r="8" spans="1:3">
      <c r="A8" s="66">
        <v>32016123</v>
      </c>
      <c r="B8" s="66" t="e">
        <f>IF(A8="","",_xlfn.XLOOKUP(A8,'MIS 2026'!#REF!,'MIS 2026'!#REF!,))</f>
        <v>#REF!</v>
      </c>
      <c r="C8" s="66" t="e">
        <f>IF(A8="","",_xlfn.XLOOKUP(A8,'MIS 2026'!#REF!,'MIS 2026'!#REF!,))</f>
        <v>#REF!</v>
      </c>
    </row>
    <row r="9" spans="1:3">
      <c r="A9" s="66">
        <v>32016244</v>
      </c>
      <c r="B9" s="66" t="e">
        <f>IF(A9="","",_xlfn.XLOOKUP(A9,'MIS 2026'!#REF!,'MIS 2026'!#REF!,))</f>
        <v>#REF!</v>
      </c>
      <c r="C9" s="66" t="e">
        <f>IF(A9="","",_xlfn.XLOOKUP(A9,'MIS 2026'!#REF!,'MIS 2026'!#REF!,))</f>
        <v>#REF!</v>
      </c>
    </row>
    <row r="10" spans="1:3">
      <c r="A10" s="66">
        <v>32013749</v>
      </c>
      <c r="B10" s="66" t="e">
        <f>IF(A10="","",_xlfn.XLOOKUP(A10,'MIS 2026'!#REF!,'MIS 2026'!#REF!,))</f>
        <v>#REF!</v>
      </c>
      <c r="C10" s="66" t="e">
        <f>IF(A10="","",_xlfn.XLOOKUP(A10,'MIS 2026'!#REF!,'MIS 2026'!#REF!,))</f>
        <v>#REF!</v>
      </c>
    </row>
    <row r="11" spans="1:3">
      <c r="A11" s="66">
        <v>32016284</v>
      </c>
      <c r="B11" s="66" t="e">
        <f>IF(A11="","",_xlfn.XLOOKUP(A11,'MIS 2026'!#REF!,'MIS 2026'!#REF!,))</f>
        <v>#REF!</v>
      </c>
      <c r="C11" s="66" t="e">
        <f>IF(A11="","",_xlfn.XLOOKUP(A11,'MIS 2026'!#REF!,'MIS 2026'!#REF!,))</f>
        <v>#REF!</v>
      </c>
    </row>
    <row r="12" spans="1:3">
      <c r="A12" s="66" t="str">
        <v>32015124-2</v>
      </c>
      <c r="B12" s="66" t="e">
        <f>IF(A12="","",_xlfn.XLOOKUP(A12,'MIS 2026'!#REF!,'MIS 2026'!#REF!,))</f>
        <v>#REF!</v>
      </c>
      <c r="C12" s="66" t="e">
        <f>IF(A12="","",_xlfn.XLOOKUP(A12,'MIS 2026'!#REF!,'MIS 2026'!#REF!,))</f>
        <v>#REF!</v>
      </c>
    </row>
    <row r="13" spans="1:3">
      <c r="A13" s="66" t="str">
        <v>32013750-3</v>
      </c>
      <c r="B13" s="66" t="e">
        <f>IF(A13="","",_xlfn.XLOOKUP(A13,'MIS 2026'!#REF!,'MIS 2026'!#REF!,))</f>
        <v>#REF!</v>
      </c>
      <c r="C13" s="66" t="e">
        <f>IF(A13="","",_xlfn.XLOOKUP(A13,'MIS 2026'!#REF!,'MIS 2026'!#REF!,))</f>
        <v>#REF!</v>
      </c>
    </row>
    <row r="14" spans="1:3">
      <c r="A14" s="66">
        <v>32016296</v>
      </c>
      <c r="B14" s="66" t="e">
        <f>IF(A14="","",_xlfn.XLOOKUP(A14,'MIS 2026'!#REF!,'MIS 2026'!#REF!,))</f>
        <v>#REF!</v>
      </c>
      <c r="C14" s="66" t="e">
        <f>IF(A14="","",_xlfn.XLOOKUP(A14,'MIS 2026'!#REF!,'MIS 2026'!#REF!,))</f>
        <v>#REF!</v>
      </c>
    </row>
    <row r="15" spans="1:3">
      <c r="A15" s="66">
        <v>32016285</v>
      </c>
      <c r="B15" s="66" t="e">
        <f>IF(A15="","",_xlfn.XLOOKUP(A15,'MIS 2026'!#REF!,'MIS 2026'!#REF!,))</f>
        <v>#REF!</v>
      </c>
      <c r="C15" s="66" t="e">
        <f>IF(A15="","",_xlfn.XLOOKUP(A15,'MIS 2026'!#REF!,'MIS 2026'!#REF!,))</f>
        <v>#REF!</v>
      </c>
    </row>
    <row r="16" spans="1:3">
      <c r="A16" s="66">
        <v>32016278</v>
      </c>
      <c r="B16" s="66" t="e">
        <f>IF(A16="","",_xlfn.XLOOKUP(A16,'MIS 2026'!#REF!,'MIS 2026'!#REF!,))</f>
        <v>#REF!</v>
      </c>
      <c r="C16" s="66" t="e">
        <f>IF(A16="","",_xlfn.XLOOKUP(A16,'MIS 2026'!#REF!,'MIS 2026'!#REF!,))</f>
        <v>#REF!</v>
      </c>
    </row>
    <row r="17" spans="1:3">
      <c r="A17" s="66">
        <v>32016329</v>
      </c>
      <c r="B17" s="66" t="e">
        <f>IF(A17="","",_xlfn.XLOOKUP(A17,'MIS 2026'!#REF!,'MIS 2026'!#REF!,))</f>
        <v>#REF!</v>
      </c>
      <c r="C17" s="66" t="e">
        <f>IF(A17="","",_xlfn.XLOOKUP(A17,'MIS 2026'!#REF!,'MIS 2026'!#REF!,))</f>
        <v>#REF!</v>
      </c>
    </row>
    <row r="18" spans="1:3">
      <c r="A18" s="66" t="str">
        <v>TBA 13</v>
      </c>
      <c r="B18" s="66" t="e">
        <f>IF(A18="","",_xlfn.XLOOKUP(A18,'MIS 2026'!#REF!,'MIS 2026'!#REF!,))</f>
        <v>#REF!</v>
      </c>
      <c r="C18" s="66" t="e">
        <f>IF(A18="","",_xlfn.XLOOKUP(A18,'MIS 2026'!#REF!,'MIS 2026'!#REF!,))</f>
        <v>#REF!</v>
      </c>
    </row>
    <row r="19" spans="1:3">
      <c r="A19" s="66"/>
      <c r="B19" s="66" t="str">
        <f>IF(A19="","",_xlfn.XLOOKUP(A19,'MIS 2026'!#REF!,'MIS 2026'!#REF!,))</f>
        <v/>
      </c>
      <c r="C19" s="66" t="str">
        <f>IF(A19="","",_xlfn.XLOOKUP(A19,'MIS 2026'!#REF!,'MIS 2026'!#REF!,))</f>
        <v/>
      </c>
    </row>
    <row r="20" spans="1:3">
      <c r="A20" s="66"/>
      <c r="B20" s="66" t="str">
        <f>IF(A20="","",_xlfn.XLOOKUP(A20,'MIS 2026'!#REF!,'MIS 2026'!#REF!,))</f>
        <v/>
      </c>
      <c r="C20" s="66" t="str">
        <f>IF(A20="","",_xlfn.XLOOKUP(A20,'MIS 2026'!#REF!,'MIS 2026'!#REF!,))</f>
        <v/>
      </c>
    </row>
    <row r="21" spans="1:3">
      <c r="A21" s="66"/>
      <c r="B21" s="66" t="str">
        <f>IF(A21="","",_xlfn.XLOOKUP(A21,'MIS 2026'!#REF!,'MIS 2026'!#REF!,))</f>
        <v/>
      </c>
      <c r="C21" s="66" t="str">
        <f>IF(A21="","",_xlfn.XLOOKUP(A21,'MIS 2026'!#REF!,'MIS 2026'!#REF!,))</f>
        <v/>
      </c>
    </row>
    <row r="22" spans="1:3">
      <c r="A22" s="66"/>
      <c r="B22" s="66" t="str">
        <f>IF(A22="","",_xlfn.XLOOKUP(A22,'MIS 2026'!#REF!,'MIS 2026'!#REF!,))</f>
        <v/>
      </c>
      <c r="C22" s="66" t="str">
        <f>IF(A22="","",_xlfn.XLOOKUP(A22,'MIS 2026'!#REF!,'MIS 2026'!#REF!,))</f>
        <v/>
      </c>
    </row>
    <row r="23" spans="1:3">
      <c r="A23" s="66"/>
      <c r="B23" s="66" t="str">
        <f>IF(A23="","",_xlfn.XLOOKUP(A23,'MIS 2026'!#REF!,'MIS 2026'!#REF!,))</f>
        <v/>
      </c>
      <c r="C23" s="66" t="str">
        <f>IF(A23="","",_xlfn.XLOOKUP(A23,'MIS 2026'!#REF!,'MIS 2026'!#REF!,))</f>
        <v/>
      </c>
    </row>
    <row r="24" spans="1:3">
      <c r="A24" s="66"/>
      <c r="B24" s="66" t="str">
        <f>IF(A24="","",_xlfn.XLOOKUP(A24,'MIS 2026'!#REF!,'MIS 2026'!#REF!,))</f>
        <v/>
      </c>
      <c r="C24" s="66" t="str">
        <f>IF(A24="","",_xlfn.XLOOKUP(A24,'MIS 2026'!#REF!,'MIS 2026'!#REF!,))</f>
        <v/>
      </c>
    </row>
    <row r="25" spans="1:3">
      <c r="A25" s="66"/>
      <c r="B25" s="66" t="str">
        <f>IF(A25="","",_xlfn.XLOOKUP(A25,'MIS 2026'!#REF!,'MIS 2026'!#REF!,))</f>
        <v/>
      </c>
      <c r="C25" s="66" t="str">
        <f>IF(A25="","",_xlfn.XLOOKUP(A25,'MIS 2026'!#REF!,'MIS 2026'!#REF!,))</f>
        <v/>
      </c>
    </row>
    <row r="26" spans="1:3">
      <c r="A26" s="66"/>
      <c r="B26" s="66" t="str">
        <f>IF(A26="","",_xlfn.XLOOKUP(A26,'MIS 2026'!#REF!,'MIS 2026'!#REF!,))</f>
        <v/>
      </c>
      <c r="C26" s="66" t="str">
        <f>IF(A26="","",_xlfn.XLOOKUP(A26,'MIS 2026'!#REF!,'MIS 2026'!#REF!,))</f>
        <v/>
      </c>
    </row>
    <row r="27" spans="1:3">
      <c r="A27" s="66"/>
      <c r="B27" s="66" t="str">
        <f>IF(A27="","",_xlfn.XLOOKUP(A27,'MIS 2026'!#REF!,'MIS 2026'!#REF!,))</f>
        <v/>
      </c>
      <c r="C27" s="66" t="str">
        <f>IF(A27="","",_xlfn.XLOOKUP(A27,'MIS 2026'!#REF!,'MIS 2026'!#REF!,))</f>
        <v/>
      </c>
    </row>
    <row r="28" spans="1:3">
      <c r="A28" s="66"/>
      <c r="B28" s="66" t="str">
        <f>IF(A28="","",_xlfn.XLOOKUP(A28,'MIS 2026'!#REF!,'MIS 2026'!#REF!,))</f>
        <v/>
      </c>
      <c r="C28" s="66" t="str">
        <f>IF(A28="","",_xlfn.XLOOKUP(A28,'MIS 2026'!#REF!,'MIS 2026'!#REF!,))</f>
        <v/>
      </c>
    </row>
    <row r="29" spans="1:3">
      <c r="A29" s="66"/>
      <c r="B29" s="66" t="str">
        <f>IF(A29="","",_xlfn.XLOOKUP(A29,'MIS 2026'!#REF!,'MIS 2026'!#REF!,))</f>
        <v/>
      </c>
      <c r="C29" s="66" t="str">
        <f>IF(A29="","",_xlfn.XLOOKUP(A29,'MIS 2026'!#REF!,'MIS 2026'!#REF!,))</f>
        <v/>
      </c>
    </row>
    <row r="30" spans="1:3">
      <c r="A30" s="66"/>
      <c r="B30" s="66" t="str">
        <f>IF(A30="","",_xlfn.XLOOKUP(A30,'MIS 2026'!#REF!,'MIS 2026'!#REF!,))</f>
        <v/>
      </c>
      <c r="C30" s="66" t="str">
        <f>IF(A30="","",_xlfn.XLOOKUP(A30,'MIS 2026'!#REF!,'MIS 2026'!#REF!,))</f>
        <v/>
      </c>
    </row>
    <row r="31" spans="1:3">
      <c r="A31" s="66"/>
      <c r="B31" s="66" t="str">
        <f>IF(A31="","",_xlfn.XLOOKUP(A31,'MIS 2026'!#REF!,'MIS 2026'!#REF!,))</f>
        <v/>
      </c>
      <c r="C31" s="66" t="str">
        <f>IF(A31="","",_xlfn.XLOOKUP(A31,'MIS 2026'!#REF!,'MIS 2026'!#REF!,))</f>
        <v/>
      </c>
    </row>
    <row r="32" spans="1:3">
      <c r="A32" s="66"/>
      <c r="B32" s="66" t="str">
        <f>IF(A32="","",_xlfn.XLOOKUP(A32,'MIS 2026'!#REF!,'MIS 2026'!#REF!,))</f>
        <v/>
      </c>
      <c r="C32" s="66" t="str">
        <f>IF(A32="","",_xlfn.XLOOKUP(A32,'MIS 2026'!#REF!,'MIS 2026'!#REF!,))</f>
        <v/>
      </c>
    </row>
    <row r="33" spans="1:3">
      <c r="A33" s="66"/>
      <c r="B33" s="66" t="str">
        <f>IF(A33="","",_xlfn.XLOOKUP(A33,'MIS 2026'!#REF!,'MIS 2026'!#REF!,))</f>
        <v/>
      </c>
      <c r="C33" s="66" t="str">
        <f>IF(A33="","",_xlfn.XLOOKUP(A33,'MIS 2026'!#REF!,'MIS 2026'!#REF!,))</f>
        <v/>
      </c>
    </row>
    <row r="34" spans="1:3">
      <c r="A34" s="66"/>
      <c r="B34" s="66" t="str">
        <f>IF(A34="","",_xlfn.XLOOKUP(A34,'MIS 2026'!#REF!,'MIS 2026'!#REF!,))</f>
        <v/>
      </c>
      <c r="C34" s="66" t="str">
        <f>IF(A34="","",_xlfn.XLOOKUP(A34,'MIS 2026'!#REF!,'MIS 2026'!#REF!,))</f>
        <v/>
      </c>
    </row>
    <row r="35" spans="1:3">
      <c r="A35" s="66"/>
      <c r="B35" s="66" t="str">
        <f>IF(A35="","",_xlfn.XLOOKUP(A35,'MIS 2026'!#REF!,'MIS 2026'!#REF!,))</f>
        <v/>
      </c>
      <c r="C35" s="66" t="str">
        <f>IF(A35="","",_xlfn.XLOOKUP(A35,'MIS 2026'!#REF!,'MIS 2026'!#REF!,))</f>
        <v/>
      </c>
    </row>
    <row r="36" spans="1:3">
      <c r="A36" s="66"/>
      <c r="B36" s="66" t="str">
        <f>IF(A36="","",_xlfn.XLOOKUP(A36,'MIS 2026'!#REF!,'MIS 2026'!#REF!,))</f>
        <v/>
      </c>
      <c r="C36" s="66" t="str">
        <f>IF(A36="","",_xlfn.XLOOKUP(A36,'MIS 2026'!#REF!,'MIS 2026'!#REF!,))</f>
        <v/>
      </c>
    </row>
    <row r="37" spans="1:3">
      <c r="A37" s="66"/>
      <c r="B37" s="66" t="str">
        <f>IF(A37="","",_xlfn.XLOOKUP(A37,'MIS 2026'!#REF!,'MIS 2026'!#REF!,))</f>
        <v/>
      </c>
      <c r="C37" s="66" t="str">
        <f>IF(A37="","",_xlfn.XLOOKUP(A37,'MIS 2026'!#REF!,'MIS 2026'!#REF!,))</f>
        <v/>
      </c>
    </row>
    <row r="38" spans="1:3">
      <c r="A38" s="66"/>
      <c r="B38" s="66" t="str">
        <f>IF(A38="","",_xlfn.XLOOKUP(A38,'MIS 2026'!#REF!,'MIS 2026'!#REF!,))</f>
        <v/>
      </c>
      <c r="C38" s="66" t="str">
        <f>IF(A38="","",_xlfn.XLOOKUP(A38,'MIS 2026'!#REF!,'MIS 2026'!#REF!,))</f>
        <v/>
      </c>
    </row>
    <row r="39" spans="1:3">
      <c r="A39" s="66"/>
      <c r="B39" s="66" t="str">
        <f>IF(A39="","",_xlfn.XLOOKUP(A39,'MIS 2026'!#REF!,'MIS 2026'!#REF!,))</f>
        <v/>
      </c>
      <c r="C39" s="66" t="str">
        <f>IF(A39="","",_xlfn.XLOOKUP(A39,'MIS 2026'!#REF!,'MIS 2026'!#REF!,))</f>
        <v/>
      </c>
    </row>
    <row r="40" spans="1:3">
      <c r="A40" s="66"/>
      <c r="B40" s="66" t="str">
        <f>IF(A40="","",_xlfn.XLOOKUP(A40,'MIS 2026'!#REF!,'MIS 2026'!#REF!,))</f>
        <v/>
      </c>
      <c r="C40" s="66" t="str">
        <f>IF(A40="","",_xlfn.XLOOKUP(A40,'MIS 2026'!#REF!,'MIS 2026'!#REF!,))</f>
        <v/>
      </c>
    </row>
    <row r="41" spans="1:3">
      <c r="A41" s="66"/>
      <c r="B41" s="66" t="str">
        <f>IF(A41="","",_xlfn.XLOOKUP(A41,'MIS 2026'!#REF!,'MIS 2026'!#REF!,))</f>
        <v/>
      </c>
      <c r="C41" s="66" t="str">
        <f>IF(A41="","",_xlfn.XLOOKUP(A41,'MIS 2026'!#REF!,'MIS 2026'!#REF!,))</f>
        <v/>
      </c>
    </row>
    <row r="42" spans="1:3">
      <c r="A42" s="66"/>
      <c r="B42" s="66" t="str">
        <f>IF(A42="","",_xlfn.XLOOKUP(A42,'MIS 2026'!#REF!,'MIS 2026'!#REF!,))</f>
        <v/>
      </c>
      <c r="C42" s="66" t="str">
        <f>IF(A42="","",_xlfn.XLOOKUP(A42,'MIS 2026'!#REF!,'MIS 2026'!#REF!,))</f>
        <v/>
      </c>
    </row>
    <row r="43" spans="1:3">
      <c r="A43" s="66"/>
      <c r="B43" s="66" t="str">
        <f>IF(A43="","",_xlfn.XLOOKUP(A43,'MIS 2026'!#REF!,'MIS 2026'!#REF!,))</f>
        <v/>
      </c>
      <c r="C43" s="66" t="str">
        <f>IF(A43="","",_xlfn.XLOOKUP(A43,'MIS 2026'!#REF!,'MIS 2026'!#REF!,))</f>
        <v/>
      </c>
    </row>
    <row r="44" spans="1:3">
      <c r="A44" s="66"/>
      <c r="B44" s="66" t="str">
        <f>IF(A44="","",_xlfn.XLOOKUP(A44,'MIS 2026'!#REF!,'MIS 2026'!#REF!,))</f>
        <v/>
      </c>
      <c r="C44" s="66" t="str">
        <f>IF(A44="","",_xlfn.XLOOKUP(A44,'MIS 2026'!#REF!,'MIS 2026'!#REF!,))</f>
        <v/>
      </c>
    </row>
    <row r="45" spans="1:3">
      <c r="A45" s="66"/>
      <c r="B45" s="66" t="str">
        <f>IF(A45="","",_xlfn.XLOOKUP(A45,'MIS 2026'!#REF!,'MIS 2026'!#REF!,))</f>
        <v/>
      </c>
      <c r="C45" s="66" t="str">
        <f>IF(A45="","",_xlfn.XLOOKUP(A45,'MIS 2026'!#REF!,'MIS 2026'!#REF!,))</f>
        <v/>
      </c>
    </row>
    <row r="46" spans="1:3">
      <c r="A46" s="66"/>
      <c r="B46" s="66" t="str">
        <f>IF(A46="","",_xlfn.XLOOKUP(A46,'MIS 2026'!#REF!,'MIS 2026'!#REF!,))</f>
        <v/>
      </c>
      <c r="C46" s="66" t="str">
        <f>IF(A46="","",_xlfn.XLOOKUP(A46,'MIS 2026'!#REF!,'MIS 2026'!#REF!,))</f>
        <v/>
      </c>
    </row>
    <row r="47" spans="1:3">
      <c r="A47" s="66"/>
      <c r="B47" s="66" t="str">
        <f>IF(A47="","",_xlfn.XLOOKUP(A47,'MIS 2026'!#REF!,'MIS 2026'!#REF!,))</f>
        <v/>
      </c>
      <c r="C47" s="66" t="str">
        <f>IF(A47="","",_xlfn.XLOOKUP(A47,'MIS 2026'!#REF!,'MIS 2026'!#REF!,))</f>
        <v/>
      </c>
    </row>
    <row r="48" spans="1:3">
      <c r="A48" s="66"/>
      <c r="B48" s="66" t="str">
        <f>IF(A48="","",_xlfn.XLOOKUP(A48,'MIS 2026'!#REF!,'MIS 2026'!#REF!,))</f>
        <v/>
      </c>
      <c r="C48" s="66" t="str">
        <f>IF(A48="","",_xlfn.XLOOKUP(A48,'MIS 2026'!#REF!,'MIS 2026'!#REF!,))</f>
        <v/>
      </c>
    </row>
    <row r="49" spans="1:3">
      <c r="A49" s="66"/>
      <c r="B49" s="66" t="str">
        <f>IF(A49="","",_xlfn.XLOOKUP(A49,'MIS 2026'!#REF!,'MIS 2026'!#REF!,))</f>
        <v/>
      </c>
      <c r="C49" s="66" t="str">
        <f>IF(A49="","",_xlfn.XLOOKUP(A49,'MIS 2026'!#REF!,'MIS 2026'!#REF!,))</f>
        <v/>
      </c>
    </row>
    <row r="50" spans="1:3">
      <c r="A50" s="66"/>
      <c r="B50" s="66" t="str">
        <f>IF(A50="","",_xlfn.XLOOKUP(A50,'MIS 2026'!#REF!,'MIS 2026'!#REF!,))</f>
        <v/>
      </c>
      <c r="C50" s="66" t="str">
        <f>IF(A50="","",_xlfn.XLOOKUP(A50,'MIS 2026'!#REF!,'MIS 2026'!#REF!,))</f>
        <v/>
      </c>
    </row>
    <row r="51" spans="1:3">
      <c r="A51" s="66"/>
      <c r="B51" s="66" t="str">
        <f>IF(A51="","",_xlfn.XLOOKUP(A51,'MIS 2026'!#REF!,'MIS 2026'!#REF!,))</f>
        <v/>
      </c>
      <c r="C51" s="66" t="str">
        <f>IF(A51="","",_xlfn.XLOOKUP(A51,'MIS 2026'!#REF!,'MIS 2026'!#REF!,))</f>
        <v/>
      </c>
    </row>
    <row r="52" spans="1:3">
      <c r="A52" s="66"/>
      <c r="B52" s="66" t="str">
        <f>IF(A52="","",_xlfn.XLOOKUP(A52,'MIS 2026'!#REF!,'MIS 2026'!#REF!,))</f>
        <v/>
      </c>
      <c r="C52" s="66" t="str">
        <f>IF(A52="","",_xlfn.XLOOKUP(A52,'MIS 2026'!#REF!,'MIS 2026'!#REF!,))</f>
        <v/>
      </c>
    </row>
    <row r="53" spans="1:3">
      <c r="A53" s="66"/>
      <c r="B53" s="66" t="str">
        <f>IF(A53="","",_xlfn.XLOOKUP(A53,'MIS 2026'!#REF!,'MIS 2026'!#REF!,))</f>
        <v/>
      </c>
      <c r="C53" s="66" t="str">
        <f>IF(A53="","",_xlfn.XLOOKUP(A53,'MIS 2026'!#REF!,'MIS 2026'!#REF!,))</f>
        <v/>
      </c>
    </row>
    <row r="54" spans="1:3">
      <c r="A54" s="66"/>
      <c r="B54" s="66" t="str">
        <f>IF(A54="","",_xlfn.XLOOKUP(A54,'MIS 2026'!#REF!,'MIS 2026'!#REF!,))</f>
        <v/>
      </c>
      <c r="C54" s="66" t="str">
        <f>IF(A54="","",_xlfn.XLOOKUP(A54,'MIS 2026'!#REF!,'MIS 2026'!#REF!,))</f>
        <v/>
      </c>
    </row>
    <row r="55" spans="1:3">
      <c r="A55" s="66"/>
      <c r="B55" s="66" t="str">
        <f>IF(A55="","",_xlfn.XLOOKUP(A55,'MIS 2026'!#REF!,'MIS 2026'!#REF!,))</f>
        <v/>
      </c>
      <c r="C55" s="66" t="str">
        <f>IF(A55="","",_xlfn.XLOOKUP(A55,'MIS 2026'!#REF!,'MIS 2026'!#REF!,))</f>
        <v/>
      </c>
    </row>
    <row r="56" spans="1:3">
      <c r="A56" s="66"/>
      <c r="B56" s="66" t="str">
        <f>IF(A56="","",_xlfn.XLOOKUP(A56,'MIS 2026'!#REF!,'MIS 2026'!#REF!,))</f>
        <v/>
      </c>
      <c r="C56" s="66" t="str">
        <f>IF(A56="","",_xlfn.XLOOKUP(A56,'MIS 2026'!#REF!,'MIS 2026'!#REF!,))</f>
        <v/>
      </c>
    </row>
    <row r="57" spans="1:3">
      <c r="A57" s="66"/>
      <c r="B57" s="66" t="str">
        <f>IF(A57="","",_xlfn.XLOOKUP(A57,'MIS 2026'!#REF!,'MIS 2026'!#REF!,))</f>
        <v/>
      </c>
      <c r="C57" s="66" t="str">
        <f>IF(A57="","",_xlfn.XLOOKUP(A57,'MIS 2026'!#REF!,'MIS 2026'!#REF!,))</f>
        <v/>
      </c>
    </row>
    <row r="58" spans="1:3">
      <c r="A58" s="66"/>
      <c r="B58" s="66" t="str">
        <f>IF(A58="","",_xlfn.XLOOKUP(A58,'MIS 2026'!#REF!,'MIS 2026'!#REF!,))</f>
        <v/>
      </c>
      <c r="C58" s="66" t="str">
        <f>IF(A58="","",_xlfn.XLOOKUP(A58,'MIS 2026'!#REF!,'MIS 2026'!#REF!,))</f>
        <v/>
      </c>
    </row>
    <row r="59" spans="1:3">
      <c r="A59" s="66"/>
      <c r="B59" s="66" t="str">
        <f>IF(A59="","",_xlfn.XLOOKUP(A59,'MIS 2026'!#REF!,'MIS 2026'!#REF!,))</f>
        <v/>
      </c>
      <c r="C59" s="66" t="str">
        <f>IF(A59="","",_xlfn.XLOOKUP(A59,'MIS 2026'!#REF!,'MIS 2026'!#REF!,))</f>
        <v/>
      </c>
    </row>
    <row r="60" spans="1:3">
      <c r="A60" s="66"/>
      <c r="B60" s="66" t="str">
        <f>IF(A60="","",_xlfn.XLOOKUP(A60,'MIS 2026'!#REF!,'MIS 2026'!#REF!,))</f>
        <v/>
      </c>
      <c r="C60" s="66" t="str">
        <f>IF(A60="","",_xlfn.XLOOKUP(A60,'MIS 2026'!#REF!,'MIS 2026'!#REF!,))</f>
        <v/>
      </c>
    </row>
    <row r="61" spans="1:3">
      <c r="A61" s="66"/>
      <c r="B61" s="66" t="str">
        <f>IF(A61="","",_xlfn.XLOOKUP(A61,'MIS 2026'!#REF!,'MIS 2026'!#REF!,))</f>
        <v/>
      </c>
      <c r="C61" s="66" t="str">
        <f>IF(A61="","",_xlfn.XLOOKUP(A61,'MIS 2026'!#REF!,'MIS 2026'!#REF!,))</f>
        <v/>
      </c>
    </row>
    <row r="62" spans="1:3">
      <c r="A62" s="66"/>
      <c r="B62" s="66" t="str">
        <f>IF(A62="","",_xlfn.XLOOKUP(A62,'MIS 2026'!#REF!,'MIS 2026'!#REF!,))</f>
        <v/>
      </c>
      <c r="C62" s="66" t="str">
        <f>IF(A62="","",_xlfn.XLOOKUP(A62,'MIS 2026'!#REF!,'MIS 2026'!#REF!,))</f>
        <v/>
      </c>
    </row>
    <row r="63" spans="1:3">
      <c r="A63" s="66"/>
      <c r="B63" s="66" t="str">
        <f>IF(A63="","",_xlfn.XLOOKUP(A63,'MIS 2026'!#REF!,'MIS 2026'!#REF!,))</f>
        <v/>
      </c>
      <c r="C63" s="66" t="str">
        <f>IF(A63="","",_xlfn.XLOOKUP(A63,'MIS 2026'!#REF!,'MIS 2026'!#REF!,))</f>
        <v/>
      </c>
    </row>
    <row r="64" spans="1:3">
      <c r="A64" s="66"/>
      <c r="B64" s="66" t="str">
        <f>IF(A64="","",_xlfn.XLOOKUP(A64,'MIS 2026'!#REF!,'MIS 2026'!#REF!,))</f>
        <v/>
      </c>
      <c r="C64" s="66" t="str">
        <f>IF(A64="","",_xlfn.XLOOKUP(A64,'MIS 2026'!#REF!,'MIS 2026'!#REF!,))</f>
        <v/>
      </c>
    </row>
    <row r="65" spans="1:3">
      <c r="A65" s="66"/>
      <c r="B65" s="66" t="str">
        <f>IF(A65="","",_xlfn.XLOOKUP(A65,'MIS 2026'!#REF!,'MIS 2026'!#REF!,))</f>
        <v/>
      </c>
      <c r="C65" s="66" t="str">
        <f>IF(A65="","",_xlfn.XLOOKUP(A65,'MIS 2026'!#REF!,'MIS 2026'!#REF!,))</f>
        <v/>
      </c>
    </row>
    <row r="66" spans="1:3">
      <c r="A66" s="66"/>
      <c r="B66" s="66" t="str">
        <f>IF(A66="","",_xlfn.XLOOKUP(A66,'MIS 2026'!#REF!,'MIS 2026'!#REF!,))</f>
        <v/>
      </c>
      <c r="C66" s="66" t="str">
        <f>IF(A66="","",_xlfn.XLOOKUP(A66,'MIS 2026'!#REF!,'MIS 2026'!#REF!,))</f>
        <v/>
      </c>
    </row>
    <row r="67" spans="1:3">
      <c r="A67" s="66"/>
      <c r="B67" s="66" t="str">
        <f>IF(A67="","",_xlfn.XLOOKUP(A67,'MIS 2026'!#REF!,'MIS 2026'!#REF!,))</f>
        <v/>
      </c>
      <c r="C67" s="66" t="str">
        <f>IF(A67="","",_xlfn.XLOOKUP(A67,'MIS 2026'!#REF!,'MIS 2026'!#REF!,))</f>
        <v/>
      </c>
    </row>
    <row r="68" spans="1:3">
      <c r="A68" s="66"/>
      <c r="B68" s="66" t="str">
        <f>IF(A68="","",_xlfn.XLOOKUP(A68,'MIS 2026'!#REF!,'MIS 2026'!#REF!,))</f>
        <v/>
      </c>
      <c r="C68" s="66" t="str">
        <f>IF(A68="","",_xlfn.XLOOKUP(A68,'MIS 2026'!#REF!,'MIS 2026'!#REF!,))</f>
        <v/>
      </c>
    </row>
    <row r="69" spans="1:3">
      <c r="A69" s="66"/>
      <c r="B69" s="66" t="str">
        <f>IF(A69="","",_xlfn.XLOOKUP(A69,'MIS 2026'!#REF!,'MIS 2026'!#REF!,))</f>
        <v/>
      </c>
      <c r="C69" s="66" t="str">
        <f>IF(A69="","",_xlfn.XLOOKUP(A69,'MIS 2026'!#REF!,'MIS 2026'!#REF!,))</f>
        <v/>
      </c>
    </row>
    <row r="70" spans="1:3">
      <c r="A70" s="66"/>
      <c r="B70" s="66" t="str">
        <f>IF(A70="","",_xlfn.XLOOKUP(A70,'MIS 2026'!#REF!,'MIS 2026'!#REF!,))</f>
        <v/>
      </c>
      <c r="C70" s="66" t="str">
        <f>IF(A70="","",_xlfn.XLOOKUP(A70,'MIS 2026'!#REF!,'MIS 2026'!#REF!,))</f>
        <v/>
      </c>
    </row>
    <row r="71" spans="1:3">
      <c r="A71" s="66"/>
      <c r="B71" s="66" t="str">
        <f>IF(A71="","",_xlfn.XLOOKUP(A71,'MIS 2026'!#REF!,'MIS 2026'!#REF!,))</f>
        <v/>
      </c>
      <c r="C71" s="66" t="str">
        <f>IF(A71="","",_xlfn.XLOOKUP(A71,'MIS 2026'!#REF!,'MIS 2026'!#REF!,))</f>
        <v/>
      </c>
    </row>
    <row r="72" spans="1:3">
      <c r="A72" s="66"/>
      <c r="B72" s="66" t="str">
        <f>IF(A72="","",_xlfn.XLOOKUP(A72,'MIS 2026'!#REF!,'MIS 2026'!#REF!,))</f>
        <v/>
      </c>
      <c r="C72" s="66" t="str">
        <f>IF(A72="","",_xlfn.XLOOKUP(A72,'MIS 2026'!#REF!,'MIS 2026'!#REF!,))</f>
        <v/>
      </c>
    </row>
    <row r="73" spans="1:3">
      <c r="A73" s="66"/>
      <c r="B73" s="66" t="str">
        <f>IF(A73="","",_xlfn.XLOOKUP(A73,'MIS 2026'!#REF!,'MIS 2026'!#REF!,))</f>
        <v/>
      </c>
      <c r="C73" s="66" t="str">
        <f>IF(A73="","",_xlfn.XLOOKUP(A73,'MIS 2026'!#REF!,'MIS 2026'!#REF!,))</f>
        <v/>
      </c>
    </row>
    <row r="74" spans="1:3">
      <c r="A74" s="66"/>
      <c r="B74" s="66" t="str">
        <f>IF(A74="","",_xlfn.XLOOKUP(A74,'MIS 2026'!#REF!,'MIS 2026'!#REF!,))</f>
        <v/>
      </c>
      <c r="C74" s="66" t="str">
        <f>IF(A74="","",_xlfn.XLOOKUP(A74,'MIS 2026'!#REF!,'MIS 2026'!#REF!,))</f>
        <v/>
      </c>
    </row>
    <row r="75" spans="1:3">
      <c r="A75" s="66"/>
      <c r="B75" s="66" t="str">
        <f>IF(A75="","",_xlfn.XLOOKUP(A75,'MIS 2026'!#REF!,'MIS 2026'!#REF!,))</f>
        <v/>
      </c>
      <c r="C75" s="66" t="str">
        <f>IF(A75="","",_xlfn.XLOOKUP(A75,'MIS 2026'!#REF!,'MIS 2026'!#REF!,))</f>
        <v/>
      </c>
    </row>
    <row r="76" spans="1:3">
      <c r="A76" s="66"/>
      <c r="B76" s="66" t="str">
        <f>IF(A76="","",_xlfn.XLOOKUP(A76,'MIS 2026'!#REF!,'MIS 2026'!#REF!,))</f>
        <v/>
      </c>
      <c r="C76" s="66" t="str">
        <f>IF(A76="","",_xlfn.XLOOKUP(A76,'MIS 2026'!#REF!,'MIS 2026'!#REF!,))</f>
        <v/>
      </c>
    </row>
    <row r="77" spans="1:3">
      <c r="A77" s="66"/>
      <c r="B77" s="66" t="str">
        <f>IF(A77="","",_xlfn.XLOOKUP(A77,'MIS 2026'!#REF!,'MIS 2026'!#REF!,))</f>
        <v/>
      </c>
      <c r="C77" s="66" t="str">
        <f>IF(A77="","",_xlfn.XLOOKUP(A77,'MIS 2026'!#REF!,'MIS 2026'!#REF!,))</f>
        <v/>
      </c>
    </row>
    <row r="78" spans="1:3">
      <c r="A78" s="66"/>
      <c r="B78" s="66" t="str">
        <f>IF(A78="","",_xlfn.XLOOKUP(A78,'MIS 2026'!#REF!,'MIS 2026'!#REF!,))</f>
        <v/>
      </c>
      <c r="C78" s="66" t="str">
        <f>IF(A78="","",_xlfn.XLOOKUP(A78,'MIS 2026'!#REF!,'MIS 2026'!#REF!,))</f>
        <v/>
      </c>
    </row>
    <row r="79" spans="1:3">
      <c r="A79" s="66"/>
      <c r="B79" s="66" t="str">
        <f>IF(A79="","",_xlfn.XLOOKUP(A79,'MIS 2026'!#REF!,'MIS 2026'!#REF!,))</f>
        <v/>
      </c>
      <c r="C79" s="66" t="str">
        <f>IF(A79="","",_xlfn.XLOOKUP(A79,'MIS 2026'!#REF!,'MIS 2026'!#REF!,))</f>
        <v/>
      </c>
    </row>
    <row r="80" spans="1:3">
      <c r="A80" s="66"/>
      <c r="B80" s="66" t="str">
        <f>IF(A80="","",_xlfn.XLOOKUP(A80,'MIS 2026'!#REF!,'MIS 2026'!#REF!,))</f>
        <v/>
      </c>
      <c r="C80" s="66" t="str">
        <f>IF(A80="","",_xlfn.XLOOKUP(A80,'MIS 2026'!#REF!,'MIS 2026'!#REF!,))</f>
        <v/>
      </c>
    </row>
    <row r="81" spans="1:3">
      <c r="A81" s="66"/>
      <c r="B81" s="66" t="str">
        <f>IF(A81="","",_xlfn.XLOOKUP(A81,'MIS 2026'!#REF!,'MIS 2026'!#REF!,))</f>
        <v/>
      </c>
      <c r="C81" s="66" t="str">
        <f>IF(A81="","",_xlfn.XLOOKUP(A81,'MIS 2026'!#REF!,'MIS 2026'!#REF!,))</f>
        <v/>
      </c>
    </row>
    <row r="82" spans="1:3">
      <c r="A82" s="66"/>
      <c r="B82" s="66" t="str">
        <f>IF(A82="","",_xlfn.XLOOKUP(A82,'MIS 2026'!#REF!,'MIS 2026'!#REF!,))</f>
        <v/>
      </c>
      <c r="C82" s="66" t="str">
        <f>IF(A82="","",_xlfn.XLOOKUP(A82,'MIS 2026'!#REF!,'MIS 2026'!#REF!,))</f>
        <v/>
      </c>
    </row>
    <row r="83" spans="1:3">
      <c r="A83" s="66"/>
      <c r="B83" s="66" t="str">
        <f>IF(A83="","",_xlfn.XLOOKUP(A83,'MIS 2026'!#REF!,'MIS 2026'!#REF!,))</f>
        <v/>
      </c>
      <c r="C83" s="66" t="str">
        <f>IF(A83="","",_xlfn.XLOOKUP(A83,'MIS 2026'!#REF!,'MIS 2026'!#REF!,))</f>
        <v/>
      </c>
    </row>
    <row r="84" spans="1:3">
      <c r="A84" s="66"/>
      <c r="B84" s="66" t="str">
        <f>IF(A84="","",_xlfn.XLOOKUP(A84,'MIS 2026'!#REF!,'MIS 2026'!#REF!,))</f>
        <v/>
      </c>
      <c r="C84" s="66" t="str">
        <f>IF(A84="","",_xlfn.XLOOKUP(A84,'MIS 2026'!#REF!,'MIS 2026'!#REF!,))</f>
        <v/>
      </c>
    </row>
    <row r="85" spans="1:3">
      <c r="A85" s="66"/>
      <c r="B85" s="66" t="str">
        <f>IF(A85="","",_xlfn.XLOOKUP(A85,'MIS 2026'!#REF!,'MIS 2026'!#REF!,))</f>
        <v/>
      </c>
      <c r="C85" s="66" t="str">
        <f>IF(A85="","",_xlfn.XLOOKUP(A85,'MIS 2026'!#REF!,'MIS 2026'!#REF!,))</f>
        <v/>
      </c>
    </row>
    <row r="86" spans="1:3">
      <c r="A86" s="66"/>
      <c r="B86" s="66" t="str">
        <f>IF(A86="","",_xlfn.XLOOKUP(A86,'MIS 2026'!#REF!,'MIS 2026'!#REF!,))</f>
        <v/>
      </c>
      <c r="C86" s="66" t="str">
        <f>IF(A86="","",_xlfn.XLOOKUP(A86,'MIS 2026'!#REF!,'MIS 2026'!#REF!,))</f>
        <v/>
      </c>
    </row>
    <row r="87" spans="1:3">
      <c r="A87" s="66"/>
      <c r="B87" s="66" t="str">
        <f>IF(A87="","",_xlfn.XLOOKUP(A87,'MIS 2026'!#REF!,'MIS 2026'!#REF!,))</f>
        <v/>
      </c>
      <c r="C87" s="66" t="str">
        <f>IF(A87="","",_xlfn.XLOOKUP(A87,'MIS 2026'!#REF!,'MIS 2026'!#REF!,))</f>
        <v/>
      </c>
    </row>
    <row r="88" spans="1:3">
      <c r="A88" s="66"/>
      <c r="B88" s="66" t="str">
        <f>IF(A88="","",_xlfn.XLOOKUP(A88,'MIS 2026'!#REF!,'MIS 2026'!#REF!,))</f>
        <v/>
      </c>
      <c r="C88" s="66" t="str">
        <f>IF(A88="","",_xlfn.XLOOKUP(A88,'MIS 2026'!#REF!,'MIS 2026'!#REF!,))</f>
        <v/>
      </c>
    </row>
    <row r="89" spans="1:3">
      <c r="A89" s="66"/>
      <c r="B89" s="66" t="str">
        <f>IF(A89="","",_xlfn.XLOOKUP(A89,'MIS 2026'!#REF!,'MIS 2026'!#REF!,))</f>
        <v/>
      </c>
      <c r="C89" s="66" t="str">
        <f>IF(A89="","",_xlfn.XLOOKUP(A89,'MIS 2026'!#REF!,'MIS 2026'!#REF!,))</f>
        <v/>
      </c>
    </row>
    <row r="90" spans="1:3">
      <c r="A90" s="66"/>
      <c r="B90" s="66" t="str">
        <f>IF(A90="","",_xlfn.XLOOKUP(A90,'MIS 2026'!#REF!,'MIS 2026'!#REF!,))</f>
        <v/>
      </c>
      <c r="C90" s="66" t="str">
        <f>IF(A90="","",_xlfn.XLOOKUP(A90,'MIS 2026'!#REF!,'MIS 2026'!#REF!,))</f>
        <v/>
      </c>
    </row>
    <row r="91" spans="1:3">
      <c r="A91" s="66"/>
      <c r="B91" s="66" t="str">
        <f>IF(A91="","",_xlfn.XLOOKUP(A91,'MIS 2026'!#REF!,'MIS 2026'!#REF!,))</f>
        <v/>
      </c>
      <c r="C91" s="66" t="str">
        <f>IF(A91="","",_xlfn.XLOOKUP(A91,'MIS 2026'!#REF!,'MIS 2026'!#REF!,))</f>
        <v/>
      </c>
    </row>
    <row r="92" spans="1:3">
      <c r="A92" s="66"/>
      <c r="B92" s="66" t="str">
        <f>IF(A92="","",_xlfn.XLOOKUP(A92,'MIS 2026'!#REF!,'MIS 2026'!#REF!,))</f>
        <v/>
      </c>
      <c r="C92" s="66" t="str">
        <f>IF(A92="","",_xlfn.XLOOKUP(A92,'MIS 2026'!#REF!,'MIS 2026'!#REF!,))</f>
        <v/>
      </c>
    </row>
    <row r="93" spans="1:3">
      <c r="A93" s="66"/>
      <c r="B93" s="66" t="str">
        <f>IF(A93="","",_xlfn.XLOOKUP(A93,'MIS 2026'!#REF!,'MIS 2026'!#REF!,))</f>
        <v/>
      </c>
      <c r="C93" s="66" t="str">
        <f>IF(A93="","",_xlfn.XLOOKUP(A93,'MIS 2026'!#REF!,'MIS 2026'!#REF!,))</f>
        <v/>
      </c>
    </row>
    <row r="94" spans="1:3">
      <c r="A94" s="66"/>
      <c r="B94" s="66" t="str">
        <f>IF(A94="","",_xlfn.XLOOKUP(A94,'MIS 2026'!#REF!,'MIS 2026'!#REF!,))</f>
        <v/>
      </c>
      <c r="C94" s="66" t="str">
        <f>IF(A94="","",_xlfn.XLOOKUP(A94,'MIS 2026'!#REF!,'MIS 2026'!#REF!,))</f>
        <v/>
      </c>
    </row>
    <row r="95" spans="1:3">
      <c r="A95" s="66"/>
      <c r="B95" s="66" t="str">
        <f>IF(A95="","",_xlfn.XLOOKUP(A95,'MIS 2026'!#REF!,'MIS 2026'!#REF!,))</f>
        <v/>
      </c>
      <c r="C95" s="66" t="str">
        <f>IF(A95="","",_xlfn.XLOOKUP(A95,'MIS 2026'!#REF!,'MIS 2026'!#REF!,))</f>
        <v/>
      </c>
    </row>
    <row r="96" spans="1:3">
      <c r="A96" s="66"/>
      <c r="B96" s="66" t="str">
        <f>IF(A96="","",_xlfn.XLOOKUP(A96,'MIS 2026'!#REF!,'MIS 2026'!#REF!,))</f>
        <v/>
      </c>
      <c r="C96" s="66" t="str">
        <f>IF(A96="","",_xlfn.XLOOKUP(A96,'MIS 2026'!#REF!,'MIS 2026'!#REF!,))</f>
        <v/>
      </c>
    </row>
    <row r="97" spans="1:3">
      <c r="A97" s="66"/>
      <c r="B97" s="66" t="str">
        <f>IF(A97="","",_xlfn.XLOOKUP(A97,'MIS 2026'!#REF!,'MIS 2026'!#REF!,))</f>
        <v/>
      </c>
      <c r="C97" s="66" t="str">
        <f>IF(A97="","",_xlfn.XLOOKUP(A97,'MIS 2026'!#REF!,'MIS 2026'!#REF!,))</f>
        <v/>
      </c>
    </row>
    <row r="98" spans="1:3">
      <c r="A98" s="66"/>
      <c r="B98" s="66" t="str">
        <f>IF(A98="","",_xlfn.XLOOKUP(A98,'MIS 2026'!#REF!,'MIS 2026'!#REF!,))</f>
        <v/>
      </c>
      <c r="C98" s="66" t="str">
        <f>IF(A98="","",_xlfn.XLOOKUP(A98,'MIS 2026'!#REF!,'MIS 2026'!#REF!,))</f>
        <v/>
      </c>
    </row>
    <row r="99" spans="1:3">
      <c r="A99" s="66"/>
      <c r="B99" s="66" t="str">
        <f>IF(A99="","",_xlfn.XLOOKUP(A99,'MIS 2026'!#REF!,'MIS 2026'!#REF!,))</f>
        <v/>
      </c>
      <c r="C99" s="66" t="str">
        <f>IF(A99="","",_xlfn.XLOOKUP(A99,'MIS 2026'!#REF!,'MIS 2026'!#REF!,))</f>
        <v/>
      </c>
    </row>
    <row r="100" spans="1:3">
      <c r="A100" s="66"/>
      <c r="B100" s="66" t="str">
        <f>IF(A100="","",_xlfn.XLOOKUP(A100,'MIS 2026'!#REF!,'MIS 2026'!#REF!,))</f>
        <v/>
      </c>
      <c r="C100" s="66" t="str">
        <f>IF(A100="","",_xlfn.XLOOKUP(A100,'MIS 2026'!#REF!,'MIS 2026'!#REF!,))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3269-DAFE-4D09-9203-07D7C8A927D0}">
  <dimension ref="A1:M64"/>
  <sheetViews>
    <sheetView showGridLines="0" zoomScale="61" zoomScaleNormal="100" workbookViewId="0">
      <selection activeCell="C5" sqref="C5"/>
    </sheetView>
  </sheetViews>
  <sheetFormatPr defaultColWidth="8.5703125" defaultRowHeight="14.45"/>
  <cols>
    <col min="1" max="1" width="8.5703125" style="154"/>
    <col min="2" max="2" width="48.42578125" style="154" customWidth="1"/>
    <col min="3" max="8" width="15.5703125" style="154" customWidth="1"/>
    <col min="9" max="9" width="14.42578125" style="154" customWidth="1"/>
    <col min="10" max="10" width="15" style="154" customWidth="1"/>
    <col min="11" max="11" width="9.5703125" style="154" customWidth="1"/>
    <col min="12" max="12" width="10" style="154" customWidth="1"/>
    <col min="13" max="13" width="11.42578125" style="154" customWidth="1"/>
    <col min="14" max="16384" width="8.5703125" style="154"/>
  </cols>
  <sheetData>
    <row r="1" spans="1:13">
      <c r="B1" s="166" t="s">
        <v>1239</v>
      </c>
    </row>
    <row r="2" spans="1:13" ht="15.95">
      <c r="B2" s="165" t="s">
        <v>1240</v>
      </c>
      <c r="C2" s="161" t="s">
        <v>1241</v>
      </c>
      <c r="D2" s="176" t="s">
        <v>1242</v>
      </c>
      <c r="E2" s="176" t="s">
        <v>224</v>
      </c>
      <c r="F2" s="176" t="s">
        <v>1243</v>
      </c>
      <c r="G2" s="176" t="s">
        <v>259</v>
      </c>
      <c r="H2" s="176" t="s">
        <v>1244</v>
      </c>
      <c r="I2" s="176" t="s">
        <v>1245</v>
      </c>
      <c r="J2" s="176" t="s">
        <v>1246</v>
      </c>
      <c r="K2" s="176" t="s">
        <v>1247</v>
      </c>
      <c r="L2" s="176"/>
      <c r="M2" s="176"/>
    </row>
    <row r="3" spans="1:13" hidden="1">
      <c r="B3" s="175"/>
      <c r="C3" s="171">
        <f>SUMIF(D3:M3,"&gt;0")</f>
        <v>10232.380000000001</v>
      </c>
      <c r="D3" s="168" t="e">
        <f>IF(SUMIFS('MIS 2026'!$BJ:$BJ,'MIS 2026'!$I:$I,'Sales Dashboard'!D$2,'MIS 2026'!$BM:$BM,"&lt;&gt;")=0,NA(),SUMIFS('MIS 2026'!$BJ:$BJ,'MIS 2026'!$I:$I,'Sales Dashboard'!D$2,'MIS 2026'!$BM:$BM,"&lt;&gt;"))</f>
        <v>#N/A</v>
      </c>
      <c r="E3" s="168" t="e">
        <f>IF(SUMIFS('MIS 2026'!$BJ:$BJ,'MIS 2026'!$I:$I,'Sales Dashboard'!E$2,'MIS 2026'!$BM:$BM,"&lt;&gt;")=0,NA(),SUMIFS('MIS 2026'!$BJ:$BJ,'MIS 2026'!$I:$I,'Sales Dashboard'!E$2,'MIS 2026'!$BM:$BM,"&lt;&gt;"))</f>
        <v>#N/A</v>
      </c>
      <c r="F3" s="168">
        <f>IF(SUMIFS('MIS 2026'!$BJ:$BJ,'MIS 2026'!$I:$I,'Sales Dashboard'!F$2,'MIS 2026'!$BM:$BM,"&lt;&gt;")=0,NA(),SUMIFS('MIS 2026'!$BJ:$BJ,'MIS 2026'!$I:$I,'Sales Dashboard'!F$2,'MIS 2026'!$BM:$BM,"&lt;&gt;"))</f>
        <v>2400.1080000000002</v>
      </c>
      <c r="G3" s="168">
        <f>IF(SUMIFS('MIS 2026'!$BJ:$BJ,'MIS 2026'!$I:$I,'Sales Dashboard'!G$2,'MIS 2026'!$BM:$BM,"&lt;&gt;")=0,NA(),SUMIFS('MIS 2026'!$BJ:$BJ,'MIS 2026'!$I:$I,'Sales Dashboard'!G$2,'MIS 2026'!$BM:$BM,"&lt;&gt;"))</f>
        <v>7095.3550000000005</v>
      </c>
      <c r="H3" s="168">
        <f>IF(SUMIFS('MIS 2026'!$BJ:$BJ,'MIS 2026'!$I:$I,'Sales Dashboard'!H$2,'MIS 2026'!$BM:$BM,"&lt;&gt;")=0,NA(),SUMIFS('MIS 2026'!$BJ:$BJ,'MIS 2026'!$I:$I,'Sales Dashboard'!H$2,'MIS 2026'!$BM:$BM,"&lt;&gt;"))</f>
        <v>708.71699999999998</v>
      </c>
      <c r="I3" s="168">
        <f>IF(SUMIFS('MIS 2026'!$BJ:$BJ,'MIS 2026'!$I:$I,'Sales Dashboard'!I$2,'MIS 2026'!$BM:$BM,"&lt;&gt;")=0,NA(),SUMIFS('MIS 2026'!$BJ:$BJ,'MIS 2026'!$I:$I,'Sales Dashboard'!I$2,'MIS 2026'!$BM:$BM,"&lt;&gt;"))</f>
        <v>28.2</v>
      </c>
      <c r="J3" s="168" t="e">
        <f>IF(SUMIFS('MIS 2026'!$BJ:$BJ,'MIS 2026'!$I:$I,'Sales Dashboard'!J$2,'MIS 2026'!$BM:$BM,"&lt;&gt;")=0,NA(),SUMIFS('MIS 2026'!$BJ:$BJ,'MIS 2026'!$I:$I,'Sales Dashboard'!J$2,'MIS 2026'!$BM:$BM,"&lt;&gt;"))</f>
        <v>#N/A</v>
      </c>
      <c r="K3" s="168" t="e">
        <f>IF(SUMIFS('MIS 2026'!$BJ:$BJ,'MIS 2026'!$I:$I,'Sales Dashboard'!K$2,'MIS 2026'!$BM:$BM,"&lt;&gt;")=0,NA(),SUMIFS('MIS 2026'!$BJ:$BJ,'MIS 2026'!$I:$I,'Sales Dashboard'!K$2,'MIS 2026'!$BM:$BM,"&lt;&gt;"))</f>
        <v>#N/A</v>
      </c>
      <c r="L3" s="168" t="e">
        <f>IF(SUMIFS('MIS 2026'!$BJ:$BJ,'MIS 2026'!$I:$I,'Sales Dashboard'!L$2,'MIS 2026'!$BM:$BM,"&lt;&gt;")=0,NA(),SUMIFS('MIS 2026'!$BJ:$BJ,'MIS 2026'!$I:$I,'Sales Dashboard'!L$2,'MIS 2026'!$BM:$BM,"&lt;&gt;"))</f>
        <v>#N/A</v>
      </c>
      <c r="M3" s="168" t="e">
        <f>IF(SUMIFS('MIS 2026'!$BJ:$BJ,'MIS 2026'!$I:$I,'Sales Dashboard'!M$2,'MIS 2026'!$BM:$BM,"&lt;&gt;")=0,NA(),SUMIFS('MIS 2026'!$BJ:$BJ,'MIS 2026'!$I:$I,'Sales Dashboard'!M$2,'MIS 2026'!$BM:$BM,"&lt;&gt;"))</f>
        <v>#N/A</v>
      </c>
    </row>
    <row r="4" spans="1:13">
      <c r="A4" s="154" t="b">
        <f>C4=D9</f>
        <v>0</v>
      </c>
      <c r="B4" s="174" t="s">
        <v>1248</v>
      </c>
      <c r="C4" s="173">
        <f>SUMIF(D4:M4,"&gt;0")</f>
        <v>36580</v>
      </c>
      <c r="D4" s="168">
        <f>SUMIF('MIS 2026'!$I:$I,'Sales Dashboard'!D$2,'MIS 2026'!$AF:$AF)</f>
        <v>0</v>
      </c>
      <c r="E4" s="168">
        <f>SUMIF('MIS 2026'!$I:$I,'Sales Dashboard'!E$2,'MIS 2026'!$AF:$AF)</f>
        <v>0</v>
      </c>
      <c r="F4" s="168">
        <f>SUMIF('MIS 2026'!$I:$I,'Sales Dashboard'!F$2,'MIS 2026'!$AF:$AF)</f>
        <v>2700</v>
      </c>
      <c r="G4" s="168">
        <f>SUMIF('MIS 2026'!$I:$I,'Sales Dashboard'!G$2,'MIS 2026'!$AF:$AF)</f>
        <v>28100</v>
      </c>
      <c r="H4" s="168">
        <f>SUMIF('MIS 2026'!$I:$I,'Sales Dashboard'!H$2,'MIS 2026'!$AF:$AF)</f>
        <v>1350</v>
      </c>
      <c r="I4" s="168">
        <f>SUMIF('MIS 2026'!$I:$I,'Sales Dashboard'!I$2,'MIS 2026'!$AF:$AF)</f>
        <v>4430</v>
      </c>
      <c r="J4" s="168">
        <f>SUMIF('MIS 2026'!$I:$I,'Sales Dashboard'!J$2,'MIS 2026'!$AF:$AF)</f>
        <v>0</v>
      </c>
      <c r="K4" s="168">
        <f>SUMIF('MIS 2026'!$I:$I,'Sales Dashboard'!K$2,'MIS 2026'!$AF:$AF)</f>
        <v>0</v>
      </c>
      <c r="L4" s="168">
        <f>SUMIF('MIS 2026'!$I:$I,'Sales Dashboard'!L$2,'MIS 2026'!$AF:$AF)</f>
        <v>0</v>
      </c>
      <c r="M4" s="168">
        <f>SUMIF('MIS 2026'!$I:$I,'Sales Dashboard'!M$2,'MIS 2026'!$AF:$AF)</f>
        <v>0</v>
      </c>
    </row>
    <row r="5" spans="1:13">
      <c r="B5" s="172" t="s">
        <v>1249</v>
      </c>
      <c r="C5" s="171">
        <f>SUMIF(D5:M5,"&gt;0")</f>
        <v>10232.380000000001</v>
      </c>
      <c r="D5" s="168">
        <f>SUMIFS('MIS 2026'!$BJ:$BJ,'MIS 2026'!$I:$I,'Sales Dashboard'!D$2,'MIS 2026'!$BM:$BM,"&lt;&gt;")</f>
        <v>0</v>
      </c>
      <c r="E5" s="168">
        <f>SUMIFS('MIS 2026'!$BJ:$BJ,'MIS 2026'!$I:$I,'Sales Dashboard'!E$2,'MIS 2026'!$BM:$BM,"&lt;&gt;")</f>
        <v>0</v>
      </c>
      <c r="F5" s="168">
        <f>SUMIFS('MIS 2026'!$BJ:$BJ,'MIS 2026'!$I:$I,'Sales Dashboard'!F$2,'MIS 2026'!$BM:$BM,"&lt;&gt;")</f>
        <v>2400.1080000000002</v>
      </c>
      <c r="G5" s="168">
        <f>SUMIFS('MIS 2026'!$BJ:$BJ,'MIS 2026'!$I:$I,'Sales Dashboard'!G$2,'MIS 2026'!$BM:$BM,"&lt;&gt;")</f>
        <v>7095.3550000000005</v>
      </c>
      <c r="H5" s="168">
        <f>SUMIFS('MIS 2026'!$BJ:$BJ,'MIS 2026'!$I:$I,'Sales Dashboard'!H$2,'MIS 2026'!$BM:$BM,"&lt;&gt;")</f>
        <v>708.71699999999998</v>
      </c>
      <c r="I5" s="168">
        <f>SUMIFS('MIS 2026'!$BJ:$BJ,'MIS 2026'!$I:$I,'Sales Dashboard'!I$2,'MIS 2026'!$BM:$BM,"&lt;&gt;")</f>
        <v>28.2</v>
      </c>
      <c r="J5" s="168">
        <f>SUMIFS('MIS 2026'!$BJ:$BJ,'MIS 2026'!$I:$I,'Sales Dashboard'!J$2,'MIS 2026'!$BM:$BM,"&lt;&gt;")</f>
        <v>0</v>
      </c>
      <c r="K5" s="168">
        <f>SUMIFS('MIS 2026'!$BJ:$BJ,'MIS 2026'!$I:$I,'Sales Dashboard'!K$2,'MIS 2026'!$BM:$BM,"&lt;&gt;")</f>
        <v>0</v>
      </c>
      <c r="L5" s="168">
        <f>SUMIFS('MIS 2026'!$BJ:$BJ,'MIS 2026'!$I:$I,'Sales Dashboard'!L$2,'MIS 2026'!$BM:$BM,"&lt;&gt;")</f>
        <v>0</v>
      </c>
      <c r="M5" s="168">
        <f>SUMIFS('MIS 2026'!$BJ:$BJ,'MIS 2026'!$I:$I,'Sales Dashboard'!M$2,'MIS 2026'!$BM:$BM,"&lt;&gt;")</f>
        <v>0</v>
      </c>
    </row>
    <row r="6" spans="1:13">
      <c r="B6" s="170" t="s">
        <v>1250</v>
      </c>
      <c r="C6" s="169">
        <f>SUMIF(D6:M6,"&gt;0")</f>
        <v>867.32999999999993</v>
      </c>
      <c r="D6" s="168">
        <f>SUMIFS('MIS 2026'!$BJ:$BJ,'MIS 2026'!$I:$I,'Sales Dashboard'!D$2,'MIS 2026'!$BM:$BM,"")</f>
        <v>0</v>
      </c>
      <c r="E6" s="168">
        <f>SUMIFS('MIS 2026'!$BJ:$BJ,'MIS 2026'!$I:$I,'Sales Dashboard'!E$2,'MIS 2026'!$BM:$BM,"")</f>
        <v>0</v>
      </c>
      <c r="F6" s="168">
        <f>SUMIFS('MIS 2026'!$BJ:$BJ,'MIS 2026'!$I:$I,'Sales Dashboard'!F$2,'MIS 2026'!$BM:$BM,"")</f>
        <v>0</v>
      </c>
      <c r="G6" s="168">
        <f>SUMIFS('MIS 2026'!$BJ:$BJ,'MIS 2026'!$I:$I,'Sales Dashboard'!G$2,'MIS 2026'!$BM:$BM,"")</f>
        <v>867.32999999999993</v>
      </c>
      <c r="H6" s="168">
        <f>SUMIFS('MIS 2026'!$BJ:$BJ,'MIS 2026'!$I:$I,'Sales Dashboard'!H$2,'MIS 2026'!$BM:$BM,"")</f>
        <v>0</v>
      </c>
      <c r="I6" s="168">
        <f>SUMIFS('MIS 2026'!$BJ:$BJ,'MIS 2026'!$I:$I,'Sales Dashboard'!I$2,'MIS 2026'!$BM:$BM,"")</f>
        <v>0</v>
      </c>
      <c r="J6" s="168">
        <f>SUMIFS('MIS 2026'!$BJ:$BJ,'MIS 2026'!$I:$I,'Sales Dashboard'!J$2,'MIS 2026'!$BM:$BM,"")</f>
        <v>0</v>
      </c>
      <c r="K6" s="168">
        <f>SUMIFS('MIS 2026'!$BJ:$BJ,'MIS 2026'!$I:$I,'Sales Dashboard'!K$2,'MIS 2026'!$BM:$BM,"")</f>
        <v>0</v>
      </c>
      <c r="L6" s="168">
        <f>SUMIFS('MIS 2026'!$BJ:$BJ,'MIS 2026'!$I:$I,'Sales Dashboard'!L$2,'MIS 2026'!$BM:$BM,"")</f>
        <v>0</v>
      </c>
      <c r="M6" s="168">
        <f>SUMIFS('MIS 2026'!$BJ:$BJ,'MIS 2026'!$I:$I,'Sales Dashboard'!M$2,'MIS 2026'!$BM:$BM,"")</f>
        <v>0</v>
      </c>
    </row>
    <row r="7" spans="1:13">
      <c r="B7" s="159" t="s">
        <v>1251</v>
      </c>
      <c r="C7" s="167">
        <f>SUMIF(D7:M7,"&gt;0")</f>
        <v>25480.29</v>
      </c>
      <c r="D7" s="155">
        <f t="shared" ref="D7:M7" si="0">D4-D5-D6</f>
        <v>0</v>
      </c>
      <c r="E7" s="155">
        <f t="shared" si="0"/>
        <v>0</v>
      </c>
      <c r="F7" s="155">
        <f t="shared" si="0"/>
        <v>299.89199999999983</v>
      </c>
      <c r="G7" s="155">
        <f t="shared" si="0"/>
        <v>20137.315000000002</v>
      </c>
      <c r="H7" s="155">
        <f t="shared" si="0"/>
        <v>641.28300000000002</v>
      </c>
      <c r="I7" s="155">
        <f t="shared" si="0"/>
        <v>4401.8</v>
      </c>
      <c r="J7" s="155">
        <f t="shared" si="0"/>
        <v>0</v>
      </c>
      <c r="K7" s="155">
        <f t="shared" si="0"/>
        <v>0</v>
      </c>
      <c r="L7" s="155">
        <f t="shared" si="0"/>
        <v>0</v>
      </c>
      <c r="M7" s="155">
        <f t="shared" si="0"/>
        <v>0</v>
      </c>
    </row>
    <row r="8" spans="1:13" ht="15" thickBot="1"/>
    <row r="9" spans="1:13" ht="15.95">
      <c r="A9" s="166"/>
      <c r="B9" s="165" t="s">
        <v>1252</v>
      </c>
      <c r="C9" s="164">
        <f>SUM(C11:C64)</f>
        <v>0</v>
      </c>
      <c r="D9" s="164">
        <f>SUM(D11:D64)</f>
        <v>0</v>
      </c>
      <c r="E9" s="164">
        <f>SUM(E11:E64)</f>
        <v>0</v>
      </c>
      <c r="F9" s="163">
        <f>SUMIF(F11:F64,"&gt;0")</f>
        <v>0</v>
      </c>
    </row>
    <row r="10" spans="1:13">
      <c r="B10" s="161" t="s">
        <v>1253</v>
      </c>
      <c r="C10" s="162" t="s">
        <v>1254</v>
      </c>
      <c r="D10" s="161" t="s">
        <v>1255</v>
      </c>
      <c r="E10" s="161" t="s">
        <v>1256</v>
      </c>
      <c r="F10" s="161" t="s">
        <v>1257</v>
      </c>
    </row>
    <row r="11" spans="1:13">
      <c r="B11" s="160" t="e" cm="1">
        <f t="array" ref="B11">_xlfn._xlws.SORT(_xlfn.UNIQUE('MIS 2026'!#REF!),1)</f>
        <v>#REF!</v>
      </c>
      <c r="C11" s="158">
        <f>SUMIF('MIS 2026'!$H:$H,'Sales Dashboard'!$B11,'MIS 2026'!$AE:$AE)</f>
        <v>0</v>
      </c>
      <c r="D11" s="157">
        <f>SUMIF('MIS 2026'!$H:$H,'Sales Dashboard'!$B11,'MIS 2026'!$AF:$AF)</f>
        <v>0</v>
      </c>
      <c r="E11" s="156">
        <f>SUMIF('MIS 2026'!$AA:$AA,'Sales Dashboard'!$B11,'MIS 2026'!$BJ:$BJ)</f>
        <v>0</v>
      </c>
      <c r="F11" s="155">
        <f t="shared" ref="F11:F42" si="1">D11-E11</f>
        <v>0</v>
      </c>
    </row>
    <row r="12" spans="1:13">
      <c r="B12" s="160"/>
      <c r="C12" s="158">
        <f>SUMIF('MIS 2026'!$H:$H,'Sales Dashboard'!$B12,'MIS 2026'!$AE:$AE)</f>
        <v>0</v>
      </c>
      <c r="D12" s="157">
        <f>SUMIF('MIS 2026'!$H:$H,'Sales Dashboard'!$B12,'MIS 2026'!$AF:$AF)</f>
        <v>0</v>
      </c>
      <c r="E12" s="156">
        <f>SUMIF('MIS 2026'!$AA:$AA,'Sales Dashboard'!$B12,'MIS 2026'!$BJ:$BJ)</f>
        <v>0</v>
      </c>
      <c r="F12" s="155">
        <f t="shared" si="1"/>
        <v>0</v>
      </c>
    </row>
    <row r="13" spans="1:13">
      <c r="B13" s="160"/>
      <c r="C13" s="158">
        <f>SUMIF('MIS 2026'!$H:$H,'Sales Dashboard'!$B13,'MIS 2026'!$AE:$AE)</f>
        <v>0</v>
      </c>
      <c r="D13" s="157">
        <f>SUMIF('MIS 2026'!$H:$H,'Sales Dashboard'!$B13,'MIS 2026'!$AF:$AF)</f>
        <v>0</v>
      </c>
      <c r="E13" s="156">
        <f>SUMIF('MIS 2026'!$AA:$AA,'Sales Dashboard'!$B13,'MIS 2026'!$BJ:$BJ)</f>
        <v>0</v>
      </c>
      <c r="F13" s="155">
        <f t="shared" si="1"/>
        <v>0</v>
      </c>
    </row>
    <row r="14" spans="1:13">
      <c r="B14" s="160"/>
      <c r="C14" s="158">
        <f>SUMIF('MIS 2026'!$H:$H,'Sales Dashboard'!$B14,'MIS 2026'!$AE:$AE)</f>
        <v>0</v>
      </c>
      <c r="D14" s="157">
        <f>SUMIF('MIS 2026'!$H:$H,'Sales Dashboard'!$B14,'MIS 2026'!$AF:$AF)</f>
        <v>0</v>
      </c>
      <c r="E14" s="156">
        <f>SUMIF('MIS 2026'!$AA:$AA,'Sales Dashboard'!$B14,'MIS 2026'!$BJ:$BJ)</f>
        <v>0</v>
      </c>
      <c r="F14" s="155">
        <f t="shared" si="1"/>
        <v>0</v>
      </c>
    </row>
    <row r="15" spans="1:13">
      <c r="B15" s="160"/>
      <c r="C15" s="158">
        <f>SUMIF('MIS 2026'!$H:$H,'Sales Dashboard'!$B15,'MIS 2026'!$AE:$AE)</f>
        <v>0</v>
      </c>
      <c r="D15" s="157">
        <f>SUMIF('MIS 2026'!$H:$H,'Sales Dashboard'!$B15,'MIS 2026'!$AF:$AF)</f>
        <v>0</v>
      </c>
      <c r="E15" s="156">
        <f>SUMIF('MIS 2026'!$AA:$AA,'Sales Dashboard'!$B15,'MIS 2026'!$BJ:$BJ)</f>
        <v>0</v>
      </c>
      <c r="F15" s="155">
        <f t="shared" si="1"/>
        <v>0</v>
      </c>
    </row>
    <row r="16" spans="1:13">
      <c r="B16" s="160"/>
      <c r="C16" s="158">
        <f>SUMIF('MIS 2026'!$H:$H,'Sales Dashboard'!$B16,'MIS 2026'!$AE:$AE)</f>
        <v>0</v>
      </c>
      <c r="D16" s="157">
        <f>SUMIF('MIS 2026'!$H:$H,'Sales Dashboard'!$B16,'MIS 2026'!$AF:$AF)</f>
        <v>0</v>
      </c>
      <c r="E16" s="156">
        <f>SUMIF('MIS 2026'!$AA:$AA,'Sales Dashboard'!$B16,'MIS 2026'!$BJ:$BJ)</f>
        <v>0</v>
      </c>
      <c r="F16" s="155">
        <f t="shared" si="1"/>
        <v>0</v>
      </c>
    </row>
    <row r="17" spans="2:6">
      <c r="B17" s="160"/>
      <c r="C17" s="158">
        <f>SUMIF('MIS 2026'!$H:$H,'Sales Dashboard'!$B17,'MIS 2026'!$AE:$AE)</f>
        <v>0</v>
      </c>
      <c r="D17" s="157">
        <f>SUMIF('MIS 2026'!$H:$H,'Sales Dashboard'!$B17,'MIS 2026'!$AF:$AF)</f>
        <v>0</v>
      </c>
      <c r="E17" s="156">
        <f>SUMIF('MIS 2026'!$AA:$AA,'Sales Dashboard'!$B17,'MIS 2026'!$BJ:$BJ)</f>
        <v>0</v>
      </c>
      <c r="F17" s="155">
        <f t="shared" si="1"/>
        <v>0</v>
      </c>
    </row>
    <row r="18" spans="2:6">
      <c r="B18" s="160"/>
      <c r="C18" s="158">
        <f>SUMIF('MIS 2026'!$H:$H,'Sales Dashboard'!$B18,'MIS 2026'!$AE:$AE)</f>
        <v>0</v>
      </c>
      <c r="D18" s="157">
        <f>SUMIF('MIS 2026'!$H:$H,'Sales Dashboard'!$B18,'MIS 2026'!$AF:$AF)</f>
        <v>0</v>
      </c>
      <c r="E18" s="156">
        <f>SUMIF('MIS 2026'!$AA:$AA,'Sales Dashboard'!$B18,'MIS 2026'!$BJ:$BJ)</f>
        <v>0</v>
      </c>
      <c r="F18" s="155">
        <f t="shared" si="1"/>
        <v>0</v>
      </c>
    </row>
    <row r="19" spans="2:6">
      <c r="B19" s="160"/>
      <c r="C19" s="158">
        <f>SUMIF('MIS 2026'!$H:$H,'Sales Dashboard'!$B19,'MIS 2026'!$AE:$AE)</f>
        <v>0</v>
      </c>
      <c r="D19" s="157">
        <f>SUMIF('MIS 2026'!$H:$H,'Sales Dashboard'!$B19,'MIS 2026'!$AF:$AF)</f>
        <v>0</v>
      </c>
      <c r="E19" s="156">
        <f>SUMIF('MIS 2026'!$AA:$AA,'Sales Dashboard'!$B19,'MIS 2026'!$BJ:$BJ)</f>
        <v>0</v>
      </c>
      <c r="F19" s="155">
        <f t="shared" si="1"/>
        <v>0</v>
      </c>
    </row>
    <row r="20" spans="2:6">
      <c r="B20" s="160"/>
      <c r="C20" s="158">
        <f>SUMIF('MIS 2026'!$H:$H,'Sales Dashboard'!$B20,'MIS 2026'!$AE:$AE)</f>
        <v>0</v>
      </c>
      <c r="D20" s="157">
        <f>SUMIF('MIS 2026'!$H:$H,'Sales Dashboard'!$B20,'MIS 2026'!$AF:$AF)</f>
        <v>0</v>
      </c>
      <c r="E20" s="156">
        <f>SUMIF('MIS 2026'!$AA:$AA,'Sales Dashboard'!$B20,'MIS 2026'!$BJ:$BJ)</f>
        <v>0</v>
      </c>
      <c r="F20" s="155">
        <f t="shared" si="1"/>
        <v>0</v>
      </c>
    </row>
    <row r="21" spans="2:6">
      <c r="B21" s="160"/>
      <c r="C21" s="158">
        <f>SUMIF('MIS 2026'!$H:$H,'Sales Dashboard'!$B21,'MIS 2026'!$AE:$AE)</f>
        <v>0</v>
      </c>
      <c r="D21" s="157">
        <f>SUMIF('MIS 2026'!$H:$H,'Sales Dashboard'!$B21,'MIS 2026'!$AF:$AF)</f>
        <v>0</v>
      </c>
      <c r="E21" s="156">
        <f>SUMIF('MIS 2026'!$AA:$AA,'Sales Dashboard'!$B21,'MIS 2026'!$BJ:$BJ)</f>
        <v>0</v>
      </c>
      <c r="F21" s="155">
        <f t="shared" si="1"/>
        <v>0</v>
      </c>
    </row>
    <row r="22" spans="2:6">
      <c r="B22" s="160"/>
      <c r="C22" s="158">
        <f>SUMIF('MIS 2026'!$H:$H,'Sales Dashboard'!$B22,'MIS 2026'!$AE:$AE)</f>
        <v>0</v>
      </c>
      <c r="D22" s="157">
        <f>SUMIF('MIS 2026'!$H:$H,'Sales Dashboard'!$B22,'MIS 2026'!$AF:$AF)</f>
        <v>0</v>
      </c>
      <c r="E22" s="156">
        <f>SUMIF('MIS 2026'!$AA:$AA,'Sales Dashboard'!$B22,'MIS 2026'!$BJ:$BJ)</f>
        <v>0</v>
      </c>
      <c r="F22" s="155">
        <f t="shared" si="1"/>
        <v>0</v>
      </c>
    </row>
    <row r="23" spans="2:6">
      <c r="B23" s="160"/>
      <c r="C23" s="158">
        <f>SUMIF('MIS 2026'!$H:$H,'Sales Dashboard'!$B23,'MIS 2026'!$AE:$AE)</f>
        <v>0</v>
      </c>
      <c r="D23" s="157">
        <f>SUMIF('MIS 2026'!$H:$H,'Sales Dashboard'!$B23,'MIS 2026'!$AF:$AF)</f>
        <v>0</v>
      </c>
      <c r="E23" s="156">
        <f>SUMIF('MIS 2026'!$AA:$AA,'Sales Dashboard'!$B23,'MIS 2026'!$BJ:$BJ)</f>
        <v>0</v>
      </c>
      <c r="F23" s="155">
        <f t="shared" si="1"/>
        <v>0</v>
      </c>
    </row>
    <row r="24" spans="2:6">
      <c r="B24" s="160"/>
      <c r="C24" s="158">
        <f>SUMIF('MIS 2026'!$H:$H,'Sales Dashboard'!$B24,'MIS 2026'!$AE:$AE)</f>
        <v>0</v>
      </c>
      <c r="D24" s="157">
        <f>SUMIF('MIS 2026'!$H:$H,'Sales Dashboard'!$B24,'MIS 2026'!$AF:$AF)</f>
        <v>0</v>
      </c>
      <c r="E24" s="156">
        <f>SUMIF('MIS 2026'!$AA:$AA,'Sales Dashboard'!$B24,'MIS 2026'!$BJ:$BJ)</f>
        <v>0</v>
      </c>
      <c r="F24" s="155">
        <f t="shared" si="1"/>
        <v>0</v>
      </c>
    </row>
    <row r="25" spans="2:6">
      <c r="B25" s="160"/>
      <c r="C25" s="158">
        <f>SUMIF('MIS 2026'!$H:$H,'Sales Dashboard'!$B25,'MIS 2026'!$AE:$AE)</f>
        <v>0</v>
      </c>
      <c r="D25" s="157">
        <f>SUMIF('MIS 2026'!$H:$H,'Sales Dashboard'!$B25,'MIS 2026'!$AF:$AF)</f>
        <v>0</v>
      </c>
      <c r="E25" s="156">
        <f>SUMIF('MIS 2026'!$AA:$AA,'Sales Dashboard'!$B25,'MIS 2026'!$BJ:$BJ)</f>
        <v>0</v>
      </c>
      <c r="F25" s="155">
        <f t="shared" si="1"/>
        <v>0</v>
      </c>
    </row>
    <row r="26" spans="2:6">
      <c r="B26" s="160"/>
      <c r="C26" s="158">
        <f>SUMIF('MIS 2026'!$H:$H,'Sales Dashboard'!$B26,'MIS 2026'!$AE:$AE)</f>
        <v>0</v>
      </c>
      <c r="D26" s="157">
        <f>SUMIF('MIS 2026'!$H:$H,'Sales Dashboard'!$B26,'MIS 2026'!$AF:$AF)</f>
        <v>0</v>
      </c>
      <c r="E26" s="156">
        <f>SUMIF('MIS 2026'!$AA:$AA,'Sales Dashboard'!$B26,'MIS 2026'!$BJ:$BJ)</f>
        <v>0</v>
      </c>
      <c r="F26" s="155">
        <f t="shared" si="1"/>
        <v>0</v>
      </c>
    </row>
    <row r="27" spans="2:6">
      <c r="B27" s="160"/>
      <c r="C27" s="158">
        <f>SUMIF('MIS 2026'!$H:$H,'Sales Dashboard'!$B27,'MIS 2026'!$AE:$AE)</f>
        <v>0</v>
      </c>
      <c r="D27" s="157">
        <f>SUMIF('MIS 2026'!$H:$H,'Sales Dashboard'!$B27,'MIS 2026'!$AF:$AF)</f>
        <v>0</v>
      </c>
      <c r="E27" s="156">
        <f>SUMIF('MIS 2026'!$AA:$AA,'Sales Dashboard'!$B27,'MIS 2026'!$BJ:$BJ)</f>
        <v>0</v>
      </c>
      <c r="F27" s="155">
        <f t="shared" si="1"/>
        <v>0</v>
      </c>
    </row>
    <row r="28" spans="2:6">
      <c r="B28" s="160"/>
      <c r="C28" s="158">
        <f>SUMIF('MIS 2026'!$H:$H,'Sales Dashboard'!$B28,'MIS 2026'!$AE:$AE)</f>
        <v>0</v>
      </c>
      <c r="D28" s="157">
        <f>SUMIF('MIS 2026'!$H:$H,'Sales Dashboard'!$B28,'MIS 2026'!$AF:$AF)</f>
        <v>0</v>
      </c>
      <c r="E28" s="156">
        <f>SUMIF('MIS 2026'!$AA:$AA,'Sales Dashboard'!$B28,'MIS 2026'!$BJ:$BJ)</f>
        <v>0</v>
      </c>
      <c r="F28" s="155">
        <f t="shared" si="1"/>
        <v>0</v>
      </c>
    </row>
    <row r="29" spans="2:6">
      <c r="B29" s="160"/>
      <c r="C29" s="158">
        <f>SUMIF('MIS 2026'!$H:$H,'Sales Dashboard'!$B29,'MIS 2026'!$AE:$AE)</f>
        <v>0</v>
      </c>
      <c r="D29" s="157">
        <f>SUMIF('MIS 2026'!$H:$H,'Sales Dashboard'!$B29,'MIS 2026'!$AF:$AF)</f>
        <v>0</v>
      </c>
      <c r="E29" s="156">
        <f>SUMIF('MIS 2026'!$AA:$AA,'Sales Dashboard'!$B29,'MIS 2026'!$BJ:$BJ)</f>
        <v>0</v>
      </c>
      <c r="F29" s="155">
        <f t="shared" si="1"/>
        <v>0</v>
      </c>
    </row>
    <row r="30" spans="2:6">
      <c r="B30" s="160"/>
      <c r="C30" s="158">
        <f>SUMIF('MIS 2026'!$H:$H,'Sales Dashboard'!$B30,'MIS 2026'!$AE:$AE)</f>
        <v>0</v>
      </c>
      <c r="D30" s="157">
        <f>SUMIF('MIS 2026'!$H:$H,'Sales Dashboard'!$B30,'MIS 2026'!$AF:$AF)</f>
        <v>0</v>
      </c>
      <c r="E30" s="156">
        <f>SUMIF('MIS 2026'!$AA:$AA,'Sales Dashboard'!$B30,'MIS 2026'!$BJ:$BJ)</f>
        <v>0</v>
      </c>
      <c r="F30" s="155">
        <f t="shared" si="1"/>
        <v>0</v>
      </c>
    </row>
    <row r="31" spans="2:6">
      <c r="B31" s="160"/>
      <c r="C31" s="158">
        <f>SUMIF('MIS 2026'!$H:$H,'Sales Dashboard'!$B31,'MIS 2026'!$AE:$AE)</f>
        <v>0</v>
      </c>
      <c r="D31" s="157">
        <f>SUMIF('MIS 2026'!$H:$H,'Sales Dashboard'!$B31,'MIS 2026'!$AF:$AF)</f>
        <v>0</v>
      </c>
      <c r="E31" s="156">
        <f>SUMIF('MIS 2026'!$AA:$AA,'Sales Dashboard'!$B31,'MIS 2026'!$BJ:$BJ)</f>
        <v>0</v>
      </c>
      <c r="F31" s="155">
        <f t="shared" si="1"/>
        <v>0</v>
      </c>
    </row>
    <row r="32" spans="2:6">
      <c r="B32" s="160"/>
      <c r="C32" s="158">
        <f>SUMIF('MIS 2026'!$H:$H,'Sales Dashboard'!$B32,'MIS 2026'!$AE:$AE)</f>
        <v>0</v>
      </c>
      <c r="D32" s="157">
        <f>SUMIF('MIS 2026'!$H:$H,'Sales Dashboard'!$B32,'MIS 2026'!$AF:$AF)</f>
        <v>0</v>
      </c>
      <c r="E32" s="156">
        <f>SUMIF('MIS 2026'!$AA:$AA,'Sales Dashboard'!$B32,'MIS 2026'!$BJ:$BJ)</f>
        <v>0</v>
      </c>
      <c r="F32" s="155">
        <f t="shared" si="1"/>
        <v>0</v>
      </c>
    </row>
    <row r="33" spans="2:6">
      <c r="B33" s="160"/>
      <c r="C33" s="158">
        <f>SUMIF('MIS 2026'!$H:$H,'Sales Dashboard'!$B33,'MIS 2026'!$AE:$AE)</f>
        <v>0</v>
      </c>
      <c r="D33" s="157">
        <f>SUMIF('MIS 2026'!$H:$H,'Sales Dashboard'!$B33,'MIS 2026'!$AF:$AF)</f>
        <v>0</v>
      </c>
      <c r="E33" s="156">
        <f>SUMIF('MIS 2026'!$AA:$AA,'Sales Dashboard'!$B33,'MIS 2026'!$BJ:$BJ)</f>
        <v>0</v>
      </c>
      <c r="F33" s="155">
        <f t="shared" si="1"/>
        <v>0</v>
      </c>
    </row>
    <row r="34" spans="2:6">
      <c r="B34" s="160"/>
      <c r="C34" s="158">
        <f>SUMIF('MIS 2026'!$H:$H,'Sales Dashboard'!$B34,'MIS 2026'!$AE:$AE)</f>
        <v>0</v>
      </c>
      <c r="D34" s="157">
        <f>SUMIF('MIS 2026'!$H:$H,'Sales Dashboard'!$B34,'MIS 2026'!$AF:$AF)</f>
        <v>0</v>
      </c>
      <c r="E34" s="156">
        <f>SUMIF('MIS 2026'!$AA:$AA,'Sales Dashboard'!$B34,'MIS 2026'!$BJ:$BJ)</f>
        <v>0</v>
      </c>
      <c r="F34" s="155">
        <f t="shared" si="1"/>
        <v>0</v>
      </c>
    </row>
    <row r="35" spans="2:6">
      <c r="B35" s="160"/>
      <c r="C35" s="158">
        <f>SUMIF('MIS 2026'!$H:$H,'Sales Dashboard'!$B35,'MIS 2026'!$AE:$AE)</f>
        <v>0</v>
      </c>
      <c r="D35" s="157">
        <f>SUMIF('MIS 2026'!$H:$H,'Sales Dashboard'!$B35,'MIS 2026'!$AF:$AF)</f>
        <v>0</v>
      </c>
      <c r="E35" s="156">
        <f>SUMIF('MIS 2026'!$AA:$AA,'Sales Dashboard'!$B35,'MIS 2026'!$BJ:$BJ)</f>
        <v>0</v>
      </c>
      <c r="F35" s="155">
        <f t="shared" si="1"/>
        <v>0</v>
      </c>
    </row>
    <row r="36" spans="2:6">
      <c r="B36" s="160"/>
      <c r="C36" s="158">
        <f>SUMIF('MIS 2026'!$H:$H,'Sales Dashboard'!$B36,'MIS 2026'!$AE:$AE)</f>
        <v>0</v>
      </c>
      <c r="D36" s="157">
        <f>SUMIF('MIS 2026'!$H:$H,'Sales Dashboard'!$B36,'MIS 2026'!$AF:$AF)</f>
        <v>0</v>
      </c>
      <c r="E36" s="156">
        <f>SUMIF('MIS 2026'!$AA:$AA,'Sales Dashboard'!$B36,'MIS 2026'!$BJ:$BJ)</f>
        <v>0</v>
      </c>
      <c r="F36" s="155">
        <f t="shared" si="1"/>
        <v>0</v>
      </c>
    </row>
    <row r="37" spans="2:6">
      <c r="B37" s="160"/>
      <c r="C37" s="158">
        <f>SUMIF('MIS 2026'!$H:$H,'Sales Dashboard'!$B37,'MIS 2026'!$AE:$AE)</f>
        <v>0</v>
      </c>
      <c r="D37" s="157">
        <f>SUMIF('MIS 2026'!$H:$H,'Sales Dashboard'!$B37,'MIS 2026'!$AF:$AF)</f>
        <v>0</v>
      </c>
      <c r="E37" s="156">
        <f>SUMIF('MIS 2026'!$AA:$AA,'Sales Dashboard'!$B37,'MIS 2026'!$BJ:$BJ)</f>
        <v>0</v>
      </c>
      <c r="F37" s="155">
        <f t="shared" si="1"/>
        <v>0</v>
      </c>
    </row>
    <row r="38" spans="2:6">
      <c r="B38" s="160"/>
      <c r="C38" s="158">
        <f>SUMIF('MIS 2026'!$H:$H,'Sales Dashboard'!$B38,'MIS 2026'!$AE:$AE)</f>
        <v>0</v>
      </c>
      <c r="D38" s="157">
        <f>SUMIF('MIS 2026'!$H:$H,'Sales Dashboard'!$B38,'MIS 2026'!$AF:$AF)</f>
        <v>0</v>
      </c>
      <c r="E38" s="156">
        <f>SUMIF('MIS 2026'!$AA:$AA,'Sales Dashboard'!$B38,'MIS 2026'!$BJ:$BJ)</f>
        <v>0</v>
      </c>
      <c r="F38" s="155">
        <f t="shared" si="1"/>
        <v>0</v>
      </c>
    </row>
    <row r="39" spans="2:6">
      <c r="B39" s="160"/>
      <c r="C39" s="158">
        <f>SUMIF('MIS 2026'!$H:$H,'Sales Dashboard'!$B39,'MIS 2026'!$AE:$AE)</f>
        <v>0</v>
      </c>
      <c r="D39" s="157">
        <f>SUMIF('MIS 2026'!$H:$H,'Sales Dashboard'!$B39,'MIS 2026'!$AF:$AF)</f>
        <v>0</v>
      </c>
      <c r="E39" s="156">
        <f>SUMIF('MIS 2026'!$AA:$AA,'Sales Dashboard'!$B39,'MIS 2026'!$BJ:$BJ)</f>
        <v>0</v>
      </c>
      <c r="F39" s="155">
        <f t="shared" si="1"/>
        <v>0</v>
      </c>
    </row>
    <row r="40" spans="2:6">
      <c r="B40" s="160"/>
      <c r="C40" s="158">
        <f>SUMIF('MIS 2026'!$H:$H,'Sales Dashboard'!$B40,'MIS 2026'!$AE:$AE)</f>
        <v>0</v>
      </c>
      <c r="D40" s="157">
        <f>SUMIF('MIS 2026'!$H:$H,'Sales Dashboard'!$B40,'MIS 2026'!$AF:$AF)</f>
        <v>0</v>
      </c>
      <c r="E40" s="156">
        <f>SUMIF('MIS 2026'!$AA:$AA,'Sales Dashboard'!$B40,'MIS 2026'!$BJ:$BJ)</f>
        <v>0</v>
      </c>
      <c r="F40" s="155">
        <f t="shared" si="1"/>
        <v>0</v>
      </c>
    </row>
    <row r="41" spans="2:6">
      <c r="B41" s="160"/>
      <c r="C41" s="158">
        <f>SUMIF('MIS 2026'!$H:$H,'Sales Dashboard'!$B41,'MIS 2026'!$AE:$AE)</f>
        <v>0</v>
      </c>
      <c r="D41" s="157">
        <f>SUMIF('MIS 2026'!$H:$H,'Sales Dashboard'!$B41,'MIS 2026'!$AF:$AF)</f>
        <v>0</v>
      </c>
      <c r="E41" s="156">
        <f>SUMIF('MIS 2026'!$AA:$AA,'Sales Dashboard'!$B41,'MIS 2026'!$BJ:$BJ)</f>
        <v>0</v>
      </c>
      <c r="F41" s="155">
        <f t="shared" si="1"/>
        <v>0</v>
      </c>
    </row>
    <row r="42" spans="2:6">
      <c r="B42" s="160"/>
      <c r="C42" s="158">
        <f>SUMIF('MIS 2026'!$H:$H,'Sales Dashboard'!$B42,'MIS 2026'!$AE:$AE)</f>
        <v>0</v>
      </c>
      <c r="D42" s="157">
        <f>SUMIF('MIS 2026'!$H:$H,'Sales Dashboard'!$B42,'MIS 2026'!$AF:$AF)</f>
        <v>0</v>
      </c>
      <c r="E42" s="156">
        <f>SUMIF('MIS 2026'!$AA:$AA,'Sales Dashboard'!$B42,'MIS 2026'!$BJ:$BJ)</f>
        <v>0</v>
      </c>
      <c r="F42" s="155">
        <f t="shared" si="1"/>
        <v>0</v>
      </c>
    </row>
    <row r="43" spans="2:6">
      <c r="B43" s="160"/>
      <c r="C43" s="158">
        <f>SUMIF('MIS 2026'!$H:$H,'Sales Dashboard'!$B43,'MIS 2026'!$AE:$AE)</f>
        <v>0</v>
      </c>
      <c r="D43" s="157">
        <f>SUMIF('MIS 2026'!$H:$H,'Sales Dashboard'!$B43,'MIS 2026'!$AF:$AF)</f>
        <v>0</v>
      </c>
      <c r="E43" s="156">
        <f>SUMIF('MIS 2026'!$AA:$AA,'Sales Dashboard'!$B43,'MIS 2026'!$BJ:$BJ)</f>
        <v>0</v>
      </c>
      <c r="F43" s="155">
        <f t="shared" ref="F43:F64" si="2">D43-E43</f>
        <v>0</v>
      </c>
    </row>
    <row r="44" spans="2:6">
      <c r="B44" s="160"/>
      <c r="C44" s="158">
        <f>SUMIF('MIS 2026'!$H:$H,'Sales Dashboard'!$B44,'MIS 2026'!$AE:$AE)</f>
        <v>0</v>
      </c>
      <c r="D44" s="157">
        <f>SUMIF('MIS 2026'!$H:$H,'Sales Dashboard'!$B44,'MIS 2026'!$AF:$AF)</f>
        <v>0</v>
      </c>
      <c r="E44" s="156">
        <f>SUMIF('MIS 2026'!$AA:$AA,'Sales Dashboard'!$B44,'MIS 2026'!$BJ:$BJ)</f>
        <v>0</v>
      </c>
      <c r="F44" s="155">
        <f t="shared" si="2"/>
        <v>0</v>
      </c>
    </row>
    <row r="45" spans="2:6">
      <c r="B45" s="160"/>
      <c r="C45" s="158">
        <f>SUMIF('MIS 2026'!$H:$H,'Sales Dashboard'!$B45,'MIS 2026'!$AE:$AE)</f>
        <v>0</v>
      </c>
      <c r="D45" s="157">
        <f>SUMIF('MIS 2026'!$H:$H,'Sales Dashboard'!$B45,'MIS 2026'!$AF:$AF)</f>
        <v>0</v>
      </c>
      <c r="E45" s="156">
        <f>SUMIF('MIS 2026'!$AA:$AA,'Sales Dashboard'!$B45,'MIS 2026'!$BJ:$BJ)</f>
        <v>0</v>
      </c>
      <c r="F45" s="155">
        <f t="shared" si="2"/>
        <v>0</v>
      </c>
    </row>
    <row r="46" spans="2:6">
      <c r="B46" s="160"/>
      <c r="C46" s="158">
        <f>SUMIF('MIS 2026'!$H:$H,'Sales Dashboard'!$B46,'MIS 2026'!$AE:$AE)</f>
        <v>0</v>
      </c>
      <c r="D46" s="157">
        <f>SUMIF('MIS 2026'!$H:$H,'Sales Dashboard'!$B46,'MIS 2026'!$AF:$AF)</f>
        <v>0</v>
      </c>
      <c r="E46" s="156">
        <f>SUMIF('MIS 2026'!$AA:$AA,'Sales Dashboard'!$B46,'MIS 2026'!$BJ:$BJ)</f>
        <v>0</v>
      </c>
      <c r="F46" s="155">
        <f t="shared" si="2"/>
        <v>0</v>
      </c>
    </row>
    <row r="47" spans="2:6">
      <c r="B47" s="160"/>
      <c r="C47" s="158">
        <f>SUMIF('MIS 2026'!$H:$H,'Sales Dashboard'!$B47,'MIS 2026'!$AE:$AE)</f>
        <v>0</v>
      </c>
      <c r="D47" s="157">
        <f>SUMIF('MIS 2026'!$H:$H,'Sales Dashboard'!$B47,'MIS 2026'!$AF:$AF)</f>
        <v>0</v>
      </c>
      <c r="E47" s="156">
        <f>SUMIF('MIS 2026'!$AA:$AA,'Sales Dashboard'!$B47,'MIS 2026'!$BJ:$BJ)</f>
        <v>0</v>
      </c>
      <c r="F47" s="155">
        <f t="shared" si="2"/>
        <v>0</v>
      </c>
    </row>
    <row r="48" spans="2:6">
      <c r="B48" s="159"/>
      <c r="C48" s="158">
        <f>SUMIF('MIS 2026'!$H:$H,'Sales Dashboard'!$B48,'MIS 2026'!$AE:$AE)</f>
        <v>0</v>
      </c>
      <c r="D48" s="157">
        <f>SUMIF('MIS 2026'!$H:$H,'Sales Dashboard'!$B48,'MIS 2026'!$AF:$AF)</f>
        <v>0</v>
      </c>
      <c r="E48" s="156">
        <f>SUMIF('MIS 2026'!$AA:$AA,'Sales Dashboard'!$B48,'MIS 2026'!$BJ:$BJ)</f>
        <v>0</v>
      </c>
      <c r="F48" s="155">
        <f t="shared" si="2"/>
        <v>0</v>
      </c>
    </row>
    <row r="49" spans="2:6">
      <c r="B49" s="159"/>
      <c r="C49" s="158">
        <f>SUMIF('MIS 2026'!$H:$H,'Sales Dashboard'!$B49,'MIS 2026'!$AE:$AE)</f>
        <v>0</v>
      </c>
      <c r="D49" s="157">
        <f>SUMIF('MIS 2026'!$H:$H,'Sales Dashboard'!$B49,'MIS 2026'!$AF:$AF)</f>
        <v>0</v>
      </c>
      <c r="E49" s="156">
        <f>SUMIF('MIS 2026'!$AA:$AA,'Sales Dashboard'!$B49,'MIS 2026'!$BJ:$BJ)</f>
        <v>0</v>
      </c>
      <c r="F49" s="155">
        <f t="shared" si="2"/>
        <v>0</v>
      </c>
    </row>
    <row r="50" spans="2:6">
      <c r="B50" s="159"/>
      <c r="C50" s="158">
        <f>SUMIF('MIS 2026'!$H:$H,'Sales Dashboard'!$B50,'MIS 2026'!$AE:$AE)</f>
        <v>0</v>
      </c>
      <c r="D50" s="157">
        <f>SUMIF('MIS 2026'!$H:$H,'Sales Dashboard'!$B50,'MIS 2026'!$AF:$AF)</f>
        <v>0</v>
      </c>
      <c r="E50" s="156">
        <f>SUMIF('MIS 2026'!$AA:$AA,'Sales Dashboard'!$B50,'MIS 2026'!$BJ:$BJ)</f>
        <v>0</v>
      </c>
      <c r="F50" s="155">
        <f t="shared" si="2"/>
        <v>0</v>
      </c>
    </row>
    <row r="51" spans="2:6">
      <c r="B51" s="159"/>
      <c r="C51" s="158">
        <f>SUMIF('MIS 2026'!$H:$H,'Sales Dashboard'!$B51,'MIS 2026'!$AE:$AE)</f>
        <v>0</v>
      </c>
      <c r="D51" s="157">
        <f>SUMIF('MIS 2026'!$H:$H,'Sales Dashboard'!$B51,'MIS 2026'!$AF:$AF)</f>
        <v>0</v>
      </c>
      <c r="E51" s="156">
        <f>SUMIF('MIS 2026'!$AA:$AA,'Sales Dashboard'!$B51,'MIS 2026'!$BJ:$BJ)</f>
        <v>0</v>
      </c>
      <c r="F51" s="155">
        <f t="shared" si="2"/>
        <v>0</v>
      </c>
    </row>
    <row r="52" spans="2:6">
      <c r="B52" s="159"/>
      <c r="C52" s="158">
        <f>SUMIF('MIS 2026'!$H:$H,'Sales Dashboard'!$B52,'MIS 2026'!$AE:$AE)</f>
        <v>0</v>
      </c>
      <c r="D52" s="157">
        <f>SUMIF('MIS 2026'!$H:$H,'Sales Dashboard'!$B52,'MIS 2026'!$AF:$AF)</f>
        <v>0</v>
      </c>
      <c r="E52" s="156">
        <f>SUMIF('MIS 2026'!$AA:$AA,'Sales Dashboard'!$B52,'MIS 2026'!$BJ:$BJ)</f>
        <v>0</v>
      </c>
      <c r="F52" s="155">
        <f t="shared" si="2"/>
        <v>0</v>
      </c>
    </row>
    <row r="53" spans="2:6">
      <c r="B53" s="159"/>
      <c r="C53" s="158">
        <f>SUMIF('MIS 2026'!$H:$H,'Sales Dashboard'!$B53,'MIS 2026'!$AE:$AE)</f>
        <v>0</v>
      </c>
      <c r="D53" s="157">
        <f>SUMIF('MIS 2026'!$H:$H,'Sales Dashboard'!$B53,'MIS 2026'!$AF:$AF)</f>
        <v>0</v>
      </c>
      <c r="E53" s="156">
        <f>SUMIF('MIS 2026'!$AA:$AA,'Sales Dashboard'!$B53,'MIS 2026'!$BJ:$BJ)</f>
        <v>0</v>
      </c>
      <c r="F53" s="155">
        <f t="shared" si="2"/>
        <v>0</v>
      </c>
    </row>
    <row r="54" spans="2:6">
      <c r="B54" s="159"/>
      <c r="C54" s="158">
        <f>SUMIF('MIS 2026'!$H:$H,'Sales Dashboard'!$B54,'MIS 2026'!$AE:$AE)</f>
        <v>0</v>
      </c>
      <c r="D54" s="157">
        <f>SUMIF('MIS 2026'!$H:$H,'Sales Dashboard'!$B54,'MIS 2026'!$AF:$AF)</f>
        <v>0</v>
      </c>
      <c r="E54" s="156">
        <f>SUMIF('MIS 2026'!$AA:$AA,'Sales Dashboard'!$B54,'MIS 2026'!$BJ:$BJ)</f>
        <v>0</v>
      </c>
      <c r="F54" s="155">
        <f t="shared" si="2"/>
        <v>0</v>
      </c>
    </row>
    <row r="55" spans="2:6">
      <c r="B55" s="159"/>
      <c r="C55" s="158">
        <f>SUMIF('MIS 2026'!$H:$H,'Sales Dashboard'!$B55,'MIS 2026'!$AE:$AE)</f>
        <v>0</v>
      </c>
      <c r="D55" s="157">
        <f>SUMIF('MIS 2026'!$H:$H,'Sales Dashboard'!$B55,'MIS 2026'!$AF:$AF)</f>
        <v>0</v>
      </c>
      <c r="E55" s="156">
        <f>SUMIF('MIS 2026'!$AA:$AA,'Sales Dashboard'!$B55,'MIS 2026'!$BJ:$BJ)</f>
        <v>0</v>
      </c>
      <c r="F55" s="155">
        <f t="shared" si="2"/>
        <v>0</v>
      </c>
    </row>
    <row r="56" spans="2:6">
      <c r="B56" s="159"/>
      <c r="C56" s="158">
        <f>SUMIF('MIS 2026'!$H:$H,'Sales Dashboard'!$B56,'MIS 2026'!$AE:$AE)</f>
        <v>0</v>
      </c>
      <c r="D56" s="157">
        <f>SUMIF('MIS 2026'!$H:$H,'Sales Dashboard'!$B56,'MIS 2026'!$AF:$AF)</f>
        <v>0</v>
      </c>
      <c r="E56" s="156">
        <f>SUMIF('MIS 2026'!$AA:$AA,'Sales Dashboard'!$B56,'MIS 2026'!$BJ:$BJ)</f>
        <v>0</v>
      </c>
      <c r="F56" s="155">
        <f t="shared" si="2"/>
        <v>0</v>
      </c>
    </row>
    <row r="57" spans="2:6">
      <c r="B57" s="159"/>
      <c r="C57" s="158">
        <f>SUMIF('MIS 2026'!$H:$H,'Sales Dashboard'!$B57,'MIS 2026'!$AE:$AE)</f>
        <v>0</v>
      </c>
      <c r="D57" s="157">
        <f>SUMIF('MIS 2026'!$H:$H,'Sales Dashboard'!$B57,'MIS 2026'!$AF:$AF)</f>
        <v>0</v>
      </c>
      <c r="E57" s="156">
        <f>SUMIF('MIS 2026'!$AA:$AA,'Sales Dashboard'!$B57,'MIS 2026'!$BJ:$BJ)</f>
        <v>0</v>
      </c>
      <c r="F57" s="155">
        <f t="shared" si="2"/>
        <v>0</v>
      </c>
    </row>
    <row r="58" spans="2:6">
      <c r="B58" s="159"/>
      <c r="C58" s="158">
        <f>SUMIF('MIS 2026'!$H:$H,'Sales Dashboard'!$B58,'MIS 2026'!$AE:$AE)</f>
        <v>0</v>
      </c>
      <c r="D58" s="157">
        <f>SUMIF('MIS 2026'!$H:$H,'Sales Dashboard'!$B58,'MIS 2026'!$AF:$AF)</f>
        <v>0</v>
      </c>
      <c r="E58" s="156">
        <f>SUMIF('MIS 2026'!$AA:$AA,'Sales Dashboard'!$B58,'MIS 2026'!$BJ:$BJ)</f>
        <v>0</v>
      </c>
      <c r="F58" s="155">
        <f t="shared" si="2"/>
        <v>0</v>
      </c>
    </row>
    <row r="59" spans="2:6">
      <c r="B59" s="159"/>
      <c r="C59" s="158">
        <f>SUMIF('MIS 2026'!$H:$H,'Sales Dashboard'!$B59,'MIS 2026'!$AE:$AE)</f>
        <v>0</v>
      </c>
      <c r="D59" s="157">
        <f>SUMIF('MIS 2026'!$H:$H,'Sales Dashboard'!$B59,'MIS 2026'!$AF:$AF)</f>
        <v>0</v>
      </c>
      <c r="E59" s="156">
        <f>SUMIF('MIS 2026'!$AA:$AA,'Sales Dashboard'!$B59,'MIS 2026'!$BJ:$BJ)</f>
        <v>0</v>
      </c>
      <c r="F59" s="155">
        <f t="shared" si="2"/>
        <v>0</v>
      </c>
    </row>
    <row r="60" spans="2:6">
      <c r="B60" s="159"/>
      <c r="C60" s="158">
        <f>SUMIF('MIS 2026'!$H:$H,'Sales Dashboard'!$B60,'MIS 2026'!$AE:$AE)</f>
        <v>0</v>
      </c>
      <c r="D60" s="157">
        <f>SUMIF('MIS 2026'!$H:$H,'Sales Dashboard'!$B60,'MIS 2026'!$AF:$AF)</f>
        <v>0</v>
      </c>
      <c r="E60" s="156">
        <f>SUMIF('MIS 2026'!$AA:$AA,'Sales Dashboard'!$B60,'MIS 2026'!$BJ:$BJ)</f>
        <v>0</v>
      </c>
      <c r="F60" s="155">
        <f t="shared" si="2"/>
        <v>0</v>
      </c>
    </row>
    <row r="61" spans="2:6">
      <c r="B61" s="159"/>
      <c r="C61" s="158">
        <f>SUMIF('MIS 2026'!$H:$H,'Sales Dashboard'!$B61,'MIS 2026'!$AE:$AE)</f>
        <v>0</v>
      </c>
      <c r="D61" s="157">
        <f>SUMIF('MIS 2026'!$H:$H,'Sales Dashboard'!$B61,'MIS 2026'!$AF:$AF)</f>
        <v>0</v>
      </c>
      <c r="E61" s="156">
        <f>SUMIF('MIS 2026'!$AA:$AA,'Sales Dashboard'!$B61,'MIS 2026'!$BJ:$BJ)</f>
        <v>0</v>
      </c>
      <c r="F61" s="155">
        <f t="shared" si="2"/>
        <v>0</v>
      </c>
    </row>
    <row r="62" spans="2:6">
      <c r="B62" s="159"/>
      <c r="C62" s="158">
        <f>SUMIF('MIS 2026'!$H:$H,'Sales Dashboard'!$B62,'MIS 2026'!$AE:$AE)</f>
        <v>0</v>
      </c>
      <c r="D62" s="157">
        <f>SUMIF('MIS 2026'!$H:$H,'Sales Dashboard'!$B62,'MIS 2026'!$AF:$AF)</f>
        <v>0</v>
      </c>
      <c r="E62" s="156">
        <f>SUMIF('MIS 2026'!$AA:$AA,'Sales Dashboard'!$B62,'MIS 2026'!$BJ:$BJ)</f>
        <v>0</v>
      </c>
      <c r="F62" s="155">
        <f t="shared" si="2"/>
        <v>0</v>
      </c>
    </row>
    <row r="63" spans="2:6">
      <c r="B63" s="159"/>
      <c r="C63" s="158">
        <f>SUMIF('MIS 2026'!$H:$H,'Sales Dashboard'!$B63,'MIS 2026'!$AE:$AE)</f>
        <v>0</v>
      </c>
      <c r="D63" s="157">
        <f>SUMIF('MIS 2026'!$H:$H,'Sales Dashboard'!$B63,'MIS 2026'!$AF:$AF)</f>
        <v>0</v>
      </c>
      <c r="E63" s="156">
        <f>SUMIF('MIS 2026'!$AA:$AA,'Sales Dashboard'!$B63,'MIS 2026'!$BJ:$BJ)</f>
        <v>0</v>
      </c>
      <c r="F63" s="155">
        <f t="shared" si="2"/>
        <v>0</v>
      </c>
    </row>
    <row r="64" spans="2:6">
      <c r="B64" s="159"/>
      <c r="C64" s="158">
        <f>SUMIF('MIS 2026'!$H:$H,'Sales Dashboard'!$B64,'MIS 2026'!$AE:$AE)</f>
        <v>0</v>
      </c>
      <c r="D64" s="157">
        <f>SUMIF('MIS 2026'!$H:$H,'Sales Dashboard'!$B64,'MIS 2026'!$AF:$AF)</f>
        <v>0</v>
      </c>
      <c r="E64" s="156">
        <f>SUMIF('MIS 2026'!$AA:$AA,'Sales Dashboard'!$B64,'MIS 2026'!$BJ:$BJ)</f>
        <v>0</v>
      </c>
      <c r="F64" s="155">
        <f t="shared" si="2"/>
        <v>0</v>
      </c>
    </row>
  </sheetData>
  <sheetProtection algorithmName="SHA-512" hashValue="jGAZUuAfyBY4hTiadT2GXxl6HRS/pdLAi8vKx4gVNbAcuaYIorpfnfjAT4X+rfl9VrWTIsi9NVarU9yyUGPTKw==" saltValue="m7puJr0bzGVniGlIGg8Dqw==" spinCount="100000" sheet="1" objects="1" scenarios="1"/>
  <conditionalFormatting sqref="D3:M3">
    <cfRule type="expression" dxfId="4" priority="5">
      <formula>D3&gt;#REF!</formula>
    </cfRule>
  </conditionalFormatting>
  <conditionalFormatting sqref="D5:M5">
    <cfRule type="expression" dxfId="3" priority="1">
      <formula>D5&gt;D4</formula>
    </cfRule>
  </conditionalFormatting>
  <conditionalFormatting sqref="F11:F64">
    <cfRule type="cellIs" dxfId="2" priority="2" operator="greaterThan">
      <formula>10</formula>
    </cfRule>
    <cfRule type="cellIs" dxfId="1" priority="3" operator="between">
      <formula>0</formula>
      <formula>10</formula>
    </cfRule>
    <cfRule type="cellIs" dxfId="0" priority="4" operator="between">
      <formula>0</formula>
      <formula>-10000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DB26-6CC6-4BCD-BE9F-CB4BD52307B8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2BDA-48E9-41CE-8736-48582FBE9813}">
  <dimension ref="A1:I20"/>
  <sheetViews>
    <sheetView topLeftCell="A12" workbookViewId="0"/>
  </sheetViews>
  <sheetFormatPr defaultRowHeight="14.45"/>
  <cols>
    <col min="1" max="1" width="11.140625" bestFit="1" customWidth="1"/>
    <col min="2" max="2" width="22.42578125" bestFit="1" customWidth="1"/>
    <col min="3" max="3" width="11" bestFit="1" customWidth="1"/>
  </cols>
  <sheetData>
    <row r="1" spans="1:9">
      <c r="A1" s="204" t="s">
        <v>1258</v>
      </c>
      <c r="B1" s="205" t="s">
        <v>1259</v>
      </c>
      <c r="C1" s="205" t="s">
        <v>48</v>
      </c>
      <c r="D1" s="205" t="s">
        <v>1260</v>
      </c>
      <c r="E1" s="205" t="s">
        <v>1261</v>
      </c>
      <c r="F1" s="205" t="s">
        <v>918</v>
      </c>
      <c r="G1" s="205" t="s">
        <v>30</v>
      </c>
      <c r="H1" s="205" t="s">
        <v>1262</v>
      </c>
    </row>
    <row r="2" spans="1:9" ht="21.95">
      <c r="A2" s="206">
        <v>32014996</v>
      </c>
      <c r="B2" s="207" t="s">
        <v>380</v>
      </c>
      <c r="C2" s="208">
        <v>46138</v>
      </c>
      <c r="D2" s="207">
        <v>300</v>
      </c>
      <c r="E2" s="210">
        <v>1515</v>
      </c>
      <c r="F2" s="209" t="s">
        <v>259</v>
      </c>
      <c r="G2" s="209" t="s">
        <v>381</v>
      </c>
      <c r="H2" s="211" t="s">
        <v>1263</v>
      </c>
    </row>
    <row r="3" spans="1:9" ht="32.450000000000003">
      <c r="A3" s="206">
        <v>32015058</v>
      </c>
      <c r="B3" s="207" t="s">
        <v>352</v>
      </c>
      <c r="C3" s="207" t="s">
        <v>353</v>
      </c>
      <c r="D3" s="207">
        <v>250</v>
      </c>
      <c r="E3" s="210">
        <v>1520</v>
      </c>
      <c r="F3" s="209" t="s">
        <v>259</v>
      </c>
      <c r="G3" s="209" t="s">
        <v>357</v>
      </c>
      <c r="H3" s="211" t="s">
        <v>1263</v>
      </c>
    </row>
    <row r="4" spans="1:9" ht="32.450000000000003">
      <c r="A4" s="206">
        <v>32014998</v>
      </c>
      <c r="B4" s="207" t="s">
        <v>352</v>
      </c>
      <c r="C4" s="207" t="s">
        <v>353</v>
      </c>
      <c r="D4" s="207">
        <v>250</v>
      </c>
      <c r="E4" s="210">
        <v>1515</v>
      </c>
      <c r="F4" s="209" t="s">
        <v>259</v>
      </c>
      <c r="G4" s="209" t="s">
        <v>357</v>
      </c>
      <c r="H4" s="211" t="s">
        <v>1263</v>
      </c>
    </row>
    <row r="5" spans="1:9" ht="21.95">
      <c r="A5" s="206">
        <v>32015806</v>
      </c>
      <c r="B5" s="207" t="s">
        <v>275</v>
      </c>
      <c r="C5" s="208">
        <v>46138</v>
      </c>
      <c r="D5" s="207">
        <v>200</v>
      </c>
      <c r="E5" s="210">
        <v>1575</v>
      </c>
      <c r="F5" s="209" t="s">
        <v>278</v>
      </c>
      <c r="G5" s="209" t="s">
        <v>265</v>
      </c>
      <c r="H5" s="211" t="s">
        <v>1264</v>
      </c>
    </row>
    <row r="6" spans="1:9" ht="21.95">
      <c r="A6" s="206">
        <v>32015286</v>
      </c>
      <c r="B6" s="207" t="s">
        <v>294</v>
      </c>
      <c r="C6" s="207" t="s">
        <v>295</v>
      </c>
      <c r="D6" s="207">
        <v>200</v>
      </c>
      <c r="E6" s="210">
        <v>1485</v>
      </c>
      <c r="F6" s="209" t="s">
        <v>291</v>
      </c>
      <c r="G6" s="209" t="s">
        <v>253</v>
      </c>
      <c r="H6" s="211" t="s">
        <v>1264</v>
      </c>
    </row>
    <row r="7" spans="1:9" ht="21.95">
      <c r="A7" s="206">
        <v>32015798</v>
      </c>
      <c r="B7" s="207" t="s">
        <v>1089</v>
      </c>
      <c r="C7" s="207" t="s">
        <v>385</v>
      </c>
      <c r="D7" s="207">
        <v>100</v>
      </c>
      <c r="E7" s="210">
        <v>1485</v>
      </c>
      <c r="F7" s="209" t="s">
        <v>291</v>
      </c>
      <c r="G7" s="209" t="s">
        <v>539</v>
      </c>
      <c r="H7" s="211" t="s">
        <v>1263</v>
      </c>
    </row>
    <row r="8" spans="1:9" ht="21.95">
      <c r="A8" s="206">
        <v>32015794</v>
      </c>
      <c r="B8" s="207" t="s">
        <v>602</v>
      </c>
      <c r="C8" s="208">
        <v>46138</v>
      </c>
      <c r="D8" s="207">
        <v>150</v>
      </c>
      <c r="E8" s="210">
        <v>1450</v>
      </c>
      <c r="F8" s="209" t="s">
        <v>291</v>
      </c>
      <c r="G8" s="209" t="s">
        <v>409</v>
      </c>
      <c r="H8" s="211" t="s">
        <v>1263</v>
      </c>
    </row>
    <row r="9" spans="1:9" ht="21.95">
      <c r="A9" s="206">
        <v>32015795</v>
      </c>
      <c r="B9" s="207" t="s">
        <v>569</v>
      </c>
      <c r="C9" s="208">
        <v>46138</v>
      </c>
      <c r="D9" s="207">
        <v>200</v>
      </c>
      <c r="E9" s="210">
        <v>1570</v>
      </c>
      <c r="F9" s="209" t="s">
        <v>245</v>
      </c>
      <c r="G9" s="209" t="s">
        <v>409</v>
      </c>
      <c r="H9" s="211" t="s">
        <v>1263</v>
      </c>
    </row>
    <row r="10" spans="1:9" ht="21.95">
      <c r="A10" s="206">
        <v>32015796</v>
      </c>
      <c r="B10" s="207" t="s">
        <v>741</v>
      </c>
      <c r="C10" s="207" t="s">
        <v>353</v>
      </c>
      <c r="D10" s="207">
        <v>250</v>
      </c>
      <c r="E10" s="210">
        <v>1515</v>
      </c>
      <c r="F10" s="209" t="s">
        <v>259</v>
      </c>
      <c r="G10" s="209" t="s">
        <v>409</v>
      </c>
      <c r="H10" s="211" t="s">
        <v>1263</v>
      </c>
    </row>
    <row r="11" spans="1:9" ht="21.95">
      <c r="A11" s="206">
        <v>32015892</v>
      </c>
      <c r="B11" s="207" t="s">
        <v>275</v>
      </c>
      <c r="C11" s="208">
        <v>46138</v>
      </c>
      <c r="D11" s="207">
        <v>100</v>
      </c>
      <c r="E11" s="210">
        <v>1565</v>
      </c>
      <c r="F11" s="209" t="s">
        <v>278</v>
      </c>
      <c r="G11" s="209" t="s">
        <v>346</v>
      </c>
      <c r="H11" s="211" t="s">
        <v>1264</v>
      </c>
    </row>
    <row r="12" spans="1:9" ht="21.95">
      <c r="A12" s="206">
        <v>32016123</v>
      </c>
      <c r="B12" s="213" t="s">
        <v>380</v>
      </c>
      <c r="C12" s="214" t="s">
        <v>263</v>
      </c>
      <c r="D12" s="215">
        <v>100</v>
      </c>
      <c r="E12" s="217">
        <v>1535</v>
      </c>
      <c r="F12" s="216" t="s">
        <v>245</v>
      </c>
      <c r="G12" s="209" t="s">
        <v>409</v>
      </c>
      <c r="H12" s="211" t="s">
        <v>1263</v>
      </c>
      <c r="I12" s="216"/>
    </row>
    <row r="13" spans="1:9" ht="21.95">
      <c r="A13" s="206">
        <v>32016124</v>
      </c>
      <c r="B13" s="213" t="s">
        <v>380</v>
      </c>
      <c r="C13" s="214" t="s">
        <v>263</v>
      </c>
      <c r="D13" s="215">
        <v>200</v>
      </c>
      <c r="E13" s="217">
        <v>1580</v>
      </c>
      <c r="F13" s="216" t="s">
        <v>375</v>
      </c>
      <c r="G13" s="209" t="s">
        <v>409</v>
      </c>
      <c r="H13" s="211" t="s">
        <v>1263</v>
      </c>
      <c r="I13" s="216"/>
    </row>
    <row r="14" spans="1:9" ht="21.95">
      <c r="A14" s="219" t="s">
        <v>1265</v>
      </c>
      <c r="B14" s="213" t="s">
        <v>369</v>
      </c>
      <c r="C14" s="214" t="s">
        <v>263</v>
      </c>
      <c r="D14" s="215">
        <v>250</v>
      </c>
      <c r="E14" s="217">
        <v>1590</v>
      </c>
      <c r="F14" s="216" t="s">
        <v>278</v>
      </c>
      <c r="G14" s="209" t="s">
        <v>409</v>
      </c>
      <c r="H14" s="211" t="s">
        <v>1263</v>
      </c>
      <c r="I14" s="216"/>
    </row>
    <row r="15" spans="1:9" ht="21.95">
      <c r="A15" s="218">
        <v>32016144</v>
      </c>
      <c r="B15" s="213" t="s">
        <v>741</v>
      </c>
      <c r="C15" s="214" t="s">
        <v>353</v>
      </c>
      <c r="D15" s="215">
        <v>1000</v>
      </c>
      <c r="E15" s="217">
        <v>1525</v>
      </c>
      <c r="F15" s="216" t="s">
        <v>259</v>
      </c>
      <c r="G15" s="209" t="s">
        <v>409</v>
      </c>
      <c r="H15" s="211" t="s">
        <v>1263</v>
      </c>
      <c r="I15" s="216"/>
    </row>
    <row r="16" spans="1:9" ht="21.95">
      <c r="A16" s="218">
        <v>32016145</v>
      </c>
      <c r="B16" s="213" t="s">
        <v>741</v>
      </c>
      <c r="C16" s="214" t="s">
        <v>353</v>
      </c>
      <c r="D16" s="215">
        <v>500</v>
      </c>
      <c r="E16" s="217">
        <v>1490</v>
      </c>
      <c r="F16" s="216" t="s">
        <v>259</v>
      </c>
      <c r="G16" s="209" t="s">
        <v>409</v>
      </c>
      <c r="H16" s="211" t="s">
        <v>1263</v>
      </c>
      <c r="I16" s="216"/>
    </row>
    <row r="17" spans="1:8" ht="21.95">
      <c r="A17" s="206">
        <v>32016251</v>
      </c>
      <c r="B17" s="213" t="s">
        <v>1266</v>
      </c>
      <c r="C17" s="214" t="s">
        <v>263</v>
      </c>
      <c r="D17" s="213">
        <v>100</v>
      </c>
      <c r="E17" s="213">
        <v>1510</v>
      </c>
      <c r="F17" s="213" t="s">
        <v>291</v>
      </c>
      <c r="G17" s="209" t="s">
        <v>409</v>
      </c>
      <c r="H17" s="211" t="s">
        <v>1264</v>
      </c>
    </row>
    <row r="18" spans="1:8" ht="21.95">
      <c r="A18" s="219">
        <v>32016244</v>
      </c>
      <c r="B18" s="213" t="s">
        <v>275</v>
      </c>
      <c r="C18" s="214" t="s">
        <v>263</v>
      </c>
      <c r="D18" s="213">
        <v>200</v>
      </c>
      <c r="E18" s="213">
        <v>1520</v>
      </c>
      <c r="F18" s="213" t="s">
        <v>291</v>
      </c>
      <c r="G18" s="209" t="s">
        <v>265</v>
      </c>
      <c r="H18" s="211" t="s">
        <v>1264</v>
      </c>
    </row>
    <row r="19" spans="1:8" ht="21.95">
      <c r="A19" s="218">
        <v>32016268</v>
      </c>
      <c r="B19" s="213" t="s">
        <v>1266</v>
      </c>
      <c r="C19" s="214" t="s">
        <v>263</v>
      </c>
      <c r="D19" s="213">
        <v>200</v>
      </c>
      <c r="E19" s="213">
        <v>1560</v>
      </c>
      <c r="F19" s="213" t="s">
        <v>1267</v>
      </c>
      <c r="G19" s="209" t="s">
        <v>409</v>
      </c>
      <c r="H19" s="211" t="s">
        <v>1264</v>
      </c>
    </row>
    <row r="20" spans="1:8" ht="21.95">
      <c r="A20" s="218">
        <v>32016264</v>
      </c>
      <c r="B20" s="213" t="s">
        <v>403</v>
      </c>
      <c r="C20" s="214" t="s">
        <v>263</v>
      </c>
      <c r="D20" s="213">
        <v>250</v>
      </c>
      <c r="E20" s="213"/>
      <c r="F20" s="213" t="s">
        <v>278</v>
      </c>
      <c r="G20" s="209" t="s">
        <v>409</v>
      </c>
      <c r="H20" s="211" t="s">
        <v>1263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13473b-370d-4053-b8e4-8afb8ea823ff">
      <Terms xmlns="http://schemas.microsoft.com/office/infopath/2007/PartnerControls"/>
    </lcf76f155ced4ddcb4097134ff3c332f>
    <TaxCatchAll xmlns="3f4082e6-1c2f-4d6a-bafb-e1f1ed6c403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DEB4704D23B4EA7593B8D5844D17A" ma:contentTypeVersion="15" ma:contentTypeDescription="Create a new document." ma:contentTypeScope="" ma:versionID="ef7c8338eabda77628ec8c3843c27370">
  <xsd:schema xmlns:xsd="http://www.w3.org/2001/XMLSchema" xmlns:xs="http://www.w3.org/2001/XMLSchema" xmlns:p="http://schemas.microsoft.com/office/2006/metadata/properties" xmlns:ns2="b913473b-370d-4053-b8e4-8afb8ea823ff" xmlns:ns3="3f4082e6-1c2f-4d6a-bafb-e1f1ed6c403d" targetNamespace="http://schemas.microsoft.com/office/2006/metadata/properties" ma:root="true" ma:fieldsID="2b0ce95473f001d0eba13680fcffa2d6" ns2:_="" ns3:_="">
    <xsd:import namespace="b913473b-370d-4053-b8e4-8afb8ea823ff"/>
    <xsd:import namespace="3f4082e6-1c2f-4d6a-bafb-e1f1ed6c4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3473b-370d-4053-b8e4-8afb8ea82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12370d5-c683-4ee2-b3cd-344c727de1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082e6-1c2f-4d6a-bafb-e1f1ed6c403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40530cb-d15a-45dc-8d71-b8c5d14af1f3}" ma:internalName="TaxCatchAll" ma:showField="CatchAllData" ma:web="3f4082e6-1c2f-4d6a-bafb-e1f1ed6c4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1526A4-09B9-428F-918B-D9BFD588BA46}"/>
</file>

<file path=customXml/itemProps2.xml><?xml version="1.0" encoding="utf-8"?>
<ds:datastoreItem xmlns:ds="http://schemas.openxmlformats.org/officeDocument/2006/customXml" ds:itemID="{6F4D6792-56F1-45A0-90C4-7C15F527648F}"/>
</file>

<file path=customXml/itemProps3.xml><?xml version="1.0" encoding="utf-8"?>
<ds:datastoreItem xmlns:ds="http://schemas.openxmlformats.org/officeDocument/2006/customXml" ds:itemID="{9080BC41-A315-4F28-86E7-8BAC73BC6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Vajramati</dc:creator>
  <cp:keywords/>
  <dc:description/>
  <cp:lastModifiedBy>Ibrahim</cp:lastModifiedBy>
  <cp:revision/>
  <dcterms:created xsi:type="dcterms:W3CDTF">2026-02-12T07:28:04Z</dcterms:created>
  <dcterms:modified xsi:type="dcterms:W3CDTF">2026-05-30T07:45:33Z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0x0101005E5DEB4704D23B4EA7593B8D5844D17A</vt:lpwstr>
  </property>
  <property fmtid="{D5CDD505-2E9C-101B-9397-08002B2CF9AE}" pid="3" name="MediaServiceImageTags">
    <vt:lpwstr/>
  </property>
</Properties>
</file>